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S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P18" i="20"/>
  <c r="N30" i="3"/>
  <c r="M30" i="3"/>
  <c r="K30" i="3"/>
  <c r="J30" i="3"/>
  <c r="I30" i="3"/>
  <c r="H30" i="3"/>
  <c r="G30" i="3"/>
  <c r="C30" i="3"/>
  <c r="C242" i="3" s="1"/>
  <c r="B30" i="3"/>
  <c r="B25" i="1"/>
  <c r="B24" i="1"/>
  <c r="B26" i="1"/>
  <c r="S242" i="3" l="1"/>
  <c r="W14" i="18"/>
  <c r="Q14" i="18"/>
  <c r="E3" i="20"/>
  <c r="E22" i="20" s="1"/>
  <c r="C18" i="20"/>
  <c r="O14" i="18"/>
  <c r="I15" i="18"/>
  <c r="E3" i="18"/>
  <c r="E18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3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25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N3" i="18"/>
  <c r="N17" i="18" s="1"/>
  <c r="U14" i="18"/>
  <c r="F22" i="20"/>
  <c r="P14" i="18"/>
  <c r="J14" i="20"/>
  <c r="O3" i="20"/>
  <c r="O23" i="20" s="1"/>
  <c r="O3" i="18"/>
  <c r="O18" i="18" s="1"/>
  <c r="N3" i="20"/>
  <c r="F24" i="19"/>
  <c r="F20" i="19"/>
  <c r="R23" i="18"/>
  <c r="O11" i="20"/>
  <c r="Q14" i="20"/>
  <c r="Q3" i="20"/>
  <c r="Q22" i="20" s="1"/>
  <c r="C19" i="20"/>
  <c r="E14" i="18"/>
  <c r="M14" i="18"/>
  <c r="E19" i="18"/>
  <c r="U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R212" i="3" s="1"/>
  <c r="M24" i="19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N10" i="20"/>
  <c r="V18" i="20"/>
  <c r="V14" i="20"/>
  <c r="H19" i="20"/>
  <c r="H15" i="20"/>
  <c r="P19" i="20"/>
  <c r="P15" i="20"/>
  <c r="S14" i="20"/>
  <c r="T15" i="20"/>
  <c r="Q18" i="20"/>
  <c r="R19" i="20"/>
  <c r="R25" i="19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G18" i="18"/>
  <c r="U15" i="18"/>
  <c r="R21" i="19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V22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R3" i="20"/>
  <c r="U18" i="18" l="1"/>
  <c r="U24" i="19"/>
  <c r="E17" i="18"/>
  <c r="F19" i="18"/>
  <c r="F18" i="18"/>
  <c r="T22" i="18"/>
  <c r="T23" i="18"/>
  <c r="W23" i="20"/>
  <c r="L23" i="18"/>
  <c r="I21" i="18"/>
  <c r="T24" i="19"/>
  <c r="R22" i="18"/>
  <c r="I213" i="3"/>
  <c r="N23" i="18"/>
  <c r="N22" i="18"/>
  <c r="K23" i="18"/>
  <c r="N13" i="20"/>
  <c r="N20" i="19"/>
  <c r="N24" i="19"/>
  <c r="J21" i="19"/>
  <c r="P10" i="20"/>
  <c r="M23" i="18"/>
  <c r="S22" i="18"/>
  <c r="G25" i="19"/>
  <c r="I22" i="18"/>
  <c r="H3" i="19"/>
  <c r="H27" i="19" s="1"/>
  <c r="Q21" i="19"/>
  <c r="M22" i="18"/>
  <c r="G23" i="20"/>
  <c r="M22" i="20"/>
  <c r="F89" i="3"/>
  <c r="F181" i="3" s="1"/>
  <c r="E23" i="20"/>
  <c r="E17" i="20"/>
  <c r="D22" i="20"/>
  <c r="D21" i="20"/>
  <c r="E21" i="20"/>
  <c r="M23" i="20"/>
  <c r="O21" i="19"/>
  <c r="W24" i="19"/>
  <c r="H11" i="20"/>
  <c r="Q10" i="20"/>
  <c r="Q25" i="19"/>
  <c r="J11" i="20"/>
  <c r="H20" i="19"/>
  <c r="Q24" i="19"/>
  <c r="E22" i="18"/>
  <c r="E23" i="18"/>
  <c r="E13" i="20"/>
  <c r="E13" i="18"/>
  <c r="W17" i="20"/>
  <c r="G24" i="19"/>
  <c r="P24" i="19"/>
  <c r="L21" i="20"/>
  <c r="K20" i="19"/>
  <c r="Q11" i="20"/>
  <c r="N29" i="3"/>
  <c r="N241" i="3" s="1"/>
  <c r="T20" i="19"/>
  <c r="L10" i="20"/>
  <c r="U29" i="3"/>
  <c r="U121" i="3" s="1"/>
  <c r="R242" i="3"/>
  <c r="W3" i="19"/>
  <c r="W28" i="19" s="1"/>
  <c r="S10" i="20"/>
  <c r="W10" i="20"/>
  <c r="S23" i="18"/>
  <c r="L20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7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T241" i="3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R122" i="3"/>
  <c r="R121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W27" i="19"/>
  <c r="F21" i="19"/>
  <c r="F11" i="20"/>
  <c r="F25" i="19"/>
  <c r="W23" i="18"/>
  <c r="K21" i="20"/>
  <c r="K17" i="20"/>
  <c r="K13" i="20"/>
  <c r="T25" i="19"/>
  <c r="T21" i="19"/>
  <c r="W29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H23" i="19" l="1"/>
  <c r="E27" i="19"/>
  <c r="H29" i="19"/>
  <c r="H19" i="19"/>
  <c r="H9" i="20"/>
  <c r="F183" i="3"/>
  <c r="P9" i="20"/>
  <c r="N121" i="3"/>
  <c r="F182" i="3"/>
  <c r="P121" i="3"/>
  <c r="N123" i="3"/>
  <c r="P122" i="3"/>
  <c r="N122" i="3"/>
  <c r="Q23" i="19"/>
  <c r="D123" i="3"/>
  <c r="N9" i="20"/>
  <c r="U182" i="3"/>
  <c r="M182" i="3"/>
  <c r="G28" i="19"/>
  <c r="E28" i="19"/>
  <c r="T123" i="3"/>
  <c r="Q122" i="3"/>
  <c r="Q241" i="3"/>
  <c r="L121" i="3"/>
  <c r="Q123" i="3"/>
  <c r="M28" i="19"/>
  <c r="M29" i="19"/>
  <c r="W19" i="19"/>
  <c r="N19" i="19"/>
  <c r="F152" i="3"/>
  <c r="G27" i="19"/>
  <c r="W23" i="19"/>
  <c r="N27" i="19"/>
  <c r="F153" i="3"/>
  <c r="U123" i="3"/>
  <c r="U122" i="3"/>
  <c r="P27" i="19"/>
  <c r="E23" i="19"/>
  <c r="F241" i="3"/>
  <c r="M19" i="19"/>
  <c r="M23" i="19"/>
  <c r="K183" i="3"/>
  <c r="M9" i="20"/>
  <c r="N29" i="19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V11" i="10" l="1"/>
  <c r="V9" i="10" s="1"/>
  <c r="P17" i="9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N10" i="5"/>
  <c r="M10" i="5"/>
  <c r="F10" i="5"/>
  <c r="E10" i="5"/>
  <c r="I10" i="5" l="1"/>
  <c r="B10" i="5"/>
  <c r="J10" i="5"/>
  <c r="R10" i="5"/>
  <c r="Q10" i="5"/>
  <c r="C10" i="5"/>
  <c r="K10" i="5"/>
  <c r="S10" i="5"/>
  <c r="D10" i="5"/>
  <c r="L10" i="5"/>
  <c r="T10" i="5"/>
  <c r="G10" i="5"/>
  <c r="O10" i="5"/>
  <c r="W10" i="5"/>
  <c r="H10" i="5"/>
  <c r="P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22" i="13" l="1"/>
  <c r="W85" i="4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Q75" i="7" l="1"/>
  <c r="F84" i="4"/>
  <c r="R60" i="7"/>
  <c r="N84" i="4"/>
  <c r="Q84" i="4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Q59" i="7" s="1"/>
  <c r="G60" i="7"/>
  <c r="I75" i="7"/>
  <c r="V60" i="7"/>
  <c r="W23" i="9"/>
  <c r="W26" i="10"/>
  <c r="W232" i="3"/>
  <c r="R100" i="4"/>
  <c r="R31" i="4"/>
  <c r="R255" i="4" s="1"/>
  <c r="T4" i="6"/>
  <c r="J100" i="4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2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7" i="7" s="1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O184" i="4" s="1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Q16" i="4"/>
  <c r="Q207" i="4" s="1"/>
  <c r="D17" i="4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131" i="6" s="1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L31" i="4" s="1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E47" i="7" s="1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U198" i="4" s="1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112" i="4" s="1"/>
  <c r="V31" i="7" s="1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218" i="4" s="1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F57" i="6" s="1"/>
  <c r="F199" i="7" s="1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G77" i="6" s="1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77" i="6" s="1"/>
  <c r="I132" i="6"/>
  <c r="R40" i="6"/>
  <c r="R77" i="6" s="1"/>
  <c r="R219" i="7" s="1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D99" i="6" s="1"/>
  <c r="M21" i="4"/>
  <c r="M212" i="4" s="1"/>
  <c r="Q22" i="4"/>
  <c r="Q106" i="5" s="1"/>
  <c r="D23" i="4"/>
  <c r="D214" i="4" s="1"/>
  <c r="M23" i="4"/>
  <c r="M214" i="4" s="1"/>
  <c r="Q24" i="4"/>
  <c r="Q215" i="4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M71" i="6" s="1"/>
  <c r="M213" i="7" s="1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59" i="4"/>
  <c r="F170" i="4"/>
  <c r="F251" i="4"/>
  <c r="P170" i="4"/>
  <c r="P57" i="6"/>
  <c r="P199" i="7" s="1"/>
  <c r="F177" i="4"/>
  <c r="F258" i="4"/>
  <c r="R177" i="4"/>
  <c r="R70" i="5"/>
  <c r="O46" i="4"/>
  <c r="O265" i="4" s="1"/>
  <c r="O71" i="6"/>
  <c r="O77" i="5"/>
  <c r="P190" i="4"/>
  <c r="P83" i="5"/>
  <c r="P138" i="7" s="1"/>
  <c r="K112" i="4"/>
  <c r="N127" i="4"/>
  <c r="N46" i="7" s="1"/>
  <c r="N47" i="7"/>
  <c r="P106" i="5"/>
  <c r="G216" i="4"/>
  <c r="G103" i="6"/>
  <c r="G109" i="5"/>
  <c r="Q63" i="5"/>
  <c r="Q118" i="7" s="1"/>
  <c r="Q205" i="4"/>
  <c r="Q92" i="6"/>
  <c r="Q98" i="5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57" i="6"/>
  <c r="R199" i="7" s="1"/>
  <c r="R63" i="5"/>
  <c r="R118" i="7" s="1"/>
  <c r="J70" i="5"/>
  <c r="T177" i="4"/>
  <c r="T64" i="6"/>
  <c r="T206" i="7" s="1"/>
  <c r="P31" i="4"/>
  <c r="P64" i="6"/>
  <c r="P70" i="5"/>
  <c r="G46" i="4"/>
  <c r="G271" i="4" s="1"/>
  <c r="G184" i="4"/>
  <c r="Q184" i="4"/>
  <c r="R190" i="4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83" i="5"/>
  <c r="B138" i="7" s="1"/>
  <c r="K177" i="4"/>
  <c r="K64" i="6"/>
  <c r="K206" i="7" s="1"/>
  <c r="K70" i="5"/>
  <c r="K125" i="7" s="1"/>
  <c r="H184" i="4"/>
  <c r="H77" i="5"/>
  <c r="H132" i="7" s="1"/>
  <c r="R184" i="4"/>
  <c r="R77" i="5"/>
  <c r="R132" i="7" s="1"/>
  <c r="G83" i="5"/>
  <c r="V190" i="4"/>
  <c r="V77" i="6"/>
  <c r="V219" i="7" s="1"/>
  <c r="N112" i="4"/>
  <c r="N31" i="7" s="1"/>
  <c r="N40" i="7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254" i="4"/>
  <c r="J251" i="4"/>
  <c r="V63" i="5"/>
  <c r="J98" i="5"/>
  <c r="N273" i="4"/>
  <c r="N269" i="4"/>
  <c r="N267" i="4"/>
  <c r="N272" i="4"/>
  <c r="N270" i="4"/>
  <c r="N268" i="4"/>
  <c r="N266" i="4"/>
  <c r="N264" i="4"/>
  <c r="I184" i="4"/>
  <c r="U184" i="4"/>
  <c r="I83" i="5"/>
  <c r="C111" i="5"/>
  <c r="O106" i="6"/>
  <c r="O112" i="5"/>
  <c r="F58" i="4"/>
  <c r="F13" i="7"/>
  <c r="V73" i="4"/>
  <c r="V19" i="7" s="1"/>
  <c r="V20" i="7"/>
  <c r="B85" i="4"/>
  <c r="B100" i="4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85" i="6"/>
  <c r="U91" i="5"/>
  <c r="H199" i="4"/>
  <c r="H86" i="6"/>
  <c r="M200" i="4"/>
  <c r="U202" i="4"/>
  <c r="U89" i="6"/>
  <c r="U95" i="5"/>
  <c r="Q203" i="4"/>
  <c r="Q90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O47" i="7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M184" i="4"/>
  <c r="M77" i="5"/>
  <c r="M132" i="7" s="1"/>
  <c r="S212" i="4"/>
  <c r="S99" i="6"/>
  <c r="S105" i="5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D73" i="4"/>
  <c r="D26" i="7"/>
  <c r="M73" i="4"/>
  <c r="M26" i="7"/>
  <c r="U73" i="4"/>
  <c r="J127" i="4"/>
  <c r="J46" i="7" s="1"/>
  <c r="J47" i="7"/>
  <c r="I199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64" i="6"/>
  <c r="E206" i="7" s="1"/>
  <c r="E70" i="5"/>
  <c r="E125" i="7" s="1"/>
  <c r="E258" i="4"/>
  <c r="Q177" i="4"/>
  <c r="Q64" i="6"/>
  <c r="Q206" i="7" s="1"/>
  <c r="Q70" i="5"/>
  <c r="Q125" i="7" s="1"/>
  <c r="V46" i="4"/>
  <c r="N71" i="6"/>
  <c r="N265" i="4"/>
  <c r="N77" i="5"/>
  <c r="O77" i="6"/>
  <c r="O83" i="5"/>
  <c r="I13" i="7"/>
  <c r="R58" i="4"/>
  <c r="R13" i="7"/>
  <c r="R73" i="4"/>
  <c r="R19" i="7" s="1"/>
  <c r="R20" i="7"/>
  <c r="G112" i="4"/>
  <c r="M47" i="7"/>
  <c r="E252" i="4"/>
  <c r="O109" i="5"/>
  <c r="V83" i="6"/>
  <c r="M216" i="4"/>
  <c r="T42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C100" i="4"/>
  <c r="E58" i="4"/>
  <c r="E168" i="4" s="1"/>
  <c r="B73" i="4"/>
  <c r="B19" i="7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R127" i="4" l="1"/>
  <c r="R46" i="7" s="1"/>
  <c r="M105" i="5"/>
  <c r="Q170" i="4"/>
  <c r="B132" i="7"/>
  <c r="M99" i="6"/>
  <c r="C58" i="4"/>
  <c r="C4" i="7" s="1"/>
  <c r="J112" i="4"/>
  <c r="V40" i="7"/>
  <c r="Q100" i="6"/>
  <c r="B213" i="7"/>
  <c r="R59" i="7"/>
  <c r="Q213" i="4"/>
  <c r="G77" i="5"/>
  <c r="G132" i="7" s="1"/>
  <c r="F125" i="7"/>
  <c r="Q117" i="5"/>
  <c r="Q108" i="5"/>
  <c r="E96" i="6"/>
  <c r="Q102" i="6"/>
  <c r="E184" i="4"/>
  <c r="U250" i="4"/>
  <c r="E47" i="6"/>
  <c r="T73" i="4"/>
  <c r="V257" i="4"/>
  <c r="Q26" i="4"/>
  <c r="D212" i="4"/>
  <c r="R256" i="4"/>
  <c r="O271" i="4"/>
  <c r="M83" i="6"/>
  <c r="S26" i="4"/>
  <c r="R257" i="4"/>
  <c r="T184" i="4"/>
  <c r="S125" i="7"/>
  <c r="R249" i="4"/>
  <c r="R261" i="4"/>
  <c r="Q106" i="6"/>
  <c r="R258" i="4"/>
  <c r="R263" i="4"/>
  <c r="Q219" i="4"/>
  <c r="R250" i="4"/>
  <c r="R260" i="4"/>
  <c r="J77" i="6"/>
  <c r="J219" i="7" s="1"/>
  <c r="R253" i="4"/>
  <c r="D105" i="5"/>
  <c r="R252" i="4"/>
  <c r="R262" i="4"/>
  <c r="G59" i="7"/>
  <c r="I58" i="4"/>
  <c r="I4" i="7" s="1"/>
  <c r="R254" i="4"/>
  <c r="U125" i="7"/>
  <c r="N18" i="5"/>
  <c r="U263" i="4"/>
  <c r="E209" i="4"/>
  <c r="R266" i="4"/>
  <c r="I138" i="7"/>
  <c r="M58" i="4"/>
  <c r="M4" i="7" s="1"/>
  <c r="R268" i="4"/>
  <c r="S101" i="5"/>
  <c r="U63" i="5"/>
  <c r="U118" i="7" s="1"/>
  <c r="I59" i="7"/>
  <c r="S95" i="6"/>
  <c r="H199" i="7"/>
  <c r="N250" i="4"/>
  <c r="O132" i="7"/>
  <c r="V252" i="4"/>
  <c r="H118" i="7"/>
  <c r="R270" i="4"/>
  <c r="S111" i="5"/>
  <c r="H58" i="4"/>
  <c r="S105" i="6"/>
  <c r="O213" i="7"/>
  <c r="V250" i="4"/>
  <c r="O125" i="6"/>
  <c r="M199" i="7"/>
  <c r="S112" i="4"/>
  <c r="U256" i="4"/>
  <c r="O20" i="7"/>
  <c r="V251" i="4"/>
  <c r="U170" i="4"/>
  <c r="V262" i="4"/>
  <c r="U59" i="7"/>
  <c r="T213" i="7"/>
  <c r="M13" i="4"/>
  <c r="K184" i="4"/>
  <c r="B57" i="6"/>
  <c r="B199" i="7" s="1"/>
  <c r="P71" i="6"/>
  <c r="P213" i="7" s="1"/>
  <c r="O6" i="4"/>
  <c r="S42" i="5"/>
  <c r="W231" i="4"/>
  <c r="Q91" i="5"/>
  <c r="M196" i="4"/>
  <c r="U20" i="4"/>
  <c r="U98" i="6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91" i="6" s="1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97" i="5" s="1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K97" i="5" s="1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150" i="4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B118" i="7"/>
  <c r="F95" i="6"/>
  <c r="N92" i="6"/>
  <c r="M107" i="5"/>
  <c r="U262" i="4"/>
  <c r="U87" i="6"/>
  <c r="C170" i="4"/>
  <c r="D106" i="5"/>
  <c r="I31" i="4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97" i="4" s="1"/>
  <c r="B6" i="4"/>
  <c r="B143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43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111" i="4" s="1"/>
  <c r="F30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H251" i="4"/>
  <c r="T75" i="7"/>
  <c r="T59" i="7" s="1"/>
  <c r="R111" i="6"/>
  <c r="R33" i="6"/>
  <c r="R17" i="6" s="1"/>
  <c r="R136" i="6" s="1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76" i="5" s="1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E76" i="5" s="1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91" i="6"/>
  <c r="D97" i="5"/>
  <c r="M204" i="4"/>
  <c r="M91" i="6"/>
  <c r="M97" i="5"/>
  <c r="U211" i="4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J4" i="7"/>
  <c r="G209" i="4"/>
  <c r="G96" i="6"/>
  <c r="G102" i="5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19" i="7"/>
  <c r="D163" i="4"/>
  <c r="D217" i="4"/>
  <c r="D104" i="6"/>
  <c r="D110" i="5"/>
  <c r="J150" i="4"/>
  <c r="J204" i="4"/>
  <c r="T31" i="7"/>
  <c r="P20" i="4"/>
  <c r="P157" i="4" s="1"/>
  <c r="P215" i="4"/>
  <c r="P102" i="6"/>
  <c r="P108" i="5"/>
  <c r="S143" i="4"/>
  <c r="S197" i="4"/>
  <c r="S84" i="6"/>
  <c r="S90" i="5"/>
  <c r="O4" i="7"/>
  <c r="S4" i="4"/>
  <c r="S223" i="4" s="1"/>
  <c r="F204" i="4"/>
  <c r="J163" i="4"/>
  <c r="J217" i="4"/>
  <c r="J104" i="6"/>
  <c r="J110" i="5"/>
  <c r="B177" i="4"/>
  <c r="B64" i="6"/>
  <c r="B206" i="7" s="1"/>
  <c r="B70" i="5"/>
  <c r="B125" i="7" s="1"/>
  <c r="I90" i="5"/>
  <c r="R150" i="4"/>
  <c r="R204" i="4"/>
  <c r="R91" i="6"/>
  <c r="R97" i="5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30" i="4"/>
  <c r="E70" i="6"/>
  <c r="E269" i="4"/>
  <c r="E270" i="4"/>
  <c r="E268" i="4"/>
  <c r="E266" i="4"/>
  <c r="E264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K143" i="4"/>
  <c r="B20" i="4"/>
  <c r="B213" i="4"/>
  <c r="B100" i="6"/>
  <c r="B106" i="5"/>
  <c r="H20" i="4"/>
  <c r="H157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198" i="4"/>
  <c r="D85" i="6"/>
  <c r="D91" i="5"/>
  <c r="K91" i="6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91" i="6"/>
  <c r="G199" i="4"/>
  <c r="G86" i="6"/>
  <c r="G92" i="5"/>
  <c r="Q143" i="4"/>
  <c r="Q197" i="4"/>
  <c r="Q84" i="6"/>
  <c r="Q90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C6" i="4"/>
  <c r="T20" i="4"/>
  <c r="R4" i="4"/>
  <c r="R143" i="4"/>
  <c r="B4" i="4"/>
  <c r="B231" i="4" s="1"/>
  <c r="P13" i="4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C46" i="4"/>
  <c r="C271" i="4" s="1"/>
  <c r="R19" i="4"/>
  <c r="R244" i="4" s="1"/>
  <c r="I19" i="4"/>
  <c r="I244" i="4" s="1"/>
  <c r="D4" i="4"/>
  <c r="D225" i="4" s="1"/>
  <c r="E19" i="4"/>
  <c r="E238" i="4" s="1"/>
  <c r="E272" i="4" l="1"/>
  <c r="O57" i="4"/>
  <c r="O3" i="7" s="1"/>
  <c r="N204" i="4"/>
  <c r="H19" i="4"/>
  <c r="H242" i="4" s="1"/>
  <c r="K90" i="5"/>
  <c r="E267" i="4"/>
  <c r="G98" i="6"/>
  <c r="K84" i="6"/>
  <c r="J97" i="5"/>
  <c r="E273" i="4"/>
  <c r="H61" i="5"/>
  <c r="E84" i="6"/>
  <c r="E197" i="4"/>
  <c r="E90" i="5"/>
  <c r="M57" i="4"/>
  <c r="M3" i="7" s="1"/>
  <c r="I168" i="4"/>
  <c r="E4" i="4"/>
  <c r="C258" i="4"/>
  <c r="N57" i="4"/>
  <c r="N3" i="7" s="1"/>
  <c r="F31" i="7"/>
  <c r="U104" i="5"/>
  <c r="D204" i="4"/>
  <c r="S204" i="4"/>
  <c r="K204" i="4"/>
  <c r="J57" i="4"/>
  <c r="J3" i="7" s="1"/>
  <c r="S150" i="4"/>
  <c r="K150" i="4"/>
  <c r="B90" i="5"/>
  <c r="B84" i="6"/>
  <c r="B197" i="4"/>
  <c r="S231" i="4"/>
  <c r="K4" i="4"/>
  <c r="K223" i="4" s="1"/>
  <c r="J183" i="4"/>
  <c r="H57" i="4"/>
  <c r="H3" i="7" s="1"/>
  <c r="C111" i="4"/>
  <c r="C30" i="7" s="1"/>
  <c r="D57" i="4"/>
  <c r="D3" i="7" s="1"/>
  <c r="I84" i="6"/>
  <c r="B110" i="5"/>
  <c r="I197" i="4"/>
  <c r="B104" i="6"/>
  <c r="B164" i="5"/>
  <c r="B217" i="4"/>
  <c r="S17" i="5"/>
  <c r="S146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167" i="4" s="1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37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41" i="6"/>
  <c r="H146" i="6"/>
  <c r="H154" i="6"/>
  <c r="H148" i="6"/>
  <c r="H159" i="6"/>
  <c r="H156" i="6"/>
  <c r="H147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55" i="5"/>
  <c r="J161" i="5"/>
  <c r="K17" i="6"/>
  <c r="K151" i="6" s="1"/>
  <c r="H136" i="6"/>
  <c r="N17" i="6"/>
  <c r="N136" i="6" s="1"/>
  <c r="N55" i="6"/>
  <c r="T57" i="4"/>
  <c r="T3" i="7" s="1"/>
  <c r="H158" i="6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95" i="4"/>
  <c r="N82" i="6"/>
  <c r="N88" i="5"/>
  <c r="N234" i="4"/>
  <c r="N222" i="4"/>
  <c r="N230" i="4"/>
  <c r="N226" i="4"/>
  <c r="N223" i="4"/>
  <c r="N235" i="4"/>
  <c r="N233" i="4"/>
  <c r="N232" i="4"/>
  <c r="N229" i="4"/>
  <c r="N227" i="4"/>
  <c r="N236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54" i="6"/>
  <c r="H240" i="4"/>
  <c r="H239" i="4"/>
  <c r="P163" i="4"/>
  <c r="P217" i="4"/>
  <c r="P104" i="6"/>
  <c r="P110" i="5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60" i="5"/>
  <c r="H244" i="4"/>
  <c r="V238" i="4"/>
  <c r="K211" i="4"/>
  <c r="K98" i="6"/>
  <c r="K104" i="5"/>
  <c r="G54" i="6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J148" i="5" l="1"/>
  <c r="J144" i="5"/>
  <c r="G222" i="4"/>
  <c r="J146" i="5"/>
  <c r="G224" i="4"/>
  <c r="G88" i="5"/>
  <c r="J142" i="5"/>
  <c r="J141" i="5"/>
  <c r="J159" i="5"/>
  <c r="J153" i="5"/>
  <c r="M167" i="4"/>
  <c r="J152" i="5"/>
  <c r="S141" i="5"/>
  <c r="S160" i="5"/>
  <c r="S154" i="5"/>
  <c r="M239" i="4"/>
  <c r="M156" i="4"/>
  <c r="H142" i="6"/>
  <c r="H145" i="6"/>
  <c r="S151" i="5"/>
  <c r="Q167" i="4"/>
  <c r="S158" i="5"/>
  <c r="H149" i="6"/>
  <c r="S163" i="5"/>
  <c r="N167" i="4"/>
  <c r="S153" i="5"/>
  <c r="P103" i="5"/>
  <c r="H151" i="6"/>
  <c r="H139" i="6"/>
  <c r="H135" i="6"/>
  <c r="S147" i="5"/>
  <c r="S159" i="5"/>
  <c r="P246" i="4"/>
  <c r="G228" i="4"/>
  <c r="N228" i="4"/>
  <c r="N225" i="4"/>
  <c r="N141" i="4"/>
  <c r="H140" i="6"/>
  <c r="S155" i="5"/>
  <c r="S162" i="5"/>
  <c r="U60" i="5"/>
  <c r="J167" i="4"/>
  <c r="S156" i="5"/>
  <c r="S150" i="5"/>
  <c r="S142" i="5"/>
  <c r="S149" i="5"/>
  <c r="S145" i="5"/>
  <c r="V147" i="5"/>
  <c r="S143" i="5"/>
  <c r="S166" i="5"/>
  <c r="S164" i="5"/>
  <c r="S152" i="5"/>
  <c r="S144" i="5"/>
  <c r="S161" i="5"/>
  <c r="S148" i="5"/>
  <c r="S157" i="5"/>
  <c r="S165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33" i="6" s="1"/>
  <c r="L40" i="6"/>
  <c r="L82" i="7"/>
  <c r="L62" i="7"/>
  <c r="L76" i="7"/>
  <c r="L69" i="7"/>
  <c r="L60" i="7" s="1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42" i="5" l="1"/>
  <c r="L137" i="5"/>
  <c r="L217" i="4"/>
  <c r="L111" i="6"/>
  <c r="L131" i="6"/>
  <c r="L18" i="5"/>
  <c r="L17" i="5" s="1"/>
  <c r="L144" i="5" s="1"/>
  <c r="L18" i="6"/>
  <c r="L17" i="6" s="1"/>
  <c r="L151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6" i="4"/>
  <c r="L271" i="4"/>
  <c r="L163" i="4"/>
  <c r="L55" i="6" l="1"/>
  <c r="L57" i="4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G26" i="8" l="1"/>
  <c r="G25" i="8" s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O14" i="8" l="1"/>
  <c r="O26" i="10" s="1"/>
  <c r="O61" i="8"/>
  <c r="G61" i="8"/>
  <c r="E36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S80" i="8"/>
  <c r="N80" i="8"/>
  <c r="R79" i="8"/>
  <c r="K79" i="8"/>
  <c r="V77" i="8"/>
  <c r="O77" i="8"/>
  <c r="N77" i="8"/>
  <c r="S76" i="8"/>
  <c r="R76" i="8"/>
  <c r="V75" i="8"/>
  <c r="N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V8" i="3"/>
  <c r="U8" i="3"/>
  <c r="T8" i="3"/>
  <c r="S8" i="3"/>
  <c r="R8" i="3"/>
  <c r="R220" i="3" s="1"/>
  <c r="V7" i="3"/>
  <c r="U7" i="3"/>
  <c r="T7" i="3"/>
  <c r="S7" i="3"/>
  <c r="R7" i="3"/>
  <c r="V6" i="3"/>
  <c r="U6" i="3"/>
  <c r="T6" i="3"/>
  <c r="T218" i="3" s="1"/>
  <c r="S6" i="3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M6" i="3"/>
  <c r="L6" i="3"/>
  <c r="K6" i="3"/>
  <c r="J6" i="3"/>
  <c r="I6" i="3"/>
  <c r="H6" i="3"/>
  <c r="G6" i="3"/>
  <c r="G218" i="3" s="1"/>
  <c r="F6" i="3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8" i="1"/>
  <c r="B20" i="1"/>
  <c r="B22" i="1"/>
  <c r="B6" i="1"/>
  <c r="B12" i="1"/>
  <c r="B11" i="1"/>
  <c r="B7" i="1"/>
  <c r="B13" i="1"/>
  <c r="B15" i="1"/>
  <c r="B4" i="1"/>
  <c r="B16" i="1"/>
  <c r="B8" i="1"/>
  <c r="B9" i="1"/>
  <c r="B17" i="1"/>
  <c r="B21" i="1"/>
  <c r="S218" i="3" l="1"/>
  <c r="V219" i="3"/>
  <c r="T222" i="3"/>
  <c r="T232" i="3"/>
  <c r="F218" i="3"/>
  <c r="N218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O202" i="3" s="1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E221" i="3" l="1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P67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2" i="3"/>
  <c r="V128" i="3"/>
  <c r="V134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D234" i="3" l="1"/>
  <c r="V131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50" i="3"/>
  <c r="I149" i="3"/>
  <c r="I146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0" i="3" l="1"/>
  <c r="C234" i="3"/>
  <c r="I143" i="3"/>
  <c r="I199" i="3"/>
  <c r="I142" i="3"/>
  <c r="I144" i="3"/>
  <c r="I141" i="3"/>
  <c r="I145" i="3"/>
  <c r="I139" i="3"/>
  <c r="I148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R139" i="3" l="1"/>
  <c r="B64" i="3"/>
  <c r="B168" i="3" s="1"/>
  <c r="B53" i="12"/>
  <c r="S47" i="3"/>
  <c r="S147" i="3" s="1"/>
  <c r="R144" i="3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<sst xmlns="http://schemas.openxmlformats.org/spreadsheetml/2006/main" count="2655" uniqueCount="1167">
  <si>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</si>
  <si>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</si>
  <si>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</si>
  <si>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</si>
  <si>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</si>
  <si>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</si>
  <si>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</si>
  <si>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</si>
  <si>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</si>
  <si>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</si>
  <si>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</si>
  <si>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</si>
  <si>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</si>
  <si>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</si>
  <si>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</si>
  <si>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</si>
  <si>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</si>
  <si>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</si>
  <si>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</si>
  <si>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</si>
  <si>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</si>
  <si>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</si>
  <si>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</si>
  <si>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</si>
  <si>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</si>
  <si>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</si>
  <si>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</si>
  <si>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</si>
  <si>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</si>
  <si>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</si>
  <si>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</si>
  <si>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</si>
  <si>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</si>
  <si>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</si>
  <si>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</si>
  <si>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</si>
  <si>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</si>
  <si>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</si>
  <si>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</si>
  <si>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</si>
  <si>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</si>
  <si>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</si>
  <si>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</si>
  <si>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</si>
  <si>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</si>
  <si>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</si>
  <si>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</si>
  <si>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</si>
  <si>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</si>
  <si>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</si>
  <si>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</si>
  <si>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</si>
  <si>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</si>
  <si>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</si>
  <si>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</si>
  <si>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</si>
  <si>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</si>
  <si>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</si>
  <si>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</si>
  <si>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</si>
  <si>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</si>
  <si>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</si>
  <si>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</si>
  <si>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</si>
  <si>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</si>
  <si>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</si>
  <si>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</si>
  <si>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</si>
  <si>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</si>
  <si>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</si>
  <si>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</si>
  <si>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</si>
  <si>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</si>
  <si>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</si>
  <si>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</si>
  <si>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</si>
  <si>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</si>
  <si>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</si>
  <si>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</si>
  <si>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</si>
  <si>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</si>
  <si>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</si>
  <si>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</si>
  <si>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</si>
  <si>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</si>
  <si>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</si>
  <si>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</si>
  <si>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</si>
  <si>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</si>
  <si>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</si>
  <si>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</si>
  <si>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</si>
  <si>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</si>
  <si>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</si>
  <si>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</si>
  <si>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</si>
  <si>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</si>
  <si>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</si>
  <si>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</si>
  <si>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</si>
  <si>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</si>
  <si>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</si>
  <si>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</si>
  <si>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</si>
  <si>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</si>
  <si>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</si>
  <si>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</si>
  <si>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</si>
  <si>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</si>
  <si>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</si>
  <si>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</si>
  <si>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</si>
  <si>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</si>
  <si>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</si>
  <si>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</si>
  <si>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</si>
  <si>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</si>
  <si>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</si>
  <si>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</si>
  <si>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</si>
  <si>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</si>
  <si>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</si>
  <si>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</si>
  <si>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</si>
  <si>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</si>
  <si>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</si>
  <si>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</si>
  <si>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</si>
  <si>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</si>
  <si>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</si>
  <si>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</si>
  <si>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</si>
  <si>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</si>
  <si>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</si>
  <si>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</si>
  <si>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</si>
  <si>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</si>
  <si>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</si>
  <si>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</si>
  <si>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</si>
  <si>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</si>
  <si>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</si>
  <si>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</si>
  <si>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</si>
  <si>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</si>
  <si>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</si>
  <si>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</si>
  <si>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</si>
  <si>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</si>
  <si>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</si>
  <si>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</si>
  <si>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</si>
  <si>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</si>
  <si>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</si>
  <si>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</si>
  <si>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</si>
  <si>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</si>
  <si>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</si>
  <si>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</si>
  <si>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</si>
  <si>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</si>
  <si>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</si>
  <si>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</si>
  <si>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</si>
  <si>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</si>
  <si>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</si>
  <si>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</si>
  <si>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</si>
  <si>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</si>
  <si>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</si>
  <si>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</si>
  <si>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</si>
  <si>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</si>
  <si>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</si>
  <si>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</si>
  <si>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</si>
  <si>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</si>
  <si>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</si>
  <si>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</si>
  <si>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</si>
  <si>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</si>
  <si>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</si>
  <si>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</si>
  <si>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</si>
  <si>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</si>
  <si>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</si>
  <si>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ES</t>
  </si>
  <si>
    <t>Spain</t>
  </si>
  <si>
    <t>Aviation - ES - Spain</t>
  </si>
  <si>
    <t>Activity.Mpkm.ES.Tr.Avia.Passenger</t>
  </si>
  <si>
    <t>Activity.Mpkm.ES.Tr.Avia.Passenger.Domestic</t>
  </si>
  <si>
    <t>Activity.Mpkm.ES.Tr.Avia.Passenger.IntraEEAwUK</t>
  </si>
  <si>
    <t>Activity.Mpkm.ES.Tr.Avia.Passenger.ExtraEEAwUK</t>
  </si>
  <si>
    <t>Activity.Mtkm.ES.Tr.Avia.Freight</t>
  </si>
  <si>
    <t>Activity.Mtkm.ES.Tr.Avia.Freight.Domestic</t>
  </si>
  <si>
    <t>Activity.Mtkm.ES.Tr.Avia.Freight.IntraEEAwUK</t>
  </si>
  <si>
    <t>Activity.Mtkm.ES.Tr.Avia.Freight.ExtraEEAwUK</t>
  </si>
  <si>
    <t>VehicleKm.Mkm.ES.Tr.Avia</t>
  </si>
  <si>
    <t>VehicleKm.Mkm.ES.Tr.Avia.Passenger</t>
  </si>
  <si>
    <t>VehicleKm.Mkm.ES.Tr.Avia.Passenger.Domestic</t>
  </si>
  <si>
    <t>VehicleKm.Mkm.ES.Tr.Avia.Passenger.IntraEEAwUK</t>
  </si>
  <si>
    <t>VehicleKm.Mkm.ES.Tr.Avia.Passenger.ExtraEEAwUK</t>
  </si>
  <si>
    <t>VehicleKm.Mkm.ES.Tr.Avia.Freight</t>
  </si>
  <si>
    <t>VehicleKm.Mkm.ES.Tr.Avia.Freight.Domestic</t>
  </si>
  <si>
    <t>VehicleKm.Mkm.ES.Tr.Avia.Freight.IntraEEAwUK</t>
  </si>
  <si>
    <t>VehicleKm.Mkm.ES.Tr.Avia.Freight.ExtraEEAwUK</t>
  </si>
  <si>
    <t>Flights.number.ES.Tr.Avia</t>
  </si>
  <si>
    <t>Flights.number.ES.Tr.Avia.Passenger</t>
  </si>
  <si>
    <t>Flights.number.ES.Tr.Avia.Passenger.Domestic</t>
  </si>
  <si>
    <t>Flights.number.ES.Tr.Avia.Passenger.IntraEEAwUK</t>
  </si>
  <si>
    <t>Flights.number.ES.Tr.Avia.Passenger.ExtraEEAwUK</t>
  </si>
  <si>
    <t>Flights.number.ES.Tr.Avia.Freight</t>
  </si>
  <si>
    <t>Flights.number.ES.Tr.Avia.Freight.Domestic</t>
  </si>
  <si>
    <t>Flights.number.ES.Tr.Avia.Freight.IntraEEAwUK</t>
  </si>
  <si>
    <t>Flights.number.ES.Tr.Avia.Freight.ExtraEEAwUK</t>
  </si>
  <si>
    <t>VolCarried.passenger.ES.Tr.Avia.Passenger</t>
  </si>
  <si>
    <t>VolCarried.passenger.ES.Tr.Avia.Passenger.Domestic</t>
  </si>
  <si>
    <t>VolCarried.passenger.ES.Tr.Avia.Passenger.IntraEEAwUK</t>
  </si>
  <si>
    <t>VolCarried.passenger.ES.Tr.Avia.Passenger.ExtraEEAwUK</t>
  </si>
  <si>
    <t>VolCarried.t.ES.Tr.Avia.Freight</t>
  </si>
  <si>
    <t>VolCarried.t.ES.Tr.Avia.Freight.Domestic</t>
  </si>
  <si>
    <t>VolCarried.t.ES.Tr.Avia.Freight.IntraEEAwUK</t>
  </si>
  <si>
    <t>VolCarried.t.ES.Tr.Avia.Freight.ExtraEEAwUK</t>
  </si>
  <si>
    <t>Stock.number.ES.Tr.Avia</t>
  </si>
  <si>
    <t>Stock.number.ES.Tr.Avia.Passenger</t>
  </si>
  <si>
    <t>Stock.number.ES.Tr.Avia.Passenger.Domestic</t>
  </si>
  <si>
    <t>Stock.number.ES.Tr.Avia.Passenger.IntraEEAwUK</t>
  </si>
  <si>
    <t>Stock.number.ES.Tr.Avia.Passenger.ExtraEEAwUK</t>
  </si>
  <si>
    <t>Stock.number.ES.Tr.Avia.Freight</t>
  </si>
  <si>
    <t>Stock.number.ES.Tr.Avia.Freight.Domestic</t>
  </si>
  <si>
    <t>Stock.number.ES.Tr.Avia.Freight.IntraEEAwUK</t>
  </si>
  <si>
    <t>Stock.number.ES.Tr.Avia.Freight.ExtraEEAwUK</t>
  </si>
  <si>
    <t>StockNew.number.ES.Tr.Avia</t>
  </si>
  <si>
    <t>StockNew.number.ES.Tr.Avia.Passenger</t>
  </si>
  <si>
    <t>StockNew.number.ES.Tr.Avia.Passenger.Domestic</t>
  </si>
  <si>
    <t>StockNew.number.ES.Tr.Avia.Passenger.IntraEEAwUK</t>
  </si>
  <si>
    <t>StockNew.number.ES.Tr.Avia.Passenger.ExtraEEAwUK</t>
  </si>
  <si>
    <t>StockNew.number.ES.Tr.Avia.Freight</t>
  </si>
  <si>
    <t>StockNew.number.ES.Tr.Avia.Freight.Domestic</t>
  </si>
  <si>
    <t>StockNew.number.ES.Tr.Avia.Freight.IntraEEAwUK</t>
  </si>
  <si>
    <t>StockNew.number.ES.Tr.Avia.Freight.ExtraEEAwUK</t>
  </si>
  <si>
    <t>Load.passenger_per_movement.ES.Tr.Avia.Passenger</t>
  </si>
  <si>
    <t>Load.passenger_per_movement.ES.Tr.Avia.Passenger.Domestic</t>
  </si>
  <si>
    <t>Load.passenger_per_movement.ES.Tr.Avia.Passenger.IntraEEAwUK</t>
  </si>
  <si>
    <t>Load.passenger_per_movement.ES.Tr.Avia.Passenger.ExtraEEAwUK</t>
  </si>
  <si>
    <t>Load.t_per_movement.ES.Tr.Avia.Freight</t>
  </si>
  <si>
    <t>Load.t_per_movement.ES.Tr.Avia.Freight.Domestic</t>
  </si>
  <si>
    <t>Load.t_per_movement.ES.Tr.Avia.Freight.IntraEEAwUK</t>
  </si>
  <si>
    <t>Load.t_per_movement.ES.Tr.Avia.Freight.ExtraEEAwUK</t>
  </si>
  <si>
    <t>VehicleKm_per_flight.km.ES.Tr.Avia</t>
  </si>
  <si>
    <t>VehicleKm_per_flight.km.ES.Tr.Avia.Passenger</t>
  </si>
  <si>
    <t>VehicleKm_per_flight.km.ES.Tr.Avia.Passenger.Domestic</t>
  </si>
  <si>
    <t>VehicleKm_per_flight.km.ES.Tr.Avia.Passenger.IntraEEAwUK</t>
  </si>
  <si>
    <t>VehicleKm_per_flight.km.ES.Tr.Avia.Passenger.ExtraEEAwUK</t>
  </si>
  <si>
    <t>VehicleKm_per_flight.km.ES.Tr.Avia.Freight</t>
  </si>
  <si>
    <t>VehicleKm_per_flight.km.ES.Tr.Avia.Freight.Domestic</t>
  </si>
  <si>
    <t>VehicleKm_per_flight.km.ES.Tr.Avia.Freight.IntraEEAwUK</t>
  </si>
  <si>
    <t>VehicleKm_per_flight.km.ES.Tr.Avia.Freight.ExtraEEAwUK</t>
  </si>
  <si>
    <t>Activity_per_flight.pkm.ES.Tr.Avia.Passenger</t>
  </si>
  <si>
    <t>Activity_per_flight.pkm.ES.Tr.Avia.Passenger.Domestic</t>
  </si>
  <si>
    <t>Activity_per_flight.pkm.ES.Tr.Avia.Passenger.IntraEEAwUK</t>
  </si>
  <si>
    <t>Activity_per_flight.pkm.ES.Tr.Avia.Passenger.ExtraEEAwUK</t>
  </si>
  <si>
    <t>Activity_per_flight.tkm.ES.Tr.Avia.Freight</t>
  </si>
  <si>
    <t>Activity_per_flight.tkm.ES.Tr.Avia.Freight.Domestic</t>
  </si>
  <si>
    <t>Activity_per_flight.tkm.ES.Tr.Avia.Freight.IntraEEAwUK</t>
  </si>
  <si>
    <t>Activity_per_flight.tkm.ES.Tr.Avia.Freight.ExtraEEAwUK</t>
  </si>
  <si>
    <t>Flights_per_vehicle.number.ES.Tr.Avia</t>
  </si>
  <si>
    <t>Flights_per_vehicle.number.ES.Tr.Avia.Passenger</t>
  </si>
  <si>
    <t>Flights_per_vehicle.number.ES.Tr.Avia.Passenger.Domestic</t>
  </si>
  <si>
    <t>Flights_per_vehicle.number.ES.Tr.Avia.Passenger.IntraEEAwUK</t>
  </si>
  <si>
    <t>Flights_per_vehicle.number.ES.Tr.Avia.Passenger.ExtraEEAwUK</t>
  </si>
  <si>
    <t>Flights_per_vehicle.number.ES.Tr.Avia.Freight</t>
  </si>
  <si>
    <t>Flights_per_vehicle.number.ES.Tr.Avia.Freight.Domestic</t>
  </si>
  <si>
    <t>Flights_per_vehicle.number.ES.Tr.Avia.Freight.IntraEEAwUK</t>
  </si>
  <si>
    <t>Flights_per_vehicle.number.ES.Tr.Avia.Freight.ExtraEEAwUK</t>
  </si>
  <si>
    <t>Aviation / energy consumption - ES - Spain</t>
  </si>
  <si>
    <t>FEC.ktoe.ES.Tr.Avia</t>
  </si>
  <si>
    <t>FEC.ktoe.ES.Tr.Avia.Domestic</t>
  </si>
  <si>
    <t>FEC.ktoe.ES.Tr.Avia.International</t>
  </si>
  <si>
    <t>FEC.ktoe.ES.Tr.Avia.Passenger</t>
  </si>
  <si>
    <t>FEC.ktoe.ES.Tr.Avia.Passenger.Domestic</t>
  </si>
  <si>
    <t>FEC.ktoe.ES.Tr.Avia.Passenger.IntraEEAwUK</t>
  </si>
  <si>
    <t>FEC.ktoe.ES.Tr.Avia.Passenger.ExtraEEAwUK</t>
  </si>
  <si>
    <t>FEC.ktoe.ES.Tr.Avia.Freight</t>
  </si>
  <si>
    <t>FEC.ktoe.ES.Tr.Avia.Freight.Domestic</t>
  </si>
  <si>
    <t>FEC.ktoe.ES.Tr.Avia.Freight.IntraEEAwUK</t>
  </si>
  <si>
    <t>FEC.ktoe.ES.Tr.Avia.Freight.ExtraEEAwUK</t>
  </si>
  <si>
    <t>Eff.kgoe_per_100km.ES.Tr.Avia</t>
  </si>
  <si>
    <t>Eff.kgoe_per_100km.ES.Tr.Avia.Passenger</t>
  </si>
  <si>
    <t>Eff.kgoe_per_100km.ES.Tr.Avia.Passenger.Domestic</t>
  </si>
  <si>
    <t>Eff.kgoe_per_100km.ES.Tr.Avia.Passenger.IntraEEAwUK</t>
  </si>
  <si>
    <t>Eff.kgoe_per_100km.ES.Tr.Avia.Passenger.ExtraEEAwUK</t>
  </si>
  <si>
    <t>Eff.kgoe_per_100km.ES.Tr.Avia.Freight</t>
  </si>
  <si>
    <t>Eff.kgoe_per_100km.ES.Tr.Avia.Freight.Domestic</t>
  </si>
  <si>
    <t>Eff.kgoe_per_100km.ES.Tr.Avia.Freight.IntraEEAwUK</t>
  </si>
  <si>
    <t>Eff.kgoe_per_100km.ES.Tr.Avia.Freight.ExtraEEAwUK</t>
  </si>
  <si>
    <t>Eff.kgoe_per_kpkm.ES.Tr.Avia.Passenger</t>
  </si>
  <si>
    <t>Eff.kgoe_per_kpkm.ES.Tr.Avia.Passenger.Domestic</t>
  </si>
  <si>
    <t>Eff.kgoe_per_kpkm.ES.Tr.Avia.Passenger.IntraEEAwUK</t>
  </si>
  <si>
    <t>Eff.kgoe_per_kpkm.ES.Tr.Avia.Passenger.ExtraEEAwUK</t>
  </si>
  <si>
    <t>Eff.kgoe_per_ktkm.ES.Tr.Avia.Freight</t>
  </si>
  <si>
    <t>Eff.kgoe_per_ktkm.ES.Tr.Avia.Freight.Domestic</t>
  </si>
  <si>
    <t>Eff.kgoe_per_ktkm.ES.Tr.Avia.Freight.IntraEEAwUK</t>
  </si>
  <si>
    <t>Eff.kgoe_per_ktkm.ES.Tr.Avia.Freight.ExtraEEAwUK</t>
  </si>
  <si>
    <t>FEC_per_flight.kgoe.ES.Tr.Avia</t>
  </si>
  <si>
    <t>FEC_per_flight.kgoe.ES.Tr.Avia.Passenger</t>
  </si>
  <si>
    <t>FEC_per_flight.kgoe.ES.Tr.Avia.Passenger.Domestic</t>
  </si>
  <si>
    <t>FEC_per_flight.kgoe.ES.Tr.Avia.Passenger.IntraEEAwUK</t>
  </si>
  <si>
    <t>FEC_per_flight.kgoe.ES.Tr.Avia.Passenger.ExtraEEAwUK</t>
  </si>
  <si>
    <t>FEC_per_flight.kgoe.ES.Tr.Avia.Freight</t>
  </si>
  <si>
    <t>FEC_per_flight.kgoe.ES.Tr.Avia.Freight.Domestic</t>
  </si>
  <si>
    <t>FEC_per_flight.kgoe.ES.Tr.Avia.Freight.IntraEEAwUK</t>
  </si>
  <si>
    <t>FEC_per_flight.kgoe.ES.Tr.Avia.Freight.ExtraEEAwUK</t>
  </si>
  <si>
    <t>Eff_theor.kgoe_per_100km.ES.Tr.Avia</t>
  </si>
  <si>
    <t>Eff_theor.kgoe_per_100km.ES.Tr.Avia.Passenger</t>
  </si>
  <si>
    <t>Eff_theor.kgoe_per_100km.ES.Tr.Avia.Passenger.Domestic</t>
  </si>
  <si>
    <t>Eff_theor.kgoe_per_100km.ES.Tr.Avia.Passenger.IntraEEAwUK</t>
  </si>
  <si>
    <t>Eff_theor.kgoe_per_100km.ES.Tr.Avia.Passenger.ExtraEEAwUK</t>
  </si>
  <si>
    <t>Eff_theor.kgoe_per_100km.ES.Tr.Avia.Freight</t>
  </si>
  <si>
    <t>Eff_theor.kgoe_per_100km.ES.Tr.Avia.Freight.Domestic</t>
  </si>
  <si>
    <t>Eff_theor.kgoe_per_100km.ES.Tr.Avia.Freight.IntraEEAwUK</t>
  </si>
  <si>
    <t>Eff_theor.kgoe_per_100km.ES.Tr.Avia.Freight.ExtraEEAwUK</t>
  </si>
  <si>
    <t>Aviation / CO2 emissions - ES - Spain</t>
  </si>
  <si>
    <t>EMI.ktCO2.ES.Tr.Avia</t>
  </si>
  <si>
    <t>EMI.ktCO2.ES.Tr.Avia.Domestic</t>
  </si>
  <si>
    <t>EMI.ktCO2.ES.Tr.Avia.International</t>
  </si>
  <si>
    <t>EMI.ktCO2.ES.Tr.Avia.Passenger</t>
  </si>
  <si>
    <t>EMI.ktCO2.ES.Tr.Avia.Passenger.Domestic</t>
  </si>
  <si>
    <t>EMI.ktCO2.ES.Tr.Avia.Passenger.IntraEEAwUK</t>
  </si>
  <si>
    <t>EMI.ktCO2.ES.Tr.Avia.Passenger.ExtraEEAwUK</t>
  </si>
  <si>
    <t>EMI.ktCO2.ES.Tr.Avia.Freight</t>
  </si>
  <si>
    <t>EMI.ktCO2.ES.Tr.Avia.Freight.Domestic</t>
  </si>
  <si>
    <t>EMI.ktCO2.ES.Tr.Avia.Freight.IntraEEAwUK</t>
  </si>
  <si>
    <t>EMI.ktCO2.ES.Tr.Avia.Freight.ExtraEEAwUK</t>
  </si>
  <si>
    <t>EMIint.gCO2_per_km.ES.Tr.Avia</t>
  </si>
  <si>
    <t>EMIint.gCO2_per_km.ES.Tr.Avia.Passenger</t>
  </si>
  <si>
    <t>EMIint.gCO2_per_km.ES.Tr.Avia.Passenger.Domestic</t>
  </si>
  <si>
    <t>EMIint.gCO2_per_km.ES.Tr.Avia.Passenger.IntraEEAwUK</t>
  </si>
  <si>
    <t>EMIint.gCO2_per_km.ES.Tr.Avia.Passenger.ExtraEEAwUK</t>
  </si>
  <si>
    <t>EMIint.gCO2_per_km.ES.Tr.Avia.Freight</t>
  </si>
  <si>
    <t>EMIint.gCO2_per_km.ES.Tr.Avia.Freight.Domestic</t>
  </si>
  <si>
    <t>EMIint.gCO2_per_km.ES.Tr.Avia.Freight.IntraEEAwUK</t>
  </si>
  <si>
    <t>EMIint.gCO2_per_km.ES.Tr.Avia.Freight.ExtraEEAwUK</t>
  </si>
  <si>
    <t>EMIint.gCO2_per_pkm.ES.Tr.Avia.Passenger</t>
  </si>
  <si>
    <t>EMIint.gCO2_per_pkm.ES.Tr.Avia.Passenger.Domestic</t>
  </si>
  <si>
    <t>EMIint.gCO2_per_pkm.ES.Tr.Avia.Passenger.IntraEEAwUK</t>
  </si>
  <si>
    <t>EMIint.gCO2_per_pkm.ES.Tr.Avia.Passenger.ExtraEEAwUK</t>
  </si>
  <si>
    <t>EMIint.gCO2_per_tkm.ES.Tr.Avia.Freight</t>
  </si>
  <si>
    <t>EMIint.gCO2_per_tkm.ES.Tr.Avia.Freight.Domestic</t>
  </si>
  <si>
    <t>EMIint.gCO2_per_tkm.ES.Tr.Avia.Freight.IntraEEAwUK</t>
  </si>
  <si>
    <t>EMIint.gCO2_per_tkm.ES.Tr.Avia.Freight.ExtraEEAwUK</t>
  </si>
  <si>
    <t>EMI_per_flight.kgCO2.ES.Tr.Avia</t>
  </si>
  <si>
    <t>EMI_per_flight.kgCO2.ES.Tr.Avia.Passenger</t>
  </si>
  <si>
    <t>EMI_per_flight.kgCO2.ES.Tr.Avia.Passenger.Domestic</t>
  </si>
  <si>
    <t>EMI_per_flight.kgCO2.ES.Tr.Avia.Passenger.IntraEEAwUK</t>
  </si>
  <si>
    <t>EMI_per_flight.kgCO2.ES.Tr.Avia.Passenger.ExtraEEAwUK</t>
  </si>
  <si>
    <t>EMI_per_flight.kgCO2.ES.Tr.Avia.Freight</t>
  </si>
  <si>
    <t>EMI_per_flight.kgCO2.ES.Tr.Avia.Freight.Domestic</t>
  </si>
  <si>
    <t>EMI_per_flight.kgCO2.ES.Tr.Avia.Freight.IntraEEAwUK</t>
  </si>
  <si>
    <t>EMI_per_flight.kgCO2.ES.Tr.Avia.Freight.ExtraEEAwUK</t>
  </si>
  <si>
    <t>Aviation / passenger transport specific data - ES - Spain</t>
  </si>
  <si>
    <t>TrCap.seats.ES.Tr.Avia.Passenger</t>
  </si>
  <si>
    <t>TrCap.seats.ES.Tr.Avia.Passenger.Domestic</t>
  </si>
  <si>
    <t>TrCap.seats.ES.Tr.Avia.Passenger.IntraEEAwUK</t>
  </si>
  <si>
    <t>TrCap.seats.ES.Tr.Avia.Passenger.ExtraEEAwUK</t>
  </si>
  <si>
    <t>TrCap_per_flight.seats.ES.Tr.Avia.Passenger</t>
  </si>
  <si>
    <t>TrCap_per_flight.seats.ES.Tr.Avia.Passenger.Domestic</t>
  </si>
  <si>
    <t>TrCap_per_flight.seats.ES.Tr.Avia.Passenger.IntraEEAwUK</t>
  </si>
  <si>
    <t>TrCap_per_flight.seats.ES.Tr.Avia.Passenger.ExtraEEAwUK</t>
  </si>
  <si>
    <t>Transport overview - ES - Spain</t>
  </si>
  <si>
    <t>Activity.Mpkm.ES.Tr</t>
  </si>
  <si>
    <t>Activity.Mpkm.ES.Tr.Road.Passenger</t>
  </si>
  <si>
    <t>Activity.Mpkm.ES.Tr.Road.Passenger.P2W</t>
  </si>
  <si>
    <t>Activity.Mpkm.ES.Tr.Road.Passenger.Car</t>
  </si>
  <si>
    <t>Activity.Mpkm.ES.Tr.Road.Passenger.Bus</t>
  </si>
  <si>
    <t>Activity.Mpkm.ES.Tr.Rail.Passenger</t>
  </si>
  <si>
    <t>Activity.Mpkm.ES.Tr.Rail.Passenger.MTU</t>
  </si>
  <si>
    <t>Activity.Mpkm.ES.Tr.Rail.Passenger.CPT</t>
  </si>
  <si>
    <t>Activity.Mpkm.ES.Tr.Rail.Passenger.HST</t>
  </si>
  <si>
    <t>Activity.Mtkm.ES.Tr</t>
  </si>
  <si>
    <t>Activity.Mtkm.ES.Tr.Road.Freight</t>
  </si>
  <si>
    <t>Activity.Mtkm.ES.Tr.Road.Freight.LCV</t>
  </si>
  <si>
    <t>Activity.Mtkm.ES.Tr.Road.Freight.HGV</t>
  </si>
  <si>
    <t>Activity.Mtkm.ES.Tr.Rail.Freight</t>
  </si>
  <si>
    <t>Activity.Mtkm.ES.Tr.DNavi.Freight</t>
  </si>
  <si>
    <t>Activity.Mtkm.ES.Tr.DNavi.Freight.DCS</t>
  </si>
  <si>
    <t>Activity.Mtkm.ES.Tr.DNavi.Freight.IWW</t>
  </si>
  <si>
    <t>Activity.Mtkm.ES.MBunk.Freight</t>
  </si>
  <si>
    <t>Activity.Mtkm.ES.MBunk.Freight.IntraEEA</t>
  </si>
  <si>
    <t>Activity.Mtkm.ES.MBunk.Freight.ExtraEEA</t>
  </si>
  <si>
    <t>FEC.ktoe.ES.Tr.Road.Passenger</t>
  </si>
  <si>
    <t>FEC.ktoe.ES.Tr.Road.Passenger.P2W</t>
  </si>
  <si>
    <t>FEC.ktoe.ES.Tr.Road.Passenger.Car</t>
  </si>
  <si>
    <t>FEC.ktoe.ES.Tr.Road.Passenger.Bus</t>
  </si>
  <si>
    <t>FEC.ktoe.ES.Tr.Rail.Passenger</t>
  </si>
  <si>
    <t>FEC.ktoe.ES.Tr.Rail.Passenger.MTU</t>
  </si>
  <si>
    <t>FEC.ktoe.ES.Tr.Rail.Passenger.CPT</t>
  </si>
  <si>
    <t>FEC.ktoe.ES.Tr.Rail.Passenger.HST</t>
  </si>
  <si>
    <t>FEC.ktoe.ES.Tr.Road.Freight</t>
  </si>
  <si>
    <t>FEC.ktoe.ES.Tr.Road.Freight.LCV</t>
  </si>
  <si>
    <t>FEC.ktoe.ES.Tr.Road.Freight.HGV</t>
  </si>
  <si>
    <t>FEC.ktoe.ES.Tr.Rail.Freight</t>
  </si>
  <si>
    <t>EMI.ktCO2.ES.Tr.Road.Passenger</t>
  </si>
  <si>
    <t>EMI.ktCO2.ES.Tr.Road.Passenger.P2W</t>
  </si>
  <si>
    <t>EMI.ktCO2.ES.Tr.Road.Passenger.Car</t>
  </si>
  <si>
    <t>EMI.ktCO2.ES.Tr.Road.Passenger.Bus</t>
  </si>
  <si>
    <t>EMI.ktCO2.ES.Tr.Rail.Passenger</t>
  </si>
  <si>
    <t>EMI.ktCO2.ES.Tr.Rail.Passenger.MTU</t>
  </si>
  <si>
    <t>EMI.ktCO2.ES.Tr.Rail.Passenger.CPT</t>
  </si>
  <si>
    <t>EMI.ktCO2.ES.Tr.Rail.Passenger.HST</t>
  </si>
  <si>
    <t>EMI.ktCO2.ES.Tr.Road.Freight</t>
  </si>
  <si>
    <t>EMI.ktCO2.ES.Tr.Road.Freight.LCV</t>
  </si>
  <si>
    <t>EMI.ktCO2.ES.Tr.Road.Freight.HGV</t>
  </si>
  <si>
    <t>EMI.ktCO2.ES.Tr.Rail.Freight</t>
  </si>
  <si>
    <t>Eff.kgoe_per_kpkm.ES.Tr</t>
  </si>
  <si>
    <t>Eff.kgoe_per_kpkm.ES.Tr.Road.Passenger</t>
  </si>
  <si>
    <t>Eff.kgoe_per_kpkm.ES.Tr.Road.Passenger.P2W</t>
  </si>
  <si>
    <t>Eff.kgoe_per_kpkm.ES.Tr.Road.Passenger.Car</t>
  </si>
  <si>
    <t>Eff.kgoe_per_kpkm.ES.Tr.Road.Passenger.Bus</t>
  </si>
  <si>
    <t>Eff.kgoe_per_kpkm.ES.Tr.Rail.Passenger</t>
  </si>
  <si>
    <t>Eff.kgoe_per_kpkm.ES.Tr.Rail.Passenger.MTU</t>
  </si>
  <si>
    <t>Eff.kgoe_per_kpkm.ES.Tr.Rail.Passenger.CPT</t>
  </si>
  <si>
    <t>Eff.kgoe_per_kpkm.ES.Tr.Rail.Passenger.HST</t>
  </si>
  <si>
    <t>Eff.kgoe_per_ktkm.ES.Tr</t>
  </si>
  <si>
    <t>Eff.kgoe_per_ktkm.ES.Tr.Road.Freight</t>
  </si>
  <si>
    <t>Eff.kgoe_per_ktkm.ES.Tr.Road.Freight.LCV</t>
  </si>
  <si>
    <t>Eff.kgoe_per_ktkm.ES.Tr.Road.Freight.HGV</t>
  </si>
  <si>
    <t>Eff.kgoe_per_ktkm.ES.Tr.Rail.Freight</t>
  </si>
  <si>
    <t>Eff.kgoe_per_ktkm.ES.Tr.DNavi.Freight</t>
  </si>
  <si>
    <t>Eff.kgoe_per_ktkm.ES.Tr.DNavi.Freight.DCS</t>
  </si>
  <si>
    <t>Eff.kgoe_per_ktkm.ES.Tr.DNavi.Freight.IWW</t>
  </si>
  <si>
    <t>Eff.kgoe_per_ktkm.ES.MBunk.Freight</t>
  </si>
  <si>
    <t>Eff.kgoe_per_ktkm.ES.MBunk.Freight.IntraEEA</t>
  </si>
  <si>
    <t>Eff.kgoe_per_ktkm.ES.MBunk.Freight.ExtraEEA</t>
  </si>
  <si>
    <t>EMIint.gCO2_per_pkm.ES.Tr</t>
  </si>
  <si>
    <t>EMIint.gCO2_per_pkm.ES.Tr.Road.Passenger</t>
  </si>
  <si>
    <t>EMIint.gCO2_per_pkm.ES.Tr.Road.Passenger.P2W</t>
  </si>
  <si>
    <t>EMIint.gCO2_per_pkm.ES.Tr.Road.Passenger.Car</t>
  </si>
  <si>
    <t>EMIint.gCO2_per_pkm.ES.Tr.Road.Passenger.Bus</t>
  </si>
  <si>
    <t>EMIint.gCO2_per_pkm.ES.Tr.Rail.Passenger</t>
  </si>
  <si>
    <t>EMIint.gCO2_per_pkm.ES.Tr.Rail.Passenger.MTU</t>
  </si>
  <si>
    <t>EMIint.gCO2_per_pkm.ES.Tr.Rail.Passenger.CPT</t>
  </si>
  <si>
    <t>EMIint.gCO2_per_pkm.ES.Tr.Rail.Passenger.HST</t>
  </si>
  <si>
    <t>EMIint.gCO2_per_tkm.ES.Tr</t>
  </si>
  <si>
    <t>EMIint.gCO2_per_tkm.ES.Tr.Road.Freight</t>
  </si>
  <si>
    <t>EMIint.gCO2_per_tkm.ES.Tr.Road.Freight.LCV</t>
  </si>
  <si>
    <t>EMIint.gCO2_per_tkm.ES.Tr.Road.Freight.HGV</t>
  </si>
  <si>
    <t>EMIint.gCO2_per_tkm.ES.Tr.Rail.Freight</t>
  </si>
  <si>
    <t>EMIint.gCO2_per_tkm.ES.Tr.DNavi.Freight</t>
  </si>
  <si>
    <t>EMIint.gCO2_per_tkm.ES.Tr.DNavi.Freight.DCS</t>
  </si>
  <si>
    <t>EMIint.gCO2_per_tkm.ES.Tr.DNavi.Freight.IWW</t>
  </si>
  <si>
    <t>EMIint.gCO2_per_tkm.ES.MBunk.Freight</t>
  </si>
  <si>
    <t>EMIint.gCO2_per_tkm.ES.MBunk.Freight.IntraEEA</t>
  </si>
  <si>
    <t>EMIint.gCO2_per_tkm.ES.MBunk.Freight.ExtraEEA</t>
  </si>
  <si>
    <t>Road transport - ES - Spain</t>
  </si>
  <si>
    <t>Activity.Mpkm.ES.Tr.Road.Passenger.Car.ICE.Gasoline</t>
  </si>
  <si>
    <t>Activity.Mpkm.ES.Tr.Road.Passenger.Car.ICE.Diesel</t>
  </si>
  <si>
    <t>Activity.Mpkm.ES.Tr.Road.Passenger.Car.ICE.LPG</t>
  </si>
  <si>
    <t>Activity.Mpkm.ES.Tr.Road.Passenger.Car.ICE.NGas</t>
  </si>
  <si>
    <t>Activity.Mpkm.ES.Tr.Road.Passenger.Car.PHEV</t>
  </si>
  <si>
    <t>Activity.Mpkm.ES.Tr.Road.Passenger.Car.BEV</t>
  </si>
  <si>
    <t>Activity.Mpkm.ES.Tr.Road.Passenger.Bus.ICE.Gasoline</t>
  </si>
  <si>
    <t>Activity.Mpkm.ES.Tr.Road.Passenger.Bus.ICE.Diesel</t>
  </si>
  <si>
    <t>Activity.Mpkm.ES.Tr.Road.Passenger.Bus.ICE.LPG</t>
  </si>
  <si>
    <t>Activity.Mpkm.ES.Tr.Road.Passenger.Bus.ICE.NGas</t>
  </si>
  <si>
    <t>Activity.Mpkm.ES.Tr.Road.Passenger.Bus.ICE.BEV</t>
  </si>
  <si>
    <t>Activity.Mtkm.ES.Tr.Road.Freight.LCV.ICE.Gasoline</t>
  </si>
  <si>
    <t>Activity.Mtkm.ES.Tr.Road.Freight.LCV.ICE.Diesel</t>
  </si>
  <si>
    <t>Activity.Mtkm.ES.Tr.Road.Freight.LCV.ICE.LPG</t>
  </si>
  <si>
    <t>Activity.Mtkm.ES.Tr.Road.Freight.LCV.ICE.NGas</t>
  </si>
  <si>
    <t>Activity.Mtkm.ES.Tr.Road.Freight.LCV.ICE.BEV</t>
  </si>
  <si>
    <t>Activity.Mtkm.ES.Tr.Road.Freight.HGV.Domestic</t>
  </si>
  <si>
    <t>Activity.Mtkm.ES.Tr.Road.Freight.HGV.International</t>
  </si>
  <si>
    <t>VehicleKm.Mkm.ES.Tr.Road</t>
  </si>
  <si>
    <t>VehicleKm.Mkm.ES.Tr.Road.Passenger</t>
  </si>
  <si>
    <t>VehicleKm.Mkm.ES.Tr.Road.Passenger.P2W</t>
  </si>
  <si>
    <t>VehicleKm.Mkm.ES.Tr.Road.Passenger.Car</t>
  </si>
  <si>
    <t>VehicleKm.Mkm.ES.Tr.Road.Passenger.Car.ICE.Gasoline</t>
  </si>
  <si>
    <t>VehicleKm.Mkm.ES.Tr.Road.Passenger.Car.ICE.Diesel</t>
  </si>
  <si>
    <t>VehicleKm.Mkm.ES.Tr.Road.Passenger.Car.ICE.LPG</t>
  </si>
  <si>
    <t>VehicleKm.Mkm.ES.Tr.Road.Passenger.Car.ICE.NGas</t>
  </si>
  <si>
    <t>VehicleKm.Mkm.ES.Tr.Road.Passenger.Car.PHEV</t>
  </si>
  <si>
    <t>VehicleKm.Mkm.ES.Tr.Road.Passenger.Car.BEV</t>
  </si>
  <si>
    <t>VehicleKm.Mkm.ES.Tr.Road.Passenger.Bus</t>
  </si>
  <si>
    <t>VehicleKm.Mkm.ES.Tr.Road.Passenger.Bus.ICE.Gasoline</t>
  </si>
  <si>
    <t>VehicleKm.Mkm.ES.Tr.Road.Passenger.Bus.ICE.Diesel</t>
  </si>
  <si>
    <t>VehicleKm.Mkm.ES.Tr.Road.Passenger.Bus.ICE.LPG</t>
  </si>
  <si>
    <t>VehicleKm.Mkm.ES.Tr.Road.Passenger.Bus.ICE.NGas</t>
  </si>
  <si>
    <t>VehicleKm.Mkm.ES.Tr.Road.Passenger.Bus.ICE.BEV</t>
  </si>
  <si>
    <t>VehicleKm.Mkm.ES.Tr.Road.Freight</t>
  </si>
  <si>
    <t>VehicleKm.Mkm.ES.Tr.Road.Freight.LCV</t>
  </si>
  <si>
    <t>VehicleKm.Mkm.ES.Tr.Road.Freight.LCV.ICE.Gasoline</t>
  </si>
  <si>
    <t>VehicleKm.Mkm.ES.Tr.Road.Freight.LCV.ICE.Diesel</t>
  </si>
  <si>
    <t>VehicleKm.Mkm.ES.Tr.Road.Freight.LCV.ICE.LPG</t>
  </si>
  <si>
    <t>VehicleKm.Mkm.ES.Tr.Road.Freight.LCV.ICE.NGas</t>
  </si>
  <si>
    <t>VehicleKm.Mkm.ES.Tr.Road.Freight.LCV.ICE.BEV</t>
  </si>
  <si>
    <t>VehicleKm.Mkm.ES.Tr.Road.Freight.HGV</t>
  </si>
  <si>
    <t>VehicleKm.Mkm.ES.Tr.Road.Freight.HGV.Domestic</t>
  </si>
  <si>
    <t>VehicleKm.Mkm.ES.Tr.Road.Freight.HGV.International</t>
  </si>
  <si>
    <t>Stock.number.ES.Tr.Road</t>
  </si>
  <si>
    <t>Stock.number.ES.Tr.Road.Passenger</t>
  </si>
  <si>
    <t>Stock.number.ES.Tr.Road.Passenger.P2W</t>
  </si>
  <si>
    <t>Stock.number.ES.Tr.Road.Passenger.Car</t>
  </si>
  <si>
    <t>Stock.number.ES.Tr.Road.Passenger.Car.ICE.Gasoline</t>
  </si>
  <si>
    <t>Stock.number.ES.Tr.Road.Passenger.Car.ICE.Diesel</t>
  </si>
  <si>
    <t>Stock.number.ES.Tr.Road.Passenger.Car.ICE.LPG</t>
  </si>
  <si>
    <t>Stock.number.ES.Tr.Road.Passenger.Car.ICE.NGas</t>
  </si>
  <si>
    <t>Stock.number.ES.Tr.Road.Passenger.Car.PHEV</t>
  </si>
  <si>
    <t>Stock.number.ES.Tr.Road.Passenger.Car.BEV</t>
  </si>
  <si>
    <t>Stock.number.ES.Tr.Road.Passenger.Bus</t>
  </si>
  <si>
    <t>Stock.number.ES.Tr.Road.Passenger.Bus.ICE.Gasoline</t>
  </si>
  <si>
    <t>Stock.number.ES.Tr.Road.Passenger.Bus.ICE.Diesel</t>
  </si>
  <si>
    <t>Stock.number.ES.Tr.Road.Passenger.Bus.ICE.LPG</t>
  </si>
  <si>
    <t>Stock.number.ES.Tr.Road.Passenger.Bus.ICE.NGas</t>
  </si>
  <si>
    <t>Stock.number.ES.Tr.Road.Passenger.Bus.ICE.BEV</t>
  </si>
  <si>
    <t>Stock.number.ES.Tr.Road.Freight</t>
  </si>
  <si>
    <t>Stock.number.ES.Tr.Road.Freight.LCV</t>
  </si>
  <si>
    <t>Stock.number.ES.Tr.Road.Freight.LCV.ICE.Gasoline</t>
  </si>
  <si>
    <t>Stock.number.ES.Tr.Road.Freight.LCV.ICE.Diesel</t>
  </si>
  <si>
    <t>Stock.number.ES.Tr.Road.Freight.LCV.ICE.LPG</t>
  </si>
  <si>
    <t>Stock.number.ES.Tr.Road.Freight.LCV.ICE.NGas</t>
  </si>
  <si>
    <t>Stock.number.ES.Tr.Road.Freight.LCV.ICE.BEV</t>
  </si>
  <si>
    <t>Stock.number.ES.Tr.Road.Freight.HGV</t>
  </si>
  <si>
    <t>Stock.number.ES.Tr.Road.Freight.HGV.Domestic</t>
  </si>
  <si>
    <t>Stock.number.ES.Tr.Road.Freight.HGV.International</t>
  </si>
  <si>
    <t>StockNew.number.ES.Tr.Road</t>
  </si>
  <si>
    <t>StockNew.number.ES.Tr.Road.Passenger</t>
  </si>
  <si>
    <t>StockNew.number.ES.Tr.Road.Passenger.P2W</t>
  </si>
  <si>
    <t>StockNew.number.ES.Tr.Road.Passenger.Car</t>
  </si>
  <si>
    <t>StockNew.number.ES.Tr.Road.Passenger.Car.ICE.Gasoline</t>
  </si>
  <si>
    <t>StockNew.number.ES.Tr.Road.Passenger.Car.ICE.Diesel</t>
  </si>
  <si>
    <t>StockNew.number.ES.Tr.Road.Passenger.Car.ICE.LPG</t>
  </si>
  <si>
    <t>StockNew.number.ES.Tr.Road.Passenger.Car.ICE.NGas</t>
  </si>
  <si>
    <t>StockNew.number.ES.Tr.Road.Passenger.Car.PHEV</t>
  </si>
  <si>
    <t>StockNew.number.ES.Tr.Road.Passenger.Car.BEV</t>
  </si>
  <si>
    <t>StockNew.number.ES.Tr.Road.Passenger.Bus</t>
  </si>
  <si>
    <t>StockNew.number.ES.Tr.Road.Passenger.Bus.ICE.Gasoline</t>
  </si>
  <si>
    <t>StockNew.number.ES.Tr.Road.Passenger.Bus.ICE.Diesel</t>
  </si>
  <si>
    <t>StockNew.number.ES.Tr.Road.Passenger.Bus.ICE.LPG</t>
  </si>
  <si>
    <t>StockNew.number.ES.Tr.Road.Passenger.Bus.ICE.NGas</t>
  </si>
  <si>
    <t>StockNew.number.ES.Tr.Road.Passenger.Bus.ICE.BEV</t>
  </si>
  <si>
    <t>StockNew.number.ES.Tr.Road.Freight</t>
  </si>
  <si>
    <t>StockNew.number.ES.Tr.Road.Freight.LCV</t>
  </si>
  <si>
    <t>StockNew.number.ES.Tr.Road.Freight.LCV.ICE.Gasoline</t>
  </si>
  <si>
    <t>StockNew.number.ES.Tr.Road.Freight.LCV.ICE.Diesel</t>
  </si>
  <si>
    <t>StockNew.number.ES.Tr.Road.Freight.LCV.ICE.LPG</t>
  </si>
  <si>
    <t>StockNew.number.ES.Tr.Road.Freight.LCV.ICE.NGas</t>
  </si>
  <si>
    <t>StockNew.number.ES.Tr.Road.Freight.LCV.ICE.BEV</t>
  </si>
  <si>
    <t>StockNew.number.ES.Tr.Road.Freight.HGV</t>
  </si>
  <si>
    <t>StockNew.number.ES.Tr.Road.Freight.HGV.Domestic</t>
  </si>
  <si>
    <t>StockNew.number.ES.Tr.Road.Freight.HGV.International</t>
  </si>
  <si>
    <t>Load.passenger_per_movement.ES.Tr.Road.Passenger</t>
  </si>
  <si>
    <t>Load.passenger_per_movement.ES.Tr.Road.Passenger.P2W</t>
  </si>
  <si>
    <t>Load.passenger_per_movement.ES.Tr.Road.Passenger.Car</t>
  </si>
  <si>
    <t>Load.passenger_per_movement.ES.Tr.Road.Passenger.Car.ICE.Gasoline</t>
  </si>
  <si>
    <t>Load.passenger_per_movement.ES.Tr.Road.Passenger.Car.ICE.Diesel</t>
  </si>
  <si>
    <t>Load.passenger_per_movement.ES.Tr.Road.Passenger.Car.ICE.LPG</t>
  </si>
  <si>
    <t>Load.passenger_per_movement.ES.Tr.Road.Passenger.Car.ICE.NGas</t>
  </si>
  <si>
    <t>Load.passenger_per_movement.ES.Tr.Road.Passenger.Car.PHEV</t>
  </si>
  <si>
    <t>Load.passenger_per_movement.ES.Tr.Road.Passenger.Car.BEV</t>
  </si>
  <si>
    <t>Load.passenger_per_movement.ES.Tr.Road.Passenger.Bus</t>
  </si>
  <si>
    <t>Load.passenger_per_movement.ES.Tr.Road.Passenger.Bus.ICE.Gasoline</t>
  </si>
  <si>
    <t>Load.passenger_per_movement.ES.Tr.Road.Passenger.Bus.ICE.Diesel</t>
  </si>
  <si>
    <t>Load.passenger_per_movement.ES.Tr.Road.Passenger.Bus.ICE.LPG</t>
  </si>
  <si>
    <t>Load.passenger_per_movement.ES.Tr.Road.Passenger.Bus.ICE.NGas</t>
  </si>
  <si>
    <t>Load.passenger_per_movement.ES.Tr.Road.Passenger.Bus.ICE.BEV</t>
  </si>
  <si>
    <t>Load.t_per_movement.ES.Tr.Road.Freight</t>
  </si>
  <si>
    <t>Load.t_per_movement.ES.Tr.Road.Freight.LCV</t>
  </si>
  <si>
    <t>Load.t_per_movement.ES.Tr.Road.Freight.LCV.ICE.Gasoline</t>
  </si>
  <si>
    <t>Load.t_per_movement.ES.Tr.Road.Freight.LCV.ICE.Diesel</t>
  </si>
  <si>
    <t>Load.t_per_movement.ES.Tr.Road.Freight.LCV.ICE.LPG</t>
  </si>
  <si>
    <t>Load.t_per_movement.ES.Tr.Road.Freight.LCV.ICE.NGas</t>
  </si>
  <si>
    <t>Load.t_per_movement.ES.Tr.Road.Freight.LCV.ICE.BEV</t>
  </si>
  <si>
    <t>Load.t_per_movement.ES.Tr.Road.Freight.HGV</t>
  </si>
  <si>
    <t>Load.t_per_movement.ES.Tr.Road.Freight.HGV.Domestic</t>
  </si>
  <si>
    <t>Load.t_per_movement.ES.Tr.Road.Freight.HGV.International</t>
  </si>
  <si>
    <t>VehicleKm_per_vehicle.km.ES.Tr.Road</t>
  </si>
  <si>
    <t>VehicleKm_per_vehicle.km.ES.Tr.Road.Passenger</t>
  </si>
  <si>
    <t>VehicleKm_per_vehicle.km.ES.Tr.Road.Passenger.P2W</t>
  </si>
  <si>
    <t>VehicleKm_per_vehicle.km.ES.Tr.Road.Passenger.Car</t>
  </si>
  <si>
    <t>VehicleKm_per_vehicle.km.ES.Tr.Road.Passenger.Car.ICE.Gasoline</t>
  </si>
  <si>
    <t>VehicleKm_per_vehicle.km.ES.Tr.Road.Passenger.Car.ICE.Diesel</t>
  </si>
  <si>
    <t>VehicleKm_per_vehicle.km.ES.Tr.Road.Passenger.Car.ICE.LPG</t>
  </si>
  <si>
    <t>VehicleKm_per_vehicle.km.ES.Tr.Road.Passenger.Car.ICE.NGas</t>
  </si>
  <si>
    <t>VehicleKm_per_vehicle.km.ES.Tr.Road.Passenger.Car.PHEV</t>
  </si>
  <si>
    <t>VehicleKm_per_vehicle.km.ES.Tr.Road.Passenger.Car.BEV</t>
  </si>
  <si>
    <t>VehicleKm_per_vehicle.km.ES.Tr.Road.Passenger.Bus</t>
  </si>
  <si>
    <t>VehicleKm_per_vehicle.km.ES.Tr.Road.Passenger.Bus.ICE.Gasoline</t>
  </si>
  <si>
    <t>VehicleKm_per_vehicle.km.ES.Tr.Road.Passenger.Bus.ICE.Diesel</t>
  </si>
  <si>
    <t>VehicleKm_per_vehicle.km.ES.Tr.Road.Passenger.Bus.ICE.LPG</t>
  </si>
  <si>
    <t>VehicleKm_per_vehicle.km.ES.Tr.Road.Passenger.Bus.ICE.NGas</t>
  </si>
  <si>
    <t>VehicleKm_per_vehicle.km.ES.Tr.Road.Passenger.Bus.ICE.BEV</t>
  </si>
  <si>
    <t>VehicleKm_per_vehicle.km.ES.Tr.Road.Freight</t>
  </si>
  <si>
    <t>VehicleKm_per_vehicle.km.ES.Tr.Road.Freight.LCV</t>
  </si>
  <si>
    <t>VehicleKm_per_vehicle.km.ES.Tr.Road.Freight.LCV.ICE.Gasoline</t>
  </si>
  <si>
    <t>VehicleKm_per_vehicle.km.ES.Tr.Road.Freight.LCV.ICE.Diesel</t>
  </si>
  <si>
    <t>VehicleKm_per_vehicle.km.ES.Tr.Road.Freight.LCV.ICE.LPG</t>
  </si>
  <si>
    <t>VehicleKm_per_vehicle.km.ES.Tr.Road.Freight.LCV.ICE.NGas</t>
  </si>
  <si>
    <t>VehicleKm_per_vehicle.km.ES.Tr.Road.Freight.LCV.ICE.BEV</t>
  </si>
  <si>
    <t>VehicleKm_per_vehicle.km.ES.Tr.Road.Freight.HGV</t>
  </si>
  <si>
    <t>VehicleKm_per_vehicle.km.ES.Tr.Road.Freight.HGV.Domestic</t>
  </si>
  <si>
    <t>VehicleKm_per_vehicle.km.ES.Tr.Road.Freight.HGV.International</t>
  </si>
  <si>
    <t>Activity_per_vehicle.pkm.ES.Tr.Road.Passenger</t>
  </si>
  <si>
    <t>Activity_per_vehicle.pkm.ES.Tr.Road.Passenger.P2W</t>
  </si>
  <si>
    <t>Activity_per_vehicle.pkm.ES.Tr.Road.Passenger.Car</t>
  </si>
  <si>
    <t>Activity_per_vehicle.pkm.ES.Tr.Road.Passenger.Car.ICE.Gasoline</t>
  </si>
  <si>
    <t>Activity_per_vehicle.pkm.ES.Tr.Road.Passenger.Car.ICE.Diesel</t>
  </si>
  <si>
    <t>Activity_per_vehicle.pkm.ES.Tr.Road.Passenger.Car.ICE.LPG</t>
  </si>
  <si>
    <t>Activity_per_vehicle.pkm.ES.Tr.Road.Passenger.Car.ICE.NGas</t>
  </si>
  <si>
    <t>Activity_per_vehicle.pkm.ES.Tr.Road.Passenger.Car.PHEV</t>
  </si>
  <si>
    <t>Activity_per_vehicle.pkm.ES.Tr.Road.Passenger.Car.BEV</t>
  </si>
  <si>
    <t>Activity_per_vehicle.pkm.ES.Tr.Road.Passenger.Bus</t>
  </si>
  <si>
    <t>Activity_per_vehicle.pkm.ES.Tr.Road.Passenger.Bus.ICE.Gasoline</t>
  </si>
  <si>
    <t>Activity_per_vehicle.pkm.ES.Tr.Road.Passenger.Bus.ICE.Diesel</t>
  </si>
  <si>
    <t>Activity_per_vehicle.pkm.ES.Tr.Road.Passenger.Bus.ICE.LPG</t>
  </si>
  <si>
    <t>Activity_per_vehicle.pkm.ES.Tr.Road.Passenger.Bus.ICE.NGas</t>
  </si>
  <si>
    <t>Activity_per_vehicle.pkm.ES.Tr.Road.Passenger.Bus.ICE.BEV</t>
  </si>
  <si>
    <t>Activity_per_vehicle.tkm.ES.Tr.Road.Freight</t>
  </si>
  <si>
    <t>Activity_per_vehicle.tkm.ES.Tr.Road.Freight.LCV</t>
  </si>
  <si>
    <t>Activity_per_vehicle.tkm.ES.Tr.Road.Freight.LCV.ICE.Gasoline</t>
  </si>
  <si>
    <t>Activity_per_vehicle.tkm.ES.Tr.Road.Freight.LCV.ICE.Diesel</t>
  </si>
  <si>
    <t>Activity_per_vehicle.tkm.ES.Tr.Road.Freight.LCV.ICE.LPG</t>
  </si>
  <si>
    <t>Activity_per_vehicle.tkm.ES.Tr.Road.Freight.LCV.ICE.NGas</t>
  </si>
  <si>
    <t>Activity_per_vehicle.tkm.ES.Tr.Road.Freight.LCV.ICE.BEV</t>
  </si>
  <si>
    <t>Activity_per_vehicle.tkm.ES.Tr.Road.Freight.HGV</t>
  </si>
  <si>
    <t>Activity_per_vehicle.tkm.ES.Tr.Road.Freight.HGV.Domestic</t>
  </si>
  <si>
    <t>Activity_per_vehicle.tkm.ES.Tr.Road.Freight.HGV.International</t>
  </si>
  <si>
    <t>Road transport / energy consumption - ES - Spain</t>
  </si>
  <si>
    <t>FEC.ktoe.ES.ES.Tr.Road</t>
  </si>
  <si>
    <t>FEC.ktoe.ES.ES.Tr.Road.LPG</t>
  </si>
  <si>
    <t>FEC.ktoe.ES.ES.Tr.Road.Gasoline</t>
  </si>
  <si>
    <t>FEC.ktoe.ES.ES.Tr.Road.Diesel</t>
  </si>
  <si>
    <t>FEC.ktoe.ES.ES.Tr.Road.NG</t>
  </si>
  <si>
    <t>FEC.ktoe.ES.ES.Tr.Road.Biogas</t>
  </si>
  <si>
    <t>FEC.ktoe.ES.ES.Tr.Road.Biogasoline</t>
  </si>
  <si>
    <t>FEC.ktoe.ES.ES.Tr.Road.Biodiesel</t>
  </si>
  <si>
    <t>FEC.ktoe.ES.ES.Tr.Road.OthLiqBio</t>
  </si>
  <si>
    <t>FEC.ktoe.ES.ES.Tr.Road.Elec</t>
  </si>
  <si>
    <t>FEC.ktoe.ES.Tr.Road</t>
  </si>
  <si>
    <t>FEC.ktoe.ES.Tr.Road.Passenger.P2W.Biogasoline</t>
  </si>
  <si>
    <t>FEC.ktoe.ES.Tr.Road.Passenger.Car.ICE.Gasoline</t>
  </si>
  <si>
    <t>FEC.ktoe.ES.Tr.Road.Passenger.Car.ICE.Gasoline.Biogasoline</t>
  </si>
  <si>
    <t>FEC.ktoe.ES.Tr.Road.Passenger.Car.ICE.Diesel</t>
  </si>
  <si>
    <t>FEC.ktoe.ES.Tr.Road.Passenger.Car.ICE.Diesel.BioDiesel_OthLiqBio</t>
  </si>
  <si>
    <t>FEC.ktoe.ES.Tr.Road.Passenger.Car.ICE.LPG</t>
  </si>
  <si>
    <t>FEC.ktoe.ES.Tr.Road.Passenger.Car.ICE.NGas</t>
  </si>
  <si>
    <t>FEC.ktoe.ES.Tr.Road.Passenger.Car.ICE.NGas.Biogas</t>
  </si>
  <si>
    <t>FEC.ktoe.ES.Tr.Road.Passenger.Car.PHEV</t>
  </si>
  <si>
    <t>FEC.ktoe.ES.Tr.Road.Passenger.Car.PHEV.Biogasoline</t>
  </si>
  <si>
    <t>FEC.ktoe.ES.Tr.Road.Passenger.Car.PHEV.Elec</t>
  </si>
  <si>
    <t>FEC.ktoe.ES.Tr.Road.Passenger.Car.BEV</t>
  </si>
  <si>
    <t>FEC.ktoe.ES.Tr.Road.Passenger.Bus.ICE.Gasoline</t>
  </si>
  <si>
    <t>FEC.ktoe.ES.Tr.Road.Passenger.Bus.ICE.Gasoline.Biogasoline</t>
  </si>
  <si>
    <t>FEC.ktoe.ES.Tr.Road.Passenger.Bus.ICE.Diesel</t>
  </si>
  <si>
    <t>FEC.ktoe.ES.Tr.Road.Passenger.Bus.ICE.Diesel.BioDiesel_OthLiqBio</t>
  </si>
  <si>
    <t>FEC.ktoe.ES.Tr.Road.Passenger.Bus.ICE.LPG</t>
  </si>
  <si>
    <t>FEC.ktoe.ES.Tr.Road.Passenger.Bus.ICE.NGas</t>
  </si>
  <si>
    <t>FEC.ktoe.ES.Tr.Road.Passenger.Bus.ICE.NGas.Biogas</t>
  </si>
  <si>
    <t>FEC.ktoe.ES.Tr.Road.Passenger.Bus.ICE.BEV</t>
  </si>
  <si>
    <t>FEC.ktoe.ES.Tr.Road.Freight.LCV.ICE.Gasoline</t>
  </si>
  <si>
    <t>FEC.ktoe.ES.Tr.Road.Freight.LCV.ICE.Gasoline.Biogasoline</t>
  </si>
  <si>
    <t>FEC.ktoe.ES.Tr.Road.Freight.LCV.ICE.Diesel</t>
  </si>
  <si>
    <t>FEC.ktoe.ES.Tr.Road.Freight.LCV.ICE.Diesel.BioDiesel_OthLiqBio</t>
  </si>
  <si>
    <t>FEC.ktoe.ES.Tr.Road.Freight.LCV.ICE.LPG</t>
  </si>
  <si>
    <t>FEC.ktoe.ES.Tr.Road.Freight.LCV.ICE.NGas</t>
  </si>
  <si>
    <t>FEC.ktoe.ES.Tr.Road.Freight.LCV.ICE.NGas.Biogas</t>
  </si>
  <si>
    <t>FEC.ktoe.ES.Tr.Road.Freight.LCV.ICE.BEV</t>
  </si>
  <si>
    <t>FEC.ktoe.ES.Tr.Road.Freight.HGV.Domestic</t>
  </si>
  <si>
    <t>FEC.ktoe.ES.Tr.Road.Freight.HGV.Domestic.BioDiesel_OthLiqBio</t>
  </si>
  <si>
    <t>FEC.ktoe.ES.Tr.Road.Freight.HGV.International</t>
  </si>
  <si>
    <t>FEC.ktoe.ES.Tr.Road.Freight.HGV.International.BioDiesel_OthLiqBio</t>
  </si>
  <si>
    <t>Eff.kgoe_per_100km.ES.Tr.Road</t>
  </si>
  <si>
    <t>Eff.kgoe_per_100km.ES.Tr.Road.Passenger</t>
  </si>
  <si>
    <t>Eff.kgoe_per_100km.ES.Tr.Road.Passenger.P2W</t>
  </si>
  <si>
    <t>Eff.kgoe_per_100km.ES.Tr.Road.Passenger.Car</t>
  </si>
  <si>
    <t>Eff.kgoe_per_100km.ES.Tr.Road.Passenger.Car.ICE.Gasoline</t>
  </si>
  <si>
    <t>Eff.kgoe_per_100km.ES.Tr.Road.Passenger.Car.ICE.Diesel</t>
  </si>
  <si>
    <t>Eff.kgoe_per_100km.ES.Tr.Road.Passenger.Car.ICE.LPG</t>
  </si>
  <si>
    <t>Eff.kgoe_per_100km.ES.Tr.Road.Passenger.Car.ICE.NGas</t>
  </si>
  <si>
    <t>Eff.kgoe_per_100km.ES.Tr.Road.Passenger.Car.PHEV</t>
  </si>
  <si>
    <t>Eff.kgoe_per_100km.ES.Tr.Road.Passenger.Car.BEV</t>
  </si>
  <si>
    <t>Eff.kgoe_per_100km.ES.Tr.Road.Passenger.Bus</t>
  </si>
  <si>
    <t>Eff.kgoe_per_100km.ES.Tr.Road.Passenger.Bus.ICE.Gasoline</t>
  </si>
  <si>
    <t>Eff.kgoe_per_100km.ES.Tr.Road.Passenger.Bus.ICE.Diesel</t>
  </si>
  <si>
    <t>Eff.kgoe_per_100km.ES.Tr.Road.Passenger.Bus.ICE.LPG</t>
  </si>
  <si>
    <t>Eff.kgoe_per_100km.ES.Tr.Road.Passenger.Bus.ICE.NGas</t>
  </si>
  <si>
    <t>Eff.kgoe_per_100km.ES.Tr.Road.Passenger.Bus.ICE.BEV</t>
  </si>
  <si>
    <t>Eff.kgoe_per_100km.ES.Tr.Road.Freight</t>
  </si>
  <si>
    <t>Eff.kgoe_per_100km.ES.Tr.Road.Freight.LCV</t>
  </si>
  <si>
    <t>Eff.kgoe_per_100km.ES.Tr.Road.Freight.LCV.ICE.Gasoline</t>
  </si>
  <si>
    <t>Eff.kgoe_per_100km.ES.Tr.Road.Freight.LCV.ICE.Diesel</t>
  </si>
  <si>
    <t>Eff.kgoe_per_100km.ES.Tr.Road.Freight.LCV.ICE.LPG</t>
  </si>
  <si>
    <t>Eff.kgoe_per_100km.ES.Tr.Road.Freight.LCV.ICE.NGas</t>
  </si>
  <si>
    <t>Eff.kgoe_per_100km.ES.Tr.Road.Freight.LCV.ICE.BEV</t>
  </si>
  <si>
    <t>Eff.kgoe_per_100km.ES.Tr.Road.Freight.HGV</t>
  </si>
  <si>
    <t>Eff.kgoe_per_100km.ES.Tr.Road.Freight.HGV.Domestic</t>
  </si>
  <si>
    <t>Eff.kgoe_per_100km.ES.Tr.Road.Freight.HGV.International</t>
  </si>
  <si>
    <t>Eff.kgoe_per_kpkm.ES.Tr.Road.Passenger.Car.ICE.Gasoline</t>
  </si>
  <si>
    <t>Eff.kgoe_per_kpkm.ES.Tr.Road.Passenger.Car.ICE.Diesel</t>
  </si>
  <si>
    <t>Eff.kgoe_per_kpkm.ES.Tr.Road.Passenger.Car.ICE.LPG</t>
  </si>
  <si>
    <t>Eff.kgoe_per_kpkm.ES.Tr.Road.Passenger.Car.ICE.NGas</t>
  </si>
  <si>
    <t>Eff.kgoe_per_kpkm.ES.Tr.Road.Passenger.Car.PHEV</t>
  </si>
  <si>
    <t>Eff.kgoe_per_kpkm.ES.Tr.Road.Passenger.Car.BEV</t>
  </si>
  <si>
    <t>Eff.kgoe_per_kpkm.ES.Tr.Road.Passenger.Bus.ICE.Gasoline</t>
  </si>
  <si>
    <t>Eff.kgoe_per_kpkm.ES.Tr.Road.Passenger.Bus.ICE.Diesel</t>
  </si>
  <si>
    <t>Eff.kgoe_per_kpkm.ES.Tr.Road.Passenger.Bus.ICE.LPG</t>
  </si>
  <si>
    <t>Eff.kgoe_per_kpkm.ES.Tr.Road.Passenger.Bus.ICE.NGas</t>
  </si>
  <si>
    <t>Eff.kgoe_per_kpkm.ES.Tr.Road.Passenger.Bus.ICE.BEV</t>
  </si>
  <si>
    <t>Eff.kgoe_per_ktkm.ES.Tr.Road.Freight.LCV.ICE.Gasoline</t>
  </si>
  <si>
    <t>Eff.kgoe_per_ktkm.ES.Tr.Road.Freight.LCV.ICE.Diesel</t>
  </si>
  <si>
    <t>Eff.kgoe_per_ktkm.ES.Tr.Road.Freight.LCV.ICE.LPG</t>
  </si>
  <si>
    <t>Eff.kgoe_per_ktkm.ES.Tr.Road.Freight.LCV.ICE.NGas</t>
  </si>
  <si>
    <t>Eff.kgoe_per_ktkm.ES.Tr.Road.Freight.LCV.ICE.BEV</t>
  </si>
  <si>
    <t>Eff.kgoe_per_ktkm.ES.Tr.Road.Freight.HGV.Domestic</t>
  </si>
  <si>
    <t>Eff.kgoe_per_ktkm.ES.Tr.Road.Freight.HGV.International</t>
  </si>
  <si>
    <t>FEC_per_vehicle.kgoe.ES.Tr.Road.Passenger.P2W</t>
  </si>
  <si>
    <t>FEC_per_vehicle.kgoe.ES.Tr.Road.Passenger.Car</t>
  </si>
  <si>
    <t>FEC_per_vehicle.kgoe.ES.Tr.Road.Passenger.Car.ICE.Gasoline</t>
  </si>
  <si>
    <t>FEC_per_vehicle.kgoe.ES.Tr.Road.Passenger.Car.ICE.Diesel</t>
  </si>
  <si>
    <t>FEC_per_vehicle.kgoe.ES.Tr.Road.Passenger.Car.ICE.LPG</t>
  </si>
  <si>
    <t>FEC_per_vehicle.kgoe.ES.Tr.Road.Passenger.Car.ICE.NGas</t>
  </si>
  <si>
    <t>FEC_per_vehicle.kgoe.ES.Tr.Road.Passenger.Car.PHEV</t>
  </si>
  <si>
    <t>FEC_per_vehicle.kgoe.ES.Tr.Road.Passenger.Car.BEV</t>
  </si>
  <si>
    <t>FEC_per_vehicle.kgoe.ES.Tr.Road.Passenger.Bus</t>
  </si>
  <si>
    <t>FEC_per_vehicle.kgoe.ES.Tr.Road.Passenger.Bus.ICE.Gasoline</t>
  </si>
  <si>
    <t>FEC_per_vehicle.kgoe.ES.Tr.Road.Passenger.Bus.ICE.Diesel</t>
  </si>
  <si>
    <t>FEC_per_vehicle.kgoe.ES.Tr.Road.Passenger.Bus.ICE.LPG</t>
  </si>
  <si>
    <t>FEC_per_vehicle.kgoe.ES.Tr.Road.Passenger.Bus.ICE.NGas</t>
  </si>
  <si>
    <t>FEC_per_vehicle.kgoe.ES.Tr.Road.Passenger.Bus.ICE.BEV</t>
  </si>
  <si>
    <t>FEC_per_vehicle.kgoe.ES.Tr.Road.Freight.LCV</t>
  </si>
  <si>
    <t>FEC_per_vehicle.kgoe.ES.Tr.Road.Freight.LCV.ICE.Gasoline</t>
  </si>
  <si>
    <t>FEC_per_vehicle.kgoe.ES.Tr.Road.Freight.LCV.ICE.Diesel</t>
  </si>
  <si>
    <t>FEC_per_vehicle.kgoe.ES.Tr.Road.Freight.LCV.ICE.LPG</t>
  </si>
  <si>
    <t>FEC_per_vehicle.kgoe.ES.Tr.Road.Freight.LCV.ICE.NGas</t>
  </si>
  <si>
    <t>FEC_per_vehicle.kgoe.ES.Tr.Road.Freight.LCV.ICE.BEV</t>
  </si>
  <si>
    <t>FEC_per_vehicle.kgoe.ES.Tr.Road.Freight.HGV</t>
  </si>
  <si>
    <t>FEC_per_vehicle.kgoe.ES.Tr.Road.Freight.HGV.Domestic</t>
  </si>
  <si>
    <t>FEC_per_vehicle.kgoe.ES.Tr.Road.Freight.HGV.International</t>
  </si>
  <si>
    <t>Road transport / CO2 emissions - ES - Spain</t>
  </si>
  <si>
    <t>EMI.ktCO2.ES.ES.Tr.Road</t>
  </si>
  <si>
    <t>EMI.ktCO2.ES.ES.Tr.Road.LPG</t>
  </si>
  <si>
    <t>EMI.ktCO2.ES.ES.Tr.Road.Gasoline</t>
  </si>
  <si>
    <t>EMI.ktCO2.ES.ES.Tr.Road.Diesel</t>
  </si>
  <si>
    <t>EMI.ktCO2.ES.ES.Tr.Road.NG</t>
  </si>
  <si>
    <t>EMI.ktCO2.ES.ES.Tr.Road.Biogas</t>
  </si>
  <si>
    <t>EMI.ktCO2.ES.ES.Tr.Road.Biogasoline</t>
  </si>
  <si>
    <t>EMI.ktCO2.ES.ES.Tr.Road.Biodiesel</t>
  </si>
  <si>
    <t>EMI.ktCO2.ES.ES.Tr.Road.OthLiqBio</t>
  </si>
  <si>
    <t>EMI.ktCO2.ES.ES.Tr.Road.Elec</t>
  </si>
  <si>
    <t>EMI.ktCO2.ES.Tr.Road</t>
  </si>
  <si>
    <t>EMI.ktCO2.ES.Tr.Road.Passenger.Car.ICE.Gasoline</t>
  </si>
  <si>
    <t>EMI.ktCO2.ES.Tr.Road.Passenger.Car.ICE.Diesel</t>
  </si>
  <si>
    <t>EMI.ktCO2.ES.Tr.Road.Passenger.Car.ICE.LPG</t>
  </si>
  <si>
    <t>EMI.ktCO2.ES.Tr.Road.Passenger.Car.ICE.NGas</t>
  </si>
  <si>
    <t>EMI.ktCO2.ES.Tr.Road.Passenger.Car.PHEV</t>
  </si>
  <si>
    <t>EMI.ktCO2.ES.Tr.Road.Passenger.Car.BEV</t>
  </si>
  <si>
    <t>EMI.ktCO2.ES.Tr.Road.Passenger.Bus.ICE.Gasoline</t>
  </si>
  <si>
    <t>EMI.ktCO2.ES.Tr.Road.Passenger.Bus.ICE.Diesel</t>
  </si>
  <si>
    <t>EMI.ktCO2.ES.Tr.Road.Passenger.Bus.ICE.LPG</t>
  </si>
  <si>
    <t>EMI.ktCO2.ES.Tr.Road.Passenger.Bus.ICE.NGas</t>
  </si>
  <si>
    <t>EMI.ktCO2.ES.Tr.Road.Passenger.Bus.ICE.BEV</t>
  </si>
  <si>
    <t>EMI.ktCO2.ES.Tr.Road.Freight.LCV.ICE.Gasoline</t>
  </si>
  <si>
    <t>EMI.ktCO2.ES.Tr.Road.Freight.LCV.ICE.Diesel</t>
  </si>
  <si>
    <t>EMI.ktCO2.ES.Tr.Road.Freight.LCV.ICE.LPG</t>
  </si>
  <si>
    <t>EMI.ktCO2.ES.Tr.Road.Freight.LCV.ICE.NGas</t>
  </si>
  <si>
    <t>EMI.ktCO2.ES.Tr.Road.Freight.LCV.ICE.BEV</t>
  </si>
  <si>
    <t>EMI.ktCO2.ES.Tr.Road.Freight.HGV.Domestic</t>
  </si>
  <si>
    <t>EMI.ktCO2.ES.Tr.Road.Freight.HGV.International</t>
  </si>
  <si>
    <t>EMIint.gCO2_per_km.ES.Tr.Road</t>
  </si>
  <si>
    <t>EMIint.gCO2_per_km.ES.Tr.Road.Passenger</t>
  </si>
  <si>
    <t>EMIint.gCO2_per_km.ES.Tr.Road.Passenger.P2W</t>
  </si>
  <si>
    <t>EMIint.gCO2_per_km.ES.Tr.Road.Passenger.Car</t>
  </si>
  <si>
    <t>EMIint.gCO2_per_km.ES.Tr.Road.Passenger.Car.ICE.Gasoline</t>
  </si>
  <si>
    <t>EMIint.gCO2_per_km.ES.Tr.Road.Passenger.Car.ICE.Diesel</t>
  </si>
  <si>
    <t>EMIint.gCO2_per_km.ES.Tr.Road.Passenger.Car.ICE.LPG</t>
  </si>
  <si>
    <t>EMIint.gCO2_per_km.ES.Tr.Road.Passenger.Car.ICE.NGas</t>
  </si>
  <si>
    <t>EMIint.gCO2_per_km.ES.Tr.Road.Passenger.Car.PHEV</t>
  </si>
  <si>
    <t>EMIint.gCO2_per_km.ES.Tr.Road.Passenger.Car.BEV</t>
  </si>
  <si>
    <t>EMIint.gCO2_per_km.ES.Tr.Road.Passenger.Bus</t>
  </si>
  <si>
    <t>EMIint.gCO2_per_km.ES.Tr.Road.Passenger.Bus.ICE.Gasoline</t>
  </si>
  <si>
    <t>EMIint.gCO2_per_km.ES.Tr.Road.Passenger.Bus.ICE.Diesel</t>
  </si>
  <si>
    <t>EMIint.gCO2_per_km.ES.Tr.Road.Passenger.Bus.ICE.LPG</t>
  </si>
  <si>
    <t>EMIint.gCO2_per_km.ES.Tr.Road.Passenger.Bus.ICE.NGas</t>
  </si>
  <si>
    <t>EMIint.gCO2_per_km.ES.Tr.Road.Passenger.Bus.ICE.BEV</t>
  </si>
  <si>
    <t>EMIint.gCO2_per_km.ES.Tr.Road.Freight</t>
  </si>
  <si>
    <t>EMIint.gCO2_per_km.ES.Tr.Road.Freight.LCV</t>
  </si>
  <si>
    <t>EMIint.gCO2_per_km.ES.Tr.Road.Freight.LCV.ICE.Gasoline</t>
  </si>
  <si>
    <t>EMIint.gCO2_per_km.ES.Tr.Road.Freight.LCV.ICE.Diesel</t>
  </si>
  <si>
    <t>EMIint.gCO2_per_km.ES.Tr.Road.Freight.LCV.ICE.LPG</t>
  </si>
  <si>
    <t>EMIint.gCO2_per_km.ES.Tr.Road.Freight.LCV.ICE.NGas</t>
  </si>
  <si>
    <t>EMIint.gCO2_per_km.ES.Tr.Road.Freight.LCV.ICE.BEV</t>
  </si>
  <si>
    <t>EMIint.gCO2_per_km.ES.Tr.Road.Freight.HGV</t>
  </si>
  <si>
    <t>EMIint.gCO2_per_km.ES.Tr.Road.Freight.HGV.Domestic</t>
  </si>
  <si>
    <t>EMIint.gCO2_per_km.ES.Tr.Road.Freight.HGV.International</t>
  </si>
  <si>
    <t>EMIint.gCO2_per_pkm.ES.Tr.Road.Passenger.Car.ICE.Gasoline</t>
  </si>
  <si>
    <t>EMIint.gCO2_per_pkm.ES.Tr.Road.Passenger.Car.ICE.Diesel</t>
  </si>
  <si>
    <t>EMIint.gCO2_per_pkm.ES.Tr.Road.Passenger.Car.ICE.LPG</t>
  </si>
  <si>
    <t>EMIint.gCO2_per_pkm.ES.Tr.Road.Passenger.Car.ICE.NGas</t>
  </si>
  <si>
    <t>EMIint.gCO2_per_pkm.ES.Tr.Road.Passenger.Car.PHEV</t>
  </si>
  <si>
    <t>EMIint.gCO2_per_pkm.ES.Tr.Road.Passenger.Car.BEV</t>
  </si>
  <si>
    <t>EMIint.gCO2_per_pkm.ES.Tr.Road.Passenger.Bus.ICE.Gasoline</t>
  </si>
  <si>
    <t>EMIint.gCO2_per_pkm.ES.Tr.Road.Passenger.Bus.ICE.Diesel</t>
  </si>
  <si>
    <t>EMIint.gCO2_per_pkm.ES.Tr.Road.Passenger.Bus.ICE.LPG</t>
  </si>
  <si>
    <t>EMIint.gCO2_per_pkm.ES.Tr.Road.Passenger.Bus.ICE.NGas</t>
  </si>
  <si>
    <t>EMIint.gCO2_per_pkm.ES.Tr.Road.Passenger.Bus.ICE.BEV</t>
  </si>
  <si>
    <t>EMIint.gCO2_per_tkm.ES.Tr.Road.Freight.LCV.ICE.Gasoline</t>
  </si>
  <si>
    <t>EMIint.gCO2_per_tkm.ES.Tr.Road.Freight.LCV.ICE.Diesel</t>
  </si>
  <si>
    <t>EMIint.gCO2_per_tkm.ES.Tr.Road.Freight.LCV.ICE.LPG</t>
  </si>
  <si>
    <t>EMIint.gCO2_per_tkm.ES.Tr.Road.Freight.LCV.ICE.NGas</t>
  </si>
  <si>
    <t>EMIint.gCO2_per_tkm.ES.Tr.Road.Freight.LCV.ICE.BEV</t>
  </si>
  <si>
    <t>EMIint.gCO2_per_tkm.ES.Tr.Road.Freight.HGV.Domestic</t>
  </si>
  <si>
    <t>EMIint.gCO2_per_tkm.ES.Tr.Road.Freight.HGV.International</t>
  </si>
  <si>
    <t>EMI_per_vehicle.kgCO2.ES.Tr.Road.Passenger.P2W</t>
  </si>
  <si>
    <t>EMI_per_vehicle.kgCO2.ES.Tr.Road.Passenger.Car</t>
  </si>
  <si>
    <t>EMI_per_vehicle.kgCO2.ES.Tr.Road.Passenger.Car.ICE.Gasoline</t>
  </si>
  <si>
    <t>EMI_per_vehicle.kgCO2.ES.Tr.Road.Passenger.Car.ICE.Diesel</t>
  </si>
  <si>
    <t>EMI_per_vehicle.kgCO2.ES.Tr.Road.Passenger.Car.ICE.LPG</t>
  </si>
  <si>
    <t>EMI_per_vehicle.kgCO2.ES.Tr.Road.Passenger.Car.ICE.NGas</t>
  </si>
  <si>
    <t>EMI_per_vehicle.kgCO2.ES.Tr.Road.Passenger.Car.PHEV</t>
  </si>
  <si>
    <t>EMI_per_vehicle.kgCO2.ES.Tr.Road.Passenger.Car.BEV</t>
  </si>
  <si>
    <t>EMI_per_vehicle.kgCO2.ES.Tr.Road.Passenger.Bus</t>
  </si>
  <si>
    <t>EMI_per_vehicle.kgCO2.ES.Tr.Road.Passenger.Bus.ICE.Gasoline</t>
  </si>
  <si>
    <t>EMI_per_vehicle.kgCO2.ES.Tr.Road.Passenger.Bus.ICE.Diesel</t>
  </si>
  <si>
    <t>EMI_per_vehicle.kgCO2.ES.Tr.Road.Passenger.Bus.ICE.LPG</t>
  </si>
  <si>
    <t>EMI_per_vehicle.kgCO2.ES.Tr.Road.Passenger.Bus.ICE.NGas</t>
  </si>
  <si>
    <t>EMI_per_vehicle.kgCO2.ES.Tr.Road.Passenger.Bus.ICE.BEV</t>
  </si>
  <si>
    <t>EMI_per_vehicle.kgCO2.ES.Tr.Road.Freight.LCV</t>
  </si>
  <si>
    <t>EMI_per_vehicle.kgCO2.ES.Tr.Road.Freight.LCV.ICE.Gasoline</t>
  </si>
  <si>
    <t>EMI_per_vehicle.kgCO2.ES.Tr.Road.Freight.LCV.ICE.Diesel</t>
  </si>
  <si>
    <t>EMI_per_vehicle.kgCO2.ES.Tr.Road.Freight.LCV.ICE.LPG</t>
  </si>
  <si>
    <t>EMI_per_vehicle.kgCO2.ES.Tr.Road.Freight.LCV.ICE.NGas</t>
  </si>
  <si>
    <t>EMI_per_vehicle.kgCO2.ES.Tr.Road.Freight.LCV.ICE.BEV</t>
  </si>
  <si>
    <t>EMI_per_vehicle.kgCO2.ES.Tr.Road.Freight.HGV</t>
  </si>
  <si>
    <t>EMI_per_vehicle.kgCO2.ES.Tr.Road.Freight.HGV.Domestic</t>
  </si>
  <si>
    <t>EMI_per_vehicle.kgCO2.ES.Tr.Road.Freight.HGV.International</t>
  </si>
  <si>
    <t>Road transport / technologies - ES - Spain</t>
  </si>
  <si>
    <t>StockVin.number.ES.Tr.Road</t>
  </si>
  <si>
    <t>StockVin.number.ES.Tr.Road.Passenger</t>
  </si>
  <si>
    <t>StockVin.number.ES.Tr.Road.Passenger.P2W</t>
  </si>
  <si>
    <t>StockVin.number.ES.Tr.Road.Passenger.Car</t>
  </si>
  <si>
    <t>StockVin.number.ES.Tr.Road.Passenger.Car.ICE.Gasoline</t>
  </si>
  <si>
    <t>StockVin.number.ES.Tr.Road.Passenger.Car.ICE.Diesel</t>
  </si>
  <si>
    <t>StockVin.number.ES.Tr.Road.Passenger.Car.ICE.LPG</t>
  </si>
  <si>
    <t>StockVin.number.ES.Tr.Road.Passenger.Car.ICE.NGas</t>
  </si>
  <si>
    <t>StockVin.number.ES.Tr.Road.Passenger.Car.PHEV</t>
  </si>
  <si>
    <t>StockVin.number.ES.Tr.Road.Passenger.Car.BEV</t>
  </si>
  <si>
    <t>StockVin.number.ES.Tr.Road.Passenger.Bus</t>
  </si>
  <si>
    <t>StockVin.number.ES.Tr.Road.Passenger.Bus.ICE.Gasoline</t>
  </si>
  <si>
    <t>StockVin.number.ES.Tr.Road.Passenger.Bus.ICE.Diesel</t>
  </si>
  <si>
    <t>StockVin.number.ES.Tr.Road.Passenger.Bus.ICE.LPG</t>
  </si>
  <si>
    <t>StockVin.number.ES.Tr.Road.Passenger.Bus.ICE.NGas</t>
  </si>
  <si>
    <t>StockVin.number.ES.Tr.Road.Passenger.Bus.ICE.BEV</t>
  </si>
  <si>
    <t>StockVin.number.ES.Tr.Road.Freight</t>
  </si>
  <si>
    <t>StockVin.number.ES.Tr.Road.Freight.LCV</t>
  </si>
  <si>
    <t>StockVin.number.ES.Tr.Road.Freight.LCV.ICE.Gasoline</t>
  </si>
  <si>
    <t>StockVin.number.ES.Tr.Road.Freight.LCV.ICE.Diesel</t>
  </si>
  <si>
    <t>StockVin.number.ES.Tr.Road.Freight.LCV.ICE.LPG</t>
  </si>
  <si>
    <t>StockVin.number.ES.Tr.Road.Freight.LCV.ICE.NGas</t>
  </si>
  <si>
    <t>StockVin.number.ES.Tr.Road.Freight.LCV.ICE.BEV</t>
  </si>
  <si>
    <t>StockVin.number.ES.Tr.Road.Freight.HGV</t>
  </si>
  <si>
    <t>StockVin.number.ES.Tr.Road.Freight.HGV.Domestic</t>
  </si>
  <si>
    <t>StockVin.number.ES.Tr.Road.Freight.HGV.International</t>
  </si>
  <si>
    <t>Eff_test_stock.kgoe_per_100km.ES.Tr.Road.Passenger.P2W</t>
  </si>
  <si>
    <t>Eff_test_stock.kgoe_per_100km.ES.Tr.Road.Passenger.Car</t>
  </si>
  <si>
    <t>Eff_test_stock.kgoe_per_100km.ES.Tr.Road.Passenger.Car.ICE.Gasoline</t>
  </si>
  <si>
    <t>Eff_test_stock.kgoe_per_100km.ES.Tr.Road.Passenger.Car.ICE.Diesel</t>
  </si>
  <si>
    <t>Eff_test_stock.kgoe_per_100km.ES.Tr.Road.Passenger.Car.ICE.LPG</t>
  </si>
  <si>
    <t>Eff_test_stock.kgoe_per_100km.ES.Tr.Road.Passenger.Car.ICE.NGas</t>
  </si>
  <si>
    <t>Eff_test_stock.kgoe_per_100km.ES.Tr.Road.Passenger.Car.PHEV</t>
  </si>
  <si>
    <t>Eff_test_stock.kgoe_per_100km.ES.Tr.Road.Passenger.Car.BEV</t>
  </si>
  <si>
    <t>Eff_test_stock.kgoe_per_100km.ES.Tr.Road.Passenger.Bus</t>
  </si>
  <si>
    <t>Eff_test_stock.kgoe_per_100km.ES.Tr.Road.Passenger.Bus.ICE.Gasoline</t>
  </si>
  <si>
    <t>Eff_test_stock.kgoe_per_100km.ES.Tr.Road.Passenger.Bus.ICE.Diesel</t>
  </si>
  <si>
    <t>Eff_test_stock.kgoe_per_100km.ES.Tr.Road.Passenger.Bus.ICE.LPG</t>
  </si>
  <si>
    <t>Eff_test_stock.kgoe_per_100km.ES.Tr.Road.Passenger.Bus.ICE.NGas</t>
  </si>
  <si>
    <t>Eff_test_stock.kgoe_per_100km.ES.Tr.Road.Passenger.Bus.ICE.BEV</t>
  </si>
  <si>
    <t>Eff_test_stock.kgoe_per_100km.ES.Tr.Road.Freight.LCV</t>
  </si>
  <si>
    <t>Eff_test_stock.kgoe_per_100km.ES.Tr.Road.Freight.LCV.ICE.Gasoline</t>
  </si>
  <si>
    <t>Eff_test_stock.kgoe_per_100km.ES.Tr.Road.Freight.LCV.ICE.Diesel</t>
  </si>
  <si>
    <t>Eff_test_stock.kgoe_per_100km.ES.Tr.Road.Freight.LCV.ICE.LPG</t>
  </si>
  <si>
    <t>Eff_test_stock.kgoe_per_100km.ES.Tr.Road.Freight.LCV.ICE.NGas</t>
  </si>
  <si>
    <t>Eff_test_stock.kgoe_per_100km.ES.Tr.Road.Freight.LCV.ICE.BEV</t>
  </si>
  <si>
    <t>Eff_test_stock.kgoe_per_100km.ES.Tr.Road.Freight.HGV</t>
  </si>
  <si>
    <t>Eff_test_stock.kgoe_per_100km.ES.Tr.Road.Freight.HGV.Domestic</t>
  </si>
  <si>
    <t>Eff_test_stock.kgoe_per_100km.ES.Tr.Road.Freight.HGV.International</t>
  </si>
  <si>
    <t>Eff_test_new.kgoe_per_100km.ES.Tr.Road.Passenger.P2W</t>
  </si>
  <si>
    <t>Eff_test_new.kgoe_per_100km.ES.Tr.Road.Passenger.Car</t>
  </si>
  <si>
    <t>Eff_test_new.kgoe_per_100km.ES.Tr.Road.Passenger.Car.ICE.Gasoline</t>
  </si>
  <si>
    <t>Eff_test_new.kgoe_per_100km.ES.Tr.Road.Passenger.Car.ICE.Diesel</t>
  </si>
  <si>
    <t>Eff_test_new.kgoe_per_100km.ES.Tr.Road.Passenger.Car.ICE.LPG</t>
  </si>
  <si>
    <t>Eff_test_new.kgoe_per_100km.ES.Tr.Road.Passenger.Car.ICE.NGas</t>
  </si>
  <si>
    <t>Eff_test_new.kgoe_per_100km.ES.Tr.Road.Passenger.Car.PHEV</t>
  </si>
  <si>
    <t>Eff_test_new.kgoe_per_100km.ES.Tr.Road.Passenger.Car.BEV</t>
  </si>
  <si>
    <t>Eff_test_new.kgoe_per_100km.ES.Tr.Road.Passenger.Bus</t>
  </si>
  <si>
    <t>Eff_test_new.kgoe_per_100km.ES.Tr.Road.Passenger.Bus.ICE.Gasoline</t>
  </si>
  <si>
    <t>Eff_test_new.kgoe_per_100km.ES.Tr.Road.Passenger.Bus.ICE.Diesel</t>
  </si>
  <si>
    <t>Eff_test_new.kgoe_per_100km.ES.Tr.Road.Passenger.Bus.ICE.LPG</t>
  </si>
  <si>
    <t>Eff_test_new.kgoe_per_100km.ES.Tr.Road.Passenger.Bus.ICE.NGas</t>
  </si>
  <si>
    <t>Eff_test_new.kgoe_per_100km.ES.Tr.Road.Passenger.Bus.ICE.BEV</t>
  </si>
  <si>
    <t>Eff_test_new.kgoe_per_100km.ES.Tr.Road.Freight.LCV</t>
  </si>
  <si>
    <t>Eff_test_new.kgoe_per_100km.ES.Tr.Road.Freight.LCV.ICE.Gasoline</t>
  </si>
  <si>
    <t>Eff_test_new.kgoe_per_100km.ES.Tr.Road.Freight.LCV.ICE.Diesel</t>
  </si>
  <si>
    <t>Eff_test_new.kgoe_per_100km.ES.Tr.Road.Freight.LCV.ICE.LPG</t>
  </si>
  <si>
    <t>Eff_test_new.kgoe_per_100km.ES.Tr.Road.Freight.LCV.ICE.NGas</t>
  </si>
  <si>
    <t>Eff_test_new.kgoe_per_100km.ES.Tr.Road.Freight.LCV.ICE.BEV</t>
  </si>
  <si>
    <t>Eff_test_new.kgoe_per_100km.ES.Tr.Road.Freight.HGV</t>
  </si>
  <si>
    <t>Eff_test_new.kgoe_per_100km.ES.Tr.Road.Freight.HGV.Domestic</t>
  </si>
  <si>
    <t>Eff_test_new.kgoe_per_100km.ES.Tr.Road.Freight.HGV.International</t>
  </si>
  <si>
    <t>EMIint_test_stock.gCO2_per_km.ES.Tr.Road.Passenger.P2W</t>
  </si>
  <si>
    <t>EMIint_test_stock.gCO2_per_km.ES.Tr.Road.Passenger.Car</t>
  </si>
  <si>
    <t>EMIint_test_stock.gCO2_per_km.ES.Tr.Road.Passenger.Car.ICE.Gasoline</t>
  </si>
  <si>
    <t>EMIint_test_stock.gCO2_per_km.ES.Tr.Road.Passenger.Car.ICE.Diesel</t>
  </si>
  <si>
    <t>EMIint_test_stock.gCO2_per_km.ES.Tr.Road.Passenger.Car.ICE.LPG</t>
  </si>
  <si>
    <t>EMIint_test_stock.gCO2_per_km.ES.Tr.Road.Passenger.Car.ICE.NGas</t>
  </si>
  <si>
    <t>EMIint_test_stock.gCO2_per_km.ES.Tr.Road.Passenger.Car.PHEV</t>
  </si>
  <si>
    <t>EMIint_test_stock.gCO2_per_km.ES.Tr.Road.Passenger.Car.BEV</t>
  </si>
  <si>
    <t>EMIint_test_stock.gCO2_per_km.ES.Tr.Road.Passenger.Bus</t>
  </si>
  <si>
    <t>EMIint_test_stock.gCO2_per_km.ES.Tr.Road.Passenger.Bus.ICE.Gasoline</t>
  </si>
  <si>
    <t>EMIint_test_stock.gCO2_per_km.ES.Tr.Road.Passenger.Bus.ICE.Diesel</t>
  </si>
  <si>
    <t>EMIint_test_stock.gCO2_per_km.ES.Tr.Road.Passenger.Bus.ICE.LPG</t>
  </si>
  <si>
    <t>EMIint_test_stock.gCO2_per_km.ES.Tr.Road.Passenger.Bus.ICE.NGas</t>
  </si>
  <si>
    <t>EMIint_test_stock.gCO2_per_km.ES.Tr.Road.Passenger.Bus.ICE.BEV</t>
  </si>
  <si>
    <t>EMIint_test_stock.gCO2_per_km.ES.Tr.Road.Freight.LCV</t>
  </si>
  <si>
    <t>EMIint_test_stock.gCO2_per_km.ES.Tr.Road.Freight.LCV.ICE.Gasoline</t>
  </si>
  <si>
    <t>EMIint_test_stock.gCO2_per_km.ES.Tr.Road.Freight.LCV.ICE.Diesel</t>
  </si>
  <si>
    <t>EMIint_test_stock.gCO2_per_km.ES.Tr.Road.Freight.LCV.ICE.LPG</t>
  </si>
  <si>
    <t>EMIint_test_stock.gCO2_per_km.ES.Tr.Road.Freight.LCV.ICE.NGas</t>
  </si>
  <si>
    <t>EMIint_test_stock.gCO2_per_km.ES.Tr.Road.Freight.LCV.ICE.BEV</t>
  </si>
  <si>
    <t>EMIint_test_stock.gCO2_per_km.ES.Tr.Road.Freight.HGV</t>
  </si>
  <si>
    <t>EMIint_test_stock.gCO2_per_km.ES.Tr.Road.Freight.HGV.Domestic</t>
  </si>
  <si>
    <t>EMIint_test_stock.gCO2_per_km.ES.Tr.Road.Freight.HGV.International</t>
  </si>
  <si>
    <t>EMIint_test_new.gCO2_per_km.ES.Tr.Road.Passenger.P2W</t>
  </si>
  <si>
    <t>EMIint_test_new.gCO2_per_km.ES.Tr.Road.Passenger.Car</t>
  </si>
  <si>
    <t>EMIint_test_new.gCO2_per_km.ES.Tr.Road.Passenger.Car.ICE.Gasoline</t>
  </si>
  <si>
    <t>EMIint_test_new.gCO2_per_km.ES.Tr.Road.Passenger.Car.ICE.Diesel</t>
  </si>
  <si>
    <t>EMIint_test_new.gCO2_per_km.ES.Tr.Road.Passenger.Car.ICE.LPG</t>
  </si>
  <si>
    <t>EMIint_test_new.gCO2_per_km.ES.Tr.Road.Passenger.Car.ICE.NGas</t>
  </si>
  <si>
    <t>EMIint_test_new.gCO2_per_km.ES.Tr.Road.Passenger.Car.PHEV</t>
  </si>
  <si>
    <t>EMIint_test_new.gCO2_per_km.ES.Tr.Road.Passenger.Car.BEV</t>
  </si>
  <si>
    <t>EMIint_test_new.gCO2_per_km.ES.Tr.Road.Passenger.Bus</t>
  </si>
  <si>
    <t>EMIint_test_new.gCO2_per_km.ES.Tr.Road.Passenger.Bus.ICE.Gasoline</t>
  </si>
  <si>
    <t>EMIint_test_new.gCO2_per_km.ES.Tr.Road.Passenger.Bus.ICE.Diesel</t>
  </si>
  <si>
    <t>EMIint_test_new.gCO2_per_km.ES.Tr.Road.Passenger.Bus.ICE.LPG</t>
  </si>
  <si>
    <t>EMIint_test_new.gCO2_per_km.ES.Tr.Road.Passenger.Bus.ICE.NGas</t>
  </si>
  <si>
    <t>EMIint_test_new.gCO2_per_km.ES.Tr.Road.Passenger.Bus.ICE.BEV</t>
  </si>
  <si>
    <t>EMIint_test_new.gCO2_per_km.ES.Tr.Road.Freight.LCV</t>
  </si>
  <si>
    <t>EMIint_test_new.gCO2_per_km.ES.Tr.Road.Freight.LCV.ICE.Gasoline</t>
  </si>
  <si>
    <t>EMIint_test_new.gCO2_per_km.ES.Tr.Road.Freight.LCV.ICE.Diesel</t>
  </si>
  <si>
    <t>EMIint_test_new.gCO2_per_km.ES.Tr.Road.Freight.LCV.ICE.LPG</t>
  </si>
  <si>
    <t>EMIint_test_new.gCO2_per_km.ES.Tr.Road.Freight.LCV.ICE.NGas</t>
  </si>
  <si>
    <t>EMIint_test_new.gCO2_per_km.ES.Tr.Road.Freight.LCV.ICE.BEV</t>
  </si>
  <si>
    <t>EMIint_test_new.gCO2_per_km.ES.Tr.Road.Freight.HGV</t>
  </si>
  <si>
    <t>EMIint_test_new.gCO2_per_km.ES.Tr.Road.Freight.HGV.Domestic</t>
  </si>
  <si>
    <t>EMIint_test_new.gCO2_per_km.ES.Tr.Road.Freight.HGV.International</t>
  </si>
  <si>
    <t>FEC.ktoe.ES.MBunk</t>
  </si>
  <si>
    <t>FEC.ktoe.ES.MBunk.IntraEEA</t>
  </si>
  <si>
    <t>FEC.ktoe.ES.MBunk.ExtraEEA</t>
  </si>
  <si>
    <t>EMI.ktCO2.ES.MBunk</t>
  </si>
  <si>
    <t>EMI.ktCO2.ES.MBunk.IntraEEA</t>
  </si>
  <si>
    <t>EMI.ktCO2.ES.MBunk.ExtraEEA</t>
  </si>
  <si>
    <t>International maritime bunkers - ES - Spain</t>
  </si>
  <si>
    <t>VehicleKm.Mkm.ES.MBunk.Freight</t>
  </si>
  <si>
    <t>VehicleKm.Mkm.ES.MBunk.Freight.IntraEEA</t>
  </si>
  <si>
    <t>VehicleKm.Mkm.ES.MBunk.Freight.ExtraEEA</t>
  </si>
  <si>
    <t>Load.t_per_movement.ES.MBunk.Freight</t>
  </si>
  <si>
    <t>Load.t_per_movement.ES.MBunk.Freight.IntraEEA</t>
  </si>
  <si>
    <t>Load.t_per_movement.ES.MBunk.Freight.ExtraEEA</t>
  </si>
  <si>
    <t>International maritime bunkers / energy consumption - ES - Spain</t>
  </si>
  <si>
    <t>FEC.ktoe.ES.ES.MBunk</t>
  </si>
  <si>
    <t>FEC.ktoe.ES.ES.MBunk.IntraEEA</t>
  </si>
  <si>
    <t>FEC.ktoe.ES.ES.MBunk.IntraEEA.Diesel</t>
  </si>
  <si>
    <t>FEC.ktoe.ES.ES.MBunk.IntraEEA.RFO_Other</t>
  </si>
  <si>
    <t>FEC.ktoe.ES.ES.MBunk.IntraEEA.LiqBio</t>
  </si>
  <si>
    <t>FEC.ktoe.ES.ES.MBunk.IntraEEA.NG</t>
  </si>
  <si>
    <t>FEC.ktoe.ES.ES.MBunk.IntraEEA.Biogas</t>
  </si>
  <si>
    <t>FEC.ktoe.ES.ES.MBunk.ExtraEEA</t>
  </si>
  <si>
    <t>FEC.ktoe.ES.ES.MBunk.ExtraEEA.Diesel</t>
  </si>
  <si>
    <t>FEC.ktoe.ES.ES.MBunk.ExtraEEA.RFO_Other</t>
  </si>
  <si>
    <t>FEC.ktoe.ES.ES.MBunk.ExtraEEA.LiqBio</t>
  </si>
  <si>
    <t>FEC.ktoe.ES.ES.MBunk.ExtraEEA.NG</t>
  </si>
  <si>
    <t>FEC.ktoe.ES.ES.MBunk.ExtraEEA.Biogas</t>
  </si>
  <si>
    <t>Eff.kgoe_per_100km.ES.MBunk.Freight</t>
  </si>
  <si>
    <t>Eff.kgoe_per_100km.ES.MBunk.Freight.IntraEEA</t>
  </si>
  <si>
    <t>Eff.kgoe_per_100km.ES.MBunk.Freight.ExtraEEA</t>
  </si>
  <si>
    <t>International maritime bunkers / CO2 emissions - ES - Spain</t>
  </si>
  <si>
    <t>EMI.ktCO2.ES.ES.MBunk</t>
  </si>
  <si>
    <t>EMI.ktCO2.ES.ES.MBunk.IntraEEA</t>
  </si>
  <si>
    <t>EMI.ktCO2.ES.ES.MBunk.ExtraEEA</t>
  </si>
  <si>
    <t>EMIint.gCO2_per_km.ES.MBunk.Freight</t>
  </si>
  <si>
    <t>EMIint.gCO2_per_km.ES.MBunk.Freight.IntraEEA</t>
  </si>
  <si>
    <t>EMIint.gCO2_per_km.ES.MBunk.Freight.ExtraEEA</t>
  </si>
  <si>
    <t>FEC.ktoe.ES.Tr.DNavi</t>
  </si>
  <si>
    <t>FEC.ktoe.ES.Tr.Dnavi.DCS</t>
  </si>
  <si>
    <t>FEC.ktoe.ES.Tr.Dnavi.IWW</t>
  </si>
  <si>
    <t>EMI.ktCO2.ES.Tr.DNavi</t>
  </si>
  <si>
    <t>EMI.ktCO2.ES.Tr.Dnavi.DCS</t>
  </si>
  <si>
    <t>EMI.ktCO2.ES.Tr.Dnavi.IWW</t>
  </si>
  <si>
    <t>Domestic navigation - ES - Spain</t>
  </si>
  <si>
    <t>VehicleKm.Mkm.ES.Tr.DNavi.Freight</t>
  </si>
  <si>
    <t>VehicleKm.Mkm.ES.Tr.DNavi.Freight.DCS</t>
  </si>
  <si>
    <t>VehicleKm.Mkm.ES.Tr.DNavi.Freight.IWW</t>
  </si>
  <si>
    <t>Load.t_per_movement.ES.Tr.DNavi.Freight</t>
  </si>
  <si>
    <t>Load.t_per_movement.ES.Tr.DNavi.Freight.DCS</t>
  </si>
  <si>
    <t>Load.t_per_movement.ES.Tr.DNavi.Freight.IWW</t>
  </si>
  <si>
    <t>Domestic navigation / energy consumption - ES - Spain</t>
  </si>
  <si>
    <t>FEC.ktoe.ES.ES.Tr.DNavi</t>
  </si>
  <si>
    <t>FEC.ktoe.ES.ES.Tr.DNavi.DCS</t>
  </si>
  <si>
    <t>FEC.ktoe.ES.ES.Tr.DNavi.DCS.Diesel</t>
  </si>
  <si>
    <t>FEC.ktoe.ES.ES.Tr.DNavi.DCS.RFO_Other</t>
  </si>
  <si>
    <t>FEC.ktoe.ES.ES.Tr.DNavi.DCS.LiqBio</t>
  </si>
  <si>
    <t>FEC.ktoe.ES.ES.Tr.DNavi.DCS.NG</t>
  </si>
  <si>
    <t>FEC.ktoe.ES.ES.Tr.DNavi.DCS.Biogas</t>
  </si>
  <si>
    <t>FEC.ktoe.ES.ES.Tr.DNavi.IWW</t>
  </si>
  <si>
    <t>FEC.ktoe.ES.ES.Tr.DNavi.IWW.Diesel</t>
  </si>
  <si>
    <t>FEC.ktoe.ES.ES.Tr.DNavi.IWW.RFO_Other</t>
  </si>
  <si>
    <t>FEC.ktoe.ES.ES.Tr.DNavi.IWW.LiqBio</t>
  </si>
  <si>
    <t>FEC.ktoe.ES.ES.Tr.DNavi.IWW.NG</t>
  </si>
  <si>
    <t>FEC.ktoe.ES.ES.Tr.DNavi.IWW.Biogas</t>
  </si>
  <si>
    <t>Eff.kgoe_per_100km.ES.Tr.DNavi.Freight</t>
  </si>
  <si>
    <t>Eff.kgoe_per_100km.ES.Tr.DNavi.Freight.DCS</t>
  </si>
  <si>
    <t>Eff.kgoe_per_100km.ES.Tr.DNavi.Freight.IWW</t>
  </si>
  <si>
    <t>Domestic navigation / CO2 emissions - ES - Spain</t>
  </si>
  <si>
    <t>EMI.ktCO2.ES.ES.Tr.DNavi</t>
  </si>
  <si>
    <t>EMI.ktCO2.ES.ES.Tr.DNavi.DCS</t>
  </si>
  <si>
    <t>EMI.ktCO2.ES.ES.Tr.DNavi.IWW</t>
  </si>
  <si>
    <t>EMIint.gCO2_per_km.ES.Tr.DNavi.Freight</t>
  </si>
  <si>
    <t>EMIint.gCO2_per_km.ES.Tr.DNavi.Freight.DCS</t>
  </si>
  <si>
    <t>EMIint.gCO2_per_km.ES.Tr.DNavi.Freight.IWW</t>
  </si>
  <si>
    <t>Rail, metro and tram - ES - Spain</t>
  </si>
  <si>
    <t>Activity.Mpkm.ES.Tr.Rail.Passenger.CPT.Diesel</t>
  </si>
  <si>
    <t>Activity.Mpkm.ES.Tr.Rail.Passenger.CPT.Elc</t>
  </si>
  <si>
    <t>Activity.Mtkm.ES.Tr.Rail.Freight.Diesel</t>
  </si>
  <si>
    <t>Activity.Mtkm.ES.Tr.Rail.Freight.Elc</t>
  </si>
  <si>
    <t>VehicleKm.Mkm.ES.Tr.Rail</t>
  </si>
  <si>
    <t>VehicleKm.Mkm.ES.Tr.Rail.Passenger</t>
  </si>
  <si>
    <t>VehicleKm.Mkm.ES.Tr.Rail.Passenger.MTU</t>
  </si>
  <si>
    <t>VehicleKm.Mkm.ES.Tr.Rail.Passenger.CPT</t>
  </si>
  <si>
    <t>VehicleKm.Mkm.ES.Tr.Rail.Passenger.CPT.Diesel</t>
  </si>
  <si>
    <t>VehicleKm.Mkm.ES.Tr.Rail.Passenger.CPT.Elc</t>
  </si>
  <si>
    <t>VehicleKm.Mkm.ES.Tr.Rail.Passenger.HST</t>
  </si>
  <si>
    <t>VehicleKm.Mkm.ES.Tr.Rail.Freight</t>
  </si>
  <si>
    <t>VehicleKm.Mkm.ES.Tr.Rail.Freight.Diesel</t>
  </si>
  <si>
    <t>VehicleKm.Mkm.ES.Tr.Rail.Freight.Elc</t>
  </si>
  <si>
    <t>Stock.number.ES.Tr.Rail</t>
  </si>
  <si>
    <t>Stock.number.ES.Tr.Rail.Passenger</t>
  </si>
  <si>
    <t>Stock.number.ES.Tr.Rail.Passenger.MTU</t>
  </si>
  <si>
    <t>Stock.number.ES.Tr.Rail.Passenger.CPT</t>
  </si>
  <si>
    <t>Stock.number.ES.Tr.Rail.Passenger.CPT.Diesel</t>
  </si>
  <si>
    <t>Stock.number.ES.Tr.Rail.Passenger.CPT.Elc</t>
  </si>
  <si>
    <t>Stock.number.ES.Tr.Rail.Passenger.HST</t>
  </si>
  <si>
    <t>Stock.number.ES.Tr.Rail.Freight</t>
  </si>
  <si>
    <t>Stock.number.ES.Tr.Rail.Freight.Diesel</t>
  </si>
  <si>
    <t>Stock.number.ES.Tr.Rail.Freight.Elc</t>
  </si>
  <si>
    <t>StockNew.number.ES.Tr.Rail</t>
  </si>
  <si>
    <t>StockNew.number.ES.Tr.Rail.Passenger</t>
  </si>
  <si>
    <t>StockNew.number.ES.Tr.Rail.Passenger.MTU</t>
  </si>
  <si>
    <t>StockNew.number.ES.Tr.Rail.Passenger.CPT</t>
  </si>
  <si>
    <t>StockNew.number.ES.Tr.Rail.Passenger.CPT.Diesel</t>
  </si>
  <si>
    <t>StockNew.number.ES.Tr.Rail.Passenger.CPT.Elc</t>
  </si>
  <si>
    <t>StockNew.number.ES.Tr.Rail.Passenger.HST</t>
  </si>
  <si>
    <t>StockNew.number.ES.Tr.Rail.Freight</t>
  </si>
  <si>
    <t>StockNew.number.ES.Tr.Rail.Freight.Diesel</t>
  </si>
  <si>
    <t>StockNew.number.ES.Tr.Rail.Freight.Elc</t>
  </si>
  <si>
    <t>Load.passenger_per_movement.ES.Tr.Rail.Passenger</t>
  </si>
  <si>
    <t>Load.passenger_per_movement.ES.Tr.Rail.Passenger.MTU</t>
  </si>
  <si>
    <t>Load.passenger_per_movement.ES.Tr.Rail.Passenger.CPT</t>
  </si>
  <si>
    <t>Load.passenger_per_movement.ES.Tr.Rail.Passenger.CPT.Diesel</t>
  </si>
  <si>
    <t>Load.passenger_per_movement.ES.Tr.Rail.Passenger.CPT.Elc</t>
  </si>
  <si>
    <t>Load.passenger_per_movement.ES.Tr.Rail.Passenger.HST</t>
  </si>
  <si>
    <t>Load.t_per_movement.ES.Tr.Rail.Freight</t>
  </si>
  <si>
    <t>Load.t_per_movement.ES.Tr.Rail.Freight.Diesel</t>
  </si>
  <si>
    <t>Load.t_per_movement.ES.Tr.Rail.Freight.Elc</t>
  </si>
  <si>
    <t>TrCap.seats.ES.Tr.Rail.Passenger</t>
  </si>
  <si>
    <t>TrCap.seats.ES.Tr.Rail.Passenger.MTU</t>
  </si>
  <si>
    <t>TrCap.seats.ES.Tr.Rail.Passenger.CPT</t>
  </si>
  <si>
    <t>TrCap.seats.ES.Tr.Rail.Passenger.CPT.Diesel</t>
  </si>
  <si>
    <t>TrCap.seats.ES.Tr.Rail.Passenger.CPT.Elc</t>
  </si>
  <si>
    <t>TrCap.seats.ES.Tr.Rail.Passenger.HST</t>
  </si>
  <si>
    <t>TrCap.t.ES.Tr.Rail.Freight</t>
  </si>
  <si>
    <t>TrCap.t.ES.Tr.Rail.Freight.Diesel</t>
  </si>
  <si>
    <t>TrCap.t.ES.Tr.Rail.Freight.Elc</t>
  </si>
  <si>
    <t>VehicleKm_per_vehicle.km.ES.Tr.Rail</t>
  </si>
  <si>
    <t>VehicleKm_per_vehicle.km.ES.Tr.Rail.Passenger</t>
  </si>
  <si>
    <t>VehicleKm_per_vehicle.km.ES.Tr.Rail.Passenger.MTU</t>
  </si>
  <si>
    <t>VehicleKm_per_vehicle.km.ES.Tr.Rail.Passenger.CPT</t>
  </si>
  <si>
    <t>VehicleKm_per_vehicle.km.ES.Tr.Rail.Passenger.CPT.Diesel</t>
  </si>
  <si>
    <t>VehicleKm_per_vehicle.km.ES.Tr.Rail.Passenger.CPT.Elc</t>
  </si>
  <si>
    <t>VehicleKm_per_vehicle.km.ES.Tr.Rail.Passenger.HST</t>
  </si>
  <si>
    <t>VehicleKm_per_vehicle.km.ES.Tr.Rail.Freight</t>
  </si>
  <si>
    <t>VehicleKm_per_vehicle.km.ES.Tr.Rail.Freight.Diesel</t>
  </si>
  <si>
    <t>VehicleKm_per_vehicle.km.ES.Tr.Rail.Freight.Elc</t>
  </si>
  <si>
    <t>Activity_per_vehicle.pkm.ES.Tr.Rail.Passenger</t>
  </si>
  <si>
    <t>Activity_per_vehicle.pkm.ES.Tr.Rail.Passenger.MTU</t>
  </si>
  <si>
    <t>Activity_per_vehicle.pkm.ES.Tr.Rail.Passenger.CPT</t>
  </si>
  <si>
    <t>Activity_per_vehicle.pkm.ES.Tr.Rail.Passenger.CPT.Diesel</t>
  </si>
  <si>
    <t>Activity_per_vehicle.pkm.ES.Tr.Rail.Passenger.CPT.Elc</t>
  </si>
  <si>
    <t>Activity_per_vehicle.pkm.ES.Tr.Rail.Passenger.HST</t>
  </si>
  <si>
    <t>Activity_per_vehicle.tkm.ES.Tr.Rail.Freight</t>
  </si>
  <si>
    <t>Activity_per_vehicle.tkm.ES.Tr.Rail.Freight.Diesel</t>
  </si>
  <si>
    <t>Activity_per_vehicle.tkm.ES.Tr.Rail.Freight.Elc</t>
  </si>
  <si>
    <t>Rail, metro and tram / energy consumption - ES - Spain</t>
  </si>
  <si>
    <t>FEC.ktoe.ES.ES.Tr.Rail</t>
  </si>
  <si>
    <t>FEC.ktoe.ES.ES.Tr.Rail.Diesel</t>
  </si>
  <si>
    <t>FEC.ktoe.ES.ES.Tr.Rail.LiqBio</t>
  </si>
  <si>
    <t>FEC.ktoe.ES.ES.Tr.Rail.Elec</t>
  </si>
  <si>
    <t>FEC.ktoe.ES.Tr.Rail</t>
  </si>
  <si>
    <t>FEC.ktoe.ES.Tr.Rail.Passenger.CPT.Diesel</t>
  </si>
  <si>
    <t>FEC.ktoe.ES.Tr.Rail.Passenger.CPT.Elc</t>
  </si>
  <si>
    <t>FEC.ktoe.ES.Tr.Rail.Freight.Diesel</t>
  </si>
  <si>
    <t>FEC.ktoe.ES.Tr.Rail.Freight.Elc</t>
  </si>
  <si>
    <t>Eff.kgoe_per_100km.ES.Tr.Rail</t>
  </si>
  <si>
    <t>Eff.kgoe_per_100km.ES.Tr.Rail.Passenger</t>
  </si>
  <si>
    <t>Eff.kgoe_per_100km.ES.Tr.Rail.Passenger.MTU</t>
  </si>
  <si>
    <t>Eff.kgoe_per_100km.ES.Tr.Rail.Passenger.CPT</t>
  </si>
  <si>
    <t>Eff.kgoe_per_100km.ES.Tr.Rail.Passenger.CPT.Diesel</t>
  </si>
  <si>
    <t>Eff.kgoe_per_100km.ES.Tr.Rail.Passenger.CPT.Elc</t>
  </si>
  <si>
    <t>Eff.kgoe_per_100km.ES.Tr.Rail.Passenger.HST</t>
  </si>
  <si>
    <t>Eff.kgoe_per_100km.ES.Tr.Rail.Freight</t>
  </si>
  <si>
    <t>Eff.kgoe_per_100km.ES.Tr.Rail.Freight.Diesel</t>
  </si>
  <si>
    <t>Eff.kgoe_per_100km.ES.Tr.Rail.Freight.Elc</t>
  </si>
  <si>
    <t>Eff.kgoe_per_kpkm.ES.Tr.Rail.Passenger.CPT.Diesel</t>
  </si>
  <si>
    <t>Eff.kgoe_per_kpkm.ES.Tr.Rail.Passenger.CPT.Elc</t>
  </si>
  <si>
    <t>Eff.kgoe_per_ktkm.ES.Tr.Rail.Freight.Diesel</t>
  </si>
  <si>
    <t>Eff.kgoe_per_ktkm.ES.Tr.Rail.Freight.Elc</t>
  </si>
  <si>
    <t>FEC_per_vehicle.kgoe.ES.Tr.Rail</t>
  </si>
  <si>
    <t>FEC_per_vehicle.kgoe.ES.Tr.Rail.Passenger</t>
  </si>
  <si>
    <t>FEC_per_vehicle.kgoe.ES.Tr.Rail.Passenger.MTU</t>
  </si>
  <si>
    <t>FEC_per_vehicle.kgoe.ES.Tr.Rail.Passenger.CPT</t>
  </si>
  <si>
    <t>FEC_per_vehicle.kgoe.ES.Tr.Rail.Passenger.CPT.Diesel</t>
  </si>
  <si>
    <t>FEC_per_vehicle.kgoe.ES.Tr.Rail.Passenger.CPT.Elc</t>
  </si>
  <si>
    <t>FEC_per_vehicle.kgoe.ES.Tr.Rail.Passenger.HST</t>
  </si>
  <si>
    <t>FEC_per_vehicle.kgoe.ES.Tr.Rail.Freight</t>
  </si>
  <si>
    <t>FEC_per_vehicle.kgoe.ES.Tr.Rail.Freight.Diesel</t>
  </si>
  <si>
    <t>FEC_per_vehicle.kgoe.ES.Tr.Rail.Freight.Elc</t>
  </si>
  <si>
    <t>Rail, metro and tram / CO2 emissions - ES - Spain</t>
  </si>
  <si>
    <t>EMI.ktCO2.ES.ES.Tr.Rail</t>
  </si>
  <si>
    <t>EMI.ktCO2.ES.ES.Tr.Rail.Diesel</t>
  </si>
  <si>
    <t>EMI.ktCO2.ES.ES.Tr.Rail.Elec</t>
  </si>
  <si>
    <t>EMI.ktCO2.ES.Tr.Rail</t>
  </si>
  <si>
    <t>EMI.ktCO2.ES.Tr.Rail.Passenger.CPT.Diesel</t>
  </si>
  <si>
    <t>EMI.ktCO2.ES.Tr.Rail.Passenger.CPT.Elc</t>
  </si>
  <si>
    <t>EMI.ktCO2.ES.Tr.Rail.Freight.Diesel</t>
  </si>
  <si>
    <t>EMI.ktCO2.ES.Tr.Rail.Freight.Elc</t>
  </si>
  <si>
    <t>EMIint.gCO2_per_km.ES.Tr.Rail</t>
  </si>
  <si>
    <t>EMIint.gCO2_per_km.ES.Tr.Rail.Passenger</t>
  </si>
  <si>
    <t>EMIint.gCO2_per_km.ES.Tr.Rail.Passenger.MTU</t>
  </si>
  <si>
    <t>EMIint.gCO2_per_km.ES.Tr.Rail.Passenger.CPT</t>
  </si>
  <si>
    <t>EMIint.gCO2_per_km.ES.Tr.Rail.Passenger.CPT.Diesel</t>
  </si>
  <si>
    <t>EMIint.gCO2_per_km.ES.Tr.Rail.Passenger.CPT.Elc</t>
  </si>
  <si>
    <t>EMIint.gCO2_per_km.ES.Tr.Rail.Passenger.HST</t>
  </si>
  <si>
    <t>EMIint.gCO2_per_km.ES.Tr.Rail.Freight</t>
  </si>
  <si>
    <t>EMIint.gCO2_per_km.ES.Tr.Rail.Freight.Diesel</t>
  </si>
  <si>
    <t>EMIint.gCO2_per_km.ES.Tr.Rail.Freight.Elc</t>
  </si>
  <si>
    <t>EMIint.gCO2_per_pkm.ES.Tr.Rail.Passenger.CPT.Diesel</t>
  </si>
  <si>
    <t>EMIint.gCO2_per_pkm.ES.Tr.Rail.Passenger.CPT.Elc</t>
  </si>
  <si>
    <t>EMIint.gCO2_per_tkm.ES.Tr.Rail.Freight.Diesel</t>
  </si>
  <si>
    <t>EMIint.gCO2_per_tkm.ES.Tr.Rail.Freight.Elc</t>
  </si>
  <si>
    <t>EMI_per_vehicle.tCO2.ES.Tr.Rail</t>
  </si>
  <si>
    <t>EMI_per_vehicle.tCO2.ES.Tr.Rail.Passenger</t>
  </si>
  <si>
    <t>EMI_per_vehicle.tCO2.ES.Tr.Rail.Passenger.MTU</t>
  </si>
  <si>
    <t>EMI_per_vehicle.tCO2.ES.Tr.Rail.Passenger.CPT</t>
  </si>
  <si>
    <t>EMI_per_vehicle.tCO2.ES.Tr.Rail.Passenger.CPT.Diesel</t>
  </si>
  <si>
    <t>EMI_per_vehicle.tCO2.ES.Tr.Rail.Passenger.CPT.Elc</t>
  </si>
  <si>
    <t>EMI_per_vehicle.tCO2.ES.Tr.Rail.Passenger.HST</t>
  </si>
  <si>
    <t>EMI_per_vehicle.tCO2.ES.Tr.Rail.Freight</t>
  </si>
  <si>
    <t>EMI_per_vehicle.tCO2.ES.Tr.Rail.Freight.Diesel</t>
  </si>
  <si>
    <t>EMI_per_vehicle.tCO2.ES.Tr.Rail.Freight.Elc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</si>
</sst>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45432.784560185188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523936.88666422811</v>
      </c>
      <c r="C4" s="28">
        <f t="shared" si="0"/>
        <v>525425.94786186435</v>
      </c>
      <c r="D4" s="28">
        <f t="shared" si="0"/>
        <v>527645.42799926014</v>
      </c>
      <c r="E4" s="28">
        <f t="shared" si="0"/>
        <v>539591.33550759451</v>
      </c>
      <c r="F4" s="28">
        <f t="shared" si="0"/>
        <v>563378.02729558502</v>
      </c>
      <c r="G4" s="28">
        <f t="shared" si="0"/>
        <v>585916.88634666975</v>
      </c>
      <c r="H4" s="28">
        <f t="shared" si="0"/>
        <v>592570.33565905923</v>
      </c>
      <c r="I4" s="28">
        <f t="shared" si="0"/>
        <v>619384.20401832007</v>
      </c>
      <c r="J4" s="28">
        <f t="shared" si="0"/>
        <v>625178.94303822308</v>
      </c>
      <c r="K4" s="28">
        <f t="shared" si="0"/>
        <v>615211.07712289493</v>
      </c>
      <c r="L4" s="28">
        <f t="shared" si="0"/>
        <v>608895.17478199804</v>
      </c>
      <c r="M4" s="28">
        <f t="shared" si="0"/>
        <v>620779.29479649966</v>
      </c>
      <c r="N4" s="28">
        <f t="shared" si="0"/>
        <v>601178.10503968224</v>
      </c>
      <c r="O4" s="28">
        <f t="shared" si="0"/>
        <v>596556.77400823263</v>
      </c>
      <c r="P4" s="28">
        <f t="shared" si="0"/>
        <v>582642.67181131081</v>
      </c>
      <c r="Q4" s="28">
        <f t="shared" si="0"/>
        <v>606851.0457660075</v>
      </c>
      <c r="R4" s="28">
        <f t="shared" ref="R4:V4" si="1">R5+R9+R13</f>
        <v>644528.08617966715</v>
      </c>
      <c r="S4" s="28">
        <f t="shared" si="1"/>
        <v>647619.85323196719</v>
      </c>
      <c r="T4" s="28">
        <f t="shared" si="1"/>
        <v>670869.25383006921</v>
      </c>
      <c r="U4" s="28">
        <f t="shared" si="1"/>
        <v>685113.54081193311</v>
      </c>
      <c r="V4" s="28">
        <f t="shared" si="1"/>
        <v>384155.73177388567</v>
      </c>
      <c r="W4" s="28">
        <f t="shared" ref="W4" si="2">W5+W9+W13</f>
        <v>442343.14648061426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363493.28452162811</v>
      </c>
      <c r="C5" s="137">
        <f t="shared" si="3"/>
        <v>370939.01473112352</v>
      </c>
      <c r="D5" s="137">
        <f t="shared" si="3"/>
        <v>375522.14786426147</v>
      </c>
      <c r="E5" s="137">
        <f t="shared" si="3"/>
        <v>383079.58577626164</v>
      </c>
      <c r="F5" s="137">
        <f t="shared" si="3"/>
        <v>395121.23751616135</v>
      </c>
      <c r="G5" s="137">
        <f t="shared" si="3"/>
        <v>404267.83872132021</v>
      </c>
      <c r="H5" s="137">
        <f t="shared" si="3"/>
        <v>403785.08618333947</v>
      </c>
      <c r="I5" s="137">
        <f t="shared" si="3"/>
        <v>417931.6221037638</v>
      </c>
      <c r="J5" s="137">
        <f t="shared" si="3"/>
        <v>418939.94143619249</v>
      </c>
      <c r="K5" s="137">
        <f t="shared" si="3"/>
        <v>423549.97649480571</v>
      </c>
      <c r="L5" s="137">
        <f t="shared" si="3"/>
        <v>408835.84183603071</v>
      </c>
      <c r="M5" s="137">
        <f t="shared" si="3"/>
        <v>404945.80401962</v>
      </c>
      <c r="N5" s="137">
        <f t="shared" si="3"/>
        <v>389951.36300807027</v>
      </c>
      <c r="O5" s="137">
        <f t="shared" si="3"/>
        <v>384568.77387848566</v>
      </c>
      <c r="P5" s="137">
        <f t="shared" si="3"/>
        <v>363922.64239509037</v>
      </c>
      <c r="Q5" s="137">
        <f t="shared" si="3"/>
        <v>381106.02925042098</v>
      </c>
      <c r="R5" s="137">
        <f t="shared" ref="R5:V5" si="4">R6+R7+R8</f>
        <v>395174.51393598958</v>
      </c>
      <c r="S5" s="137">
        <f t="shared" si="4"/>
        <v>379897.92776694114</v>
      </c>
      <c r="T5" s="137">
        <f t="shared" si="4"/>
        <v>388504.90197613521</v>
      </c>
      <c r="U5" s="137">
        <f t="shared" si="4"/>
        <v>392020.02423243312</v>
      </c>
      <c r="V5" s="137">
        <f t="shared" si="4"/>
        <v>299466.5463759175</v>
      </c>
      <c r="W5" s="137">
        <f t="shared" ref="W5" si="5">W6+W7+W8</f>
        <v>320531.58625411487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10604.284521628195</v>
      </c>
      <c r="C6" s="102">
        <f>TrRoad_act!C$5</f>
        <v>11272.014731123585</v>
      </c>
      <c r="D6" s="102">
        <f>TrRoad_act!D$5</f>
        <v>10469.147864261453</v>
      </c>
      <c r="E6" s="102">
        <f>TrRoad_act!E$5</f>
        <v>11942.585776261656</v>
      </c>
      <c r="F6" s="102">
        <f>TrRoad_act!F$5</f>
        <v>11471.237516161373</v>
      </c>
      <c r="G6" s="102">
        <f>TrRoad_act!G$5</f>
        <v>13294.838721320146</v>
      </c>
      <c r="H6" s="102">
        <f>TrRoad_act!H$5</f>
        <v>13479.086183339497</v>
      </c>
      <c r="I6" s="102">
        <f>TrRoad_act!I$5</f>
        <v>15475.622103763837</v>
      </c>
      <c r="J6" s="102">
        <f>TrRoad_act!J$5</f>
        <v>15464.941436192523</v>
      </c>
      <c r="K6" s="102">
        <f>TrRoad_act!K$5</f>
        <v>16105.976494805698</v>
      </c>
      <c r="L6" s="102">
        <f>TrRoad_act!L$5</f>
        <v>16304.841836030739</v>
      </c>
      <c r="M6" s="102">
        <f>TrRoad_act!M$5</f>
        <v>15182.80401961998</v>
      </c>
      <c r="N6" s="102">
        <f>TrRoad_act!N$5</f>
        <v>14375.363008070266</v>
      </c>
      <c r="O6" s="102">
        <f>TrRoad_act!O$5</f>
        <v>14193.773878485674</v>
      </c>
      <c r="P6" s="102">
        <f>TrRoad_act!P$5</f>
        <v>15749.642395090374</v>
      </c>
      <c r="Q6" s="102">
        <f>TrRoad_act!Q$5</f>
        <v>17164.029250420979</v>
      </c>
      <c r="R6" s="102">
        <f>TrRoad_act!R$5</f>
        <v>17531.513935989562</v>
      </c>
      <c r="S6" s="102">
        <f>TrRoad_act!S$5</f>
        <v>16529.92776694108</v>
      </c>
      <c r="T6" s="102">
        <f>TrRoad_act!T$5</f>
        <v>15760.901976135156</v>
      </c>
      <c r="U6" s="102">
        <f>TrRoad_act!U$5</f>
        <v>16765.024232433094</v>
      </c>
      <c r="V6" s="102">
        <f>TrRoad_act!V$5</f>
        <v>14999.546375917475</v>
      </c>
      <c r="W6" s="102">
        <f>TrRoad_act!W$5</f>
        <v>15562.285030806455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302610.99999999994</v>
      </c>
      <c r="C7" s="102">
        <f>TrRoad_act!C$6</f>
        <v>307954.99999999994</v>
      </c>
      <c r="D7" s="102">
        <f>TrRoad_act!D$6</f>
        <v>315000</v>
      </c>
      <c r="E7" s="102">
        <f>TrRoad_act!E$6</f>
        <v>321928</v>
      </c>
      <c r="F7" s="102">
        <f>TrRoad_act!F$6</f>
        <v>330192</v>
      </c>
      <c r="G7" s="102">
        <f>TrRoad_act!G$6</f>
        <v>337797.00000000006</v>
      </c>
      <c r="H7" s="102">
        <f>TrRoad_act!H$6</f>
        <v>340937</v>
      </c>
      <c r="I7" s="102">
        <f>TrRoad_act!I$6</f>
        <v>343292.99999999994</v>
      </c>
      <c r="J7" s="102">
        <f>TrRoad_act!J$6</f>
        <v>342610.99999999994</v>
      </c>
      <c r="K7" s="102">
        <f>TrRoad_act!K$6</f>
        <v>350401</v>
      </c>
      <c r="L7" s="102">
        <f>TrRoad_act!L$6</f>
        <v>341629</v>
      </c>
      <c r="M7" s="102">
        <f>TrRoad_act!M$6</f>
        <v>334021</v>
      </c>
      <c r="N7" s="102">
        <f>TrRoad_act!N$6</f>
        <v>321045</v>
      </c>
      <c r="O7" s="102">
        <f>TrRoad_act!O$6</f>
        <v>316539</v>
      </c>
      <c r="P7" s="102">
        <f>TrRoad_act!P$6</f>
        <v>308704</v>
      </c>
      <c r="Q7" s="102">
        <f>TrRoad_act!Q$6</f>
        <v>317553</v>
      </c>
      <c r="R7" s="102">
        <f>TrRoad_act!R$6</f>
        <v>329880</v>
      </c>
      <c r="S7" s="102">
        <f>TrRoad_act!S$6</f>
        <v>332858.00000000006</v>
      </c>
      <c r="T7" s="102">
        <f>TrRoad_act!T$6</f>
        <v>340556.00000000006</v>
      </c>
      <c r="U7" s="102">
        <f>TrRoad_act!U$6</f>
        <v>342005</v>
      </c>
      <c r="V7" s="102">
        <f>TrRoad_act!V$6</f>
        <v>265538</v>
      </c>
      <c r="W7" s="102">
        <f>TrRoad_act!W$6</f>
        <v>281308.05122330843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50278</v>
      </c>
      <c r="C8" s="102">
        <f>TrRoad_act!C$13</f>
        <v>51712.000000000007</v>
      </c>
      <c r="D8" s="102">
        <f>TrRoad_act!D$13</f>
        <v>50053</v>
      </c>
      <c r="E8" s="102">
        <f>TrRoad_act!E$13</f>
        <v>49208.999999999993</v>
      </c>
      <c r="F8" s="102">
        <f>TrRoad_act!F$13</f>
        <v>53458</v>
      </c>
      <c r="G8" s="102">
        <f>TrRoad_act!G$13</f>
        <v>53176</v>
      </c>
      <c r="H8" s="102">
        <f>TrRoad_act!H$13</f>
        <v>49369</v>
      </c>
      <c r="I8" s="102">
        <f>TrRoad_act!I$13</f>
        <v>59163</v>
      </c>
      <c r="J8" s="102">
        <f>TrRoad_act!J$13</f>
        <v>60864.000000000007</v>
      </c>
      <c r="K8" s="102">
        <f>TrRoad_act!K$13</f>
        <v>57043</v>
      </c>
      <c r="L8" s="102">
        <f>TrRoad_act!L$13</f>
        <v>50902</v>
      </c>
      <c r="M8" s="102">
        <f>TrRoad_act!M$13</f>
        <v>55742.000000000007</v>
      </c>
      <c r="N8" s="102">
        <f>TrRoad_act!N$13</f>
        <v>54531</v>
      </c>
      <c r="O8" s="102">
        <f>TrRoad_act!O$13</f>
        <v>53836.000000000007</v>
      </c>
      <c r="P8" s="102">
        <f>TrRoad_act!P$13</f>
        <v>39468.999999999993</v>
      </c>
      <c r="Q8" s="102">
        <f>TrRoad_act!Q$13</f>
        <v>46389</v>
      </c>
      <c r="R8" s="102">
        <f>TrRoad_act!R$13</f>
        <v>47763</v>
      </c>
      <c r="S8" s="102">
        <f>TrRoad_act!S$13</f>
        <v>30510</v>
      </c>
      <c r="T8" s="102">
        <f>TrRoad_act!T$13</f>
        <v>32188.000000000004</v>
      </c>
      <c r="U8" s="102">
        <f>TrRoad_act!U$13</f>
        <v>33250</v>
      </c>
      <c r="V8" s="102">
        <f>TrRoad_act!V$13</f>
        <v>18929</v>
      </c>
      <c r="W8" s="102">
        <f>TrRoad_act!W$13</f>
        <v>23661.25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25374</v>
      </c>
      <c r="C9" s="110">
        <f t="shared" si="6"/>
        <v>26168</v>
      </c>
      <c r="D9" s="110">
        <f t="shared" si="6"/>
        <v>26711</v>
      </c>
      <c r="E9" s="110">
        <f t="shared" si="6"/>
        <v>26727</v>
      </c>
      <c r="F9" s="110">
        <f t="shared" si="6"/>
        <v>26186</v>
      </c>
      <c r="G9" s="110">
        <f t="shared" si="6"/>
        <v>27624</v>
      </c>
      <c r="H9" s="110">
        <f t="shared" si="6"/>
        <v>28305</v>
      </c>
      <c r="I9" s="110">
        <f t="shared" si="6"/>
        <v>28257</v>
      </c>
      <c r="J9" s="110">
        <f t="shared" si="6"/>
        <v>30469</v>
      </c>
      <c r="K9" s="110">
        <f t="shared" si="6"/>
        <v>29409.5</v>
      </c>
      <c r="L9" s="110">
        <f t="shared" si="6"/>
        <v>30044.9</v>
      </c>
      <c r="M9" s="110">
        <f t="shared" si="6"/>
        <v>30426.1</v>
      </c>
      <c r="N9" s="110">
        <f t="shared" si="6"/>
        <v>29792.9</v>
      </c>
      <c r="O9" s="110">
        <f t="shared" si="6"/>
        <v>30757.9</v>
      </c>
      <c r="P9" s="110">
        <f t="shared" si="6"/>
        <v>32224.7</v>
      </c>
      <c r="Q9" s="110">
        <f t="shared" si="6"/>
        <v>33343.9</v>
      </c>
      <c r="R9" s="110">
        <f t="shared" ref="R9:V9" si="7">R10+R11+R12</f>
        <v>34156.400000000001</v>
      </c>
      <c r="S9" s="110">
        <f t="shared" si="7"/>
        <v>35199.1</v>
      </c>
      <c r="T9" s="110">
        <f t="shared" si="7"/>
        <v>37312</v>
      </c>
      <c r="U9" s="110">
        <f t="shared" si="7"/>
        <v>37045</v>
      </c>
      <c r="V9" s="110">
        <f t="shared" si="7"/>
        <v>17197.32871798021</v>
      </c>
      <c r="W9" s="110">
        <f t="shared" ref="W9" si="8">W10+W11+W12</f>
        <v>23423.660897475263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5230</v>
      </c>
      <c r="C10" s="102">
        <f>TrRail_act!C$5</f>
        <v>5340</v>
      </c>
      <c r="D10" s="102">
        <f>TrRail_act!D$5</f>
        <v>5500</v>
      </c>
      <c r="E10" s="102">
        <f>TrRail_act!E$5</f>
        <v>5600</v>
      </c>
      <c r="F10" s="102">
        <f>TrRail_act!F$5</f>
        <v>5800</v>
      </c>
      <c r="G10" s="102">
        <f>TrRail_act!G$5</f>
        <v>6000</v>
      </c>
      <c r="H10" s="102">
        <f>TrRail_act!H$5</f>
        <v>6200</v>
      </c>
      <c r="I10" s="102">
        <f>TrRail_act!I$5</f>
        <v>6400</v>
      </c>
      <c r="J10" s="102">
        <f>TrRail_act!J$5</f>
        <v>6500</v>
      </c>
      <c r="K10" s="102">
        <f>TrRail_act!K$5</f>
        <v>6272.5</v>
      </c>
      <c r="L10" s="102">
        <f>TrRail_act!L$5</f>
        <v>7588.9000000000005</v>
      </c>
      <c r="M10" s="102">
        <f>TrRail_act!M$5</f>
        <v>7631.1</v>
      </c>
      <c r="N10" s="102">
        <f>TrRail_act!N$5</f>
        <v>7316.9000000000005</v>
      </c>
      <c r="O10" s="102">
        <f>TrRail_act!O$5</f>
        <v>6969.9000000000015</v>
      </c>
      <c r="P10" s="102">
        <f>TrRail_act!P$5</f>
        <v>7152.7000000000007</v>
      </c>
      <c r="Q10" s="102">
        <f>TrRail_act!Q$5</f>
        <v>7201.9</v>
      </c>
      <c r="R10" s="102">
        <f>TrRail_act!R$5</f>
        <v>7486.3000000000011</v>
      </c>
      <c r="S10" s="102">
        <f>TrRail_act!S$5</f>
        <v>7683.0999999999995</v>
      </c>
      <c r="T10" s="102">
        <f>TrRail_act!T$5</f>
        <v>8892.0000000000018</v>
      </c>
      <c r="U10" s="102">
        <f>TrRail_act!U$5</f>
        <v>8198</v>
      </c>
      <c r="V10" s="102">
        <f>TrRail_act!V$5</f>
        <v>5137.3287179802101</v>
      </c>
      <c r="W10" s="102">
        <f>TrRail_act!W$5</f>
        <v>6421.6608974752626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18202</v>
      </c>
      <c r="C11" s="102">
        <f>TrRail_act!C$6</f>
        <v>18751</v>
      </c>
      <c r="D11" s="102">
        <f>TrRail_act!D$6</f>
        <v>19030</v>
      </c>
      <c r="E11" s="102">
        <f>TrRail_act!E$6</f>
        <v>19100</v>
      </c>
      <c r="F11" s="102">
        <f>TrRail_act!F$6</f>
        <v>18301</v>
      </c>
      <c r="G11" s="102">
        <f>TrRail_act!G$6</f>
        <v>19300</v>
      </c>
      <c r="H11" s="102">
        <f>TrRail_act!H$6</f>
        <v>19408</v>
      </c>
      <c r="I11" s="102">
        <f>TrRail_act!I$6</f>
        <v>19265</v>
      </c>
      <c r="J11" s="102">
        <f>TrRail_act!J$6</f>
        <v>18486</v>
      </c>
      <c r="K11" s="102">
        <f>TrRail_act!K$6</f>
        <v>11632</v>
      </c>
      <c r="L11" s="102">
        <f>TrRail_act!L$6</f>
        <v>10741</v>
      </c>
      <c r="M11" s="102">
        <f>TrRail_act!M$6</f>
        <v>11564</v>
      </c>
      <c r="N11" s="102">
        <f>TrRail_act!N$6</f>
        <v>11299</v>
      </c>
      <c r="O11" s="102">
        <f>TrRail_act!O$6</f>
        <v>11044</v>
      </c>
      <c r="P11" s="102">
        <f>TrRail_act!P$6</f>
        <v>12284</v>
      </c>
      <c r="Q11" s="102">
        <f>TrRail_act!Q$6</f>
        <v>12013</v>
      </c>
      <c r="R11" s="102">
        <f>TrRail_act!R$6</f>
        <v>11611.100000000002</v>
      </c>
      <c r="S11" s="102">
        <f>TrRail_act!S$6</f>
        <v>11976</v>
      </c>
      <c r="T11" s="102">
        <f>TrRail_act!T$6</f>
        <v>12293.999999999998</v>
      </c>
      <c r="U11" s="102">
        <f>TrRail_act!U$6</f>
        <v>12775.999999999998</v>
      </c>
      <c r="V11" s="102">
        <f>TrRail_act!V$6</f>
        <v>6451</v>
      </c>
      <c r="W11" s="102">
        <f>TrRail_act!W$6</f>
        <v>10632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1942</v>
      </c>
      <c r="C12" s="102">
        <f>TrRail_act!C$9</f>
        <v>2077</v>
      </c>
      <c r="D12" s="102">
        <f>TrRail_act!D$9</f>
        <v>2181</v>
      </c>
      <c r="E12" s="102">
        <f>TrRail_act!E$9</f>
        <v>2027.0000000000002</v>
      </c>
      <c r="F12" s="102">
        <f>TrRail_act!F$9</f>
        <v>2085</v>
      </c>
      <c r="G12" s="102">
        <f>TrRail_act!G$9</f>
        <v>2324</v>
      </c>
      <c r="H12" s="102">
        <f>TrRail_act!H$9</f>
        <v>2697</v>
      </c>
      <c r="I12" s="102">
        <f>TrRail_act!I$9</f>
        <v>2592</v>
      </c>
      <c r="J12" s="102">
        <f>TrRail_act!J$9</f>
        <v>5483</v>
      </c>
      <c r="K12" s="102">
        <f>TrRail_act!K$9</f>
        <v>11505</v>
      </c>
      <c r="L12" s="102">
        <f>TrRail_act!L$9</f>
        <v>11715</v>
      </c>
      <c r="M12" s="102">
        <f>TrRail_act!M$9</f>
        <v>11231</v>
      </c>
      <c r="N12" s="102">
        <f>TrRail_act!N$9</f>
        <v>11177</v>
      </c>
      <c r="O12" s="102">
        <f>TrRail_act!O$9</f>
        <v>12744</v>
      </c>
      <c r="P12" s="102">
        <f>TrRail_act!P$9</f>
        <v>12788</v>
      </c>
      <c r="Q12" s="102">
        <f>TrRail_act!Q$9</f>
        <v>14129</v>
      </c>
      <c r="R12" s="102">
        <f>TrRail_act!R$9</f>
        <v>15059</v>
      </c>
      <c r="S12" s="102">
        <f>TrRail_act!S$9</f>
        <v>15540</v>
      </c>
      <c r="T12" s="102">
        <f>TrRail_act!T$9</f>
        <v>16126.000000000002</v>
      </c>
      <c r="U12" s="102">
        <f>TrRail_act!U$9</f>
        <v>16071.000000000002</v>
      </c>
      <c r="V12" s="102">
        <f>TrRail_act!V$9</f>
        <v>5609</v>
      </c>
      <c r="W12" s="102">
        <f>TrRail_act!W$9</f>
        <v>6370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135069.60214259999</v>
      </c>
      <c r="C13" s="110">
        <f t="shared" ref="C13:V13" si="10">C14+C15+C16</f>
        <v>128318.93313074086</v>
      </c>
      <c r="D13" s="110">
        <f t="shared" si="10"/>
        <v>125412.2801349987</v>
      </c>
      <c r="E13" s="110">
        <f t="shared" si="10"/>
        <v>129784.74973133282</v>
      </c>
      <c r="F13" s="110">
        <f t="shared" si="10"/>
        <v>142070.78977942365</v>
      </c>
      <c r="G13" s="110">
        <f t="shared" si="10"/>
        <v>154025.04762534951</v>
      </c>
      <c r="H13" s="110">
        <f t="shared" si="10"/>
        <v>160480.24947571976</v>
      </c>
      <c r="I13" s="110">
        <f t="shared" si="10"/>
        <v>173195.5819145563</v>
      </c>
      <c r="J13" s="110">
        <f t="shared" si="10"/>
        <v>175770.00160203056</v>
      </c>
      <c r="K13" s="110">
        <f t="shared" si="10"/>
        <v>162251.60062808919</v>
      </c>
      <c r="L13" s="110">
        <f t="shared" si="10"/>
        <v>170014.4329459673</v>
      </c>
      <c r="M13" s="110">
        <f t="shared" si="10"/>
        <v>185407.39077687968</v>
      </c>
      <c r="N13" s="110">
        <f t="shared" si="10"/>
        <v>181433.84203161189</v>
      </c>
      <c r="O13" s="110">
        <f t="shared" si="10"/>
        <v>181230.10012974692</v>
      </c>
      <c r="P13" s="110">
        <f t="shared" si="10"/>
        <v>186495.32941622045</v>
      </c>
      <c r="Q13" s="110">
        <f t="shared" si="10"/>
        <v>192401.11651558647</v>
      </c>
      <c r="R13" s="110">
        <f t="shared" si="10"/>
        <v>215197.1722436776</v>
      </c>
      <c r="S13" s="110">
        <f t="shared" si="10"/>
        <v>232522.82546502605</v>
      </c>
      <c r="T13" s="110">
        <f t="shared" si="10"/>
        <v>245052.35185393406</v>
      </c>
      <c r="U13" s="110">
        <f t="shared" si="10"/>
        <v>256048.51657950005</v>
      </c>
      <c r="V13" s="110">
        <f t="shared" si="10"/>
        <v>67491.856679988006</v>
      </c>
      <c r="W13" s="110">
        <f t="shared" ref="W13" si="11">W14+W15+W16</f>
        <v>98387.89932902412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24843.192925534167</v>
      </c>
      <c r="C14" s="102">
        <f>TrAvia_act!C$5</f>
        <v>22916.863899829761</v>
      </c>
      <c r="D14" s="102">
        <f>TrAvia_act!D$5</f>
        <v>22621.265990776828</v>
      </c>
      <c r="E14" s="102">
        <f>TrAvia_act!E$5</f>
        <v>24434.770529235524</v>
      </c>
      <c r="F14" s="102">
        <f>TrAvia_act!F$5</f>
        <v>27174.76658865896</v>
      </c>
      <c r="G14" s="102">
        <f>TrAvia_act!G$5</f>
        <v>30528.369756348347</v>
      </c>
      <c r="H14" s="102">
        <f>TrAvia_act!H$5</f>
        <v>32394.173674436071</v>
      </c>
      <c r="I14" s="102">
        <f>TrAvia_act!I$5</f>
        <v>35075.869066615087</v>
      </c>
      <c r="J14" s="102">
        <f>TrAvia_act!J$5</f>
        <v>32068.103702691496</v>
      </c>
      <c r="K14" s="102">
        <f>TrAvia_act!K$5</f>
        <v>29165.985210244231</v>
      </c>
      <c r="L14" s="102">
        <f>TrAvia_act!L$5</f>
        <v>29980.511033778293</v>
      </c>
      <c r="M14" s="102">
        <f>TrAvia_act!M$5</f>
        <v>30171.410432446792</v>
      </c>
      <c r="N14" s="102">
        <f>TrAvia_act!N$5</f>
        <v>26290.414241557311</v>
      </c>
      <c r="O14" s="102">
        <f>TrAvia_act!O$5</f>
        <v>22799.461357155669</v>
      </c>
      <c r="P14" s="102">
        <f>TrAvia_act!P$5</f>
        <v>22922.693756234959</v>
      </c>
      <c r="Q14" s="102">
        <f>TrAvia_act!Q$5</f>
        <v>24373.491231108161</v>
      </c>
      <c r="R14" s="102">
        <f>TrAvia_act!R$5</f>
        <v>26712.952339132811</v>
      </c>
      <c r="S14" s="102">
        <f>TrAvia_act!S$5</f>
        <v>28710.672383547324</v>
      </c>
      <c r="T14" s="102">
        <f>TrAvia_act!T$5</f>
        <v>31831.073566013674</v>
      </c>
      <c r="U14" s="102">
        <f>TrAvia_act!U$5</f>
        <v>33800.883474707131</v>
      </c>
      <c r="V14" s="102">
        <f>TrAvia_act!V$5</f>
        <v>12708.597816307092</v>
      </c>
      <c r="W14" s="102">
        <f>TrAvia_act!W$5</f>
        <v>21253.332961162443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80730.433929306164</v>
      </c>
      <c r="C15" s="102">
        <f>TrAvia_act!C$6</f>
        <v>81543.239134722608</v>
      </c>
      <c r="D15" s="102">
        <f>TrAvia_act!D$6</f>
        <v>79722.806511540315</v>
      </c>
      <c r="E15" s="102">
        <f>TrAvia_act!E$6</f>
        <v>82441.98690433857</v>
      </c>
      <c r="F15" s="102">
        <f>TrAvia_act!F$6</f>
        <v>87133.252977931101</v>
      </c>
      <c r="G15" s="102">
        <f>TrAvia_act!G$6</f>
        <v>91411.435738970351</v>
      </c>
      <c r="H15" s="102">
        <f>TrAvia_act!H$6</f>
        <v>91212.357732525299</v>
      </c>
      <c r="I15" s="102">
        <f>TrAvia_act!I$6</f>
        <v>95745.123749969629</v>
      </c>
      <c r="J15" s="102">
        <f>TrAvia_act!J$6</f>
        <v>95676.279979417013</v>
      </c>
      <c r="K15" s="102">
        <f>TrAvia_act!K$6</f>
        <v>86849.297939468786</v>
      </c>
      <c r="L15" s="102">
        <f>TrAvia_act!L$6</f>
        <v>89918.920657255338</v>
      </c>
      <c r="M15" s="102">
        <f>TrAvia_act!M$6</f>
        <v>100878.9769173407</v>
      </c>
      <c r="N15" s="102">
        <f>TrAvia_act!N$6</f>
        <v>100444.04984504318</v>
      </c>
      <c r="O15" s="102">
        <f>TrAvia_act!O$6</f>
        <v>103384.45846318493</v>
      </c>
      <c r="P15" s="102">
        <f>TrAvia_act!P$6</f>
        <v>109187.58453216958</v>
      </c>
      <c r="Q15" s="102">
        <f>TrAvia_act!Q$6</f>
        <v>112299.0609212081</v>
      </c>
      <c r="R15" s="102">
        <f>TrAvia_act!R$6</f>
        <v>128547.61637788871</v>
      </c>
      <c r="S15" s="102">
        <f>TrAvia_act!S$6</f>
        <v>138490.77229946168</v>
      </c>
      <c r="T15" s="102">
        <f>TrAvia_act!T$6</f>
        <v>140331.01517805073</v>
      </c>
      <c r="U15" s="102">
        <f>TrAvia_act!U$6</f>
        <v>140691.64830015955</v>
      </c>
      <c r="V15" s="102">
        <f>TrAvia_act!V$6</f>
        <v>34755.256761340919</v>
      </c>
      <c r="W15" s="102">
        <f>TrAvia_act!W$6</f>
        <v>52112.31592432363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29495.975287759647</v>
      </c>
      <c r="C16" s="102">
        <f>TrAvia_act!C$7</f>
        <v>23858.830096188492</v>
      </c>
      <c r="D16" s="102">
        <f>TrAvia_act!D$7</f>
        <v>23068.207632681551</v>
      </c>
      <c r="E16" s="102">
        <f>TrAvia_act!E$7</f>
        <v>22907.992297758723</v>
      </c>
      <c r="F16" s="102">
        <f>TrAvia_act!F$7</f>
        <v>27762.770212833606</v>
      </c>
      <c r="G16" s="102">
        <f>TrAvia_act!G$7</f>
        <v>32085.242130030831</v>
      </c>
      <c r="H16" s="102">
        <f>TrAvia_act!H$7</f>
        <v>36873.718068758397</v>
      </c>
      <c r="I16" s="102">
        <f>TrAvia_act!I$7</f>
        <v>42374.589097971591</v>
      </c>
      <c r="J16" s="102">
        <f>TrAvia_act!J$7</f>
        <v>48025.617919922057</v>
      </c>
      <c r="K16" s="102">
        <f>TrAvia_act!K$7</f>
        <v>46236.317478376186</v>
      </c>
      <c r="L16" s="102">
        <f>TrAvia_act!L$7</f>
        <v>50115.001254933653</v>
      </c>
      <c r="M16" s="102">
        <f>TrAvia_act!M$7</f>
        <v>54357.003427092182</v>
      </c>
      <c r="N16" s="102">
        <f>TrAvia_act!N$7</f>
        <v>54699.377945011409</v>
      </c>
      <c r="O16" s="102">
        <f>TrAvia_act!O$7</f>
        <v>55046.180309406329</v>
      </c>
      <c r="P16" s="102">
        <f>TrAvia_act!P$7</f>
        <v>54385.051127815917</v>
      </c>
      <c r="Q16" s="102">
        <f>TrAvia_act!Q$7</f>
        <v>55728.564363270205</v>
      </c>
      <c r="R16" s="102">
        <f>TrAvia_act!R$7</f>
        <v>59936.603526656072</v>
      </c>
      <c r="S16" s="102">
        <f>TrAvia_act!S$7</f>
        <v>65321.380782017055</v>
      </c>
      <c r="T16" s="102">
        <f>TrAvia_act!T$7</f>
        <v>72890.263109869658</v>
      </c>
      <c r="U16" s="102">
        <f>TrAvia_act!U$7</f>
        <v>81555.98480463335</v>
      </c>
      <c r="V16" s="102">
        <f>TrAvia_act!V$7</f>
        <v>20028.002102340004</v>
      </c>
      <c r="W16" s="102">
        <f>TrAvia_act!W$7</f>
        <v>25022.250443538058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171845.56479093281</v>
      </c>
      <c r="C17" s="28">
        <f t="shared" si="12"/>
        <v>182920.30938689964</v>
      </c>
      <c r="D17" s="28">
        <f t="shared" si="12"/>
        <v>197839.25931517445</v>
      </c>
      <c r="E17" s="28">
        <f t="shared" si="12"/>
        <v>207437.57852111835</v>
      </c>
      <c r="F17" s="28">
        <f t="shared" si="12"/>
        <v>230835.84970434807</v>
      </c>
      <c r="G17" s="28">
        <f t="shared" si="12"/>
        <v>243269.9371458081</v>
      </c>
      <c r="H17" s="28">
        <f t="shared" si="12"/>
        <v>253869.99723807798</v>
      </c>
      <c r="I17" s="28">
        <f t="shared" si="12"/>
        <v>271744.65277562715</v>
      </c>
      <c r="J17" s="28">
        <f t="shared" si="12"/>
        <v>249917.94425388062</v>
      </c>
      <c r="K17" s="28">
        <f t="shared" si="12"/>
        <v>216036.19957857011</v>
      </c>
      <c r="L17" s="28">
        <f t="shared" si="12"/>
        <v>212851.65766669455</v>
      </c>
      <c r="M17" s="28">
        <f t="shared" si="12"/>
        <v>208945.83415522537</v>
      </c>
      <c r="N17" s="28">
        <f t="shared" si="12"/>
        <v>196684.58136229552</v>
      </c>
      <c r="O17" s="28">
        <f t="shared" si="12"/>
        <v>192912.33826019088</v>
      </c>
      <c r="P17" s="28">
        <f t="shared" si="12"/>
        <v>195401.14331272047</v>
      </c>
      <c r="Q17" s="28">
        <f t="shared" si="12"/>
        <v>208839.17574762137</v>
      </c>
      <c r="R17" s="28">
        <f t="shared" ref="R17:V17" si="13">R18+R21+R22+R26</f>
        <v>217335.55132000838</v>
      </c>
      <c r="S17" s="28">
        <f t="shared" si="13"/>
        <v>228682.53070636641</v>
      </c>
      <c r="T17" s="28">
        <f t="shared" si="13"/>
        <v>236176.87182161745</v>
      </c>
      <c r="U17" s="28">
        <f t="shared" si="13"/>
        <v>245768.0617311383</v>
      </c>
      <c r="V17" s="28">
        <f t="shared" si="13"/>
        <v>233080.31918860905</v>
      </c>
      <c r="W17" s="28">
        <f t="shared" ref="W17" si="14">W18+W21+W22+W26</f>
        <v>261321.26989937498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146884.79517647673</v>
      </c>
      <c r="C18" s="137">
        <f t="shared" si="15"/>
        <v>157787.38403993781</v>
      </c>
      <c r="D18" s="137">
        <f t="shared" si="15"/>
        <v>174693.55285282343</v>
      </c>
      <c r="E18" s="137">
        <f t="shared" si="15"/>
        <v>184938.38023129822</v>
      </c>
      <c r="F18" s="137">
        <f t="shared" si="15"/>
        <v>208083.84600442095</v>
      </c>
      <c r="G18" s="137">
        <f t="shared" si="15"/>
        <v>220522.37808524416</v>
      </c>
      <c r="H18" s="137">
        <f t="shared" si="15"/>
        <v>230517.80911877388</v>
      </c>
      <c r="I18" s="137">
        <f t="shared" si="15"/>
        <v>249462.74038393333</v>
      </c>
      <c r="J18" s="137">
        <f t="shared" si="15"/>
        <v>228584.05056897894</v>
      </c>
      <c r="K18" s="137">
        <f t="shared" si="15"/>
        <v>199324.56907031313</v>
      </c>
      <c r="L18" s="137">
        <f t="shared" si="15"/>
        <v>194234.57107281411</v>
      </c>
      <c r="M18" s="137">
        <f t="shared" si="15"/>
        <v>189489.733995674</v>
      </c>
      <c r="N18" s="137">
        <f t="shared" si="15"/>
        <v>178649.15043577825</v>
      </c>
      <c r="O18" s="137">
        <f t="shared" si="15"/>
        <v>174947.93402859988</v>
      </c>
      <c r="P18" s="137">
        <f t="shared" si="15"/>
        <v>175862.38255120258</v>
      </c>
      <c r="Q18" s="137">
        <f t="shared" si="15"/>
        <v>187202.03852849139</v>
      </c>
      <c r="R18" s="137">
        <f t="shared" ref="R18:V18" si="16">R19+R20</f>
        <v>195608.20245075951</v>
      </c>
      <c r="S18" s="137">
        <f t="shared" si="16"/>
        <v>207466.7831375183</v>
      </c>
      <c r="T18" s="137">
        <f t="shared" si="16"/>
        <v>213355.23851211503</v>
      </c>
      <c r="U18" s="137">
        <f t="shared" si="16"/>
        <v>222532.09548235356</v>
      </c>
      <c r="V18" s="137">
        <f t="shared" si="16"/>
        <v>214131.62496181382</v>
      </c>
      <c r="W18" s="137">
        <f t="shared" ref="W18" si="17">W19+W20</f>
        <v>240657.94165684341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7942.0399006761781</v>
      </c>
      <c r="C19" s="102">
        <f>TrRoad_act!C$20</f>
        <v>9497.9155884977808</v>
      </c>
      <c r="D19" s="102">
        <f>TrRoad_act!D$20</f>
        <v>8875.6534757567206</v>
      </c>
      <c r="E19" s="102">
        <f>TrRoad_act!E$20</f>
        <v>9632.0107563122747</v>
      </c>
      <c r="F19" s="102">
        <f>TrRoad_act!F$20</f>
        <v>10248.882889556136</v>
      </c>
      <c r="G19" s="102">
        <f>TrRoad_act!G$20</f>
        <v>9801.1824719679407</v>
      </c>
      <c r="H19" s="102">
        <f>TrRoad_act!H$20</f>
        <v>10388.506333541667</v>
      </c>
      <c r="I19" s="102">
        <f>TrRoad_act!I$20</f>
        <v>12196.574960665544</v>
      </c>
      <c r="J19" s="102">
        <f>TrRoad_act!J$20</f>
        <v>11264.266669817953</v>
      </c>
      <c r="K19" s="102">
        <f>TrRoad_act!K$20</f>
        <v>9889.7733542855658</v>
      </c>
      <c r="L19" s="102">
        <f>TrRoad_act!L$20</f>
        <v>9833.0795439314043</v>
      </c>
      <c r="M19" s="102">
        <f>TrRoad_act!M$20</f>
        <v>9621.1815200284545</v>
      </c>
      <c r="N19" s="102">
        <f>TrRoad_act!N$20</f>
        <v>8879.5789243713407</v>
      </c>
      <c r="O19" s="102">
        <f>TrRoad_act!O$20</f>
        <v>8832.2987989893209</v>
      </c>
      <c r="P19" s="102">
        <f>TrRoad_act!P$20</f>
        <v>8750.9327558398945</v>
      </c>
      <c r="Q19" s="102">
        <f>TrRoad_act!Q$20</f>
        <v>9206.9558386206627</v>
      </c>
      <c r="R19" s="102">
        <f>TrRoad_act!R$20</f>
        <v>8907.5887387032071</v>
      </c>
      <c r="S19" s="102">
        <f>TrRoad_act!S$20</f>
        <v>9509.0372655638294</v>
      </c>
      <c r="T19" s="102">
        <f>TrRoad_act!T$20</f>
        <v>9733.2385121150255</v>
      </c>
      <c r="U19" s="102">
        <f>TrRoad_act!U$20</f>
        <v>9827.0954823535649</v>
      </c>
      <c r="V19" s="102">
        <f>TrRoad_act!V$20</f>
        <v>6678.6249618138127</v>
      </c>
      <c r="W19" s="102">
        <f>TrRoad_act!W$20</f>
        <v>9570.9416568433971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138942.75527580056</v>
      </c>
      <c r="C20" s="102">
        <f>TrRoad_act!C$26</f>
        <v>148289.46845144004</v>
      </c>
      <c r="D20" s="102">
        <f>TrRoad_act!D$26</f>
        <v>165817.8993770667</v>
      </c>
      <c r="E20" s="102">
        <f>TrRoad_act!E$26</f>
        <v>175306.36947498593</v>
      </c>
      <c r="F20" s="102">
        <f>TrRoad_act!F$26</f>
        <v>197834.9631148648</v>
      </c>
      <c r="G20" s="102">
        <f>TrRoad_act!G$26</f>
        <v>210721.19561327621</v>
      </c>
      <c r="H20" s="102">
        <f>TrRoad_act!H$26</f>
        <v>220129.3027852322</v>
      </c>
      <c r="I20" s="102">
        <f>TrRoad_act!I$26</f>
        <v>237266.16542326778</v>
      </c>
      <c r="J20" s="102">
        <f>TrRoad_act!J$26</f>
        <v>217319.783899161</v>
      </c>
      <c r="K20" s="102">
        <f>TrRoad_act!K$26</f>
        <v>189434.79571602755</v>
      </c>
      <c r="L20" s="102">
        <f>TrRoad_act!L$26</f>
        <v>184401.4915288827</v>
      </c>
      <c r="M20" s="102">
        <f>TrRoad_act!M$26</f>
        <v>179868.55247564556</v>
      </c>
      <c r="N20" s="102">
        <f>TrRoad_act!N$26</f>
        <v>169769.57151140692</v>
      </c>
      <c r="O20" s="102">
        <f>TrRoad_act!O$26</f>
        <v>166115.63522961055</v>
      </c>
      <c r="P20" s="102">
        <f>TrRoad_act!P$26</f>
        <v>167111.44979536269</v>
      </c>
      <c r="Q20" s="102">
        <f>TrRoad_act!Q$26</f>
        <v>177995.08268987073</v>
      </c>
      <c r="R20" s="102">
        <f>TrRoad_act!R$26</f>
        <v>186700.61371205631</v>
      </c>
      <c r="S20" s="102">
        <f>TrRoad_act!S$26</f>
        <v>197957.74587195448</v>
      </c>
      <c r="T20" s="102">
        <f>TrRoad_act!T$26</f>
        <v>203622</v>
      </c>
      <c r="U20" s="102">
        <f>TrRoad_act!U$26</f>
        <v>212705</v>
      </c>
      <c r="V20" s="102">
        <f>TrRoad_act!V$26</f>
        <v>207453</v>
      </c>
      <c r="W20" s="102">
        <f>TrRoad_act!W$26</f>
        <v>231087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12171</v>
      </c>
      <c r="C21" s="110">
        <f>TrRail_act!C$10</f>
        <v>12322</v>
      </c>
      <c r="D21" s="110">
        <f>TrRail_act!D$10</f>
        <v>12247</v>
      </c>
      <c r="E21" s="110">
        <f>TrRail_act!E$10</f>
        <v>12411</v>
      </c>
      <c r="F21" s="110">
        <f>TrRail_act!F$10</f>
        <v>12436</v>
      </c>
      <c r="G21" s="110">
        <f>TrRail_act!G$10</f>
        <v>11585</v>
      </c>
      <c r="H21" s="110">
        <f>TrRail_act!H$10</f>
        <v>11541</v>
      </c>
      <c r="I21" s="110">
        <f>TrRail_act!I$10</f>
        <v>11237</v>
      </c>
      <c r="J21" s="110">
        <f>TrRail_act!J$10</f>
        <v>10971</v>
      </c>
      <c r="K21" s="110">
        <f>TrRail_act!K$10</f>
        <v>7806</v>
      </c>
      <c r="L21" s="110">
        <f>TrRail_act!L$10</f>
        <v>8913</v>
      </c>
      <c r="M21" s="110">
        <f>TrRail_act!M$10</f>
        <v>9451</v>
      </c>
      <c r="N21" s="110">
        <f>TrRail_act!N$10</f>
        <v>9458</v>
      </c>
      <c r="O21" s="110">
        <f>TrRail_act!O$10</f>
        <v>9338</v>
      </c>
      <c r="P21" s="110">
        <f>TrRail_act!P$10</f>
        <v>10385</v>
      </c>
      <c r="Q21" s="110">
        <f>TrRail_act!Q$10</f>
        <v>11028</v>
      </c>
      <c r="R21" s="110">
        <f>TrRail_act!R$10</f>
        <v>10550</v>
      </c>
      <c r="S21" s="110">
        <f>TrRail_act!S$10</f>
        <v>10549</v>
      </c>
      <c r="T21" s="110">
        <f>TrRail_act!T$10</f>
        <v>10650</v>
      </c>
      <c r="U21" s="110">
        <f>TrRail_act!U$10</f>
        <v>10710</v>
      </c>
      <c r="V21" s="110">
        <f>TrRail_act!V$10</f>
        <v>8920</v>
      </c>
      <c r="W21" s="110">
        <f>TrRail_act!W$10</f>
        <v>10299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943.01461445606378</v>
      </c>
      <c r="C22" s="110">
        <f t="shared" ref="C22:V22" si="19">C23+C24+C25</f>
        <v>945.05334696181933</v>
      </c>
      <c r="D22" s="110">
        <f t="shared" si="19"/>
        <v>853.06146235104211</v>
      </c>
      <c r="E22" s="110">
        <f t="shared" si="19"/>
        <v>797.57528982013571</v>
      </c>
      <c r="F22" s="110">
        <f t="shared" si="19"/>
        <v>956.72669992712861</v>
      </c>
      <c r="G22" s="110">
        <f t="shared" si="19"/>
        <v>893.59706056393247</v>
      </c>
      <c r="H22" s="110">
        <f t="shared" si="19"/>
        <v>912.47111930411165</v>
      </c>
      <c r="I22" s="110">
        <f t="shared" si="19"/>
        <v>1010.6803916938125</v>
      </c>
      <c r="J22" s="110">
        <f t="shared" si="19"/>
        <v>1065.4676849016544</v>
      </c>
      <c r="K22" s="110">
        <f t="shared" si="19"/>
        <v>1020.443508256996</v>
      </c>
      <c r="L22" s="110">
        <f t="shared" si="19"/>
        <v>1307.6445938804209</v>
      </c>
      <c r="M22" s="110">
        <f t="shared" si="19"/>
        <v>1376.9811595513661</v>
      </c>
      <c r="N22" s="110">
        <f t="shared" si="19"/>
        <v>1358.0509265172618</v>
      </c>
      <c r="O22" s="110">
        <f t="shared" si="19"/>
        <v>1363.6132315910095</v>
      </c>
      <c r="P22" s="110">
        <f t="shared" si="19"/>
        <v>1465.2007615178954</v>
      </c>
      <c r="Q22" s="110">
        <f t="shared" si="19"/>
        <v>1572.0822191299842</v>
      </c>
      <c r="R22" s="110">
        <f t="shared" si="19"/>
        <v>1686.2228692488757</v>
      </c>
      <c r="S22" s="110">
        <f t="shared" si="19"/>
        <v>2146.8715688481157</v>
      </c>
      <c r="T22" s="110">
        <f t="shared" si="19"/>
        <v>2470.5893095024171</v>
      </c>
      <c r="U22" s="110">
        <f t="shared" si="19"/>
        <v>2483.7672487847449</v>
      </c>
      <c r="V22" s="110">
        <f t="shared" si="19"/>
        <v>1697.9122267952312</v>
      </c>
      <c r="W22" s="110">
        <f t="shared" ref="W22" si="20">W23+W24+W25</f>
        <v>1950.4312425315782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101.7164473000086</v>
      </c>
      <c r="C23" s="102">
        <f>TrAvia_act!C$9</f>
        <v>96.087645970092268</v>
      </c>
      <c r="D23" s="102">
        <f>TrAvia_act!D$9</f>
        <v>92.487544703512057</v>
      </c>
      <c r="E23" s="102">
        <f>TrAvia_act!E$9</f>
        <v>83.027716791864563</v>
      </c>
      <c r="F23" s="102">
        <f>TrAvia_act!F$9</f>
        <v>105.86250254230514</v>
      </c>
      <c r="G23" s="102">
        <f>TrAvia_act!G$9</f>
        <v>102.35571819378684</v>
      </c>
      <c r="H23" s="102">
        <f>TrAvia_act!H$9</f>
        <v>100.1621668177293</v>
      </c>
      <c r="I23" s="102">
        <f>TrAvia_act!I$9</f>
        <v>97.143639945615917</v>
      </c>
      <c r="J23" s="102">
        <f>TrAvia_act!J$9</f>
        <v>90.894485808735737</v>
      </c>
      <c r="K23" s="102">
        <f>TrAvia_act!K$9</f>
        <v>72.562884228823435</v>
      </c>
      <c r="L23" s="102">
        <f>TrAvia_act!L$9</f>
        <v>72.05660223888998</v>
      </c>
      <c r="M23" s="102">
        <f>TrAvia_act!M$9</f>
        <v>66.533176922287609</v>
      </c>
      <c r="N23" s="102">
        <f>TrAvia_act!N$9</f>
        <v>56.184833431777953</v>
      </c>
      <c r="O23" s="102">
        <f>TrAvia_act!O$9</f>
        <v>53.146612495180669</v>
      </c>
      <c r="P23" s="102">
        <f>TrAvia_act!P$9</f>
        <v>54.264384094202242</v>
      </c>
      <c r="Q23" s="102">
        <f>TrAvia_act!Q$9</f>
        <v>51.823053905905638</v>
      </c>
      <c r="R23" s="102">
        <f>TrAvia_act!R$9</f>
        <v>54.451886338501971</v>
      </c>
      <c r="S23" s="102">
        <f>TrAvia_act!S$9</f>
        <v>55.362158541002778</v>
      </c>
      <c r="T23" s="102">
        <f>TrAvia_act!T$9</f>
        <v>54.596598999995948</v>
      </c>
      <c r="U23" s="102">
        <f>TrAvia_act!U$9</f>
        <v>53.0190468842139</v>
      </c>
      <c r="V23" s="102">
        <f>TrAvia_act!V$9</f>
        <v>39.903792531495981</v>
      </c>
      <c r="W23" s="102">
        <f>TrAvia_act!W$9</f>
        <v>46.797844944394548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165.81361401614947</v>
      </c>
      <c r="C24" s="102">
        <f>TrAvia_act!C$10</f>
        <v>162.64025968247159</v>
      </c>
      <c r="D24" s="102">
        <f>TrAvia_act!D$10</f>
        <v>150.24312653177458</v>
      </c>
      <c r="E24" s="102">
        <f>TrAvia_act!E$10</f>
        <v>146.63780894460933</v>
      </c>
      <c r="F24" s="102">
        <f>TrAvia_act!F$10</f>
        <v>164.65940421629742</v>
      </c>
      <c r="G24" s="102">
        <f>TrAvia_act!G$10</f>
        <v>153.08765774605598</v>
      </c>
      <c r="H24" s="102">
        <f>TrAvia_act!H$10</f>
        <v>131.26942578117968</v>
      </c>
      <c r="I24" s="102">
        <f>TrAvia_act!I$10</f>
        <v>111.94862451259787</v>
      </c>
      <c r="J24" s="102">
        <f>TrAvia_act!J$10</f>
        <v>111.75554121110879</v>
      </c>
      <c r="K24" s="102">
        <f>TrAvia_act!K$10</f>
        <v>104.45327589189138</v>
      </c>
      <c r="L24" s="102">
        <f>TrAvia_act!L$10</f>
        <v>116.39570992885197</v>
      </c>
      <c r="M24" s="102">
        <f>TrAvia_act!M$10</f>
        <v>117.54293945244088</v>
      </c>
      <c r="N24" s="102">
        <f>TrAvia_act!N$10</f>
        <v>110.86859172204232</v>
      </c>
      <c r="O24" s="102">
        <f>TrAvia_act!O$10</f>
        <v>111.69423382604435</v>
      </c>
      <c r="P24" s="102">
        <f>TrAvia_act!P$10</f>
        <v>118.74742826667008</v>
      </c>
      <c r="Q24" s="102">
        <f>TrAvia_act!Q$10</f>
        <v>125.45118997094303</v>
      </c>
      <c r="R24" s="102">
        <f>TrAvia_act!R$10</f>
        <v>126.96938940693359</v>
      </c>
      <c r="S24" s="102">
        <f>TrAvia_act!S$10</f>
        <v>138.86607350925803</v>
      </c>
      <c r="T24" s="102">
        <f>TrAvia_act!T$10</f>
        <v>141.50034625770135</v>
      </c>
      <c r="U24" s="102">
        <f>TrAvia_act!U$10</f>
        <v>159.89058554112688</v>
      </c>
      <c r="V24" s="102">
        <f>TrAvia_act!V$10</f>
        <v>143.61907849132376</v>
      </c>
      <c r="W24" s="102">
        <f>TrAvia_act!W$10</f>
        <v>152.90802289139896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675.48455313990564</v>
      </c>
      <c r="C25" s="102">
        <f>TrAvia_act!C$11</f>
        <v>686.32544130925544</v>
      </c>
      <c r="D25" s="102">
        <f>TrAvia_act!D$11</f>
        <v>610.33079111575546</v>
      </c>
      <c r="E25" s="102">
        <f>TrAvia_act!E$11</f>
        <v>567.9097640836618</v>
      </c>
      <c r="F25" s="102">
        <f>TrAvia_act!F$11</f>
        <v>686.20479316852607</v>
      </c>
      <c r="G25" s="102">
        <f>TrAvia_act!G$11</f>
        <v>638.15368462408969</v>
      </c>
      <c r="H25" s="102">
        <f>TrAvia_act!H$11</f>
        <v>681.03952670520266</v>
      </c>
      <c r="I25" s="102">
        <f>TrAvia_act!I$11</f>
        <v>801.58812723559868</v>
      </c>
      <c r="J25" s="102">
        <f>TrAvia_act!J$11</f>
        <v>862.81765788180985</v>
      </c>
      <c r="K25" s="102">
        <f>TrAvia_act!K$11</f>
        <v>843.42734813628113</v>
      </c>
      <c r="L25" s="102">
        <f>TrAvia_act!L$11</f>
        <v>1119.192281712679</v>
      </c>
      <c r="M25" s="102">
        <f>TrAvia_act!M$11</f>
        <v>1192.9050431766375</v>
      </c>
      <c r="N25" s="102">
        <f>TrAvia_act!N$11</f>
        <v>1190.9975013634414</v>
      </c>
      <c r="O25" s="102">
        <f>TrAvia_act!O$11</f>
        <v>1198.7723852697845</v>
      </c>
      <c r="P25" s="102">
        <f>TrAvia_act!P$11</f>
        <v>1292.188949157023</v>
      </c>
      <c r="Q25" s="102">
        <f>TrAvia_act!Q$11</f>
        <v>1394.8079752531355</v>
      </c>
      <c r="R25" s="102">
        <f>TrAvia_act!R$11</f>
        <v>1504.80159350344</v>
      </c>
      <c r="S25" s="102">
        <f>TrAvia_act!S$11</f>
        <v>1952.643336797855</v>
      </c>
      <c r="T25" s="102">
        <f>TrAvia_act!T$11</f>
        <v>2274.4923642447197</v>
      </c>
      <c r="U25" s="102">
        <f>TrAvia_act!U$11</f>
        <v>2270.8576163594039</v>
      </c>
      <c r="V25" s="102">
        <f>TrAvia_act!V$11</f>
        <v>1514.3893557724114</v>
      </c>
      <c r="W25" s="102">
        <f>TrAvia_act!W$11</f>
        <v>1750.7253746957847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11846.754999999999</v>
      </c>
      <c r="C26" s="110">
        <f t="shared" si="21"/>
        <v>11865.871999999999</v>
      </c>
      <c r="D26" s="110">
        <f t="shared" si="21"/>
        <v>10045.645</v>
      </c>
      <c r="E26" s="110">
        <f t="shared" si="21"/>
        <v>9290.6229999999996</v>
      </c>
      <c r="F26" s="110">
        <f t="shared" si="21"/>
        <v>9359.277</v>
      </c>
      <c r="G26" s="110">
        <f t="shared" si="21"/>
        <v>10268.962</v>
      </c>
      <c r="H26" s="110">
        <f t="shared" si="21"/>
        <v>10898.717000000001</v>
      </c>
      <c r="I26" s="110">
        <f t="shared" si="21"/>
        <v>10034.232</v>
      </c>
      <c r="J26" s="110">
        <f t="shared" si="21"/>
        <v>9297.4259999999995</v>
      </c>
      <c r="K26" s="110">
        <f t="shared" si="21"/>
        <v>7885.1869999999999</v>
      </c>
      <c r="L26" s="110">
        <f t="shared" si="21"/>
        <v>8396.4419999999991</v>
      </c>
      <c r="M26" s="110">
        <f t="shared" si="21"/>
        <v>8628.1190000000006</v>
      </c>
      <c r="N26" s="110">
        <f t="shared" si="21"/>
        <v>7219.38</v>
      </c>
      <c r="O26" s="110">
        <f t="shared" si="21"/>
        <v>7262.7910000000002</v>
      </c>
      <c r="P26" s="110">
        <f t="shared" si="21"/>
        <v>7688.56</v>
      </c>
      <c r="Q26" s="110">
        <f t="shared" si="21"/>
        <v>9037.0550000000003</v>
      </c>
      <c r="R26" s="110">
        <f t="shared" ref="R26:V26" si="22">R27+R28</f>
        <v>9491.1260000000002</v>
      </c>
      <c r="S26" s="110">
        <f t="shared" si="22"/>
        <v>8519.8760000000002</v>
      </c>
      <c r="T26" s="110">
        <f t="shared" si="22"/>
        <v>9701.0439999999999</v>
      </c>
      <c r="U26" s="110">
        <f t="shared" si="22"/>
        <v>10042.199000000001</v>
      </c>
      <c r="V26" s="110">
        <f t="shared" si="22"/>
        <v>8330.7819999999992</v>
      </c>
      <c r="W26" s="110">
        <f t="shared" ref="W26" si="23">W27+W28</f>
        <v>8413.8970000000008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11846.754999999999</v>
      </c>
      <c r="C27" s="102">
        <f>TrNavi_act!C4</f>
        <v>11865.871999999999</v>
      </c>
      <c r="D27" s="102">
        <f>TrNavi_act!D4</f>
        <v>10045.645</v>
      </c>
      <c r="E27" s="102">
        <f>TrNavi_act!E4</f>
        <v>9290.6229999999996</v>
      </c>
      <c r="F27" s="102">
        <f>TrNavi_act!F4</f>
        <v>9359.277</v>
      </c>
      <c r="G27" s="102">
        <f>TrNavi_act!G4</f>
        <v>10268.962</v>
      </c>
      <c r="H27" s="102">
        <f>TrNavi_act!H4</f>
        <v>10898.717000000001</v>
      </c>
      <c r="I27" s="102">
        <f>TrNavi_act!I4</f>
        <v>10034.232</v>
      </c>
      <c r="J27" s="102">
        <f>TrNavi_act!J4</f>
        <v>9297.4259999999995</v>
      </c>
      <c r="K27" s="102">
        <f>TrNavi_act!K4</f>
        <v>7885.1869999999999</v>
      </c>
      <c r="L27" s="102">
        <f>TrNavi_act!L4</f>
        <v>8396.4419999999991</v>
      </c>
      <c r="M27" s="102">
        <f>TrNavi_act!M4</f>
        <v>8628.1190000000006</v>
      </c>
      <c r="N27" s="102">
        <f>TrNavi_act!N4</f>
        <v>7219.38</v>
      </c>
      <c r="O27" s="102">
        <f>TrNavi_act!O4</f>
        <v>7262.7910000000002</v>
      </c>
      <c r="P27" s="102">
        <f>TrNavi_act!P4</f>
        <v>7688.56</v>
      </c>
      <c r="Q27" s="102">
        <f>TrNavi_act!Q4</f>
        <v>9037.0550000000003</v>
      </c>
      <c r="R27" s="102">
        <f>TrNavi_act!R4</f>
        <v>9491.1260000000002</v>
      </c>
      <c r="S27" s="102">
        <f>TrNavi_act!S4</f>
        <v>8519.8760000000002</v>
      </c>
      <c r="T27" s="102">
        <f>TrNavi_act!T4</f>
        <v>9701.0439999999999</v>
      </c>
      <c r="U27" s="102">
        <f>TrNavi_act!U4</f>
        <v>10042.199000000001</v>
      </c>
      <c r="V27" s="102">
        <f>TrNavi_act!V4</f>
        <v>8330.7819999999992</v>
      </c>
      <c r="W27" s="102">
        <f>TrNavi_act!W4</f>
        <v>8413.8970000000008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610521.44012199994</v>
      </c>
      <c r="C29" s="28">
        <f t="shared" si="24"/>
        <v>733609.77781699994</v>
      </c>
      <c r="D29" s="28">
        <f t="shared" si="24"/>
        <v>775781.49471899995</v>
      </c>
      <c r="E29" s="28">
        <f t="shared" si="24"/>
        <v>820706.49188799993</v>
      </c>
      <c r="F29" s="28">
        <f t="shared" si="24"/>
        <v>920636.79541299993</v>
      </c>
      <c r="G29" s="28">
        <f t="shared" si="24"/>
        <v>1018630.5638059999</v>
      </c>
      <c r="H29" s="28">
        <f t="shared" si="24"/>
        <v>1095158.411202</v>
      </c>
      <c r="I29" s="28">
        <f t="shared" si="24"/>
        <v>1188923.1658719999</v>
      </c>
      <c r="J29" s="28">
        <f t="shared" si="24"/>
        <v>1136546.2627119999</v>
      </c>
      <c r="K29" s="28">
        <f t="shared" si="24"/>
        <v>932697.11116199999</v>
      </c>
      <c r="L29" s="28">
        <f t="shared" si="24"/>
        <v>958009.68282700004</v>
      </c>
      <c r="M29" s="28">
        <f t="shared" si="24"/>
        <v>1063270.4440319999</v>
      </c>
      <c r="N29" s="28">
        <f t="shared" si="24"/>
        <v>1109290.8522910001</v>
      </c>
      <c r="O29" s="28">
        <f t="shared" si="24"/>
        <v>1019308.0460340001</v>
      </c>
      <c r="P29" s="28">
        <f t="shared" si="24"/>
        <v>1042546.029128</v>
      </c>
      <c r="Q29" s="28">
        <f t="shared" si="24"/>
        <v>991372.90810100001</v>
      </c>
      <c r="R29" s="28">
        <f t="shared" si="24"/>
        <v>994201.95229200006</v>
      </c>
      <c r="S29" s="28">
        <f t="shared" si="24"/>
        <v>1048425.906704</v>
      </c>
      <c r="T29" s="28">
        <f t="shared" si="24"/>
        <v>1125298.307359</v>
      </c>
      <c r="U29" s="28">
        <f t="shared" si="24"/>
        <v>1235182.3276750001</v>
      </c>
      <c r="V29" s="28">
        <f t="shared" si="24"/>
        <v>1137730.271861</v>
      </c>
      <c r="W29" s="28">
        <f t="shared" si="24"/>
        <v>1177322.4844229999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81249.036166000005</v>
      </c>
      <c r="C30" s="102">
        <f>MBunk_act!C$4</f>
        <v>93100.742295000004</v>
      </c>
      <c r="D30" s="102">
        <f>MBunk_act!D$4</f>
        <v>96568.344681000002</v>
      </c>
      <c r="E30" s="102">
        <f>MBunk_act!E$4</f>
        <v>101746.349131</v>
      </c>
      <c r="F30" s="102">
        <f>MBunk_act!F$4</f>
        <v>113810.029779</v>
      </c>
      <c r="G30" s="102">
        <f>MBunk_act!G$4</f>
        <v>120262.57239300001</v>
      </c>
      <c r="H30" s="102">
        <f>MBunk_act!H$4</f>
        <v>116580.53730700001</v>
      </c>
      <c r="I30" s="102">
        <f>MBunk_act!I$4</f>
        <v>115940.437091</v>
      </c>
      <c r="J30" s="102">
        <f>MBunk_act!J$4</f>
        <v>109487.862492</v>
      </c>
      <c r="K30" s="102">
        <f>MBunk_act!K$4</f>
        <v>102737.40494200001</v>
      </c>
      <c r="L30" s="102">
        <f>MBunk_act!L$4</f>
        <v>104662.475796</v>
      </c>
      <c r="M30" s="102">
        <f>MBunk_act!M$4</f>
        <v>106646.28104900001</v>
      </c>
      <c r="N30" s="102">
        <f>MBunk_act!N$4</f>
        <v>106470.35304399999</v>
      </c>
      <c r="O30" s="102">
        <f>MBunk_act!O$4</f>
        <v>106516.72536</v>
      </c>
      <c r="P30" s="102">
        <f>MBunk_act!P$4</f>
        <v>116223.69357399999</v>
      </c>
      <c r="Q30" s="102">
        <f>MBunk_act!Q$4</f>
        <v>111854.70970000001</v>
      </c>
      <c r="R30" s="102">
        <f>MBunk_act!R$4</f>
        <v>116539.993187</v>
      </c>
      <c r="S30" s="102">
        <f>MBunk_act!S$4</f>
        <v>116937.506003</v>
      </c>
      <c r="T30" s="102">
        <f>MBunk_act!T$4</f>
        <v>126731.68619600001</v>
      </c>
      <c r="U30" s="102">
        <f>MBunk_act!U$4</f>
        <v>140628.78663300001</v>
      </c>
      <c r="V30" s="102">
        <f>MBunk_act!V$4</f>
        <v>138481.43329699998</v>
      </c>
      <c r="W30" s="102">
        <f>MBunk_act!W$4</f>
        <v>145923.169689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529272.40395599999</v>
      </c>
      <c r="C31" s="86">
        <f>MBunk_act!C$5</f>
        <v>640509.03552199993</v>
      </c>
      <c r="D31" s="86">
        <f>MBunk_act!D$5</f>
        <v>679213.15003799996</v>
      </c>
      <c r="E31" s="86">
        <f>MBunk_act!E$5</f>
        <v>718960.14275699994</v>
      </c>
      <c r="F31" s="86">
        <f>MBunk_act!F$5</f>
        <v>806826.76563399995</v>
      </c>
      <c r="G31" s="86">
        <f>MBunk_act!G$5</f>
        <v>898367.99141299992</v>
      </c>
      <c r="H31" s="86">
        <f>MBunk_act!H$5</f>
        <v>978577.87389499997</v>
      </c>
      <c r="I31" s="86">
        <f>MBunk_act!I$5</f>
        <v>1072982.728781</v>
      </c>
      <c r="J31" s="86">
        <f>MBunk_act!J$5</f>
        <v>1027058.40022</v>
      </c>
      <c r="K31" s="86">
        <f>MBunk_act!K$5</f>
        <v>829959.70621999993</v>
      </c>
      <c r="L31" s="86">
        <f>MBunk_act!L$5</f>
        <v>853347.20703100006</v>
      </c>
      <c r="M31" s="86">
        <f>MBunk_act!M$5</f>
        <v>956624.16298299993</v>
      </c>
      <c r="N31" s="86">
        <f>MBunk_act!N$5</f>
        <v>1002820.499247</v>
      </c>
      <c r="O31" s="86">
        <f>MBunk_act!O$5</f>
        <v>912791.32067400008</v>
      </c>
      <c r="P31" s="86">
        <f>MBunk_act!P$5</f>
        <v>926322.33555399999</v>
      </c>
      <c r="Q31" s="86">
        <f>MBunk_act!Q$5</f>
        <v>879518.198401</v>
      </c>
      <c r="R31" s="86">
        <f>MBunk_act!R$5</f>
        <v>877661.95910500002</v>
      </c>
      <c r="S31" s="86">
        <f>MBunk_act!S$5</f>
        <v>931488.40070100001</v>
      </c>
      <c r="T31" s="86">
        <f>MBunk_act!T$5</f>
        <v>998566.621163</v>
      </c>
      <c r="U31" s="86">
        <f>MBunk_act!U$5</f>
        <v>1094553.5410420001</v>
      </c>
      <c r="V31" s="86">
        <f>MBunk_act!V$5</f>
        <v>999248.83856399998</v>
      </c>
      <c r="W31" s="86">
        <f>MBunk_act!W$5</f>
        <v>1031399.314734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22224.789094093554</v>
      </c>
      <c r="C34" s="28">
        <f t="shared" si="25"/>
        <v>22732.876896175145</v>
      </c>
      <c r="D34" s="28">
        <f t="shared" si="25"/>
        <v>23242.183676340504</v>
      </c>
      <c r="E34" s="28">
        <f t="shared" si="25"/>
        <v>24340.918560155609</v>
      </c>
      <c r="F34" s="28">
        <f t="shared" si="25"/>
        <v>25399.851930766272</v>
      </c>
      <c r="G34" s="28">
        <f t="shared" si="25"/>
        <v>26745.735542990853</v>
      </c>
      <c r="H34" s="28">
        <f t="shared" si="25"/>
        <v>27512.272843962201</v>
      </c>
      <c r="I34" s="28">
        <f t="shared" si="25"/>
        <v>28478.083915384545</v>
      </c>
      <c r="J34" s="28">
        <f t="shared" si="25"/>
        <v>27833.066052716422</v>
      </c>
      <c r="K34" s="28">
        <f t="shared" si="25"/>
        <v>27010.635019797679</v>
      </c>
      <c r="L34" s="28">
        <f t="shared" si="25"/>
        <v>26601.274053671081</v>
      </c>
      <c r="M34" s="28">
        <f t="shared" si="25"/>
        <v>26305.0869800152</v>
      </c>
      <c r="N34" s="28">
        <f t="shared" si="25"/>
        <v>24707.954123085361</v>
      </c>
      <c r="O34" s="28">
        <f t="shared" si="25"/>
        <v>23745.161166045982</v>
      </c>
      <c r="P34" s="28">
        <f t="shared" si="25"/>
        <v>24129.023925570415</v>
      </c>
      <c r="Q34" s="28">
        <f t="shared" si="25"/>
        <v>24856.050960760724</v>
      </c>
      <c r="R34" s="28">
        <f t="shared" ref="R34:V34" si="26">R35+R39+R43</f>
        <v>25419.665728874519</v>
      </c>
      <c r="S34" s="28">
        <f t="shared" si="26"/>
        <v>25682.017473359698</v>
      </c>
      <c r="T34" s="28">
        <f t="shared" si="26"/>
        <v>26349.190521931643</v>
      </c>
      <c r="U34" s="28">
        <f t="shared" si="26"/>
        <v>27169.481445474386</v>
      </c>
      <c r="V34" s="28">
        <f t="shared" si="26"/>
        <v>18485.424603723961</v>
      </c>
      <c r="W34" s="28">
        <f t="shared" ref="W34" si="27">W35+W39+W43</f>
        <v>21192.810903554564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17226.911442066288</v>
      </c>
      <c r="C35" s="137">
        <f t="shared" si="28"/>
        <v>17660.637893593346</v>
      </c>
      <c r="D35" s="137">
        <f t="shared" si="28"/>
        <v>18360.88434560216</v>
      </c>
      <c r="E35" s="137">
        <f t="shared" si="28"/>
        <v>19149.875086788146</v>
      </c>
      <c r="F35" s="137">
        <f t="shared" si="28"/>
        <v>19640.981291465912</v>
      </c>
      <c r="G35" s="137">
        <f t="shared" si="28"/>
        <v>20554.470069550996</v>
      </c>
      <c r="H35" s="137">
        <f t="shared" si="28"/>
        <v>21249.006689948226</v>
      </c>
      <c r="I35" s="137">
        <f t="shared" si="28"/>
        <v>21836.851017444649</v>
      </c>
      <c r="J35" s="137">
        <f t="shared" si="28"/>
        <v>21271.060957352085</v>
      </c>
      <c r="K35" s="137">
        <f t="shared" si="28"/>
        <v>21043.838561496694</v>
      </c>
      <c r="L35" s="137">
        <f t="shared" si="28"/>
        <v>20530.791156086147</v>
      </c>
      <c r="M35" s="137">
        <f t="shared" si="28"/>
        <v>19825.17736392139</v>
      </c>
      <c r="N35" s="137">
        <f t="shared" si="28"/>
        <v>18506.537064391738</v>
      </c>
      <c r="O35" s="137">
        <f t="shared" si="28"/>
        <v>18244.868669867777</v>
      </c>
      <c r="P35" s="137">
        <f t="shared" si="28"/>
        <v>18463.371006099049</v>
      </c>
      <c r="Q35" s="137">
        <f t="shared" si="28"/>
        <v>18836.375853373469</v>
      </c>
      <c r="R35" s="137">
        <f t="shared" ref="R35:V35" si="29">R36+R37+R38</f>
        <v>18999.483706612642</v>
      </c>
      <c r="S35" s="137">
        <f t="shared" si="29"/>
        <v>18740.955774119535</v>
      </c>
      <c r="T35" s="137">
        <f t="shared" si="29"/>
        <v>19138.450380367689</v>
      </c>
      <c r="U35" s="137">
        <f t="shared" si="29"/>
        <v>19718.125446684204</v>
      </c>
      <c r="V35" s="137">
        <f t="shared" si="29"/>
        <v>15858.117121017131</v>
      </c>
      <c r="W35" s="137">
        <f t="shared" ref="W35" si="30">W36+W37+W38</f>
        <v>17566.964985540613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376.50521239735724</v>
      </c>
      <c r="C36" s="102">
        <f>TrRoad_ene!C$19</f>
        <v>397.94173419415108</v>
      </c>
      <c r="D36" s="102">
        <f>TrRoad_ene!D$19</f>
        <v>363.9059791781898</v>
      </c>
      <c r="E36" s="102">
        <f>TrRoad_ene!E$19</f>
        <v>409.2505584830559</v>
      </c>
      <c r="F36" s="102">
        <f>TrRoad_ene!F$19</f>
        <v>395.0361973530371</v>
      </c>
      <c r="G36" s="102">
        <f>TrRoad_ene!G$19</f>
        <v>450.99094763830504</v>
      </c>
      <c r="H36" s="102">
        <f>TrRoad_ene!H$19</f>
        <v>458.02725194351808</v>
      </c>
      <c r="I36" s="102">
        <f>TrRoad_ene!I$19</f>
        <v>517.37196063861188</v>
      </c>
      <c r="J36" s="102">
        <f>TrRoad_ene!J$19</f>
        <v>517.3861059307319</v>
      </c>
      <c r="K36" s="102">
        <f>TrRoad_ene!K$19</f>
        <v>533.805869159743</v>
      </c>
      <c r="L36" s="102">
        <f>TrRoad_ene!L$19</f>
        <v>540.16087522011571</v>
      </c>
      <c r="M36" s="102">
        <f>TrRoad_ene!M$19</f>
        <v>495.08161881735691</v>
      </c>
      <c r="N36" s="102">
        <f>TrRoad_ene!N$19</f>
        <v>467.82219407636342</v>
      </c>
      <c r="O36" s="102">
        <f>TrRoad_ene!O$19</f>
        <v>461.77085934985564</v>
      </c>
      <c r="P36" s="102">
        <f>TrRoad_ene!P$19</f>
        <v>512.92429466211797</v>
      </c>
      <c r="Q36" s="102">
        <f>TrRoad_ene!Q$19</f>
        <v>549.07002983369364</v>
      </c>
      <c r="R36" s="102">
        <f>TrRoad_ene!R$19</f>
        <v>566.74381436891542</v>
      </c>
      <c r="S36" s="102">
        <f>TrRoad_ene!S$19</f>
        <v>536.00466962196526</v>
      </c>
      <c r="T36" s="102">
        <f>TrRoad_ene!T$19</f>
        <v>508.24217154470983</v>
      </c>
      <c r="U36" s="102">
        <f>TrRoad_ene!U$19</f>
        <v>534.93494206124763</v>
      </c>
      <c r="V36" s="102">
        <f>TrRoad_ene!V$19</f>
        <v>453.80713407467601</v>
      </c>
      <c r="W36" s="102">
        <f>TrRoad_ene!W$19</f>
        <v>461.36050405543972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15667.213092231557</v>
      </c>
      <c r="C37" s="102">
        <f>TrRoad_ene!C$21</f>
        <v>16086.009905567775</v>
      </c>
      <c r="D37" s="102">
        <f>TrRoad_ene!D$21</f>
        <v>16839.498097488824</v>
      </c>
      <c r="E37" s="102">
        <f>TrRoad_ene!E$21</f>
        <v>17592.003636277223</v>
      </c>
      <c r="F37" s="102">
        <f>TrRoad_ene!F$21</f>
        <v>18067.202581304868</v>
      </c>
      <c r="G37" s="102">
        <f>TrRoad_ene!G$21</f>
        <v>18937.14581109471</v>
      </c>
      <c r="H37" s="102">
        <f>TrRoad_ene!H$21</f>
        <v>19577.138160587769</v>
      </c>
      <c r="I37" s="102">
        <f>TrRoad_ene!I$21</f>
        <v>20066.739295096122</v>
      </c>
      <c r="J37" s="102">
        <f>TrRoad_ene!J$21</f>
        <v>19509.169549131173</v>
      </c>
      <c r="K37" s="102">
        <f>TrRoad_ene!K$21</f>
        <v>19279.39572873892</v>
      </c>
      <c r="L37" s="102">
        <f>TrRoad_ene!L$21</f>
        <v>18775.244705796325</v>
      </c>
      <c r="M37" s="102">
        <f>TrRoad_ene!M$21</f>
        <v>18120.88321920664</v>
      </c>
      <c r="N37" s="102">
        <f>TrRoad_ene!N$21</f>
        <v>16851.783571620097</v>
      </c>
      <c r="O37" s="102">
        <f>TrRoad_ene!O$21</f>
        <v>16661.707446348973</v>
      </c>
      <c r="P37" s="102">
        <f>TrRoad_ene!P$21</f>
        <v>16842.226429905935</v>
      </c>
      <c r="Q37" s="102">
        <f>TrRoad_ene!Q$21</f>
        <v>17175.75004441768</v>
      </c>
      <c r="R37" s="102">
        <f>TrRoad_ene!R$21</f>
        <v>17301.918254196637</v>
      </c>
      <c r="S37" s="102">
        <f>TrRoad_ene!S$21</f>
        <v>17468.941359799803</v>
      </c>
      <c r="T37" s="102">
        <f>TrRoad_ene!T$21</f>
        <v>17888.96568458499</v>
      </c>
      <c r="U37" s="102">
        <f>TrRoad_ene!U$21</f>
        <v>18417.655750644441</v>
      </c>
      <c r="V37" s="102">
        <f>TrRoad_ene!V$21</f>
        <v>14849.757070387457</v>
      </c>
      <c r="W37" s="102">
        <f>TrRoad_ene!W$21</f>
        <v>16397.367747936205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1183.1931374373728</v>
      </c>
      <c r="C38" s="102">
        <f>TrRoad_ene!C$33</f>
        <v>1176.6862538314188</v>
      </c>
      <c r="D38" s="102">
        <f>TrRoad_ene!D$33</f>
        <v>1157.4802689351457</v>
      </c>
      <c r="E38" s="102">
        <f>TrRoad_ene!E$33</f>
        <v>1148.620892027868</v>
      </c>
      <c r="F38" s="102">
        <f>TrRoad_ene!F$33</f>
        <v>1178.7425128080065</v>
      </c>
      <c r="G38" s="102">
        <f>TrRoad_ene!G$33</f>
        <v>1166.333310817985</v>
      </c>
      <c r="H38" s="102">
        <f>TrRoad_ene!H$33</f>
        <v>1213.8412774169412</v>
      </c>
      <c r="I38" s="102">
        <f>TrRoad_ene!I$33</f>
        <v>1252.739761709915</v>
      </c>
      <c r="J38" s="102">
        <f>TrRoad_ene!J$33</f>
        <v>1244.5053022901811</v>
      </c>
      <c r="K38" s="102">
        <f>TrRoad_ene!K$33</f>
        <v>1230.6369635980295</v>
      </c>
      <c r="L38" s="102">
        <f>TrRoad_ene!L$33</f>
        <v>1215.3855750697032</v>
      </c>
      <c r="M38" s="102">
        <f>TrRoad_ene!M$33</f>
        <v>1209.2125258973952</v>
      </c>
      <c r="N38" s="102">
        <f>TrRoad_ene!N$33</f>
        <v>1186.9312986952755</v>
      </c>
      <c r="O38" s="102">
        <f>TrRoad_ene!O$33</f>
        <v>1121.3903641689456</v>
      </c>
      <c r="P38" s="102">
        <f>TrRoad_ene!P$33</f>
        <v>1108.2202815309938</v>
      </c>
      <c r="Q38" s="102">
        <f>TrRoad_ene!Q$33</f>
        <v>1111.5557791220958</v>
      </c>
      <c r="R38" s="102">
        <f>TrRoad_ene!R$33</f>
        <v>1130.8216380470915</v>
      </c>
      <c r="S38" s="102">
        <f>TrRoad_ene!S$33</f>
        <v>736.00974469776543</v>
      </c>
      <c r="T38" s="102">
        <f>TrRoad_ene!T$33</f>
        <v>741.24252423799135</v>
      </c>
      <c r="U38" s="102">
        <f>TrRoad_ene!U$33</f>
        <v>765.53475397851571</v>
      </c>
      <c r="V38" s="102">
        <f>TrRoad_ene!V$33</f>
        <v>554.55291655499741</v>
      </c>
      <c r="W38" s="102">
        <f>TrRoad_ene!W$33</f>
        <v>708.2367335489688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502.79059147107421</v>
      </c>
      <c r="C39" s="110">
        <f t="shared" si="31"/>
        <v>540.57577783006252</v>
      </c>
      <c r="D39" s="110">
        <f t="shared" si="31"/>
        <v>571.39196474407856</v>
      </c>
      <c r="E39" s="110">
        <f t="shared" si="31"/>
        <v>667.39253513144172</v>
      </c>
      <c r="F39" s="110">
        <f t="shared" si="31"/>
        <v>764.25123608008084</v>
      </c>
      <c r="G39" s="110">
        <f t="shared" si="31"/>
        <v>852.29780735937027</v>
      </c>
      <c r="H39" s="110">
        <f t="shared" si="31"/>
        <v>672.17427862749355</v>
      </c>
      <c r="I39" s="110">
        <f t="shared" si="31"/>
        <v>749.94175681594254</v>
      </c>
      <c r="J39" s="110">
        <f t="shared" si="31"/>
        <v>744.14373225902784</v>
      </c>
      <c r="K39" s="110">
        <f t="shared" si="31"/>
        <v>656.64304404753807</v>
      </c>
      <c r="L39" s="110">
        <f t="shared" si="31"/>
        <v>654.57336338430821</v>
      </c>
      <c r="M39" s="110">
        <f t="shared" si="31"/>
        <v>694.27560630025835</v>
      </c>
      <c r="N39" s="110">
        <f t="shared" si="31"/>
        <v>739.01076163951211</v>
      </c>
      <c r="O39" s="110">
        <f t="shared" si="31"/>
        <v>327.0499656307594</v>
      </c>
      <c r="P39" s="110">
        <f t="shared" si="31"/>
        <v>329.03358310294016</v>
      </c>
      <c r="Q39" s="110">
        <f t="shared" si="31"/>
        <v>343.2116747053098</v>
      </c>
      <c r="R39" s="110">
        <f t="shared" ref="R39:V39" si="32">R40+R41+R42</f>
        <v>339.39980915972291</v>
      </c>
      <c r="S39" s="110">
        <f t="shared" si="32"/>
        <v>329.05231611294039</v>
      </c>
      <c r="T39" s="110">
        <f t="shared" si="32"/>
        <v>327.81093493539998</v>
      </c>
      <c r="U39" s="110">
        <f t="shared" si="32"/>
        <v>310.23510313699774</v>
      </c>
      <c r="V39" s="110">
        <f t="shared" si="32"/>
        <v>236.86860045680339</v>
      </c>
      <c r="W39" s="110">
        <f t="shared" ref="W39" si="33">W40+W41+W42</f>
        <v>269.89907823233835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28.913711748319191</v>
      </c>
      <c r="C40" s="102">
        <f>TrRail_ene!C$12</f>
        <v>29.45801089683766</v>
      </c>
      <c r="D40" s="102">
        <f>TrRail_ene!D$12</f>
        <v>29.485117589125331</v>
      </c>
      <c r="E40" s="102">
        <f>TrRail_ene!E$12</f>
        <v>31.761299992753646</v>
      </c>
      <c r="F40" s="102">
        <f>TrRail_ene!F$12</f>
        <v>32.12061192158815</v>
      </c>
      <c r="G40" s="102">
        <f>TrRail_ene!G$12</f>
        <v>31.482022159180314</v>
      </c>
      <c r="H40" s="102">
        <f>TrRail_ene!H$12</f>
        <v>32.109690131708298</v>
      </c>
      <c r="I40" s="102">
        <f>TrRail_ene!I$12</f>
        <v>32.614018949336682</v>
      </c>
      <c r="J40" s="102">
        <f>TrRail_ene!J$12</f>
        <v>32.270304238377626</v>
      </c>
      <c r="K40" s="102">
        <f>TrRail_ene!K$12</f>
        <v>31.202828052495864</v>
      </c>
      <c r="L40" s="102">
        <f>TrRail_ene!L$12</f>
        <v>37.943805322022513</v>
      </c>
      <c r="M40" s="102">
        <f>TrRail_ene!M$12</f>
        <v>37.02254062874718</v>
      </c>
      <c r="N40" s="102">
        <f>TrRail_ene!N$12</f>
        <v>35.751554702808349</v>
      </c>
      <c r="O40" s="102">
        <f>TrRail_ene!O$12</f>
        <v>32.557854562077203</v>
      </c>
      <c r="P40" s="102">
        <f>TrRail_ene!P$12</f>
        <v>32.410299445726459</v>
      </c>
      <c r="Q40" s="102">
        <f>TrRail_ene!Q$12</f>
        <v>31.535366341441708</v>
      </c>
      <c r="R40" s="102">
        <f>TrRail_ene!R$12</f>
        <v>32.001844539637204</v>
      </c>
      <c r="S40" s="102">
        <f>TrRail_ene!S$12</f>
        <v>32.583795286266408</v>
      </c>
      <c r="T40" s="102">
        <f>TrRail_ene!T$12</f>
        <v>37.015640046593916</v>
      </c>
      <c r="U40" s="102">
        <f>TrRail_ene!U$12</f>
        <v>36.722339745121317</v>
      </c>
      <c r="V40" s="102">
        <f>TrRail_ene!V$12</f>
        <v>32.638555282848777</v>
      </c>
      <c r="W40" s="102">
        <f>TrRail_ene!W$12</f>
        <v>31.499137116450431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448.40473170489065</v>
      </c>
      <c r="C41" s="102">
        <f>TrRail_ene!C$13</f>
        <v>484.24506026108065</v>
      </c>
      <c r="D41" s="102">
        <f>TrRail_ene!D$13</f>
        <v>512.7077233961005</v>
      </c>
      <c r="E41" s="102">
        <f>TrRail_ene!E$13</f>
        <v>609.37993097219669</v>
      </c>
      <c r="F41" s="102">
        <f>TrRail_ene!F$13</f>
        <v>704.79737994492416</v>
      </c>
      <c r="G41" s="102">
        <f>TrRail_ene!G$13</f>
        <v>791.79523301265147</v>
      </c>
      <c r="H41" s="102">
        <f>TrRail_ene!H$13</f>
        <v>607.17945682632603</v>
      </c>
      <c r="I41" s="102">
        <f>TrRail_ene!I$13</f>
        <v>684.76225640046562</v>
      </c>
      <c r="J41" s="102">
        <f>TrRail_ene!J$13</f>
        <v>646.05130832150292</v>
      </c>
      <c r="K41" s="102">
        <f>TrRail_ene!K$13</f>
        <v>484.8498458557292</v>
      </c>
      <c r="L41" s="102">
        <f>TrRail_ene!L$13</f>
        <v>470.09055711227728</v>
      </c>
      <c r="M41" s="102">
        <f>TrRail_ene!M$13</f>
        <v>518.87175406644576</v>
      </c>
      <c r="N41" s="102">
        <f>TrRail_ene!N$13</f>
        <v>571.22735970042083</v>
      </c>
      <c r="O41" s="102">
        <f>TrRail_ene!O$13</f>
        <v>159.21250228659432</v>
      </c>
      <c r="P41" s="102">
        <f>TrRail_ene!P$13</f>
        <v>166.97499023866791</v>
      </c>
      <c r="Q41" s="102">
        <f>TrRail_ene!Q$13</f>
        <v>186.59990092445511</v>
      </c>
      <c r="R41" s="102">
        <f>TrRail_ene!R$13</f>
        <v>182.61928037343353</v>
      </c>
      <c r="S41" s="102">
        <f>TrRail_ene!S$13</f>
        <v>165.64293221540274</v>
      </c>
      <c r="T41" s="102">
        <f>TrRail_ene!T$13</f>
        <v>159.75829168431386</v>
      </c>
      <c r="U41" s="102">
        <f>TrRail_ene!U$13</f>
        <v>143.64360148089145</v>
      </c>
      <c r="V41" s="102">
        <f>TrRail_ene!V$13</f>
        <v>141.68122086499579</v>
      </c>
      <c r="W41" s="102">
        <f>TrRail_ene!W$13</f>
        <v>172.27549211405608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25.472148017864356</v>
      </c>
      <c r="C42" s="102">
        <f>TrRail_ene!C$16</f>
        <v>26.872706672144183</v>
      </c>
      <c r="D42" s="102">
        <f>TrRail_ene!D$16</f>
        <v>29.199123758852647</v>
      </c>
      <c r="E42" s="102">
        <f>TrRail_ene!E$16</f>
        <v>26.251304166491444</v>
      </c>
      <c r="F42" s="102">
        <f>TrRail_ene!F$16</f>
        <v>27.333244213568516</v>
      </c>
      <c r="G42" s="102">
        <f>TrRail_ene!G$16</f>
        <v>29.020552187538449</v>
      </c>
      <c r="H42" s="102">
        <f>TrRail_ene!H$16</f>
        <v>32.885131669459255</v>
      </c>
      <c r="I42" s="102">
        <f>TrRail_ene!I$16</f>
        <v>32.565481466140199</v>
      </c>
      <c r="J42" s="102">
        <f>TrRail_ene!J$16</f>
        <v>65.822119699147308</v>
      </c>
      <c r="K42" s="102">
        <f>TrRail_ene!K$16</f>
        <v>140.59037013931305</v>
      </c>
      <c r="L42" s="102">
        <f>TrRail_ene!L$16</f>
        <v>146.53900095000844</v>
      </c>
      <c r="M42" s="102">
        <f>TrRail_ene!M$16</f>
        <v>138.38131160506541</v>
      </c>
      <c r="N42" s="102">
        <f>TrRail_ene!N$16</f>
        <v>132.03184723628297</v>
      </c>
      <c r="O42" s="102">
        <f>TrRail_ene!O$16</f>
        <v>135.27960878208791</v>
      </c>
      <c r="P42" s="102">
        <f>TrRail_ene!P$16</f>
        <v>129.64829341854582</v>
      </c>
      <c r="Q42" s="102">
        <f>TrRail_ene!Q$16</f>
        <v>125.07640743941298</v>
      </c>
      <c r="R42" s="102">
        <f>TrRail_ene!R$16</f>
        <v>124.77868424665216</v>
      </c>
      <c r="S42" s="102">
        <f>TrRail_ene!S$16</f>
        <v>130.82558861127126</v>
      </c>
      <c r="T42" s="102">
        <f>TrRail_ene!T$16</f>
        <v>131.03700320449221</v>
      </c>
      <c r="U42" s="102">
        <f>TrRail_ene!U$16</f>
        <v>129.86916191098499</v>
      </c>
      <c r="V42" s="102">
        <f>TrRail_ene!V$16</f>
        <v>62.548824308958828</v>
      </c>
      <c r="W42" s="102">
        <f>TrRail_ene!W$16</f>
        <v>66.124449001831834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4495.0870605561922</v>
      </c>
      <c r="C43" s="110">
        <f t="shared" si="34"/>
        <v>4531.6632247517364</v>
      </c>
      <c r="D43" s="110">
        <f t="shared" si="34"/>
        <v>4309.9073659942651</v>
      </c>
      <c r="E43" s="110">
        <f t="shared" si="34"/>
        <v>4523.65093823602</v>
      </c>
      <c r="F43" s="110">
        <f t="shared" si="34"/>
        <v>4994.6194032202811</v>
      </c>
      <c r="G43" s="110">
        <f t="shared" si="34"/>
        <v>5338.9676660804871</v>
      </c>
      <c r="H43" s="110">
        <f t="shared" si="34"/>
        <v>5591.0918753864835</v>
      </c>
      <c r="I43" s="110">
        <f t="shared" si="34"/>
        <v>5891.291141123952</v>
      </c>
      <c r="J43" s="110">
        <f t="shared" si="34"/>
        <v>5817.8613631053104</v>
      </c>
      <c r="K43" s="110">
        <f t="shared" si="34"/>
        <v>5310.1534142534456</v>
      </c>
      <c r="L43" s="110">
        <f t="shared" si="34"/>
        <v>5415.9095342006267</v>
      </c>
      <c r="M43" s="110">
        <f t="shared" si="34"/>
        <v>5785.6340097935481</v>
      </c>
      <c r="N43" s="110">
        <f t="shared" si="34"/>
        <v>5462.4062970541136</v>
      </c>
      <c r="O43" s="110">
        <f t="shared" si="34"/>
        <v>5173.2425305474444</v>
      </c>
      <c r="P43" s="110">
        <f t="shared" si="34"/>
        <v>5336.619336368427</v>
      </c>
      <c r="Q43" s="110">
        <f t="shared" si="34"/>
        <v>5676.4634326819414</v>
      </c>
      <c r="R43" s="110">
        <f t="shared" ref="R43:V43" si="35">R44+R45+R46</f>
        <v>6080.782213102153</v>
      </c>
      <c r="S43" s="110">
        <f t="shared" si="35"/>
        <v>6612.0093831272206</v>
      </c>
      <c r="T43" s="110">
        <f t="shared" si="35"/>
        <v>6882.9292066285525</v>
      </c>
      <c r="U43" s="110">
        <f t="shared" si="35"/>
        <v>7141.1208956531846</v>
      </c>
      <c r="V43" s="110">
        <f t="shared" si="35"/>
        <v>2390.4388822500264</v>
      </c>
      <c r="W43" s="110">
        <f t="shared" ref="W43" si="36">W44+W45+W46</f>
        <v>3355.9468397816127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1778.5784562047556</v>
      </c>
      <c r="C44" s="102">
        <f>TrAvia_ene!C$7</f>
        <v>1767.1092775742616</v>
      </c>
      <c r="D44" s="102">
        <f>TrAvia_ene!D$7</f>
        <v>1643.9345983419403</v>
      </c>
      <c r="E44" s="102">
        <f>TrAvia_ene!E$7</f>
        <v>1731.8156340405428</v>
      </c>
      <c r="F44" s="102">
        <f>TrAvia_ene!F$7</f>
        <v>1907.3979292196434</v>
      </c>
      <c r="G44" s="102">
        <f>TrAvia_ene!G$7</f>
        <v>2231.0845177393862</v>
      </c>
      <c r="H44" s="102">
        <f>TrAvia_ene!H$7</f>
        <v>2347.4172016904677</v>
      </c>
      <c r="I44" s="102">
        <f>TrAvia_ene!I$7</f>
        <v>2476.2937014543459</v>
      </c>
      <c r="J44" s="102">
        <f>TrAvia_ene!J$7</f>
        <v>2388.3641736437066</v>
      </c>
      <c r="K44" s="102">
        <f>TrAvia_ene!K$7</f>
        <v>2119.2468252445005</v>
      </c>
      <c r="L44" s="102">
        <f>TrAvia_ene!L$7</f>
        <v>2365.8040468558097</v>
      </c>
      <c r="M44" s="102">
        <f>TrAvia_ene!M$7</f>
        <v>2126.7462549692318</v>
      </c>
      <c r="N44" s="102">
        <f>TrAvia_ene!N$7</f>
        <v>1841.0178903939798</v>
      </c>
      <c r="O44" s="102">
        <f>TrAvia_ene!O$7</f>
        <v>1566.2790653361908</v>
      </c>
      <c r="P44" s="102">
        <f>TrAvia_ene!P$7</f>
        <v>1662.3929351412423</v>
      </c>
      <c r="Q44" s="102">
        <f>TrAvia_ene!Q$7</f>
        <v>1801.1784728591795</v>
      </c>
      <c r="R44" s="102">
        <f>TrAvia_ene!R$7</f>
        <v>1963.6764584789873</v>
      </c>
      <c r="S44" s="102">
        <f>TrAvia_ene!S$7</f>
        <v>2132.7924813663844</v>
      </c>
      <c r="T44" s="102">
        <f>TrAvia_ene!T$7</f>
        <v>2223.315321763936</v>
      </c>
      <c r="U44" s="102">
        <f>TrAvia_ene!U$7</f>
        <v>2354.8026216451881</v>
      </c>
      <c r="V44" s="102">
        <f>TrAvia_ene!V$7</f>
        <v>943.29789198903802</v>
      </c>
      <c r="W44" s="102">
        <f>TrAvia_ene!W$7</f>
        <v>1641.4722377930116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1615.1829173282447</v>
      </c>
      <c r="C45" s="102">
        <f>TrAvia_ene!C$8</f>
        <v>1796.921026759645</v>
      </c>
      <c r="D45" s="102">
        <f>TrAvia_ene!D$8</f>
        <v>1647.3489835780147</v>
      </c>
      <c r="E45" s="102">
        <f>TrAvia_ene!E$8</f>
        <v>1943.8225676314739</v>
      </c>
      <c r="F45" s="102">
        <f>TrAvia_ene!F$8</f>
        <v>2089.4232845913798</v>
      </c>
      <c r="G45" s="102">
        <f>TrAvia_ene!G$8</f>
        <v>2113.4295213367018</v>
      </c>
      <c r="H45" s="102">
        <f>TrAvia_ene!H$8</f>
        <v>2222.0085613517658</v>
      </c>
      <c r="I45" s="102">
        <f>TrAvia_ene!I$8</f>
        <v>2356.1578671507577</v>
      </c>
      <c r="J45" s="102">
        <f>TrAvia_ene!J$8</f>
        <v>2341.5235626167309</v>
      </c>
      <c r="K45" s="102">
        <f>TrAvia_ene!K$8</f>
        <v>2116.9009472396947</v>
      </c>
      <c r="L45" s="102">
        <f>TrAvia_ene!L$8</f>
        <v>2007.2672380134645</v>
      </c>
      <c r="M45" s="102">
        <f>TrAvia_ene!M$8</f>
        <v>2438.2824586140719</v>
      </c>
      <c r="N45" s="102">
        <f>TrAvia_ene!N$8</f>
        <v>2390.0015210943016</v>
      </c>
      <c r="O45" s="102">
        <f>TrAvia_ene!O$8</f>
        <v>2399.564093292649</v>
      </c>
      <c r="P45" s="102">
        <f>TrAvia_ene!P$8</f>
        <v>2459.0378986368883</v>
      </c>
      <c r="Q45" s="102">
        <f>TrAvia_ene!Q$8</f>
        <v>2593.2675890067139</v>
      </c>
      <c r="R45" s="102">
        <f>TrAvia_ene!R$8</f>
        <v>2846.548642643017</v>
      </c>
      <c r="S45" s="102">
        <f>TrAvia_ene!S$8</f>
        <v>3149.8694252388455</v>
      </c>
      <c r="T45" s="102">
        <f>TrAvia_ene!T$8</f>
        <v>3240.5008436295934</v>
      </c>
      <c r="U45" s="102">
        <f>TrAvia_ene!U$8</f>
        <v>3292.138040441489</v>
      </c>
      <c r="V45" s="102">
        <f>TrAvia_ene!V$8</f>
        <v>841.29820594677699</v>
      </c>
      <c r="W45" s="102">
        <f>TrAvia_ene!W$8</f>
        <v>1063.1782222836816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1101.3256870231912</v>
      </c>
      <c r="C46" s="102">
        <f>TrAvia_ene!C$9</f>
        <v>967.63292041783041</v>
      </c>
      <c r="D46" s="102">
        <f>TrAvia_ene!D$9</f>
        <v>1018.6237840743105</v>
      </c>
      <c r="E46" s="102">
        <f>TrAvia_ene!E$9</f>
        <v>848.01273656400292</v>
      </c>
      <c r="F46" s="102">
        <f>TrAvia_ene!F$9</f>
        <v>997.79818940925838</v>
      </c>
      <c r="G46" s="102">
        <f>TrAvia_ene!G$9</f>
        <v>994.45362700439955</v>
      </c>
      <c r="H46" s="102">
        <f>TrAvia_ene!H$9</f>
        <v>1021.6661123442497</v>
      </c>
      <c r="I46" s="102">
        <f>TrAvia_ene!I$9</f>
        <v>1058.8395725188486</v>
      </c>
      <c r="J46" s="102">
        <f>TrAvia_ene!J$9</f>
        <v>1087.9736268448723</v>
      </c>
      <c r="K46" s="102">
        <f>TrAvia_ene!K$9</f>
        <v>1074.0056417692504</v>
      </c>
      <c r="L46" s="102">
        <f>TrAvia_ene!L$9</f>
        <v>1042.838249331352</v>
      </c>
      <c r="M46" s="102">
        <f>TrAvia_ene!M$9</f>
        <v>1220.6052962102442</v>
      </c>
      <c r="N46" s="102">
        <f>TrAvia_ene!N$9</f>
        <v>1231.386885565832</v>
      </c>
      <c r="O46" s="102">
        <f>TrAvia_ene!O$9</f>
        <v>1207.3993719186049</v>
      </c>
      <c r="P46" s="102">
        <f>TrAvia_ene!P$9</f>
        <v>1215.1885025902961</v>
      </c>
      <c r="Q46" s="102">
        <f>TrAvia_ene!Q$9</f>
        <v>1282.017370816048</v>
      </c>
      <c r="R46" s="102">
        <f>TrAvia_ene!R$9</f>
        <v>1270.5571119801493</v>
      </c>
      <c r="S46" s="102">
        <f>TrAvia_ene!S$9</f>
        <v>1329.3474765219903</v>
      </c>
      <c r="T46" s="102">
        <f>TrAvia_ene!T$9</f>
        <v>1419.113041235023</v>
      </c>
      <c r="U46" s="102">
        <f>TrAvia_ene!U$9</f>
        <v>1494.180233566507</v>
      </c>
      <c r="V46" s="102">
        <f>TrAvia_ene!V$9</f>
        <v>605.84278431421126</v>
      </c>
      <c r="W46" s="102">
        <f>TrAvia_ene!W$9</f>
        <v>651.29637970491945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10897.363872372478</v>
      </c>
      <c r="C47" s="28">
        <f t="shared" si="37"/>
        <v>11796.212011821412</v>
      </c>
      <c r="D47" s="28">
        <f t="shared" si="37"/>
        <v>11806.048825809101</v>
      </c>
      <c r="E47" s="28">
        <f t="shared" si="37"/>
        <v>12521.145326344824</v>
      </c>
      <c r="F47" s="28">
        <f t="shared" si="37"/>
        <v>13184.050046877743</v>
      </c>
      <c r="G47" s="28">
        <f t="shared" si="37"/>
        <v>13174.666090715076</v>
      </c>
      <c r="H47" s="28">
        <f t="shared" si="37"/>
        <v>13536.267912701593</v>
      </c>
      <c r="I47" s="28">
        <f t="shared" si="37"/>
        <v>13951.260366644683</v>
      </c>
      <c r="J47" s="28">
        <f t="shared" si="37"/>
        <v>12804.707979957693</v>
      </c>
      <c r="K47" s="28">
        <f t="shared" si="37"/>
        <v>10997.052478730095</v>
      </c>
      <c r="L47" s="28">
        <f t="shared" si="37"/>
        <v>10705.729936400656</v>
      </c>
      <c r="M47" s="28">
        <f t="shared" si="37"/>
        <v>9829.0182564271272</v>
      </c>
      <c r="N47" s="28">
        <f t="shared" si="37"/>
        <v>8707.0448434164227</v>
      </c>
      <c r="O47" s="28">
        <f t="shared" si="37"/>
        <v>8054.1365039598877</v>
      </c>
      <c r="P47" s="28">
        <f t="shared" si="37"/>
        <v>7963.4669183546903</v>
      </c>
      <c r="Q47" s="28">
        <f t="shared" si="37"/>
        <v>8471.9807598830503</v>
      </c>
      <c r="R47" s="28">
        <f t="shared" ref="R47:V47" si="38">R48+R51+R52+R56</f>
        <v>9336.1594792241049</v>
      </c>
      <c r="S47" s="28">
        <f t="shared" si="38"/>
        <v>10570.127744959975</v>
      </c>
      <c r="T47" s="28">
        <f t="shared" si="38"/>
        <v>10851.762010522121</v>
      </c>
      <c r="U47" s="28">
        <f t="shared" si="38"/>
        <v>10555.435477275822</v>
      </c>
      <c r="V47" s="28">
        <f t="shared" si="38"/>
        <v>9089.3610734962604</v>
      </c>
      <c r="W47" s="28">
        <f t="shared" ref="W47" si="39">W48+W51+W52+W56</f>
        <v>10923.341691035117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9174.6959526026694</v>
      </c>
      <c r="C48" s="137">
        <f t="shared" si="40"/>
        <v>10048.770188951792</v>
      </c>
      <c r="D48" s="137">
        <f t="shared" si="40"/>
        <v>10079.146178903422</v>
      </c>
      <c r="E48" s="137">
        <f t="shared" si="40"/>
        <v>10649.343657837822</v>
      </c>
      <c r="F48" s="137">
        <f t="shared" si="40"/>
        <v>11235.702801397369</v>
      </c>
      <c r="G48" s="137">
        <f t="shared" si="40"/>
        <v>11306.255897774883</v>
      </c>
      <c r="H48" s="137">
        <f t="shared" si="40"/>
        <v>11537.49141839227</v>
      </c>
      <c r="I48" s="137">
        <f t="shared" si="40"/>
        <v>12115.286299838233</v>
      </c>
      <c r="J48" s="137">
        <f t="shared" si="40"/>
        <v>11111.769051246367</v>
      </c>
      <c r="K48" s="137">
        <f t="shared" si="40"/>
        <v>9580.4653600749298</v>
      </c>
      <c r="L48" s="137">
        <f t="shared" si="40"/>
        <v>9281.0208305462111</v>
      </c>
      <c r="M48" s="137">
        <f t="shared" si="40"/>
        <v>8733.8681132775982</v>
      </c>
      <c r="N48" s="137">
        <f t="shared" si="40"/>
        <v>7591.195694027504</v>
      </c>
      <c r="O48" s="137">
        <f t="shared" si="40"/>
        <v>7386.2552254175425</v>
      </c>
      <c r="P48" s="137">
        <f t="shared" si="40"/>
        <v>7474.4121852035296</v>
      </c>
      <c r="Q48" s="137">
        <f t="shared" si="40"/>
        <v>7853.8895732032333</v>
      </c>
      <c r="R48" s="137">
        <f t="shared" ref="R48:V48" si="41">R49+R50</f>
        <v>8553.1856115461724</v>
      </c>
      <c r="S48" s="137">
        <f t="shared" si="41"/>
        <v>9416.5293410187078</v>
      </c>
      <c r="T48" s="137">
        <f t="shared" si="41"/>
        <v>9654.3974229373216</v>
      </c>
      <c r="U48" s="137">
        <f t="shared" si="41"/>
        <v>9317.880384062566</v>
      </c>
      <c r="V48" s="137">
        <f t="shared" si="41"/>
        <v>8066.0397513879561</v>
      </c>
      <c r="W48" s="137">
        <f t="shared" ref="W48" si="42">W49+W50</f>
        <v>9809.1153820499294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2763.0921213946472</v>
      </c>
      <c r="C49" s="102">
        <f>TrRoad_ene!C$43</f>
        <v>3288.9027488856295</v>
      </c>
      <c r="D49" s="102">
        <f>TrRoad_ene!D$43</f>
        <v>2952.9794979412595</v>
      </c>
      <c r="E49" s="102">
        <f>TrRoad_ene!E$43</f>
        <v>3102.4632875968514</v>
      </c>
      <c r="F49" s="102">
        <f>TrRoad_ene!F$43</f>
        <v>3124.6397762915612</v>
      </c>
      <c r="G49" s="102">
        <f>TrRoad_ene!G$43</f>
        <v>2830.610119109991</v>
      </c>
      <c r="H49" s="102">
        <f>TrRoad_ene!H$43</f>
        <v>2937.3350107205156</v>
      </c>
      <c r="I49" s="102">
        <f>TrRoad_ene!I$43</f>
        <v>3266.9951553081928</v>
      </c>
      <c r="J49" s="102">
        <f>TrRoad_ene!J$43</f>
        <v>2931.0117513810887</v>
      </c>
      <c r="K49" s="102">
        <f>TrRoad_ene!K$43</f>
        <v>2460.5725936356221</v>
      </c>
      <c r="L49" s="102">
        <f>TrRoad_ene!L$43</f>
        <v>2421.0214042602711</v>
      </c>
      <c r="M49" s="102">
        <f>TrRoad_ene!M$43</f>
        <v>2364.0373857197123</v>
      </c>
      <c r="N49" s="102">
        <f>TrRoad_ene!N$43</f>
        <v>2184.0050750416267</v>
      </c>
      <c r="O49" s="102">
        <f>TrRoad_ene!O$43</f>
        <v>2175.7387152331853</v>
      </c>
      <c r="P49" s="102">
        <f>TrRoad_ene!P$43</f>
        <v>2115.6998713034536</v>
      </c>
      <c r="Q49" s="102">
        <f>TrRoad_ene!Q$43</f>
        <v>2186.1562544443777</v>
      </c>
      <c r="R49" s="102">
        <f>TrRoad_ene!R$43</f>
        <v>2098.5290787694453</v>
      </c>
      <c r="S49" s="102">
        <f>TrRoad_ene!S$43</f>
        <v>2249.775108820103</v>
      </c>
      <c r="T49" s="102">
        <f>TrRoad_ene!T$43</f>
        <v>2279.8064799962417</v>
      </c>
      <c r="U49" s="102">
        <f>TrRoad_ene!U$43</f>
        <v>2291.639667439742</v>
      </c>
      <c r="V49" s="102">
        <f>TrRoad_ene!V$43</f>
        <v>1513.2610542730213</v>
      </c>
      <c r="W49" s="102">
        <f>TrRoad_ene!W$43</f>
        <v>2205.6522746039404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6411.6038312080218</v>
      </c>
      <c r="C50" s="102">
        <f>TrRoad_ene!C$52</f>
        <v>6759.867440066163</v>
      </c>
      <c r="D50" s="102">
        <f>TrRoad_ene!D$52</f>
        <v>7126.166680962162</v>
      </c>
      <c r="E50" s="102">
        <f>TrRoad_ene!E$52</f>
        <v>7546.8803702409705</v>
      </c>
      <c r="F50" s="102">
        <f>TrRoad_ene!F$52</f>
        <v>8111.0630251058083</v>
      </c>
      <c r="G50" s="102">
        <f>TrRoad_ene!G$52</f>
        <v>8475.6457786648916</v>
      </c>
      <c r="H50" s="102">
        <f>TrRoad_ene!H$52</f>
        <v>8600.156407671755</v>
      </c>
      <c r="I50" s="102">
        <f>TrRoad_ene!I$52</f>
        <v>8848.2911445300415</v>
      </c>
      <c r="J50" s="102">
        <f>TrRoad_ene!J$52</f>
        <v>8180.7572998652777</v>
      </c>
      <c r="K50" s="102">
        <f>TrRoad_ene!K$52</f>
        <v>7119.8927664393068</v>
      </c>
      <c r="L50" s="102">
        <f>TrRoad_ene!L$52</f>
        <v>6859.9994262859409</v>
      </c>
      <c r="M50" s="102">
        <f>TrRoad_ene!M$52</f>
        <v>6369.8307275578863</v>
      </c>
      <c r="N50" s="102">
        <f>TrRoad_ene!N$52</f>
        <v>5407.1906189858773</v>
      </c>
      <c r="O50" s="102">
        <f>TrRoad_ene!O$52</f>
        <v>5210.5165101843577</v>
      </c>
      <c r="P50" s="102">
        <f>TrRoad_ene!P$52</f>
        <v>5358.712313900076</v>
      </c>
      <c r="Q50" s="102">
        <f>TrRoad_ene!Q$52</f>
        <v>5667.7333187588556</v>
      </c>
      <c r="R50" s="102">
        <f>TrRoad_ene!R$52</f>
        <v>6454.6565327767275</v>
      </c>
      <c r="S50" s="102">
        <f>TrRoad_ene!S$52</f>
        <v>7166.7542321986039</v>
      </c>
      <c r="T50" s="102">
        <f>TrRoad_ene!T$52</f>
        <v>7374.5909429410804</v>
      </c>
      <c r="U50" s="102">
        <f>TrRoad_ene!U$52</f>
        <v>7026.2407166228249</v>
      </c>
      <c r="V50" s="102">
        <f>TrRoad_ene!V$52</f>
        <v>6552.7786971149344</v>
      </c>
      <c r="W50" s="102">
        <f>TrRoad_ene!W$52</f>
        <v>7603.4631074459894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206.41929674904605</v>
      </c>
      <c r="C51" s="110">
        <f>TrRail_ene!C$17</f>
        <v>231.67985415617994</v>
      </c>
      <c r="D51" s="110">
        <f>TrRail_ene!D$17</f>
        <v>218.2803482395845</v>
      </c>
      <c r="E51" s="110">
        <f>TrRail_ene!E$17</f>
        <v>196.04495412049289</v>
      </c>
      <c r="F51" s="110">
        <f>TrRail_ene!F$17</f>
        <v>187.71204852868954</v>
      </c>
      <c r="G51" s="110">
        <f>TrRail_ene!G$17</f>
        <v>178.58972488482584</v>
      </c>
      <c r="H51" s="110">
        <f>TrRail_ene!H$17</f>
        <v>173.9612329804169</v>
      </c>
      <c r="I51" s="110">
        <f>TrRail_ene!I$17</f>
        <v>238.37870750048043</v>
      </c>
      <c r="J51" s="110">
        <f>TrRail_ene!J$17</f>
        <v>236.49539069883963</v>
      </c>
      <c r="K51" s="110">
        <f>TrRail_ene!K$17</f>
        <v>205.58111760336467</v>
      </c>
      <c r="L51" s="110">
        <f>TrRail_ene!L$17</f>
        <v>245.38845948757478</v>
      </c>
      <c r="M51" s="110">
        <f>TrRail_ene!M$17</f>
        <v>150.14975913396358</v>
      </c>
      <c r="N51" s="110">
        <f>TrRail_ene!N$17</f>
        <v>151.42586776719455</v>
      </c>
      <c r="O51" s="110">
        <f>TrRail_ene!O$17</f>
        <v>58.471186561845883</v>
      </c>
      <c r="P51" s="110">
        <f>TrRail_ene!P$17</f>
        <v>62.167362726810467</v>
      </c>
      <c r="Q51" s="110">
        <f>TrRail_ene!Q$17</f>
        <v>60.590732861328171</v>
      </c>
      <c r="R51" s="110">
        <f>TrRail_ene!R$17</f>
        <v>49.307585509236631</v>
      </c>
      <c r="S51" s="110">
        <f>TrRail_ene!S$17</f>
        <v>63.959033844067264</v>
      </c>
      <c r="T51" s="110">
        <f>TrRail_ene!T$17</f>
        <v>66.652607626938774</v>
      </c>
      <c r="U51" s="110">
        <f>TrRail_ene!U$17</f>
        <v>71.92310838492827</v>
      </c>
      <c r="V51" s="110">
        <f>TrRail_ene!V$17</f>
        <v>74.973359990316084</v>
      </c>
      <c r="W51" s="110">
        <f>TrRail_ene!W$17</f>
        <v>50.835659514867153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116.83142611620696</v>
      </c>
      <c r="C52" s="110">
        <f t="shared" si="43"/>
        <v>122.19653449159924</v>
      </c>
      <c r="D52" s="110">
        <f t="shared" si="43"/>
        <v>107.73854974090094</v>
      </c>
      <c r="E52" s="110">
        <f t="shared" si="43"/>
        <v>108.86075565907893</v>
      </c>
      <c r="F52" s="110">
        <f t="shared" si="43"/>
        <v>139.26331389063753</v>
      </c>
      <c r="G52" s="110">
        <f t="shared" si="43"/>
        <v>130.92106994702749</v>
      </c>
      <c r="H52" s="110">
        <f t="shared" si="43"/>
        <v>130.53804722744528</v>
      </c>
      <c r="I52" s="110">
        <f t="shared" si="43"/>
        <v>128.43035500674353</v>
      </c>
      <c r="J52" s="110">
        <f t="shared" si="43"/>
        <v>124.96847352409594</v>
      </c>
      <c r="K52" s="110">
        <f t="shared" si="43"/>
        <v>107.06980156770827</v>
      </c>
      <c r="L52" s="110">
        <f t="shared" si="43"/>
        <v>119.27481661622602</v>
      </c>
      <c r="M52" s="110">
        <f t="shared" si="43"/>
        <v>115.03950697343389</v>
      </c>
      <c r="N52" s="110">
        <f t="shared" si="43"/>
        <v>102.25647164752111</v>
      </c>
      <c r="O52" s="110">
        <f t="shared" si="43"/>
        <v>102.81318742332009</v>
      </c>
      <c r="P52" s="110">
        <f t="shared" si="43"/>
        <v>99.530018747652306</v>
      </c>
      <c r="Q52" s="110">
        <f t="shared" si="43"/>
        <v>110.44301615726765</v>
      </c>
      <c r="R52" s="110">
        <f t="shared" si="43"/>
        <v>105.32887890128333</v>
      </c>
      <c r="S52" s="110">
        <f t="shared" si="43"/>
        <v>131.30291265953912</v>
      </c>
      <c r="T52" s="110">
        <f t="shared" si="43"/>
        <v>139.51034625192887</v>
      </c>
      <c r="U52" s="110">
        <f t="shared" si="43"/>
        <v>127.79810692634933</v>
      </c>
      <c r="V52" s="110">
        <f t="shared" si="43"/>
        <v>144.89834904834046</v>
      </c>
      <c r="W52" s="110">
        <f t="shared" ref="W52" si="44">W53+W54+W55</f>
        <v>155.12358154254741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53.65387397581199</v>
      </c>
      <c r="C53" s="102">
        <f>TrAvia_ene!C$11</f>
        <v>55.452115375007772</v>
      </c>
      <c r="D53" s="102">
        <f>TrAvia_ene!D$11</f>
        <v>50.903922724267588</v>
      </c>
      <c r="E53" s="102">
        <f>TrAvia_ene!E$11</f>
        <v>44.118243861434131</v>
      </c>
      <c r="F53" s="102">
        <f>TrAvia_ene!F$11</f>
        <v>59.180402680614165</v>
      </c>
      <c r="G53" s="102">
        <f>TrAvia_ene!G$11</f>
        <v>60.96672903619335</v>
      </c>
      <c r="H53" s="102">
        <f>TrAvia_ene!H$11</f>
        <v>61.551499943237928</v>
      </c>
      <c r="I53" s="102">
        <f>TrAvia_ene!I$11</f>
        <v>59.076977823384368</v>
      </c>
      <c r="J53" s="102">
        <f>TrAvia_ene!J$11</f>
        <v>57.475121283206505</v>
      </c>
      <c r="K53" s="102">
        <f>TrAvia_ene!K$11</f>
        <v>45.353862631682361</v>
      </c>
      <c r="L53" s="102">
        <f>TrAvia_ene!L$11</f>
        <v>47.368266127852955</v>
      </c>
      <c r="M53" s="102">
        <f>TrAvia_ene!M$11</f>
        <v>36.781947954241211</v>
      </c>
      <c r="N53" s="102">
        <f>TrAvia_ene!N$11</f>
        <v>31.791911841618028</v>
      </c>
      <c r="O53" s="102">
        <f>TrAvia_ene!O$11</f>
        <v>29.510100613938025</v>
      </c>
      <c r="P53" s="102">
        <f>TrAvia_ene!P$11</f>
        <v>28.184622898310668</v>
      </c>
      <c r="Q53" s="102">
        <f>TrAvia_ene!Q$11</f>
        <v>27.387477269797017</v>
      </c>
      <c r="R53" s="102">
        <f>TrAvia_ene!R$11</f>
        <v>26.045983481459082</v>
      </c>
      <c r="S53" s="102">
        <f>TrAvia_ene!S$11</f>
        <v>29.6728668709336</v>
      </c>
      <c r="T53" s="102">
        <f>TrAvia_ene!T$11</f>
        <v>26.574790015943659</v>
      </c>
      <c r="U53" s="102">
        <f>TrAvia_ene!U$11</f>
        <v>23.596174571492401</v>
      </c>
      <c r="V53" s="102">
        <f>TrAvia_ene!V$11</f>
        <v>16.286974734951645</v>
      </c>
      <c r="W53" s="102">
        <f>TrAvia_ene!W$11</f>
        <v>22.290616893144428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19.108864216974386</v>
      </c>
      <c r="C54" s="102">
        <f>TrAvia_ene!C$12</f>
        <v>19.668017554380558</v>
      </c>
      <c r="D54" s="102">
        <f>TrAvia_ene!D$12</f>
        <v>17.212172992066883</v>
      </c>
      <c r="E54" s="102">
        <f>TrAvia_ene!E$12</f>
        <v>18.757706052173468</v>
      </c>
      <c r="F54" s="102">
        <f>TrAvia_ene!F$12</f>
        <v>23.139373782825405</v>
      </c>
      <c r="G54" s="102">
        <f>TrAvia_ene!G$12</f>
        <v>21.021477665855329</v>
      </c>
      <c r="H54" s="102">
        <f>TrAvia_ene!H$12</f>
        <v>21.672800056289088</v>
      </c>
      <c r="I54" s="102">
        <f>TrAvia_ene!I$12</f>
        <v>18.333889743019139</v>
      </c>
      <c r="J54" s="102">
        <f>TrAvia_ene!J$12</f>
        <v>18.562536797805617</v>
      </c>
      <c r="K54" s="102">
        <f>TrAvia_ene!K$12</f>
        <v>17.370115265527808</v>
      </c>
      <c r="L54" s="102">
        <f>TrAvia_ene!L$12</f>
        <v>17.466851861794062</v>
      </c>
      <c r="M54" s="102">
        <f>TrAvia_ene!M$12</f>
        <v>18.504544923237219</v>
      </c>
      <c r="N54" s="102">
        <f>TrAvia_ene!N$12</f>
        <v>16.406755960186082</v>
      </c>
      <c r="O54" s="102">
        <f>TrAvia_ene!O$12</f>
        <v>16.052942897853267</v>
      </c>
      <c r="P54" s="102">
        <f>TrAvia_ene!P$12</f>
        <v>14.054919912990503</v>
      </c>
      <c r="Q54" s="102">
        <f>TrAvia_ene!Q$12</f>
        <v>15.643344213011146</v>
      </c>
      <c r="R54" s="102">
        <f>TrAvia_ene!R$12</f>
        <v>14.020869347793182</v>
      </c>
      <c r="S54" s="102">
        <f>TrAvia_ene!S$12</f>
        <v>17.152196960606521</v>
      </c>
      <c r="T54" s="102">
        <f>TrAvia_ene!T$12</f>
        <v>17.576407162383301</v>
      </c>
      <c r="U54" s="102">
        <f>TrAvia_ene!U$12</f>
        <v>19.461038387434606</v>
      </c>
      <c r="V54" s="102">
        <f>TrAvia_ene!V$12</f>
        <v>17.961740554304189</v>
      </c>
      <c r="W54" s="102">
        <f>TrAvia_ene!W$12</f>
        <v>17.55463878308715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44.06868792342059</v>
      </c>
      <c r="C55" s="102">
        <f>TrAvia_ene!C$13</f>
        <v>47.076401562210911</v>
      </c>
      <c r="D55" s="102">
        <f>TrAvia_ene!D$13</f>
        <v>39.622454024566466</v>
      </c>
      <c r="E55" s="102">
        <f>TrAvia_ene!E$13</f>
        <v>45.984805745471334</v>
      </c>
      <c r="F55" s="102">
        <f>TrAvia_ene!F$13</f>
        <v>56.943537427197967</v>
      </c>
      <c r="G55" s="102">
        <f>TrAvia_ene!G$13</f>
        <v>48.932863244978826</v>
      </c>
      <c r="H55" s="102">
        <f>TrAvia_ene!H$13</f>
        <v>47.313747227918263</v>
      </c>
      <c r="I55" s="102">
        <f>TrAvia_ene!I$13</f>
        <v>51.019487440340029</v>
      </c>
      <c r="J55" s="102">
        <f>TrAvia_ene!J$13</f>
        <v>48.930815443083823</v>
      </c>
      <c r="K55" s="102">
        <f>TrAvia_ene!K$13</f>
        <v>44.345823670498099</v>
      </c>
      <c r="L55" s="102">
        <f>TrAvia_ene!L$13</f>
        <v>54.439698626578995</v>
      </c>
      <c r="M55" s="102">
        <f>TrAvia_ene!M$13</f>
        <v>59.753014095955457</v>
      </c>
      <c r="N55" s="102">
        <f>TrAvia_ene!N$13</f>
        <v>54.057803845717004</v>
      </c>
      <c r="O55" s="102">
        <f>TrAvia_ene!O$13</f>
        <v>57.250143911528795</v>
      </c>
      <c r="P55" s="102">
        <f>TrAvia_ene!P$13</f>
        <v>57.290475936351136</v>
      </c>
      <c r="Q55" s="102">
        <f>TrAvia_ene!Q$13</f>
        <v>67.412194674459485</v>
      </c>
      <c r="R55" s="102">
        <f>TrAvia_ene!R$13</f>
        <v>65.262026072031063</v>
      </c>
      <c r="S55" s="102">
        <f>TrAvia_ene!S$13</f>
        <v>84.477848827999011</v>
      </c>
      <c r="T55" s="102">
        <f>TrAvia_ene!T$13</f>
        <v>95.359149073601898</v>
      </c>
      <c r="U55" s="102">
        <f>TrAvia_ene!U$13</f>
        <v>84.740893967422323</v>
      </c>
      <c r="V55" s="102">
        <f>TrAvia_ene!V$13</f>
        <v>110.64963375908462</v>
      </c>
      <c r="W55" s="102">
        <f>TrAvia_ene!W$13</f>
        <v>115.27832586631584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1399.4171969045572</v>
      </c>
      <c r="C56" s="110">
        <f t="shared" si="45"/>
        <v>1393.5654342218404</v>
      </c>
      <c r="D56" s="110">
        <f t="shared" si="45"/>
        <v>1400.8837489251928</v>
      </c>
      <c r="E56" s="110">
        <f t="shared" si="45"/>
        <v>1566.8959587274287</v>
      </c>
      <c r="F56" s="110">
        <f t="shared" si="45"/>
        <v>1621.3718830610492</v>
      </c>
      <c r="G56" s="110">
        <f t="shared" si="45"/>
        <v>1558.8993981083408</v>
      </c>
      <c r="H56" s="110">
        <f t="shared" si="45"/>
        <v>1694.2772141014616</v>
      </c>
      <c r="I56" s="110">
        <f t="shared" si="45"/>
        <v>1469.1650042992264</v>
      </c>
      <c r="J56" s="110">
        <f t="shared" si="45"/>
        <v>1331.4750644883916</v>
      </c>
      <c r="K56" s="110">
        <f t="shared" si="45"/>
        <v>1103.9361994840926</v>
      </c>
      <c r="L56" s="110">
        <f t="shared" si="45"/>
        <v>1060.0458297506448</v>
      </c>
      <c r="M56" s="110">
        <f t="shared" si="45"/>
        <v>829.96087704213232</v>
      </c>
      <c r="N56" s="110">
        <f t="shared" si="45"/>
        <v>862.16680997420451</v>
      </c>
      <c r="O56" s="110">
        <f t="shared" si="45"/>
        <v>506.59690455717958</v>
      </c>
      <c r="P56" s="110">
        <f t="shared" si="45"/>
        <v>327.35735167669816</v>
      </c>
      <c r="Q56" s="110">
        <f t="shared" si="45"/>
        <v>447.057437661221</v>
      </c>
      <c r="R56" s="110">
        <f t="shared" ref="R56:V56" si="46">R57+R58</f>
        <v>628.3374032674119</v>
      </c>
      <c r="S56" s="110">
        <f t="shared" si="46"/>
        <v>958.33645743766112</v>
      </c>
      <c r="T56" s="110">
        <f t="shared" si="46"/>
        <v>991.20163370593286</v>
      </c>
      <c r="U56" s="110">
        <f t="shared" si="46"/>
        <v>1037.8338779019775</v>
      </c>
      <c r="V56" s="110">
        <f t="shared" si="46"/>
        <v>803.44961306964728</v>
      </c>
      <c r="W56" s="110">
        <f t="shared" ref="W56" si="47">W57+W58</f>
        <v>908.26706792777281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1399.4171969045572</v>
      </c>
      <c r="C57" s="102">
        <f>TrNavi_ene!C4</f>
        <v>1393.5654342218404</v>
      </c>
      <c r="D57" s="102">
        <f>TrNavi_ene!D4</f>
        <v>1400.8837489251928</v>
      </c>
      <c r="E57" s="102">
        <f>TrNavi_ene!E4</f>
        <v>1566.8959587274287</v>
      </c>
      <c r="F57" s="102">
        <f>TrNavi_ene!F4</f>
        <v>1621.3718830610492</v>
      </c>
      <c r="G57" s="102">
        <f>TrNavi_ene!G4</f>
        <v>1558.8993981083408</v>
      </c>
      <c r="H57" s="102">
        <f>TrNavi_ene!H4</f>
        <v>1694.2772141014616</v>
      </c>
      <c r="I57" s="102">
        <f>TrNavi_ene!I4</f>
        <v>1469.1650042992264</v>
      </c>
      <c r="J57" s="102">
        <f>TrNavi_ene!J4</f>
        <v>1331.4750644883916</v>
      </c>
      <c r="K57" s="102">
        <f>TrNavi_ene!K4</f>
        <v>1103.9361994840926</v>
      </c>
      <c r="L57" s="102">
        <f>TrNavi_ene!L4</f>
        <v>1060.0458297506448</v>
      </c>
      <c r="M57" s="102">
        <f>TrNavi_ene!M4</f>
        <v>829.96087704213232</v>
      </c>
      <c r="N57" s="102">
        <f>TrNavi_ene!N4</f>
        <v>862.16680997420451</v>
      </c>
      <c r="O57" s="102">
        <f>TrNavi_ene!O4</f>
        <v>506.59690455717958</v>
      </c>
      <c r="P57" s="102">
        <f>TrNavi_ene!P4</f>
        <v>327.35735167669816</v>
      </c>
      <c r="Q57" s="102">
        <f>TrNavi_ene!Q4</f>
        <v>447.057437661221</v>
      </c>
      <c r="R57" s="102">
        <f>TrNavi_ene!R4</f>
        <v>628.3374032674119</v>
      </c>
      <c r="S57" s="102">
        <f>TrNavi_ene!S4</f>
        <v>958.33645743766112</v>
      </c>
      <c r="T57" s="102">
        <f>TrNavi_ene!T4</f>
        <v>991.20163370593286</v>
      </c>
      <c r="U57" s="102">
        <f>TrNavi_ene!U4</f>
        <v>1037.8338779019775</v>
      </c>
      <c r="V57" s="102">
        <f>TrNavi_ene!V4</f>
        <v>803.44961306964728</v>
      </c>
      <c r="W57" s="102">
        <f>TrNavi_ene!W4</f>
        <v>908.26706792777281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6016.499484092863</v>
      </c>
      <c r="C59" s="28">
        <f t="shared" ref="C59:W59" si="48">C60+C61</f>
        <v>6732.4496130696471</v>
      </c>
      <c r="D59" s="28">
        <f t="shared" si="48"/>
        <v>6870.3162510748043</v>
      </c>
      <c r="E59" s="28">
        <f t="shared" si="48"/>
        <v>6996.9666380051567</v>
      </c>
      <c r="F59" s="28">
        <f t="shared" si="48"/>
        <v>7216.1269131556328</v>
      </c>
      <c r="G59" s="28">
        <f t="shared" si="48"/>
        <v>7917.3306964746316</v>
      </c>
      <c r="H59" s="28">
        <f t="shared" si="48"/>
        <v>8267.8943250214961</v>
      </c>
      <c r="I59" s="28">
        <f t="shared" si="48"/>
        <v>8462.6349097162492</v>
      </c>
      <c r="J59" s="28">
        <f t="shared" si="48"/>
        <v>8785.506878761822</v>
      </c>
      <c r="K59" s="28">
        <f t="shared" si="48"/>
        <v>8729.1725709372313</v>
      </c>
      <c r="L59" s="28">
        <f t="shared" si="48"/>
        <v>8418.9500429922628</v>
      </c>
      <c r="M59" s="28">
        <f t="shared" si="48"/>
        <v>8603.8693035253655</v>
      </c>
      <c r="N59" s="28">
        <f t="shared" si="48"/>
        <v>8398.7962166809957</v>
      </c>
      <c r="O59" s="28">
        <f t="shared" si="48"/>
        <v>7226.6073946689594</v>
      </c>
      <c r="P59" s="28">
        <f t="shared" si="48"/>
        <v>7811.4645743766123</v>
      </c>
      <c r="Q59" s="28">
        <f t="shared" si="48"/>
        <v>7488.5783319002576</v>
      </c>
      <c r="R59" s="28">
        <f t="shared" si="48"/>
        <v>7523.0343078245905</v>
      </c>
      <c r="S59" s="28">
        <f t="shared" si="48"/>
        <v>6681.7832330180572</v>
      </c>
      <c r="T59" s="28">
        <f t="shared" si="48"/>
        <v>7002.7944969905411</v>
      </c>
      <c r="U59" s="28">
        <f t="shared" si="48"/>
        <v>7185.404127257093</v>
      </c>
      <c r="V59" s="28">
        <f t="shared" si="48"/>
        <v>6377.7345657781607</v>
      </c>
      <c r="W59" s="28">
        <f t="shared" si="48"/>
        <v>7323.307738607049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1843.7300456686062</v>
      </c>
      <c r="C60" s="102">
        <f>MBunk_ene!C$4</f>
        <v>2017.8495117058785</v>
      </c>
      <c r="D60" s="102">
        <f>MBunk_ene!D$4</f>
        <v>2032.4488569504942</v>
      </c>
      <c r="E60" s="102">
        <f>MBunk_ene!E$4</f>
        <v>2057.2417800499234</v>
      </c>
      <c r="F60" s="102">
        <f>MBunk_ene!F$4</f>
        <v>2127.181979454178</v>
      </c>
      <c r="G60" s="102">
        <f>MBunk_ene!G$4</f>
        <v>2280.5005420840985</v>
      </c>
      <c r="H60" s="102">
        <f>MBunk_ene!H$4</f>
        <v>2234.7343271456884</v>
      </c>
      <c r="I60" s="102">
        <f>MBunk_ene!I$4</f>
        <v>2173.1314333602131</v>
      </c>
      <c r="J60" s="102">
        <f>MBunk_ene!J$4</f>
        <v>2245.9588141520744</v>
      </c>
      <c r="K60" s="102">
        <f>MBunk_ene!K$4</f>
        <v>2433.7468046490294</v>
      </c>
      <c r="L60" s="102">
        <f>MBunk_ene!L$4</f>
        <v>2350.3633064209052</v>
      </c>
      <c r="M60" s="102">
        <f>MBunk_ene!M$4</f>
        <v>2295.6091505318768</v>
      </c>
      <c r="N60" s="102">
        <f>MBunk_ene!N$4</f>
        <v>2196.0924036149763</v>
      </c>
      <c r="O60" s="102">
        <f>MBunk_ene!O$4</f>
        <v>1992.9781876252896</v>
      </c>
      <c r="P60" s="102">
        <f>MBunk_ene!P$4</f>
        <v>2239.6957142486858</v>
      </c>
      <c r="Q60" s="102">
        <f>MBunk_ene!Q$4</f>
        <v>2162.3233107483602</v>
      </c>
      <c r="R60" s="102">
        <f>MBunk_ene!R$4</f>
        <v>2216.2811782211193</v>
      </c>
      <c r="S60" s="102">
        <f>MBunk_ene!S$4</f>
        <v>1914.6530706832771</v>
      </c>
      <c r="T60" s="102">
        <f>MBunk_ene!T$4</f>
        <v>2036.4023439365328</v>
      </c>
      <c r="U60" s="102">
        <f>MBunk_ene!U$4</f>
        <v>2109.5489828708878</v>
      </c>
      <c r="V60" s="102">
        <f>MBunk_ene!V$4</f>
        <v>1720.3443318354321</v>
      </c>
      <c r="W60" s="102">
        <f>MBunk_ene!W$4</f>
        <v>2052.3418532557921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4172.7694384242568</v>
      </c>
      <c r="C61" s="86">
        <f>MBunk_ene!C$10</f>
        <v>4714.6001013637688</v>
      </c>
      <c r="D61" s="86">
        <f>MBunk_ene!D$10</f>
        <v>4837.8673941243105</v>
      </c>
      <c r="E61" s="86">
        <f>MBunk_ene!E$10</f>
        <v>4939.7248579552333</v>
      </c>
      <c r="F61" s="86">
        <f>MBunk_ene!F$10</f>
        <v>5088.9449337014548</v>
      </c>
      <c r="G61" s="86">
        <f>MBunk_ene!G$10</f>
        <v>5636.8301543905336</v>
      </c>
      <c r="H61" s="86">
        <f>MBunk_ene!H$10</f>
        <v>6033.1599978758077</v>
      </c>
      <c r="I61" s="86">
        <f>MBunk_ene!I$10</f>
        <v>6289.5034763560361</v>
      </c>
      <c r="J61" s="86">
        <f>MBunk_ene!J$10</f>
        <v>6539.5480646097467</v>
      </c>
      <c r="K61" s="86">
        <f>MBunk_ene!K$10</f>
        <v>6295.4257662882019</v>
      </c>
      <c r="L61" s="86">
        <f>MBunk_ene!L$10</f>
        <v>6068.5867365713566</v>
      </c>
      <c r="M61" s="86">
        <f>MBunk_ene!M$10</f>
        <v>6308.2601529934882</v>
      </c>
      <c r="N61" s="86">
        <f>MBunk_ene!N$10</f>
        <v>6202.7038130660185</v>
      </c>
      <c r="O61" s="86">
        <f>MBunk_ene!O$10</f>
        <v>5233.6292070436693</v>
      </c>
      <c r="P61" s="86">
        <f>MBunk_ene!P$10</f>
        <v>5571.768860127926</v>
      </c>
      <c r="Q61" s="86">
        <f>MBunk_ene!Q$10</f>
        <v>5326.2550211518974</v>
      </c>
      <c r="R61" s="86">
        <f>MBunk_ene!R$10</f>
        <v>5306.7531296034713</v>
      </c>
      <c r="S61" s="86">
        <f>MBunk_ene!S$10</f>
        <v>4767.1301623347799</v>
      </c>
      <c r="T61" s="86">
        <f>MBunk_ene!T$10</f>
        <v>4966.3921530540083</v>
      </c>
      <c r="U61" s="86">
        <f>MBunk_ene!U$10</f>
        <v>5075.8551443862052</v>
      </c>
      <c r="V61" s="86">
        <f>MBunk_ene!V$10</f>
        <v>4657.3902339427286</v>
      </c>
      <c r="W61" s="86">
        <f>MBunk_ene!W$10</f>
        <v>5270.9658853512565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66065.305450329135</v>
      </c>
      <c r="C64" s="28">
        <f t="shared" si="49"/>
        <v>67587.523467876745</v>
      </c>
      <c r="D64" s="28">
        <f t="shared" si="49"/>
        <v>68972.362502092292</v>
      </c>
      <c r="E64" s="28">
        <f t="shared" si="49"/>
        <v>72243.042576077205</v>
      </c>
      <c r="F64" s="28">
        <f t="shared" si="49"/>
        <v>75586.599881127637</v>
      </c>
      <c r="G64" s="28">
        <f t="shared" si="49"/>
        <v>79517.598068351494</v>
      </c>
      <c r="H64" s="28">
        <f t="shared" si="49"/>
        <v>82321.488178419881</v>
      </c>
      <c r="I64" s="28">
        <f t="shared" si="49"/>
        <v>84922.614588161188</v>
      </c>
      <c r="J64" s="28">
        <f t="shared" si="49"/>
        <v>82545.803031813586</v>
      </c>
      <c r="K64" s="28">
        <f t="shared" si="49"/>
        <v>79077.188681049054</v>
      </c>
      <c r="L64" s="28">
        <f t="shared" si="49"/>
        <v>77035.075732397221</v>
      </c>
      <c r="M64" s="28">
        <f t="shared" si="49"/>
        <v>75432.361171279248</v>
      </c>
      <c r="N64" s="28">
        <f t="shared" si="49"/>
        <v>69734.021767978949</v>
      </c>
      <c r="O64" s="28">
        <f t="shared" si="49"/>
        <v>69338.128759074083</v>
      </c>
      <c r="P64" s="28">
        <f t="shared" si="49"/>
        <v>70337.946793152223</v>
      </c>
      <c r="Q64" s="28">
        <f t="shared" si="49"/>
        <v>72546.522810025781</v>
      </c>
      <c r="R64" s="28">
        <f t="shared" ref="R64:V64" si="50">R65+R69+R73</f>
        <v>74052.915867950214</v>
      </c>
      <c r="S64" s="28">
        <f t="shared" si="50"/>
        <v>74531.646492814587</v>
      </c>
      <c r="T64" s="28">
        <f t="shared" si="50"/>
        <v>75795.222765508879</v>
      </c>
      <c r="U64" s="28">
        <f t="shared" si="50"/>
        <v>78304.012397382467</v>
      </c>
      <c r="V64" s="28">
        <f t="shared" si="50"/>
        <v>52759.98034240058</v>
      </c>
      <c r="W64" s="28">
        <f t="shared" ref="W64" si="51">W65+W69+W73</f>
        <v>60829.952104899312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51528.413829656398</v>
      </c>
      <c r="C65" s="137">
        <f t="shared" si="52"/>
        <v>52888.516705587666</v>
      </c>
      <c r="D65" s="137">
        <f t="shared" si="52"/>
        <v>54905.969306479055</v>
      </c>
      <c r="E65" s="137">
        <f t="shared" si="52"/>
        <v>57267.707232123561</v>
      </c>
      <c r="F65" s="137">
        <f t="shared" si="52"/>
        <v>58915.766517391705</v>
      </c>
      <c r="G65" s="137">
        <f t="shared" si="52"/>
        <v>61611.288300234104</v>
      </c>
      <c r="H65" s="137">
        <f t="shared" si="52"/>
        <v>63974.741614881852</v>
      </c>
      <c r="I65" s="137">
        <f t="shared" si="52"/>
        <v>65474.938020177251</v>
      </c>
      <c r="J65" s="137">
        <f t="shared" si="52"/>
        <v>63429.643501722552</v>
      </c>
      <c r="K65" s="137">
        <f t="shared" si="52"/>
        <v>61797.200757823535</v>
      </c>
      <c r="L65" s="137">
        <f t="shared" si="52"/>
        <v>59482.339038229402</v>
      </c>
      <c r="M65" s="137">
        <f t="shared" si="52"/>
        <v>56779.586379512024</v>
      </c>
      <c r="N65" s="137">
        <f t="shared" si="52"/>
        <v>51906.11845398671</v>
      </c>
      <c r="O65" s="137">
        <f t="shared" si="52"/>
        <v>53611.571959501074</v>
      </c>
      <c r="P65" s="137">
        <f t="shared" si="52"/>
        <v>54126.90020674219</v>
      </c>
      <c r="Q65" s="137">
        <f t="shared" si="52"/>
        <v>55265.675553009554</v>
      </c>
      <c r="R65" s="137">
        <f t="shared" ref="R65:V65" si="53">R66+R67+R68</f>
        <v>55562.308171723249</v>
      </c>
      <c r="S65" s="137">
        <f t="shared" si="53"/>
        <v>54497.521206272599</v>
      </c>
      <c r="T65" s="137">
        <f t="shared" si="53"/>
        <v>54953.189903459075</v>
      </c>
      <c r="U65" s="137">
        <f t="shared" si="53"/>
        <v>56700.324947002649</v>
      </c>
      <c r="V65" s="137">
        <f t="shared" si="53"/>
        <v>45491.199172973946</v>
      </c>
      <c r="W65" s="137">
        <f t="shared" ref="W65" si="54">W66+W67+W68</f>
        <v>50616.635009106096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1092.411952122822</v>
      </c>
      <c r="C66" s="102">
        <f>TrRoad_emi!C$19</f>
        <v>1154.6089997377817</v>
      </c>
      <c r="D66" s="102">
        <f>TrRoad_emi!D$19</f>
        <v>1047.0256433722498</v>
      </c>
      <c r="E66" s="102">
        <f>TrRoad_emi!E$19</f>
        <v>1173.4544305375682</v>
      </c>
      <c r="F66" s="102">
        <f>TrRoad_emi!F$19</f>
        <v>1135.5228680967537</v>
      </c>
      <c r="G66" s="102">
        <f>TrRoad_emi!G$19</f>
        <v>1289.3697095615676</v>
      </c>
      <c r="H66" s="102">
        <f>TrRoad_emi!H$19</f>
        <v>1308.341467093441</v>
      </c>
      <c r="I66" s="102">
        <f>TrRoad_emi!I$19</f>
        <v>1477.2342952213646</v>
      </c>
      <c r="J66" s="102">
        <f>TrRoad_emi!J$19</f>
        <v>1480.025980432152</v>
      </c>
      <c r="K66" s="102">
        <f>TrRoad_emi!K$19</f>
        <v>1510.954087295474</v>
      </c>
      <c r="L66" s="102">
        <f>TrRoad_emi!L$19</f>
        <v>1505.0720957008884</v>
      </c>
      <c r="M66" s="102">
        <f>TrRoad_emi!M$19</f>
        <v>1376.6805528735506</v>
      </c>
      <c r="N66" s="102">
        <f>TrRoad_emi!N$19</f>
        <v>1302.1393659859079</v>
      </c>
      <c r="O66" s="102">
        <f>TrRoad_emi!O$19</f>
        <v>1292.549967147615</v>
      </c>
      <c r="P66" s="102">
        <f>TrRoad_emi!P$19</f>
        <v>1429.0738970728457</v>
      </c>
      <c r="Q66" s="102">
        <f>TrRoad_emi!Q$19</f>
        <v>1529.389414667535</v>
      </c>
      <c r="R66" s="102">
        <f>TrRoad_emi!R$19</f>
        <v>1599.3527856239427</v>
      </c>
      <c r="S66" s="102">
        <f>TrRoad_emi!S$19</f>
        <v>1512.3480129834602</v>
      </c>
      <c r="T66" s="102">
        <f>TrRoad_emi!T$19</f>
        <v>1431.2402692379599</v>
      </c>
      <c r="U66" s="102">
        <f>TrRoad_emi!U$19</f>
        <v>1515.5741876603936</v>
      </c>
      <c r="V66" s="102">
        <f>TrRoad_emi!V$19</f>
        <v>1290.7206261602564</v>
      </c>
      <c r="W66" s="102">
        <f>TrRoad_emi!W$19</f>
        <v>1310.7783863615207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46785.90831342672</v>
      </c>
      <c r="C67" s="102">
        <f>TrRoad_emi!C$20</f>
        <v>48105.110740163203</v>
      </c>
      <c r="D67" s="102">
        <f>TrRoad_emi!D$20</f>
        <v>50290.900528894432</v>
      </c>
      <c r="E67" s="102">
        <f>TrRoad_emi!E$20</f>
        <v>52558.965413771126</v>
      </c>
      <c r="F67" s="102">
        <f>TrRoad_emi!F$20</f>
        <v>54153.909823821727</v>
      </c>
      <c r="G67" s="102">
        <f>TrRoad_emi!G$20</f>
        <v>56741.037218300808</v>
      </c>
      <c r="H67" s="102">
        <f>TrRoad_emi!H$20</f>
        <v>58926.436377749393</v>
      </c>
      <c r="I67" s="102">
        <f>TrRoad_emi!I$20</f>
        <v>60176.960434743822</v>
      </c>
      <c r="J67" s="102">
        <f>TrRoad_emi!J$20</f>
        <v>58194.041258280318</v>
      </c>
      <c r="K67" s="102">
        <f>TrRoad_emi!K$20</f>
        <v>56642.645820230326</v>
      </c>
      <c r="L67" s="102">
        <f>TrRoad_emi!L$20</f>
        <v>54433.32641183462</v>
      </c>
      <c r="M67" s="102">
        <f>TrRoad_emi!M$20</f>
        <v>51932.269974243951</v>
      </c>
      <c r="N67" s="102">
        <f>TrRoad_emi!N$20</f>
        <v>47292.070547052797</v>
      </c>
      <c r="O67" s="102">
        <f>TrRoad_emi!O$20</f>
        <v>49008.129530783561</v>
      </c>
      <c r="P67" s="102">
        <f>TrRoad_emi!P$20</f>
        <v>49438.666978868627</v>
      </c>
      <c r="Q67" s="102">
        <f>TrRoad_emi!Q$20</f>
        <v>50468.724781588448</v>
      </c>
      <c r="R67" s="102">
        <f>TrRoad_emi!R$20</f>
        <v>50676.576062095715</v>
      </c>
      <c r="S67" s="102">
        <f>TrRoad_emi!S$20</f>
        <v>50894.1681647484</v>
      </c>
      <c r="T67" s="102">
        <f>TrRoad_emi!T$20</f>
        <v>51444.566486626369</v>
      </c>
      <c r="U67" s="102">
        <f>TrRoad_emi!U$20</f>
        <v>53058.733534860643</v>
      </c>
      <c r="V67" s="102">
        <f>TrRoad_emi!V$20</f>
        <v>42698.120797646821</v>
      </c>
      <c r="W67" s="102">
        <f>TrRoad_emi!W$20</f>
        <v>47379.048009258622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3650.0935641068568</v>
      </c>
      <c r="C68" s="102">
        <f>TrRoad_emi!C$27</f>
        <v>3628.7969656866862</v>
      </c>
      <c r="D68" s="102">
        <f>TrRoad_emi!D$27</f>
        <v>3568.0431342123684</v>
      </c>
      <c r="E68" s="102">
        <f>TrRoad_emi!E$27</f>
        <v>3535.2873878148707</v>
      </c>
      <c r="F68" s="102">
        <f>TrRoad_emi!F$27</f>
        <v>3626.3338254732225</v>
      </c>
      <c r="G68" s="102">
        <f>TrRoad_emi!G$27</f>
        <v>3580.8813723717294</v>
      </c>
      <c r="H68" s="102">
        <f>TrRoad_emi!H$27</f>
        <v>3739.9637700390144</v>
      </c>
      <c r="I68" s="102">
        <f>TrRoad_emi!I$27</f>
        <v>3820.7432902120659</v>
      </c>
      <c r="J68" s="102">
        <f>TrRoad_emi!J$27</f>
        <v>3755.5762630100767</v>
      </c>
      <c r="K68" s="102">
        <f>TrRoad_emi!K$27</f>
        <v>3643.6008502977375</v>
      </c>
      <c r="L68" s="102">
        <f>TrRoad_emi!L$27</f>
        <v>3543.9405306938897</v>
      </c>
      <c r="M68" s="102">
        <f>TrRoad_emi!M$27</f>
        <v>3470.635852394526</v>
      </c>
      <c r="N68" s="102">
        <f>TrRoad_emi!N$27</f>
        <v>3311.908540948004</v>
      </c>
      <c r="O68" s="102">
        <f>TrRoad_emi!O$27</f>
        <v>3310.8924615699016</v>
      </c>
      <c r="P68" s="102">
        <f>TrRoad_emi!P$27</f>
        <v>3259.1593308007159</v>
      </c>
      <c r="Q68" s="102">
        <f>TrRoad_emi!Q$27</f>
        <v>3267.5613567535675</v>
      </c>
      <c r="R68" s="102">
        <f>TrRoad_emi!R$27</f>
        <v>3286.3793240035916</v>
      </c>
      <c r="S68" s="102">
        <f>TrRoad_emi!S$27</f>
        <v>2091.0050285407433</v>
      </c>
      <c r="T68" s="102">
        <f>TrRoad_emi!T$27</f>
        <v>2077.3831475947468</v>
      </c>
      <c r="U68" s="102">
        <f>TrRoad_emi!U$27</f>
        <v>2126.0172244816113</v>
      </c>
      <c r="V68" s="102">
        <f>TrRoad_emi!V$27</f>
        <v>1502.3577491668709</v>
      </c>
      <c r="W68" s="102">
        <f>TrRoad_emi!W$27</f>
        <v>1926.8086134859532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1006.1067426469866</v>
      </c>
      <c r="C69" s="110">
        <f t="shared" si="55"/>
        <v>1058.1969648376503</v>
      </c>
      <c r="D69" s="110">
        <f t="shared" si="55"/>
        <v>1093.3007448977739</v>
      </c>
      <c r="E69" s="110">
        <f t="shared" si="55"/>
        <v>1358.6501755316776</v>
      </c>
      <c r="F69" s="110">
        <f t="shared" si="55"/>
        <v>1636.3009973249332</v>
      </c>
      <c r="G69" s="110">
        <f t="shared" si="55"/>
        <v>1835.1855988254476</v>
      </c>
      <c r="H69" s="110">
        <f t="shared" si="55"/>
        <v>1516.6514497232095</v>
      </c>
      <c r="I69" s="110">
        <f t="shared" si="55"/>
        <v>1713.9729414292335</v>
      </c>
      <c r="J69" s="110">
        <f t="shared" si="55"/>
        <v>1603.5020565191926</v>
      </c>
      <c r="K69" s="110">
        <f t="shared" si="55"/>
        <v>1295.6083141180757</v>
      </c>
      <c r="L69" s="110">
        <f t="shared" si="55"/>
        <v>1249.8345366023866</v>
      </c>
      <c r="M69" s="110">
        <f t="shared" si="55"/>
        <v>1236.7239362120795</v>
      </c>
      <c r="N69" s="110">
        <f t="shared" si="55"/>
        <v>1384.7850911808084</v>
      </c>
      <c r="O69" s="110">
        <f t="shared" si="55"/>
        <v>153.91028496606671</v>
      </c>
      <c r="P69" s="110">
        <f t="shared" si="55"/>
        <v>146.42060374000903</v>
      </c>
      <c r="Q69" s="110">
        <f t="shared" si="55"/>
        <v>193.26879800419346</v>
      </c>
      <c r="R69" s="110">
        <f t="shared" ref="R69:V69" si="56">R70+R71+R72</f>
        <v>185.90532820044666</v>
      </c>
      <c r="S69" s="110">
        <f t="shared" si="56"/>
        <v>130.26466868082878</v>
      </c>
      <c r="T69" s="110">
        <f t="shared" si="56"/>
        <v>122.62045015744138</v>
      </c>
      <c r="U69" s="110">
        <f t="shared" si="56"/>
        <v>107.12219612068054</v>
      </c>
      <c r="V69" s="110">
        <f t="shared" si="56"/>
        <v>73.151974208596585</v>
      </c>
      <c r="W69" s="110">
        <f t="shared" ref="W69" si="57">W70+W71+W72</f>
        <v>111.26836018593205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1006.1067426469866</v>
      </c>
      <c r="C71" s="102">
        <f>TrRail_emi!C$11</f>
        <v>1058.1969648376503</v>
      </c>
      <c r="D71" s="102">
        <f>TrRail_emi!D$11</f>
        <v>1093.3007448977739</v>
      </c>
      <c r="E71" s="102">
        <f>TrRail_emi!E$11</f>
        <v>1358.6501755316776</v>
      </c>
      <c r="F71" s="102">
        <f>TrRail_emi!F$11</f>
        <v>1636.3009973249332</v>
      </c>
      <c r="G71" s="102">
        <f>TrRail_emi!G$11</f>
        <v>1835.1855988254476</v>
      </c>
      <c r="H71" s="102">
        <f>TrRail_emi!H$11</f>
        <v>1516.6514497232095</v>
      </c>
      <c r="I71" s="102">
        <f>TrRail_emi!I$11</f>
        <v>1713.9729414292335</v>
      </c>
      <c r="J71" s="102">
        <f>TrRail_emi!J$11</f>
        <v>1603.5020565191926</v>
      </c>
      <c r="K71" s="102">
        <f>TrRail_emi!K$11</f>
        <v>1295.6083141180757</v>
      </c>
      <c r="L71" s="102">
        <f>TrRail_emi!L$11</f>
        <v>1249.8345366023866</v>
      </c>
      <c r="M71" s="102">
        <f>TrRail_emi!M$11</f>
        <v>1236.7239362120795</v>
      </c>
      <c r="N71" s="102">
        <f>TrRail_emi!N$11</f>
        <v>1384.7850911808084</v>
      </c>
      <c r="O71" s="102">
        <f>TrRail_emi!O$11</f>
        <v>153.91028496606671</v>
      </c>
      <c r="P71" s="102">
        <f>TrRail_emi!P$11</f>
        <v>146.42060374000903</v>
      </c>
      <c r="Q71" s="102">
        <f>TrRail_emi!Q$11</f>
        <v>193.26879800419346</v>
      </c>
      <c r="R71" s="102">
        <f>TrRail_emi!R$11</f>
        <v>185.90532820044666</v>
      </c>
      <c r="S71" s="102">
        <f>TrRail_emi!S$11</f>
        <v>130.26466868082878</v>
      </c>
      <c r="T71" s="102">
        <f>TrRail_emi!T$11</f>
        <v>122.62045015744138</v>
      </c>
      <c r="U71" s="102">
        <f>TrRail_emi!U$11</f>
        <v>107.12219612068054</v>
      </c>
      <c r="V71" s="102">
        <f>TrRail_emi!V$11</f>
        <v>73.151974208596585</v>
      </c>
      <c r="W71" s="102">
        <f>TrRail_emi!W$11</f>
        <v>111.26836018593205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13530.784878025746</v>
      </c>
      <c r="C73" s="110">
        <f t="shared" si="58"/>
        <v>13640.809797451429</v>
      </c>
      <c r="D73" s="110">
        <f t="shared" si="58"/>
        <v>12973.09245071546</v>
      </c>
      <c r="E73" s="110">
        <f t="shared" si="58"/>
        <v>13616.685168421967</v>
      </c>
      <c r="F73" s="110">
        <f t="shared" si="58"/>
        <v>15034.532366410991</v>
      </c>
      <c r="G73" s="110">
        <f t="shared" si="58"/>
        <v>16071.124169291943</v>
      </c>
      <c r="H73" s="110">
        <f t="shared" si="58"/>
        <v>16830.095113814823</v>
      </c>
      <c r="I73" s="110">
        <f t="shared" si="58"/>
        <v>17733.703626554707</v>
      </c>
      <c r="J73" s="110">
        <f t="shared" si="58"/>
        <v>17512.657473571831</v>
      </c>
      <c r="K73" s="110">
        <f t="shared" si="58"/>
        <v>15984.379609107446</v>
      </c>
      <c r="L73" s="110">
        <f t="shared" si="58"/>
        <v>16302.902157565431</v>
      </c>
      <c r="M73" s="110">
        <f t="shared" si="58"/>
        <v>17416.050855555142</v>
      </c>
      <c r="N73" s="110">
        <f t="shared" si="58"/>
        <v>16443.118222811434</v>
      </c>
      <c r="O73" s="110">
        <f t="shared" si="58"/>
        <v>15572.646514606933</v>
      </c>
      <c r="P73" s="110">
        <f t="shared" si="58"/>
        <v>16064.625982670019</v>
      </c>
      <c r="Q73" s="110">
        <f t="shared" si="58"/>
        <v>17087.578459012038</v>
      </c>
      <c r="R73" s="110">
        <f t="shared" ref="R73:V73" si="59">R74+R75+R76</f>
        <v>18304.702368026519</v>
      </c>
      <c r="S73" s="110">
        <f t="shared" si="59"/>
        <v>19903.860617861159</v>
      </c>
      <c r="T73" s="110">
        <f t="shared" si="59"/>
        <v>20719.412411892368</v>
      </c>
      <c r="U73" s="110">
        <f t="shared" si="59"/>
        <v>21496.565254259134</v>
      </c>
      <c r="V73" s="110">
        <f t="shared" si="59"/>
        <v>7195.6291952180381</v>
      </c>
      <c r="W73" s="110">
        <f t="shared" ref="W73" si="60">W74+W75+W76</f>
        <v>10102.048735607284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5353.2540344674562</v>
      </c>
      <c r="C74" s="102">
        <f>TrAvia_emi!C$7</f>
        <v>5318.6476163667612</v>
      </c>
      <c r="D74" s="102">
        <f>TrAvia_emi!D$7</f>
        <v>4947.6901013022016</v>
      </c>
      <c r="E74" s="102">
        <f>TrAvia_emi!E$7</f>
        <v>5212.3976673175266</v>
      </c>
      <c r="F74" s="102">
        <f>TrAvia_emi!F$7</f>
        <v>5741.0411607893075</v>
      </c>
      <c r="G74" s="102">
        <f>TrAvia_emi!G$7</f>
        <v>6715.4349353157613</v>
      </c>
      <c r="H74" s="102">
        <f>TrAvia_emi!H$7</f>
        <v>7065.631401780709</v>
      </c>
      <c r="I74" s="102">
        <f>TrAvia_emi!I$7</f>
        <v>7453.505415940841</v>
      </c>
      <c r="J74" s="102">
        <f>TrAvia_emi!J$7</f>
        <v>7188.8105327614221</v>
      </c>
      <c r="K74" s="102">
        <f>TrAvia_emi!K$7</f>
        <v>6378.7641478732021</v>
      </c>
      <c r="L74" s="102">
        <f>TrAvia_emi!L$7</f>
        <v>7121.1415480408441</v>
      </c>
      <c r="M74" s="102">
        <f>TrAvia_emi!M$7</f>
        <v>6401.6673854401597</v>
      </c>
      <c r="N74" s="102">
        <f>TrAvia_emi!N$7</f>
        <v>5541.6193854690937</v>
      </c>
      <c r="O74" s="102">
        <f>TrAvia_emi!O$7</f>
        <v>4714.571211217617</v>
      </c>
      <c r="P74" s="102">
        <f>TrAvia_emi!P$7</f>
        <v>5004.0684441729318</v>
      </c>
      <c r="Q74" s="102">
        <f>TrAvia_emi!Q$7</f>
        <v>5421.7724918359472</v>
      </c>
      <c r="R74" s="102">
        <f>TrAvia_emi!R$7</f>
        <v>5910.9410375114512</v>
      </c>
      <c r="S74" s="102">
        <f>TrAvia_emi!S$7</f>
        <v>6420.0327696950162</v>
      </c>
      <c r="T74" s="102">
        <f>TrAvia_emi!T$7</f>
        <v>6692.5338658366709</v>
      </c>
      <c r="U74" s="102">
        <f>TrAvia_emi!U$7</f>
        <v>7088.2673198847351</v>
      </c>
      <c r="V74" s="102">
        <f>TrAvia_emi!V$7</f>
        <v>2839.2873585382749</v>
      </c>
      <c r="W74" s="102">
        <f>TrAvia_emi!W$7</f>
        <v>4940.9536611339126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4862.199995716056</v>
      </c>
      <c r="C75" s="102">
        <f>TrAvia_emi!C$8</f>
        <v>5409.2878985280058</v>
      </c>
      <c r="D75" s="102">
        <f>TrAvia_emi!D$8</f>
        <v>4959.0298008755472</v>
      </c>
      <c r="E75" s="102">
        <f>TrAvia_emi!E$8</f>
        <v>5851.5069585086476</v>
      </c>
      <c r="F75" s="102">
        <f>TrAvia_emi!F$8</f>
        <v>6289.8101362996504</v>
      </c>
      <c r="G75" s="102">
        <f>TrAvia_emi!G$8</f>
        <v>6362.0763316314697</v>
      </c>
      <c r="H75" s="102">
        <f>TrAvia_emi!H$8</f>
        <v>6688.9328147159868</v>
      </c>
      <c r="I75" s="102">
        <f>TrAvia_emi!I$8</f>
        <v>7092.7637041363068</v>
      </c>
      <c r="J75" s="102">
        <f>TrAvia_emi!J$8</f>
        <v>7048.7099225619213</v>
      </c>
      <c r="K75" s="102">
        <f>TrAvia_emi!K$8</f>
        <v>6372.5263969643656</v>
      </c>
      <c r="L75" s="102">
        <f>TrAvia_emi!L$8</f>
        <v>6042.4950334505238</v>
      </c>
      <c r="M75" s="102">
        <f>TrAvia_emi!M$8</f>
        <v>7339.9841173645591</v>
      </c>
      <c r="N75" s="102">
        <f>TrAvia_emi!N$8</f>
        <v>7194.6435669641696</v>
      </c>
      <c r="O75" s="102">
        <f>TrAvia_emi!O$8</f>
        <v>7223.4298660285185</v>
      </c>
      <c r="P75" s="102">
        <f>TrAvia_emi!P$8</f>
        <v>7402.4644094152927</v>
      </c>
      <c r="Q75" s="102">
        <f>TrAvia_emi!Q$8</f>
        <v>7806.5372812487294</v>
      </c>
      <c r="R75" s="102">
        <f>TrAvia_emi!R$8</f>
        <v>8568.9915671957915</v>
      </c>
      <c r="S75" s="102">
        <f>TrAvia_emi!S$8</f>
        <v>9482.08090959521</v>
      </c>
      <c r="T75" s="102">
        <f>TrAvia_emi!T$8</f>
        <v>9754.9095021859266</v>
      </c>
      <c r="U75" s="102">
        <f>TrAvia_emi!U$8</f>
        <v>9910.353430810992</v>
      </c>
      <c r="V75" s="102">
        <f>TrAvia_emi!V$8</f>
        <v>2532.5677293050776</v>
      </c>
      <c r="W75" s="102">
        <f>TrAvia_emi!W$8</f>
        <v>3200.4929556560132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3315.330847842235</v>
      </c>
      <c r="C76" s="102">
        <f>TrAvia_emi!C$9</f>
        <v>2912.8742825566628</v>
      </c>
      <c r="D76" s="102">
        <f>TrAvia_emi!D$9</f>
        <v>3066.3725485377108</v>
      </c>
      <c r="E76" s="102">
        <f>TrAvia_emi!E$9</f>
        <v>2552.7805425957945</v>
      </c>
      <c r="F76" s="102">
        <f>TrAvia_emi!F$9</f>
        <v>3003.6810693220341</v>
      </c>
      <c r="G76" s="102">
        <f>TrAvia_emi!G$9</f>
        <v>2993.6129023447129</v>
      </c>
      <c r="H76" s="102">
        <f>TrAvia_emi!H$9</f>
        <v>3075.5308973181286</v>
      </c>
      <c r="I76" s="102">
        <f>TrAvia_emi!I$9</f>
        <v>3187.4345064775584</v>
      </c>
      <c r="J76" s="102">
        <f>TrAvia_emi!J$9</f>
        <v>3275.1370182484866</v>
      </c>
      <c r="K76" s="102">
        <f>TrAvia_emi!K$9</f>
        <v>3233.0890642698782</v>
      </c>
      <c r="L76" s="102">
        <f>TrAvia_emi!L$9</f>
        <v>3139.265576074064</v>
      </c>
      <c r="M76" s="102">
        <f>TrAvia_emi!M$9</f>
        <v>3674.3993527504226</v>
      </c>
      <c r="N76" s="102">
        <f>TrAvia_emi!N$9</f>
        <v>3706.855270378172</v>
      </c>
      <c r="O76" s="102">
        <f>TrAvia_emi!O$9</f>
        <v>3634.645437360798</v>
      </c>
      <c r="P76" s="102">
        <f>TrAvia_emi!P$9</f>
        <v>3658.093129081793</v>
      </c>
      <c r="Q76" s="102">
        <f>TrAvia_emi!Q$9</f>
        <v>3859.2686859273608</v>
      </c>
      <c r="R76" s="102">
        <f>TrAvia_emi!R$9</f>
        <v>3824.7697633192756</v>
      </c>
      <c r="S76" s="102">
        <f>TrAvia_emi!S$9</f>
        <v>4001.7469385709323</v>
      </c>
      <c r="T76" s="102">
        <f>TrAvia_emi!T$9</f>
        <v>4271.9690438697689</v>
      </c>
      <c r="U76" s="102">
        <f>TrAvia_emi!U$9</f>
        <v>4497.9445035634071</v>
      </c>
      <c r="V76" s="102">
        <f>TrAvia_emi!V$9</f>
        <v>1823.7741073746859</v>
      </c>
      <c r="W76" s="102">
        <f>TrAvia_emi!W$9</f>
        <v>1960.6021188173579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33563.38489847086</v>
      </c>
      <c r="C77" s="28">
        <f t="shared" si="61"/>
        <v>36316.228712723234</v>
      </c>
      <c r="D77" s="28">
        <f t="shared" si="61"/>
        <v>36345.475219267712</v>
      </c>
      <c r="E77" s="28">
        <f t="shared" si="61"/>
        <v>38516.972469522792</v>
      </c>
      <c r="F77" s="28">
        <f t="shared" si="61"/>
        <v>40550.608973672359</v>
      </c>
      <c r="G77" s="28">
        <f t="shared" si="61"/>
        <v>40469.349179328521</v>
      </c>
      <c r="H77" s="28">
        <f t="shared" si="61"/>
        <v>41836.010135540113</v>
      </c>
      <c r="I77" s="28">
        <f t="shared" si="61"/>
        <v>42786.529790838802</v>
      </c>
      <c r="J77" s="28">
        <f t="shared" si="61"/>
        <v>38923.966673786425</v>
      </c>
      <c r="K77" s="28">
        <f t="shared" si="61"/>
        <v>32961.046280270959</v>
      </c>
      <c r="L77" s="28">
        <f t="shared" si="61"/>
        <v>31703.762540202802</v>
      </c>
      <c r="M77" s="28">
        <f t="shared" si="61"/>
        <v>28635.005120080768</v>
      </c>
      <c r="N77" s="28">
        <f t="shared" si="61"/>
        <v>24771.730740061041</v>
      </c>
      <c r="O77" s="28">
        <f t="shared" si="61"/>
        <v>24083.791297325919</v>
      </c>
      <c r="P77" s="28">
        <f t="shared" si="61"/>
        <v>23741.986901567798</v>
      </c>
      <c r="Q77" s="28">
        <f t="shared" si="61"/>
        <v>25284.168382414224</v>
      </c>
      <c r="R77" s="28">
        <f t="shared" ref="R77:V77" si="62">R78+R81+R82+R86+R92</f>
        <v>27722.141722569777</v>
      </c>
      <c r="S77" s="28">
        <f t="shared" si="62"/>
        <v>31290.829094185414</v>
      </c>
      <c r="T77" s="28">
        <f t="shared" si="62"/>
        <v>31675.836021211137</v>
      </c>
      <c r="U77" s="28">
        <f t="shared" si="62"/>
        <v>30862.528978577539</v>
      </c>
      <c r="V77" s="28">
        <f t="shared" si="62"/>
        <v>26399.558718679404</v>
      </c>
      <c r="W77" s="28">
        <f t="shared" ref="W77" si="63">W78+W81+W82+W86+W92</f>
        <v>32001.673691780699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28304.473144983596</v>
      </c>
      <c r="C78" s="137">
        <f t="shared" si="64"/>
        <v>31010.119744892312</v>
      </c>
      <c r="D78" s="137">
        <f t="shared" si="64"/>
        <v>31123.023213280943</v>
      </c>
      <c r="E78" s="137">
        <f t="shared" si="64"/>
        <v>32857.810129556434</v>
      </c>
      <c r="F78" s="137">
        <f t="shared" si="64"/>
        <v>34671.399265168278</v>
      </c>
      <c r="G78" s="137">
        <f t="shared" si="64"/>
        <v>34838.715923405907</v>
      </c>
      <c r="H78" s="137">
        <f t="shared" si="64"/>
        <v>35691.863207078139</v>
      </c>
      <c r="I78" s="137">
        <f t="shared" si="64"/>
        <v>37182.016712222743</v>
      </c>
      <c r="J78" s="137">
        <f t="shared" si="64"/>
        <v>33746.431501637453</v>
      </c>
      <c r="K78" s="137">
        <f t="shared" si="64"/>
        <v>28573.175631976475</v>
      </c>
      <c r="L78" s="137">
        <f t="shared" si="64"/>
        <v>27313.012385410617</v>
      </c>
      <c r="M78" s="137">
        <f t="shared" si="64"/>
        <v>25305.935794767993</v>
      </c>
      <c r="N78" s="137">
        <f t="shared" si="64"/>
        <v>21368.797638773285</v>
      </c>
      <c r="O78" s="137">
        <f t="shared" si="64"/>
        <v>22087.751495098921</v>
      </c>
      <c r="P78" s="137">
        <f t="shared" si="64"/>
        <v>22313.06565685782</v>
      </c>
      <c r="Q78" s="137">
        <f t="shared" si="64"/>
        <v>23469.194931470454</v>
      </c>
      <c r="R78" s="137">
        <f t="shared" ref="R78:V78" si="65">R79+R80</f>
        <v>25364.836193236741</v>
      </c>
      <c r="S78" s="137">
        <f t="shared" si="65"/>
        <v>27742.288107687396</v>
      </c>
      <c r="T78" s="137">
        <f t="shared" si="65"/>
        <v>27986.609089860944</v>
      </c>
      <c r="U78" s="137">
        <f t="shared" si="65"/>
        <v>27031.883751517351</v>
      </c>
      <c r="V78" s="137">
        <f t="shared" si="65"/>
        <v>23311.121565546036</v>
      </c>
      <c r="W78" s="137">
        <f t="shared" ref="W78" si="66">W79+W80</f>
        <v>28605.073000253917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8494.3237707482876</v>
      </c>
      <c r="C79" s="102">
        <f>TrRoad_emi!C$34</f>
        <v>10117.703013857872</v>
      </c>
      <c r="D79" s="102">
        <f>TrRoad_emi!D$34</f>
        <v>9091.0912440116081</v>
      </c>
      <c r="E79" s="102">
        <f>TrRoad_emi!E$34</f>
        <v>9547.2683951989729</v>
      </c>
      <c r="F79" s="102">
        <f>TrRoad_emi!F$34</f>
        <v>9621.1315784732451</v>
      </c>
      <c r="G79" s="102">
        <f>TrRoad_emi!G$34</f>
        <v>8705.0038560586436</v>
      </c>
      <c r="H79" s="102">
        <f>TrRoad_emi!H$34</f>
        <v>9071.007668555174</v>
      </c>
      <c r="I79" s="102">
        <f>TrRoad_emi!I$34</f>
        <v>10013.927412127605</v>
      </c>
      <c r="J79" s="102">
        <f>TrRoad_emi!J$34</f>
        <v>8893.0671089569059</v>
      </c>
      <c r="K79" s="102">
        <f>TrRoad_emi!K$34</f>
        <v>7332.1230570085609</v>
      </c>
      <c r="L79" s="102">
        <f>TrRoad_emi!L$34</f>
        <v>7118.6128834188503</v>
      </c>
      <c r="M79" s="102">
        <f>TrRoad_emi!M$34</f>
        <v>6845.1103847369168</v>
      </c>
      <c r="N79" s="102">
        <f>TrRoad_emi!N$34</f>
        <v>6146.6281102711901</v>
      </c>
      <c r="O79" s="102">
        <f>TrRoad_emi!O$34</f>
        <v>6499.3801153615359</v>
      </c>
      <c r="P79" s="102">
        <f>TrRoad_emi!P$34</f>
        <v>6310.8449871054745</v>
      </c>
      <c r="Q79" s="102">
        <f>TrRoad_emi!Q$34</f>
        <v>6526.9095007671694</v>
      </c>
      <c r="R79" s="102">
        <f>TrRoad_emi!R$34</f>
        <v>6218.3259070026961</v>
      </c>
      <c r="S79" s="102">
        <f>TrRoad_emi!S$34</f>
        <v>6622.6494507021762</v>
      </c>
      <c r="T79" s="102">
        <f>TrRoad_emi!T$34</f>
        <v>6603.2414147431118</v>
      </c>
      <c r="U79" s="102">
        <f>TrRoad_emi!U$34</f>
        <v>6640.9775652911867</v>
      </c>
      <c r="V79" s="102">
        <f>TrRoad_emi!V$34</f>
        <v>4367.4439422414098</v>
      </c>
      <c r="W79" s="102">
        <f>TrRoad_emi!W$34</f>
        <v>6420.4642021592599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19810.149374235309</v>
      </c>
      <c r="C80" s="102">
        <f>TrRoad_emi!C$40</f>
        <v>20892.416731034442</v>
      </c>
      <c r="D80" s="102">
        <f>TrRoad_emi!D$40</f>
        <v>22031.931969269335</v>
      </c>
      <c r="E80" s="102">
        <f>TrRoad_emi!E$40</f>
        <v>23310.541734357463</v>
      </c>
      <c r="F80" s="102">
        <f>TrRoad_emi!F$40</f>
        <v>25050.267686695035</v>
      </c>
      <c r="G80" s="102">
        <f>TrRoad_emi!G$40</f>
        <v>26133.712067347267</v>
      </c>
      <c r="H80" s="102">
        <f>TrRoad_emi!H$40</f>
        <v>26620.855538522967</v>
      </c>
      <c r="I80" s="102">
        <f>TrRoad_emi!I$40</f>
        <v>27168.08930009514</v>
      </c>
      <c r="J80" s="102">
        <f>TrRoad_emi!J$40</f>
        <v>24853.364392680545</v>
      </c>
      <c r="K80" s="102">
        <f>TrRoad_emi!K$40</f>
        <v>21241.052574967915</v>
      </c>
      <c r="L80" s="102">
        <f>TrRoad_emi!L$40</f>
        <v>20194.399501991767</v>
      </c>
      <c r="M80" s="102">
        <f>TrRoad_emi!M$40</f>
        <v>18460.825410031077</v>
      </c>
      <c r="N80" s="102">
        <f>TrRoad_emi!N$40</f>
        <v>15222.169528502096</v>
      </c>
      <c r="O80" s="102">
        <f>TrRoad_emi!O$40</f>
        <v>15588.371379737386</v>
      </c>
      <c r="P80" s="102">
        <f>TrRoad_emi!P$40</f>
        <v>16002.220669752345</v>
      </c>
      <c r="Q80" s="102">
        <f>TrRoad_emi!Q$40</f>
        <v>16942.285430703287</v>
      </c>
      <c r="R80" s="102">
        <f>TrRoad_emi!R$40</f>
        <v>19146.510286234046</v>
      </c>
      <c r="S80" s="102">
        <f>TrRoad_emi!S$40</f>
        <v>21119.638656985218</v>
      </c>
      <c r="T80" s="102">
        <f>TrRoad_emi!T$40</f>
        <v>21383.367675117832</v>
      </c>
      <c r="U80" s="102">
        <f>TrRoad_emi!U$40</f>
        <v>20390.906186226166</v>
      </c>
      <c r="V80" s="102">
        <f>TrRoad_emi!V$40</f>
        <v>18943.677623304626</v>
      </c>
      <c r="W80" s="102">
        <f>TrRoad_emi!W$40</f>
        <v>22184.608798094658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536.06242771301299</v>
      </c>
      <c r="C81" s="110">
        <f>TrRail_emi!C$15</f>
        <v>585.93374624234957</v>
      </c>
      <c r="D81" s="110">
        <f>TrRail_emi!D$15</f>
        <v>518.96708474222623</v>
      </c>
      <c r="E81" s="110">
        <f>TrRail_emi!E$15</f>
        <v>432.05048374832268</v>
      </c>
      <c r="F81" s="110">
        <f>TrRail_emi!F$15</f>
        <v>409.303513755067</v>
      </c>
      <c r="G81" s="110">
        <f>TrRail_emi!G$15</f>
        <v>388.85174189455216</v>
      </c>
      <c r="H81" s="110">
        <f>TrRail_emi!H$15</f>
        <v>458.85466883679055</v>
      </c>
      <c r="I81" s="110">
        <f>TrRail_emi!I$15</f>
        <v>627.9576474907667</v>
      </c>
      <c r="J81" s="110">
        <f>TrRail_emi!J$15</f>
        <v>642.83935456080735</v>
      </c>
      <c r="K81" s="110">
        <f>TrRail_emi!K$15</f>
        <v>616.17177480192436</v>
      </c>
      <c r="L81" s="110">
        <f>TrRail_emi!L$15</f>
        <v>725.6715819576134</v>
      </c>
      <c r="M81" s="110">
        <f>TrRail_emi!M$15</f>
        <v>388.28915270792038</v>
      </c>
      <c r="N81" s="110">
        <f>TrRail_emi!N$15</f>
        <v>405.91556809919149</v>
      </c>
      <c r="O81" s="110">
        <f>TrRail_emi!O$15</f>
        <v>97.807385393933302</v>
      </c>
      <c r="P81" s="110">
        <f>TrRail_emi!P$15</f>
        <v>102.11088517999099</v>
      </c>
      <c r="Q81" s="110">
        <f>TrRail_emi!Q$15</f>
        <v>80.752942715806512</v>
      </c>
      <c r="R81" s="110">
        <f>TrRail_emi!R$15</f>
        <v>62.626160719553333</v>
      </c>
      <c r="S81" s="110">
        <f>TrRail_emi!S$15</f>
        <v>115.08037203917121</v>
      </c>
      <c r="T81" s="110">
        <f>TrRail_emi!T$15</f>
        <v>129.09722020255865</v>
      </c>
      <c r="U81" s="110">
        <f>TrRail_emi!U$15</f>
        <v>150.96810387931947</v>
      </c>
      <c r="V81" s="110">
        <f>TrRail_emi!V$15</f>
        <v>114.83966651140341</v>
      </c>
      <c r="W81" s="110">
        <f>TrRail_emi!W$15</f>
        <v>60.030240014067964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351.67406901425534</v>
      </c>
      <c r="C82" s="110">
        <f t="shared" si="67"/>
        <v>367.82118206857132</v>
      </c>
      <c r="D82" s="110">
        <f t="shared" si="67"/>
        <v>324.29348328453818</v>
      </c>
      <c r="E82" s="110">
        <f t="shared" si="67"/>
        <v>327.68153357803101</v>
      </c>
      <c r="F82" s="110">
        <f t="shared" si="67"/>
        <v>419.20030558900896</v>
      </c>
      <c r="G82" s="110">
        <f t="shared" si="67"/>
        <v>394.09051270805776</v>
      </c>
      <c r="H82" s="110">
        <f t="shared" si="67"/>
        <v>392.93837818517591</v>
      </c>
      <c r="I82" s="110">
        <f t="shared" si="67"/>
        <v>386.59350544529633</v>
      </c>
      <c r="J82" s="110">
        <f t="shared" si="67"/>
        <v>376.17198842816771</v>
      </c>
      <c r="K82" s="110">
        <f t="shared" si="67"/>
        <v>322.2955728925574</v>
      </c>
      <c r="L82" s="110">
        <f t="shared" si="67"/>
        <v>359.0408604345705</v>
      </c>
      <c r="M82" s="110">
        <f t="shared" si="67"/>
        <v>346.29590044485747</v>
      </c>
      <c r="N82" s="110">
        <f t="shared" si="67"/>
        <v>307.81645318856761</v>
      </c>
      <c r="O82" s="110">
        <f t="shared" si="67"/>
        <v>309.49170139306466</v>
      </c>
      <c r="P82" s="110">
        <f t="shared" si="67"/>
        <v>299.61192132998445</v>
      </c>
      <c r="Q82" s="110">
        <f t="shared" si="67"/>
        <v>332.46258498796306</v>
      </c>
      <c r="R82" s="110">
        <f t="shared" si="67"/>
        <v>317.06808597348311</v>
      </c>
      <c r="S82" s="110">
        <f t="shared" si="67"/>
        <v>395.25774613884744</v>
      </c>
      <c r="T82" s="110">
        <f t="shared" si="67"/>
        <v>419.96530210763251</v>
      </c>
      <c r="U82" s="110">
        <f t="shared" si="67"/>
        <v>384.7076417408673</v>
      </c>
      <c r="V82" s="110">
        <f t="shared" si="67"/>
        <v>436.18311878196312</v>
      </c>
      <c r="W82" s="110">
        <f t="shared" ref="W82" si="68">W83+W84+W85</f>
        <v>466.96443379271716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161.49010257254457</v>
      </c>
      <c r="C83" s="102">
        <f>TrAvia_emi!C$11</f>
        <v>166.89984315324014</v>
      </c>
      <c r="D83" s="102">
        <f>TrAvia_emi!D$11</f>
        <v>153.2036826977982</v>
      </c>
      <c r="E83" s="102">
        <f>TrAvia_emi!E$11</f>
        <v>132.78655468247234</v>
      </c>
      <c r="F83" s="102">
        <f>TrAvia_emi!F$11</f>
        <v>178.1259812106924</v>
      </c>
      <c r="G83" s="102">
        <f>TrAvia_emi!G$11</f>
        <v>183.50631668423728</v>
      </c>
      <c r="H83" s="102">
        <f>TrAvia_emi!H$11</f>
        <v>185.2675402192915</v>
      </c>
      <c r="I83" s="102">
        <f>TrAvia_emi!I$11</f>
        <v>177.81839605916008</v>
      </c>
      <c r="J83" s="102">
        <f>TrAvia_emi!J$11</f>
        <v>172.99612923857757</v>
      </c>
      <c r="K83" s="102">
        <f>TrAvia_emi!K$11</f>
        <v>136.51151412680042</v>
      </c>
      <c r="L83" s="102">
        <f>TrAvia_emi!L$11</f>
        <v>142.57990995915651</v>
      </c>
      <c r="M83" s="102">
        <f>TrAvia_emi!M$11</f>
        <v>110.71645055983883</v>
      </c>
      <c r="N83" s="102">
        <f>TrAvia_emi!N$11</f>
        <v>95.696340530907321</v>
      </c>
      <c r="O83" s="102">
        <f>TrAvia_emi!O$11</f>
        <v>88.826744782383216</v>
      </c>
      <c r="P83" s="102">
        <f>TrAvia_emi!P$11</f>
        <v>84.840219827069475</v>
      </c>
      <c r="Q83" s="102">
        <f>TrAvia_emi!Q$11</f>
        <v>82.43973216405243</v>
      </c>
      <c r="R83" s="102">
        <f>TrAvia_emi!R$11</f>
        <v>78.402056488548197</v>
      </c>
      <c r="S83" s="102">
        <f>TrAvia_emi!S$11</f>
        <v>89.319884304986857</v>
      </c>
      <c r="T83" s="102">
        <f>TrAvia_emi!T$11</f>
        <v>79.994358163328926</v>
      </c>
      <c r="U83" s="102">
        <f>TrAvia_emi!U$11</f>
        <v>71.027606115263708</v>
      </c>
      <c r="V83" s="102">
        <f>TrAvia_emi!V$11</f>
        <v>49.023115461725084</v>
      </c>
      <c r="W83" s="102">
        <f>TrAvia_emi!W$11</f>
        <v>67.096416626087091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57.523589753908816</v>
      </c>
      <c r="C84" s="102">
        <f>TrAvia_emi!C$12</f>
        <v>59.206814189713292</v>
      </c>
      <c r="D84" s="102">
        <f>TrAvia_emi!D$12</f>
        <v>51.813962710010472</v>
      </c>
      <c r="E84" s="102">
        <f>TrAvia_emi!E$12</f>
        <v>56.466495099753466</v>
      </c>
      <c r="F84" s="102">
        <f>TrAvia_emi!F$12</f>
        <v>69.656669780678129</v>
      </c>
      <c r="G84" s="102">
        <f>TrAvia_emi!G$12</f>
        <v>63.281147615118833</v>
      </c>
      <c r="H84" s="102">
        <f>TrAvia_emi!H$12</f>
        <v>65.241829399207575</v>
      </c>
      <c r="I84" s="102">
        <f>TrAvia_emi!I$12</f>
        <v>55.190676965196161</v>
      </c>
      <c r="J84" s="102">
        <f>TrAvia_emi!J$12</f>
        <v>55.878975297772811</v>
      </c>
      <c r="K84" s="102">
        <f>TrAvia_emi!K$12</f>
        <v>52.289417788878794</v>
      </c>
      <c r="L84" s="102">
        <f>TrAvia_emi!L$12</f>
        <v>52.580624854595804</v>
      </c>
      <c r="M84" s="102">
        <f>TrAvia_emi!M$12</f>
        <v>55.704401824234296</v>
      </c>
      <c r="N84" s="102">
        <f>TrAvia_emi!N$12</f>
        <v>49.389408409103005</v>
      </c>
      <c r="O84" s="102">
        <f>TrAvia_emi!O$12</f>
        <v>48.324321692482357</v>
      </c>
      <c r="P84" s="102">
        <f>TrAvia_emi!P$12</f>
        <v>42.309654719338511</v>
      </c>
      <c r="Q84" s="102">
        <f>TrAvia_emi!Q$12</f>
        <v>47.091303003194213</v>
      </c>
      <c r="R84" s="102">
        <f>TrAvia_emi!R$12</f>
        <v>42.207151989659842</v>
      </c>
      <c r="S84" s="102">
        <f>TrAvia_emi!S$12</f>
        <v>51.633416310725856</v>
      </c>
      <c r="T84" s="102">
        <f>TrAvia_emi!T$12</f>
        <v>52.910420183868339</v>
      </c>
      <c r="U84" s="102">
        <f>TrAvia_emi!U$12</f>
        <v>58.583742899247589</v>
      </c>
      <c r="V84" s="102">
        <f>TrAvia_emi!V$12</f>
        <v>54.070392838634987</v>
      </c>
      <c r="W84" s="102">
        <f>TrAvia_emi!W$12</f>
        <v>52.844853841790929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132.66037668780197</v>
      </c>
      <c r="C85" s="102">
        <f>TrAvia_emi!C$13</f>
        <v>141.71452472561788</v>
      </c>
      <c r="D85" s="102">
        <f>TrAvia_emi!D$13</f>
        <v>119.27583787672948</v>
      </c>
      <c r="E85" s="102">
        <f>TrAvia_emi!E$13</f>
        <v>138.42848379580522</v>
      </c>
      <c r="F85" s="102">
        <f>TrAvia_emi!F$13</f>
        <v>171.4176545976384</v>
      </c>
      <c r="G85" s="102">
        <f>TrAvia_emi!G$13</f>
        <v>147.30304840870161</v>
      </c>
      <c r="H85" s="102">
        <f>TrAvia_emi!H$13</f>
        <v>142.42900856667686</v>
      </c>
      <c r="I85" s="102">
        <f>TrAvia_emi!I$13</f>
        <v>153.58443242094009</v>
      </c>
      <c r="J85" s="102">
        <f>TrAvia_emi!J$13</f>
        <v>147.29688389181734</v>
      </c>
      <c r="K85" s="102">
        <f>TrAvia_emi!K$13</f>
        <v>133.49464097687817</v>
      </c>
      <c r="L85" s="102">
        <f>TrAvia_emi!L$13</f>
        <v>163.88032562081818</v>
      </c>
      <c r="M85" s="102">
        <f>TrAvia_emi!M$13</f>
        <v>179.87504806078437</v>
      </c>
      <c r="N85" s="102">
        <f>TrAvia_emi!N$13</f>
        <v>162.73070424855729</v>
      </c>
      <c r="O85" s="102">
        <f>TrAvia_emi!O$13</f>
        <v>172.34063491819913</v>
      </c>
      <c r="P85" s="102">
        <f>TrAvia_emi!P$13</f>
        <v>172.46204678357645</v>
      </c>
      <c r="Q85" s="102">
        <f>TrAvia_emi!Q$13</f>
        <v>202.93154982071641</v>
      </c>
      <c r="R85" s="102">
        <f>TrAvia_emi!R$13</f>
        <v>196.45887749527506</v>
      </c>
      <c r="S85" s="102">
        <f>TrAvia_emi!S$13</f>
        <v>254.30444552313472</v>
      </c>
      <c r="T85" s="102">
        <f>TrAvia_emi!T$13</f>
        <v>287.06052376043527</v>
      </c>
      <c r="U85" s="102">
        <f>TrAvia_emi!U$13</f>
        <v>255.09629272635604</v>
      </c>
      <c r="V85" s="102">
        <f>TrAvia_emi!V$13</f>
        <v>333.08961048160302</v>
      </c>
      <c r="W85" s="102">
        <f>TrAvia_emi!W$13</f>
        <v>347.02316332483912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4371.1752567599997</v>
      </c>
      <c r="C86" s="110">
        <f t="shared" si="69"/>
        <v>4352.3540395200016</v>
      </c>
      <c r="D86" s="110">
        <f t="shared" si="69"/>
        <v>4379.1914379599984</v>
      </c>
      <c r="E86" s="110">
        <f t="shared" si="69"/>
        <v>4899.4303226399988</v>
      </c>
      <c r="F86" s="110">
        <f t="shared" si="69"/>
        <v>5050.7058891600009</v>
      </c>
      <c r="G86" s="110">
        <f t="shared" si="69"/>
        <v>4847.6910013200013</v>
      </c>
      <c r="H86" s="110">
        <f t="shared" si="69"/>
        <v>5292.3538814399999</v>
      </c>
      <c r="I86" s="110">
        <f t="shared" si="69"/>
        <v>4589.9619256800015</v>
      </c>
      <c r="J86" s="110">
        <f t="shared" si="69"/>
        <v>4158.523829159999</v>
      </c>
      <c r="K86" s="110">
        <f t="shared" si="69"/>
        <v>3449.4033005999995</v>
      </c>
      <c r="L86" s="110">
        <f t="shared" si="69"/>
        <v>3306.0377124000001</v>
      </c>
      <c r="M86" s="110">
        <f t="shared" si="69"/>
        <v>2594.4842721600003</v>
      </c>
      <c r="N86" s="110">
        <f t="shared" si="69"/>
        <v>2689.2010799999998</v>
      </c>
      <c r="O86" s="110">
        <f t="shared" si="69"/>
        <v>1588.7407154399998</v>
      </c>
      <c r="P86" s="110">
        <f t="shared" si="69"/>
        <v>1027.1984382000001</v>
      </c>
      <c r="Q86" s="110">
        <f t="shared" si="69"/>
        <v>1401.7579232400001</v>
      </c>
      <c r="R86" s="110">
        <f t="shared" ref="R86:V86" si="70">R87+R88</f>
        <v>1977.6112826400006</v>
      </c>
      <c r="S86" s="110">
        <f t="shared" si="70"/>
        <v>3038.2028683200001</v>
      </c>
      <c r="T86" s="110">
        <f t="shared" si="70"/>
        <v>3140.16440904</v>
      </c>
      <c r="U86" s="110">
        <f t="shared" si="70"/>
        <v>3294.96948144</v>
      </c>
      <c r="V86" s="110">
        <f t="shared" si="70"/>
        <v>2537.4143678399996</v>
      </c>
      <c r="W86" s="110">
        <f t="shared" ref="W86" si="71">W87+W88</f>
        <v>2869.6060177199997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4371.1752567599997</v>
      </c>
      <c r="C87" s="102">
        <f>TrNavi_emi!C$4</f>
        <v>4352.3540395200016</v>
      </c>
      <c r="D87" s="102">
        <f>TrNavi_emi!D$4</f>
        <v>4379.1914379599984</v>
      </c>
      <c r="E87" s="102">
        <f>TrNavi_emi!E$4</f>
        <v>4899.4303226399988</v>
      </c>
      <c r="F87" s="102">
        <f>TrNavi_emi!F$4</f>
        <v>5050.7058891600009</v>
      </c>
      <c r="G87" s="102">
        <f>TrNavi_emi!G$4</f>
        <v>4847.6910013200013</v>
      </c>
      <c r="H87" s="102">
        <f>TrNavi_emi!H$4</f>
        <v>5292.3538814399999</v>
      </c>
      <c r="I87" s="102">
        <f>TrNavi_emi!I$4</f>
        <v>4589.9619256800015</v>
      </c>
      <c r="J87" s="102">
        <f>TrNavi_emi!J$4</f>
        <v>4158.523829159999</v>
      </c>
      <c r="K87" s="102">
        <f>TrNavi_emi!K$4</f>
        <v>3449.4033005999995</v>
      </c>
      <c r="L87" s="102">
        <f>TrNavi_emi!L$4</f>
        <v>3306.0377124000001</v>
      </c>
      <c r="M87" s="102">
        <f>TrNavi_emi!M$4</f>
        <v>2594.4842721600003</v>
      </c>
      <c r="N87" s="102">
        <f>TrNavi_emi!N$4</f>
        <v>2689.2010799999998</v>
      </c>
      <c r="O87" s="102">
        <f>TrNavi_emi!O$4</f>
        <v>1588.7407154399998</v>
      </c>
      <c r="P87" s="102">
        <f>TrNavi_emi!P$4</f>
        <v>1027.1984382000001</v>
      </c>
      <c r="Q87" s="102">
        <f>TrNavi_emi!Q$4</f>
        <v>1401.7579232400001</v>
      </c>
      <c r="R87" s="102">
        <f>TrNavi_emi!R$4</f>
        <v>1977.6112826400006</v>
      </c>
      <c r="S87" s="102">
        <f>TrNavi_emi!S$4</f>
        <v>3038.2028683200001</v>
      </c>
      <c r="T87" s="102">
        <f>TrNavi_emi!T$4</f>
        <v>3140.16440904</v>
      </c>
      <c r="U87" s="102">
        <f>TrNavi_emi!U$4</f>
        <v>3294.96948144</v>
      </c>
      <c r="V87" s="102">
        <f>TrNavi_emi!V$4</f>
        <v>2537.4143678399996</v>
      </c>
      <c r="W87" s="102">
        <f>TrNavi_emi!W$4</f>
        <v>2869.6060177199997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19355.958993240001</v>
      </c>
      <c r="C89" s="28">
        <f t="shared" si="72"/>
        <v>21670.667130599999</v>
      </c>
      <c r="D89" s="28">
        <f t="shared" si="72"/>
        <v>22127.662020960001</v>
      </c>
      <c r="E89" s="28">
        <f t="shared" si="72"/>
        <v>22540.610042999993</v>
      </c>
      <c r="F89" s="28">
        <f t="shared" si="72"/>
        <v>23251.343281560003</v>
      </c>
      <c r="G89" s="28">
        <f t="shared" si="72"/>
        <v>25516.058633639997</v>
      </c>
      <c r="H89" s="28">
        <f t="shared" si="72"/>
        <v>26642.252313000012</v>
      </c>
      <c r="I89" s="28">
        <f t="shared" si="72"/>
        <v>27262.353237120002</v>
      </c>
      <c r="J89" s="28">
        <f t="shared" si="72"/>
        <v>28263.568353479994</v>
      </c>
      <c r="K89" s="28">
        <f t="shared" si="72"/>
        <v>28086.262648560005</v>
      </c>
      <c r="L89" s="28">
        <f t="shared" si="72"/>
        <v>27071.027725679996</v>
      </c>
      <c r="M89" s="28">
        <f t="shared" si="72"/>
        <v>27693.119879999998</v>
      </c>
      <c r="N89" s="28">
        <f t="shared" si="72"/>
        <v>27049.564682639997</v>
      </c>
      <c r="O89" s="28">
        <f t="shared" si="72"/>
        <v>23243.894281439992</v>
      </c>
      <c r="P89" s="28">
        <f t="shared" si="72"/>
        <v>25133.0207094</v>
      </c>
      <c r="Q89" s="28">
        <f t="shared" si="72"/>
        <v>24027.62814828</v>
      </c>
      <c r="R89" s="28">
        <f t="shared" si="72"/>
        <v>24157.654594920001</v>
      </c>
      <c r="S89" s="28">
        <f t="shared" si="72"/>
        <v>21471.848639639997</v>
      </c>
      <c r="T89" s="28">
        <f t="shared" si="72"/>
        <v>22514.29482132</v>
      </c>
      <c r="U89" s="28">
        <f t="shared" si="72"/>
        <v>23026.946615279998</v>
      </c>
      <c r="V89" s="28">
        <f t="shared" si="72"/>
        <v>20299.087568160001</v>
      </c>
      <c r="W89" s="28">
        <f t="shared" si="72"/>
        <v>23257.189309680001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5878.9330221937098</v>
      </c>
      <c r="C90" s="102">
        <f>MBunk_emi!C$4</f>
        <v>6440.9228332441235</v>
      </c>
      <c r="D90" s="102">
        <f>MBunk_emi!D$4</f>
        <v>6494.3566789300512</v>
      </c>
      <c r="E90" s="102">
        <f>MBunk_emi!E$4</f>
        <v>6575.8840548091775</v>
      </c>
      <c r="F90" s="102">
        <f>MBunk_emi!F$4</f>
        <v>6803.0720450939752</v>
      </c>
      <c r="G90" s="102">
        <f>MBunk_emi!G$4</f>
        <v>7295.7124130621951</v>
      </c>
      <c r="H90" s="102">
        <f>MBunk_emi!H$4</f>
        <v>7144.1326873789712</v>
      </c>
      <c r="I90" s="102">
        <f>MBunk_emi!I$4</f>
        <v>6939.9585083112461</v>
      </c>
      <c r="J90" s="102">
        <f>MBunk_emi!J$4</f>
        <v>7147.4215787921485</v>
      </c>
      <c r="K90" s="102">
        <f>MBunk_emi!K$4</f>
        <v>7753.669902280757</v>
      </c>
      <c r="L90" s="102">
        <f>MBunk_emi!L$4</f>
        <v>7476.5766180412766</v>
      </c>
      <c r="M90" s="102">
        <f>MBunk_emi!M$4</f>
        <v>7317.3423361477408</v>
      </c>
      <c r="N90" s="102">
        <f>MBunk_emi!N$4</f>
        <v>7009.4441712817907</v>
      </c>
      <c r="O90" s="102">
        <f>MBunk_emi!O$4</f>
        <v>6343.7198060744504</v>
      </c>
      <c r="P90" s="102">
        <f>MBunk_emi!P$4</f>
        <v>7136.3776646378974</v>
      </c>
      <c r="Q90" s="102">
        <f>MBunk_emi!Q$4</f>
        <v>6846.4986125018177</v>
      </c>
      <c r="R90" s="102">
        <f>MBunk_emi!R$4</f>
        <v>7031.0268259881186</v>
      </c>
      <c r="S90" s="102">
        <f>MBunk_emi!S$4</f>
        <v>6082.6953115603119</v>
      </c>
      <c r="T90" s="102">
        <f>MBunk_emi!T$4</f>
        <v>6478.4048437179608</v>
      </c>
      <c r="U90" s="102">
        <f>MBunk_emi!U$4</f>
        <v>6672.4327735055731</v>
      </c>
      <c r="V90" s="102">
        <f>MBunk_emi!V$4</f>
        <v>5340.9500965842235</v>
      </c>
      <c r="W90" s="102">
        <f>MBunk_emi!W$4</f>
        <v>6367.7318352611373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13477.025971046291</v>
      </c>
      <c r="C91" s="86">
        <f>MBunk_emi!C$5</f>
        <v>15229.744297355877</v>
      </c>
      <c r="D91" s="86">
        <f>MBunk_emi!D$5</f>
        <v>15633.305342029949</v>
      </c>
      <c r="E91" s="86">
        <f>MBunk_emi!E$5</f>
        <v>15964.725988190814</v>
      </c>
      <c r="F91" s="86">
        <f>MBunk_emi!F$5</f>
        <v>16448.271236466029</v>
      </c>
      <c r="G91" s="86">
        <f>MBunk_emi!G$5</f>
        <v>18220.346220577801</v>
      </c>
      <c r="H91" s="86">
        <f>MBunk_emi!H$5</f>
        <v>19498.119625621039</v>
      </c>
      <c r="I91" s="86">
        <f>MBunk_emi!I$5</f>
        <v>20322.394728808755</v>
      </c>
      <c r="J91" s="86">
        <f>MBunk_emi!J$5</f>
        <v>21116.146774687844</v>
      </c>
      <c r="K91" s="86">
        <f>MBunk_emi!K$5</f>
        <v>20332.592746279246</v>
      </c>
      <c r="L91" s="86">
        <f>MBunk_emi!L$5</f>
        <v>19594.451107638721</v>
      </c>
      <c r="M91" s="86">
        <f>MBunk_emi!M$5</f>
        <v>20375.777543852259</v>
      </c>
      <c r="N91" s="86">
        <f>MBunk_emi!N$5</f>
        <v>20040.120511358207</v>
      </c>
      <c r="O91" s="86">
        <f>MBunk_emi!O$5</f>
        <v>16900.174475365544</v>
      </c>
      <c r="P91" s="86">
        <f>MBunk_emi!P$5</f>
        <v>17996.643044762102</v>
      </c>
      <c r="Q91" s="86">
        <f>MBunk_emi!Q$5</f>
        <v>17181.129535778182</v>
      </c>
      <c r="R91" s="86">
        <f>MBunk_emi!R$5</f>
        <v>17126.627768931881</v>
      </c>
      <c r="S91" s="86">
        <f>MBunk_emi!S$5</f>
        <v>15389.153328079687</v>
      </c>
      <c r="T91" s="86">
        <f>MBunk_emi!T$5</f>
        <v>16035.889977602037</v>
      </c>
      <c r="U91" s="86">
        <f>MBunk_emi!U$5</f>
        <v>16354.513841774426</v>
      </c>
      <c r="V91" s="86">
        <f>MBunk_emi!V$5</f>
        <v>14958.137471575779</v>
      </c>
      <c r="W91" s="86">
        <f>MBunk_emi!W$5</f>
        <v>16889.457474418865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0.69377303597747564</v>
      </c>
      <c r="C97" s="139">
        <f t="shared" si="76"/>
        <v>0.70597772386498925</v>
      </c>
      <c r="D97" s="139">
        <f t="shared" si="76"/>
        <v>0.71169411869667143</v>
      </c>
      <c r="E97" s="139">
        <f t="shared" si="76"/>
        <v>0.70994391601173135</v>
      </c>
      <c r="F97" s="139">
        <f t="shared" si="76"/>
        <v>0.70134300305051633</v>
      </c>
      <c r="G97" s="139">
        <f t="shared" si="76"/>
        <v>0.68997471849979564</v>
      </c>
      <c r="H97" s="139">
        <f t="shared" si="76"/>
        <v>0.68141292583309621</v>
      </c>
      <c r="I97" s="139">
        <f t="shared" si="76"/>
        <v>0.67475343961371392</v>
      </c>
      <c r="J97" s="139">
        <f t="shared" si="76"/>
        <v>0.67011204728080342</v>
      </c>
      <c r="K97" s="139">
        <f t="shared" si="76"/>
        <v>0.68846285810649854</v>
      </c>
      <c r="L97" s="139">
        <f t="shared" si="76"/>
        <v>0.67143879401311679</v>
      </c>
      <c r="M97" s="139">
        <f t="shared" si="76"/>
        <v>0.65231847681448052</v>
      </c>
      <c r="N97" s="139">
        <f t="shared" si="76"/>
        <v>0.64864531781697299</v>
      </c>
      <c r="O97" s="139">
        <f t="shared" si="76"/>
        <v>0.64464740094155482</v>
      </c>
      <c r="P97" s="139">
        <f t="shared" si="76"/>
        <v>0.62460691604295493</v>
      </c>
      <c r="Q97" s="139">
        <f t="shared" si="76"/>
        <v>0.6280058869625309</v>
      </c>
      <c r="R97" s="139">
        <f t="shared" ref="R97:V97" si="77">IF(R5=0,0,R5/R$4)</f>
        <v>0.61312225550684796</v>
      </c>
      <c r="S97" s="139">
        <f t="shared" si="77"/>
        <v>0.58660636463049831</v>
      </c>
      <c r="T97" s="139">
        <f t="shared" si="77"/>
        <v>0.5791067331795523</v>
      </c>
      <c r="U97" s="139">
        <f t="shared" si="77"/>
        <v>0.57219716277662136</v>
      </c>
      <c r="V97" s="139">
        <f t="shared" si="77"/>
        <v>0.77954465235516446</v>
      </c>
      <c r="W97" s="139">
        <f t="shared" ref="W97" si="78">IF(W5=0,0,W5/W$4)</f>
        <v>0.72462202433639877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2.0239621968865289E-2</v>
      </c>
      <c r="C98" s="140">
        <f t="shared" si="79"/>
        <v>2.1453098723032655E-2</v>
      </c>
      <c r="D98" s="140">
        <f t="shared" si="79"/>
        <v>1.9841255715904987E-2</v>
      </c>
      <c r="E98" s="140">
        <f t="shared" si="79"/>
        <v>2.2132649266925764E-2</v>
      </c>
      <c r="F98" s="140">
        <f t="shared" si="79"/>
        <v>2.0361528068865934E-2</v>
      </c>
      <c r="G98" s="140">
        <f t="shared" si="79"/>
        <v>2.2690656356085942E-2</v>
      </c>
      <c r="H98" s="140">
        <f t="shared" si="79"/>
        <v>2.274681227224782E-2</v>
      </c>
      <c r="I98" s="140">
        <f t="shared" si="79"/>
        <v>2.4985496890886326E-2</v>
      </c>
      <c r="J98" s="140">
        <f t="shared" si="79"/>
        <v>2.4736823926021136E-2</v>
      </c>
      <c r="K98" s="140">
        <f t="shared" si="79"/>
        <v>2.6179594441191049E-2</v>
      </c>
      <c r="L98" s="140">
        <f t="shared" si="79"/>
        <v>2.6777748471842201E-2</v>
      </c>
      <c r="M98" s="140">
        <f t="shared" si="79"/>
        <v>2.4457652094529218E-2</v>
      </c>
      <c r="N98" s="140">
        <f t="shared" si="79"/>
        <v>2.3911986959540693E-2</v>
      </c>
      <c r="O98" s="140">
        <f t="shared" si="79"/>
        <v>2.3792829948302282E-2</v>
      </c>
      <c r="P98" s="140">
        <f t="shared" si="79"/>
        <v>2.7031391892612538E-2</v>
      </c>
      <c r="Q98" s="140">
        <f t="shared" si="79"/>
        <v>2.8283759861953285E-2</v>
      </c>
      <c r="R98" s="140">
        <f t="shared" ref="R98:V98" si="80">IF(R6=0,0,R6/R$4)</f>
        <v>2.7200543020405348E-2</v>
      </c>
      <c r="S98" s="140">
        <f t="shared" si="80"/>
        <v>2.5524121418526557E-2</v>
      </c>
      <c r="T98" s="140">
        <f t="shared" si="80"/>
        <v>2.3493254290838886E-2</v>
      </c>
      <c r="U98" s="140">
        <f t="shared" si="80"/>
        <v>2.4470431882815714E-2</v>
      </c>
      <c r="V98" s="140">
        <f t="shared" si="80"/>
        <v>3.9045483733003934E-2</v>
      </c>
      <c r="W98" s="140">
        <f t="shared" ref="W98" si="81">IF(W6=0,0,W6/W$4)</f>
        <v>3.5181476540607992E-2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0.57757147416484955</v>
      </c>
      <c r="C99" s="140">
        <f t="shared" si="82"/>
        <v>0.58610542789744746</v>
      </c>
      <c r="D99" s="140">
        <f t="shared" si="82"/>
        <v>0.59699181170663285</v>
      </c>
      <c r="E99" s="140">
        <f t="shared" si="82"/>
        <v>0.59661447250104893</v>
      </c>
      <c r="F99" s="140">
        <f t="shared" si="82"/>
        <v>0.5860931452812228</v>
      </c>
      <c r="G99" s="140">
        <f t="shared" si="82"/>
        <v>0.57652716259168457</v>
      </c>
      <c r="H99" s="140">
        <f t="shared" si="82"/>
        <v>0.5753527969313692</v>
      </c>
      <c r="I99" s="140">
        <f t="shared" si="82"/>
        <v>0.55424887779321874</v>
      </c>
      <c r="J99" s="140">
        <f t="shared" si="82"/>
        <v>0.54802069681840337</v>
      </c>
      <c r="K99" s="140">
        <f t="shared" si="82"/>
        <v>0.56956224136712619</v>
      </c>
      <c r="L99" s="140">
        <f t="shared" si="82"/>
        <v>0.56106373337958049</v>
      </c>
      <c r="M99" s="140">
        <f t="shared" si="82"/>
        <v>0.5380672370999372</v>
      </c>
      <c r="N99" s="140">
        <f t="shared" si="82"/>
        <v>0.5340264346101038</v>
      </c>
      <c r="O99" s="140">
        <f t="shared" si="82"/>
        <v>0.53061001700339705</v>
      </c>
      <c r="P99" s="140">
        <f t="shared" si="82"/>
        <v>0.52983417613458628</v>
      </c>
      <c r="Q99" s="140">
        <f t="shared" si="82"/>
        <v>0.52327997490580846</v>
      </c>
      <c r="R99" s="140">
        <f t="shared" ref="R99:V99" si="83">IF(R7=0,0,R7/R$4)</f>
        <v>0.51181633054241082</v>
      </c>
      <c r="S99" s="140">
        <f t="shared" si="83"/>
        <v>0.51397127240442331</v>
      </c>
      <c r="T99" s="140">
        <f t="shared" si="83"/>
        <v>0.50763393620400243</v>
      </c>
      <c r="U99" s="140">
        <f t="shared" si="83"/>
        <v>0.49919462925033908</v>
      </c>
      <c r="V99" s="140">
        <f t="shared" si="83"/>
        <v>0.69122488104979218</v>
      </c>
      <c r="W99" s="140">
        <f t="shared" ref="W99" si="84">IF(W7=0,0,W7/W$4)</f>
        <v>0.63594983546475448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9.5961939843760849E-2</v>
      </c>
      <c r="C100" s="140">
        <f t="shared" si="85"/>
        <v>9.8419197244509149E-2</v>
      </c>
      <c r="D100" s="140">
        <f t="shared" si="85"/>
        <v>9.4861051274133634E-2</v>
      </c>
      <c r="E100" s="140">
        <f t="shared" si="85"/>
        <v>9.1196794243756707E-2</v>
      </c>
      <c r="F100" s="140">
        <f t="shared" si="85"/>
        <v>9.4888329700427654E-2</v>
      </c>
      <c r="G100" s="140">
        <f t="shared" si="85"/>
        <v>9.075689955202508E-2</v>
      </c>
      <c r="H100" s="140">
        <f t="shared" si="85"/>
        <v>8.3313316629479245E-2</v>
      </c>
      <c r="I100" s="140">
        <f t="shared" si="85"/>
        <v>9.5519064929608835E-2</v>
      </c>
      <c r="J100" s="140">
        <f t="shared" si="85"/>
        <v>9.735452653637891E-2</v>
      </c>
      <c r="K100" s="140">
        <f t="shared" si="85"/>
        <v>9.2721022298181174E-2</v>
      </c>
      <c r="L100" s="140">
        <f t="shared" si="85"/>
        <v>8.3597312161694137E-2</v>
      </c>
      <c r="M100" s="140">
        <f t="shared" si="85"/>
        <v>8.979358762001402E-2</v>
      </c>
      <c r="N100" s="140">
        <f t="shared" si="85"/>
        <v>9.0706896247328486E-2</v>
      </c>
      <c r="O100" s="140">
        <f t="shared" si="85"/>
        <v>9.024455398985555E-2</v>
      </c>
      <c r="P100" s="140">
        <f t="shared" si="85"/>
        <v>6.7741348015756139E-2</v>
      </c>
      <c r="Q100" s="140">
        <f t="shared" si="85"/>
        <v>7.6442152194769214E-2</v>
      </c>
      <c r="R100" s="140">
        <f t="shared" ref="R100:V100" si="86">IF(R8=0,0,R8/R$4)</f>
        <v>7.4105381944031684E-2</v>
      </c>
      <c r="S100" s="140">
        <f t="shared" si="86"/>
        <v>4.7110970807548419E-2</v>
      </c>
      <c r="T100" s="140">
        <f t="shared" si="86"/>
        <v>4.7979542684710969E-2</v>
      </c>
      <c r="U100" s="140">
        <f t="shared" si="86"/>
        <v>4.8532101643466538E-2</v>
      </c>
      <c r="V100" s="140">
        <f t="shared" si="86"/>
        <v>4.9274287572368236E-2</v>
      </c>
      <c r="W100" s="140">
        <f t="shared" ref="W100" si="87">IF(W8=0,0,W8/W$4)</f>
        <v>5.3490712331036326E-2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4.8429497227327811E-2</v>
      </c>
      <c r="C101" s="124">
        <f t="shared" si="88"/>
        <v>4.9803402566025584E-2</v>
      </c>
      <c r="D101" s="124">
        <f t="shared" si="88"/>
        <v>5.0623010420621811E-2</v>
      </c>
      <c r="E101" s="124">
        <f t="shared" si="88"/>
        <v>4.9531929520065153E-2</v>
      </c>
      <c r="F101" s="124">
        <f t="shared" si="88"/>
        <v>4.6480335993404141E-2</v>
      </c>
      <c r="G101" s="124">
        <f t="shared" si="88"/>
        <v>4.7146618647982939E-2</v>
      </c>
      <c r="H101" s="124">
        <f t="shared" si="88"/>
        <v>4.7766481540995567E-2</v>
      </c>
      <c r="I101" s="124">
        <f t="shared" si="88"/>
        <v>4.5621118227878184E-2</v>
      </c>
      <c r="J101" s="124">
        <f t="shared" si="88"/>
        <v>4.8736446323556268E-2</v>
      </c>
      <c r="K101" s="124">
        <f t="shared" si="88"/>
        <v>4.7803918189407275E-2</v>
      </c>
      <c r="L101" s="124">
        <f t="shared" si="88"/>
        <v>4.9343304470686501E-2</v>
      </c>
      <c r="M101" s="124">
        <f t="shared" si="88"/>
        <v>4.9012749386195473E-2</v>
      </c>
      <c r="N101" s="124">
        <f t="shared" si="88"/>
        <v>4.9557526713374649E-2</v>
      </c>
      <c r="O101" s="124">
        <f t="shared" si="88"/>
        <v>5.1559049096600376E-2</v>
      </c>
      <c r="P101" s="124">
        <f t="shared" si="88"/>
        <v>5.530782683633579E-2</v>
      </c>
      <c r="Q101" s="124">
        <f t="shared" si="88"/>
        <v>5.4945773320553691E-2</v>
      </c>
      <c r="R101" s="124">
        <f t="shared" ref="R101:V101" si="89">IF(R9=0,0,R9/R$4)</f>
        <v>5.2994432255786358E-2</v>
      </c>
      <c r="S101" s="124">
        <f t="shared" si="89"/>
        <v>5.435148385945518E-2</v>
      </c>
      <c r="T101" s="124">
        <f t="shared" si="89"/>
        <v>5.5617394577231749E-2</v>
      </c>
      <c r="U101" s="124">
        <f t="shared" si="89"/>
        <v>5.4071329485179488E-2</v>
      </c>
      <c r="V101" s="124">
        <f t="shared" si="89"/>
        <v>4.4766555059765629E-2</v>
      </c>
      <c r="W101" s="124">
        <f t="shared" ref="W101" si="90">IF(W9=0,0,W9/W$4)</f>
        <v>5.2953597413771182E-2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9.982118329744008E-3</v>
      </c>
      <c r="C102" s="140">
        <f t="shared" si="91"/>
        <v>1.0163182883773181E-2</v>
      </c>
      <c r="D102" s="140">
        <f t="shared" si="91"/>
        <v>1.0423666553607875E-2</v>
      </c>
      <c r="E102" s="140">
        <f t="shared" si="91"/>
        <v>1.0378224466358546E-2</v>
      </c>
      <c r="F102" s="140">
        <f t="shared" si="91"/>
        <v>1.0295041196125563E-2</v>
      </c>
      <c r="G102" s="140">
        <f t="shared" si="91"/>
        <v>1.0240360262376833E-2</v>
      </c>
      <c r="H102" s="140">
        <f t="shared" si="91"/>
        <v>1.0462892971353914E-2</v>
      </c>
      <c r="I102" s="140">
        <f t="shared" si="91"/>
        <v>1.0332843424936134E-2</v>
      </c>
      <c r="J102" s="140">
        <f t="shared" si="91"/>
        <v>1.0397023240116701E-2</v>
      </c>
      <c r="K102" s="140">
        <f t="shared" si="91"/>
        <v>1.0195687680615351E-2</v>
      </c>
      <c r="L102" s="140">
        <f t="shared" si="91"/>
        <v>1.2463393231383455E-2</v>
      </c>
      <c r="M102" s="140">
        <f t="shared" si="91"/>
        <v>1.2292774684924993E-2</v>
      </c>
      <c r="N102" s="140">
        <f t="shared" si="91"/>
        <v>1.2170935599055176E-2</v>
      </c>
      <c r="O102" s="140">
        <f t="shared" si="91"/>
        <v>1.1683548496431649E-2</v>
      </c>
      <c r="P102" s="140">
        <f t="shared" si="91"/>
        <v>1.2276306467159012E-2</v>
      </c>
      <c r="Q102" s="140">
        <f t="shared" si="91"/>
        <v>1.1867656899081858E-2</v>
      </c>
      <c r="R102" s="140">
        <f t="shared" ref="R102:V102" si="92">IF(R10=0,0,R10/R$4)</f>
        <v>1.1615164894324152E-2</v>
      </c>
      <c r="S102" s="140">
        <f t="shared" si="92"/>
        <v>1.1863595536265988E-2</v>
      </c>
      <c r="T102" s="140">
        <f t="shared" si="92"/>
        <v>1.3254445555873306E-2</v>
      </c>
      <c r="U102" s="140">
        <f t="shared" si="92"/>
        <v>1.196589982776357E-2</v>
      </c>
      <c r="V102" s="140">
        <f t="shared" si="92"/>
        <v>1.3373036748034377E-2</v>
      </c>
      <c r="W102" s="140">
        <f t="shared" ref="W102" si="93">IF(W10=0,0,W10/W$4)</f>
        <v>1.451737400831798E-2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3.4740825590439853E-2</v>
      </c>
      <c r="C103" s="140">
        <f t="shared" si="94"/>
        <v>3.5687236377084444E-2</v>
      </c>
      <c r="D103" s="140">
        <f t="shared" si="94"/>
        <v>3.6065886275483246E-2</v>
      </c>
      <c r="E103" s="140">
        <f t="shared" si="94"/>
        <v>3.5397158447758613E-2</v>
      </c>
      <c r="F103" s="140">
        <f t="shared" si="94"/>
        <v>3.2484404987981712E-2</v>
      </c>
      <c r="G103" s="140">
        <f t="shared" si="94"/>
        <v>3.2939825510645476E-2</v>
      </c>
      <c r="H103" s="140">
        <f t="shared" si="94"/>
        <v>3.2752230127102704E-2</v>
      </c>
      <c r="I103" s="140">
        <f t="shared" si="94"/>
        <v>3.1103473215842913E-2</v>
      </c>
      <c r="J103" s="140">
        <f t="shared" si="94"/>
        <v>2.9569134094891897E-2</v>
      </c>
      <c r="K103" s="140">
        <f t="shared" si="94"/>
        <v>1.8907331861445636E-2</v>
      </c>
      <c r="L103" s="140">
        <f t="shared" si="94"/>
        <v>1.7640146358271908E-2</v>
      </c>
      <c r="M103" s="140">
        <f t="shared" si="94"/>
        <v>1.8628198615726777E-2</v>
      </c>
      <c r="N103" s="140">
        <f t="shared" si="94"/>
        <v>1.8794762991666474E-2</v>
      </c>
      <c r="O103" s="140">
        <f t="shared" si="94"/>
        <v>1.8512906870197722E-2</v>
      </c>
      <c r="P103" s="140">
        <f t="shared" si="94"/>
        <v>2.1083248094087726E-2</v>
      </c>
      <c r="Q103" s="140">
        <f t="shared" si="94"/>
        <v>1.9795632031640312E-2</v>
      </c>
      <c r="R103" s="140">
        <f t="shared" ref="R103:V103" si="95">IF(R11=0,0,R11/R$4)</f>
        <v>1.8014886005702037E-2</v>
      </c>
      <c r="S103" s="140">
        <f t="shared" si="95"/>
        <v>1.8492329937436904E-2</v>
      </c>
      <c r="T103" s="140">
        <f t="shared" si="95"/>
        <v>1.8325478369760052E-2</v>
      </c>
      <c r="U103" s="140">
        <f t="shared" si="95"/>
        <v>1.8648003927727173E-2</v>
      </c>
      <c r="V103" s="140">
        <f t="shared" si="95"/>
        <v>1.6792668874707987E-2</v>
      </c>
      <c r="W103" s="140">
        <f t="shared" ref="W103" si="96">IF(W11=0,0,W11/W$4)</f>
        <v>2.4035638586447385E-2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3.7065533071439509E-3</v>
      </c>
      <c r="C104" s="140">
        <f t="shared" si="97"/>
        <v>3.9529833051679588E-3</v>
      </c>
      <c r="D104" s="140">
        <f t="shared" si="97"/>
        <v>4.1334575915306865E-3</v>
      </c>
      <c r="E104" s="140">
        <f t="shared" si="97"/>
        <v>3.7565466059479953E-3</v>
      </c>
      <c r="F104" s="140">
        <f t="shared" si="97"/>
        <v>3.7008898092968619E-3</v>
      </c>
      <c r="G104" s="140">
        <f t="shared" si="97"/>
        <v>3.9664328749606263E-3</v>
      </c>
      <c r="H104" s="140">
        <f t="shared" si="97"/>
        <v>4.5513584425389527E-3</v>
      </c>
      <c r="I104" s="140">
        <f t="shared" si="97"/>
        <v>4.1848015870991342E-3</v>
      </c>
      <c r="J104" s="140">
        <f t="shared" si="97"/>
        <v>8.7702889885476719E-3</v>
      </c>
      <c r="K104" s="140">
        <f t="shared" si="97"/>
        <v>1.8700898647346292E-2</v>
      </c>
      <c r="L104" s="140">
        <f t="shared" si="97"/>
        <v>1.9239764881031133E-2</v>
      </c>
      <c r="M104" s="140">
        <f t="shared" si="97"/>
        <v>1.8091776085543708E-2</v>
      </c>
      <c r="N104" s="140">
        <f t="shared" si="97"/>
        <v>1.8591828122652993E-2</v>
      </c>
      <c r="O104" s="140">
        <f t="shared" si="97"/>
        <v>2.1362593729971003E-2</v>
      </c>
      <c r="P104" s="140">
        <f t="shared" si="97"/>
        <v>2.1948272275089047E-2</v>
      </c>
      <c r="Q104" s="140">
        <f t="shared" si="97"/>
        <v>2.3282484389831513E-2</v>
      </c>
      <c r="R104" s="140">
        <f t="shared" ref="R104:V104" si="98">IF(R12=0,0,R12/R$4)</f>
        <v>2.3364381355760171E-2</v>
      </c>
      <c r="S104" s="140">
        <f t="shared" si="98"/>
        <v>2.3995558385752295E-2</v>
      </c>
      <c r="T104" s="140">
        <f t="shared" si="98"/>
        <v>2.4037470651598395E-2</v>
      </c>
      <c r="U104" s="140">
        <f t="shared" si="98"/>
        <v>2.3457425729688747E-2</v>
      </c>
      <c r="V104" s="140">
        <f t="shared" si="98"/>
        <v>1.4600849437023267E-2</v>
      </c>
      <c r="W104" s="140">
        <f t="shared" ref="W104" si="99">IF(W12=0,0,W12/W$4)</f>
        <v>1.4400584819005817E-2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0.25779746679519655</v>
      </c>
      <c r="C105" s="124">
        <f t="shared" si="100"/>
        <v>0.2442188735689852</v>
      </c>
      <c r="D105" s="124">
        <f t="shared" si="100"/>
        <v>0.23768287088270676</v>
      </c>
      <c r="E105" s="124">
        <f t="shared" si="100"/>
        <v>0.24052415446820338</v>
      </c>
      <c r="F105" s="124">
        <f t="shared" si="100"/>
        <v>0.25217666095607949</v>
      </c>
      <c r="G105" s="124">
        <f t="shared" si="100"/>
        <v>0.26287866285222139</v>
      </c>
      <c r="H105" s="124">
        <f t="shared" si="100"/>
        <v>0.27082059262590819</v>
      </c>
      <c r="I105" s="124">
        <f t="shared" si="100"/>
        <v>0.27962544215840796</v>
      </c>
      <c r="J105" s="124">
        <f t="shared" si="100"/>
        <v>0.28115150639564024</v>
      </c>
      <c r="K105" s="124">
        <f t="shared" si="100"/>
        <v>0.26373322370409419</v>
      </c>
      <c r="L105" s="124">
        <f t="shared" si="100"/>
        <v>0.27921790151619669</v>
      </c>
      <c r="M105" s="124">
        <f t="shared" si="100"/>
        <v>0.29866877379932411</v>
      </c>
      <c r="N105" s="124">
        <f t="shared" si="100"/>
        <v>0.30179715546965219</v>
      </c>
      <c r="O105" s="124">
        <f t="shared" si="100"/>
        <v>0.30379354996184471</v>
      </c>
      <c r="P105" s="124">
        <f t="shared" si="100"/>
        <v>0.32008525712070929</v>
      </c>
      <c r="Q105" s="124">
        <f t="shared" si="100"/>
        <v>0.31704833971691532</v>
      </c>
      <c r="R105" s="124">
        <f t="shared" ref="R105:V105" si="101">IF(R13=0,0,R13/R$4)</f>
        <v>0.33388331223736578</v>
      </c>
      <c r="S105" s="124">
        <f t="shared" si="101"/>
        <v>0.35904215151004654</v>
      </c>
      <c r="T105" s="124">
        <f t="shared" si="101"/>
        <v>0.36527587224321606</v>
      </c>
      <c r="U105" s="124">
        <f t="shared" si="101"/>
        <v>0.37373150773819924</v>
      </c>
      <c r="V105" s="124">
        <f t="shared" si="101"/>
        <v>0.17568879258507006</v>
      </c>
      <c r="W105" s="124">
        <f t="shared" ref="W105" si="102">IF(W13=0,0,W13/W$4)</f>
        <v>0.22242437824983002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4.7416384602550911E-2</v>
      </c>
      <c r="C106" s="140">
        <f t="shared" si="103"/>
        <v>4.3615782572380031E-2</v>
      </c>
      <c r="D106" s="140">
        <f t="shared" si="103"/>
        <v>4.2872097037877768E-2</v>
      </c>
      <c r="E106" s="140">
        <f t="shared" si="103"/>
        <v>4.5283845238637294E-2</v>
      </c>
      <c r="F106" s="140">
        <f t="shared" si="103"/>
        <v>4.8235403711265612E-2</v>
      </c>
      <c r="G106" s="140">
        <f t="shared" si="103"/>
        <v>5.2103584088009386E-2</v>
      </c>
      <c r="H106" s="140">
        <f t="shared" si="103"/>
        <v>5.4667221298560505E-2</v>
      </c>
      <c r="I106" s="140">
        <f t="shared" si="103"/>
        <v>5.6630228602952262E-2</v>
      </c>
      <c r="J106" s="140">
        <f t="shared" si="103"/>
        <v>5.1294279917439366E-2</v>
      </c>
      <c r="K106" s="140">
        <f t="shared" si="103"/>
        <v>4.7408095034052869E-2</v>
      </c>
      <c r="L106" s="140">
        <f t="shared" si="103"/>
        <v>4.9237557260183869E-2</v>
      </c>
      <c r="M106" s="140">
        <f t="shared" si="103"/>
        <v>4.8602475445540451E-2</v>
      </c>
      <c r="N106" s="140">
        <f t="shared" si="103"/>
        <v>4.3731489921480002E-2</v>
      </c>
      <c r="O106" s="140">
        <f t="shared" si="103"/>
        <v>3.8218426729056017E-2</v>
      </c>
      <c r="P106" s="140">
        <f t="shared" si="103"/>
        <v>3.9342627763554003E-2</v>
      </c>
      <c r="Q106" s="140">
        <f t="shared" si="103"/>
        <v>4.0163877777193789E-2</v>
      </c>
      <c r="R106" s="140">
        <f t="shared" ref="R106:V106" si="104">IF(R14=0,0,R14/R$4)</f>
        <v>4.1445753741267327E-2</v>
      </c>
      <c r="S106" s="140">
        <f t="shared" si="104"/>
        <v>4.4332600738327912E-2</v>
      </c>
      <c r="T106" s="140">
        <f t="shared" si="104"/>
        <v>4.7447506923720885E-2</v>
      </c>
      <c r="U106" s="140">
        <f t="shared" si="104"/>
        <v>4.9336177817547518E-2</v>
      </c>
      <c r="V106" s="140">
        <f t="shared" si="104"/>
        <v>3.3081890403206013E-2</v>
      </c>
      <c r="W106" s="140">
        <f t="shared" ref="W106" si="105">IF(W14=0,0,W14/W$4)</f>
        <v>4.8047162322416299E-2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0.15408427233153243</v>
      </c>
      <c r="C107" s="140">
        <f t="shared" si="106"/>
        <v>0.15519454162199181</v>
      </c>
      <c r="D107" s="140">
        <f t="shared" si="106"/>
        <v>0.15109162759892633</v>
      </c>
      <c r="E107" s="140">
        <f t="shared" si="106"/>
        <v>0.15278597241889597</v>
      </c>
      <c r="F107" s="140">
        <f t="shared" si="106"/>
        <v>0.15466214292417779</v>
      </c>
      <c r="G107" s="140">
        <f t="shared" si="106"/>
        <v>0.15601433901136091</v>
      </c>
      <c r="H107" s="140">
        <f t="shared" si="106"/>
        <v>0.15392663493875125</v>
      </c>
      <c r="I107" s="140">
        <f t="shared" si="106"/>
        <v>0.15458115193899535</v>
      </c>
      <c r="J107" s="140">
        <f t="shared" si="106"/>
        <v>0.15303823176521705</v>
      </c>
      <c r="K107" s="140">
        <f t="shared" si="106"/>
        <v>0.14116991902296278</v>
      </c>
      <c r="L107" s="140">
        <f t="shared" si="106"/>
        <v>0.14767553493825747</v>
      </c>
      <c r="M107" s="140">
        <f t="shared" si="106"/>
        <v>0.16250377189273085</v>
      </c>
      <c r="N107" s="140">
        <f t="shared" si="106"/>
        <v>0.16707868933186301</v>
      </c>
      <c r="O107" s="140">
        <f t="shared" si="106"/>
        <v>0.17330196046312635</v>
      </c>
      <c r="P107" s="140">
        <f t="shared" si="106"/>
        <v>0.18740059699494521</v>
      </c>
      <c r="Q107" s="140">
        <f t="shared" si="106"/>
        <v>0.18505210084866347</v>
      </c>
      <c r="R107" s="140">
        <f t="shared" ref="R107:V107" si="107">IF(R15=0,0,R15/R$4)</f>
        <v>0.19944455351795962</v>
      </c>
      <c r="S107" s="140">
        <f t="shared" si="107"/>
        <v>0.21384577944656752</v>
      </c>
      <c r="T107" s="140">
        <f t="shared" si="107"/>
        <v>0.20917789029216188</v>
      </c>
      <c r="U107" s="140">
        <f t="shared" si="107"/>
        <v>0.20535522934406586</v>
      </c>
      <c r="V107" s="140">
        <f t="shared" si="107"/>
        <v>9.0471790179608436E-2</v>
      </c>
      <c r="W107" s="140">
        <f t="shared" ref="W107" si="108">IF(W15=0,0,W15/W$4)</f>
        <v>0.11780970574302196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5.6296809861113163E-2</v>
      </c>
      <c r="C108" s="140">
        <f t="shared" si="109"/>
        <v>4.5408549374613361E-2</v>
      </c>
      <c r="D108" s="140">
        <f t="shared" si="109"/>
        <v>4.3719146245902653E-2</v>
      </c>
      <c r="E108" s="140">
        <f t="shared" si="109"/>
        <v>4.2454336810670124E-2</v>
      </c>
      <c r="F108" s="140">
        <f t="shared" si="109"/>
        <v>4.9279114320636148E-2</v>
      </c>
      <c r="G108" s="140">
        <f t="shared" si="109"/>
        <v>5.4760739752851124E-2</v>
      </c>
      <c r="H108" s="140">
        <f t="shared" si="109"/>
        <v>6.2226736388596458E-2</v>
      </c>
      <c r="I108" s="140">
        <f t="shared" si="109"/>
        <v>6.8414061616460339E-2</v>
      </c>
      <c r="J108" s="140">
        <f t="shared" si="109"/>
        <v>7.6818994712983799E-2</v>
      </c>
      <c r="K108" s="140">
        <f t="shared" si="109"/>
        <v>7.5155209647078558E-2</v>
      </c>
      <c r="L108" s="140">
        <f t="shared" si="109"/>
        <v>8.2304809317755329E-2</v>
      </c>
      <c r="M108" s="140">
        <f t="shared" si="109"/>
        <v>8.7562526461052781E-2</v>
      </c>
      <c r="N108" s="140">
        <f t="shared" si="109"/>
        <v>9.0986976216309218E-2</v>
      </c>
      <c r="O108" s="140">
        <f t="shared" si="109"/>
        <v>9.2273162769662354E-2</v>
      </c>
      <c r="P108" s="140">
        <f t="shared" si="109"/>
        <v>9.3342032362210073E-2</v>
      </c>
      <c r="Q108" s="140">
        <f t="shared" si="109"/>
        <v>9.1832361091058065E-2</v>
      </c>
      <c r="R108" s="140">
        <f t="shared" ref="R108:V108" si="110">IF(R16=0,0,R16/R$4)</f>
        <v>9.2993004978138824E-2</v>
      </c>
      <c r="S108" s="140">
        <f t="shared" si="110"/>
        <v>0.10086377132515109</v>
      </c>
      <c r="T108" s="140">
        <f t="shared" si="110"/>
        <v>0.1086504750273333</v>
      </c>
      <c r="U108" s="140">
        <f t="shared" si="110"/>
        <v>0.11904010057658582</v>
      </c>
      <c r="V108" s="140">
        <f t="shared" si="110"/>
        <v>5.2135112002255637E-2</v>
      </c>
      <c r="W108" s="140">
        <f t="shared" ref="W108" si="111">IF(W16=0,0,W16/W$4)</f>
        <v>5.6567510184391795E-2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0.85474882843311473</v>
      </c>
      <c r="C110" s="139">
        <f t="shared" si="115"/>
        <v>0.86260177761998802</v>
      </c>
      <c r="D110" s="139">
        <f t="shared" si="115"/>
        <v>0.88300751558375989</v>
      </c>
      <c r="E110" s="139">
        <f t="shared" si="115"/>
        <v>0.8915375003399898</v>
      </c>
      <c r="F110" s="139">
        <f t="shared" si="115"/>
        <v>0.90143643749847513</v>
      </c>
      <c r="G110" s="139">
        <f t="shared" si="115"/>
        <v>0.90649251885599902</v>
      </c>
      <c r="H110" s="139">
        <f t="shared" si="115"/>
        <v>0.90801517164943069</v>
      </c>
      <c r="I110" s="139">
        <f t="shared" si="115"/>
        <v>0.91800422873420273</v>
      </c>
      <c r="J110" s="139">
        <f t="shared" si="115"/>
        <v>0.91463640696712234</v>
      </c>
      <c r="K110" s="139">
        <f t="shared" si="115"/>
        <v>0.92264430433021416</v>
      </c>
      <c r="L110" s="139">
        <f t="shared" si="115"/>
        <v>0.91253492315745544</v>
      </c>
      <c r="M110" s="139">
        <f t="shared" si="115"/>
        <v>0.90688447923255811</v>
      </c>
      <c r="N110" s="139">
        <f t="shared" si="115"/>
        <v>0.90830277187160002</v>
      </c>
      <c r="O110" s="139">
        <f t="shared" si="115"/>
        <v>0.90687788871564301</v>
      </c>
      <c r="P110" s="139">
        <f t="shared" si="115"/>
        <v>0.90000692713323582</v>
      </c>
      <c r="Q110" s="139">
        <f t="shared" si="115"/>
        <v>0.89639330292474395</v>
      </c>
      <c r="R110" s="139">
        <f t="shared" ref="R110:V110" si="116">IF(R18=0,0,R18/R$17)</f>
        <v>0.90002855613227684</v>
      </c>
      <c r="S110" s="139">
        <f t="shared" si="116"/>
        <v>0.90722619911842062</v>
      </c>
      <c r="T110" s="139">
        <f t="shared" si="116"/>
        <v>0.90337058352293098</v>
      </c>
      <c r="U110" s="139">
        <f t="shared" si="116"/>
        <v>0.9054557126539734</v>
      </c>
      <c r="V110" s="139">
        <f t="shared" si="116"/>
        <v>0.91870315652235779</v>
      </c>
      <c r="W110" s="139">
        <f t="shared" ref="W110" si="117">IF(W18=0,0,W18/W$17)</f>
        <v>0.92092749185518563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4.6216147098928378E-2</v>
      </c>
      <c r="C111" s="140">
        <f t="shared" si="118"/>
        <v>5.1923789219099153E-2</v>
      </c>
      <c r="D111" s="140">
        <f t="shared" si="118"/>
        <v>4.4862953422288465E-2</v>
      </c>
      <c r="E111" s="140">
        <f t="shared" si="118"/>
        <v>4.6433297307949824E-2</v>
      </c>
      <c r="F111" s="140">
        <f t="shared" si="118"/>
        <v>4.4399008657809387E-2</v>
      </c>
      <c r="G111" s="140">
        <f t="shared" si="118"/>
        <v>4.0289328747158057E-2</v>
      </c>
      <c r="H111" s="140">
        <f t="shared" si="118"/>
        <v>4.0920575280896147E-2</v>
      </c>
      <c r="I111" s="140">
        <f t="shared" si="118"/>
        <v>4.4882483743795894E-2</v>
      </c>
      <c r="J111" s="140">
        <f t="shared" si="118"/>
        <v>4.5071860299775356E-2</v>
      </c>
      <c r="K111" s="140">
        <f t="shared" si="118"/>
        <v>4.5778315734020116E-2</v>
      </c>
      <c r="L111" s="140">
        <f t="shared" si="118"/>
        <v>4.6196866173008957E-2</v>
      </c>
      <c r="M111" s="140">
        <f t="shared" si="118"/>
        <v>4.6046295007159135E-2</v>
      </c>
      <c r="N111" s="140">
        <f t="shared" si="118"/>
        <v>4.514628885939484E-2</v>
      </c>
      <c r="O111" s="140">
        <f t="shared" si="118"/>
        <v>4.5784001576284566E-2</v>
      </c>
      <c r="P111" s="140">
        <f t="shared" si="118"/>
        <v>4.4784450118773772E-2</v>
      </c>
      <c r="Q111" s="140">
        <f t="shared" si="118"/>
        <v>4.4086344459370562E-2</v>
      </c>
      <c r="R111" s="140">
        <f t="shared" ref="R111:V111" si="119">IF(R19=0,0,R19/R$17)</f>
        <v>4.0985419479703668E-2</v>
      </c>
      <c r="S111" s="140">
        <f t="shared" si="119"/>
        <v>4.1581826282015615E-2</v>
      </c>
      <c r="T111" s="140">
        <f t="shared" si="119"/>
        <v>4.1211649714229699E-2</v>
      </c>
      <c r="U111" s="140">
        <f t="shared" si="119"/>
        <v>3.9985242236658336E-2</v>
      </c>
      <c r="V111" s="140">
        <f t="shared" si="119"/>
        <v>2.8653748995467337E-2</v>
      </c>
      <c r="W111" s="140">
        <f t="shared" ref="W111" si="120">IF(W19=0,0,W19/W$17)</f>
        <v>3.6625191897042317E-2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0.80853268133418643</v>
      </c>
      <c r="C112" s="140">
        <f t="shared" si="121"/>
        <v>0.810677988400889</v>
      </c>
      <c r="D112" s="140">
        <f t="shared" si="121"/>
        <v>0.83814456216147148</v>
      </c>
      <c r="E112" s="140">
        <f t="shared" si="121"/>
        <v>0.84510420303203992</v>
      </c>
      <c r="F112" s="140">
        <f t="shared" si="121"/>
        <v>0.85703742884066569</v>
      </c>
      <c r="G112" s="140">
        <f t="shared" si="121"/>
        <v>0.86620319010884095</v>
      </c>
      <c r="H112" s="140">
        <f t="shared" si="121"/>
        <v>0.86709459636853448</v>
      </c>
      <c r="I112" s="140">
        <f t="shared" si="121"/>
        <v>0.87312174499040685</v>
      </c>
      <c r="J112" s="140">
        <f t="shared" si="121"/>
        <v>0.86956454666734706</v>
      </c>
      <c r="K112" s="140">
        <f t="shared" si="121"/>
        <v>0.87686598859619402</v>
      </c>
      <c r="L112" s="140">
        <f t="shared" si="121"/>
        <v>0.86633805698444644</v>
      </c>
      <c r="M112" s="140">
        <f t="shared" si="121"/>
        <v>0.86083818422539893</v>
      </c>
      <c r="N112" s="140">
        <f t="shared" si="121"/>
        <v>0.86315648301220516</v>
      </c>
      <c r="O112" s="140">
        <f t="shared" si="121"/>
        <v>0.86109388713935842</v>
      </c>
      <c r="P112" s="140">
        <f t="shared" si="121"/>
        <v>0.85522247701446208</v>
      </c>
      <c r="Q112" s="140">
        <f t="shared" si="121"/>
        <v>0.8523069584653733</v>
      </c>
      <c r="R112" s="140">
        <f t="shared" ref="R112:V112" si="122">IF(R20=0,0,R20/R$17)</f>
        <v>0.85904313665257326</v>
      </c>
      <c r="S112" s="140">
        <f t="shared" si="122"/>
        <v>0.86564437283640505</v>
      </c>
      <c r="T112" s="140">
        <f t="shared" si="122"/>
        <v>0.86215893380870123</v>
      </c>
      <c r="U112" s="140">
        <f t="shared" si="122"/>
        <v>0.86547047041731506</v>
      </c>
      <c r="V112" s="140">
        <f t="shared" si="122"/>
        <v>0.89004940752689043</v>
      </c>
      <c r="W112" s="140">
        <f t="shared" ref="W112" si="123">IF(W20=0,0,W20/W$17)</f>
        <v>0.88430229995814325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7.082522039371357E-2</v>
      </c>
      <c r="C113" s="124">
        <f t="shared" si="124"/>
        <v>6.7362667608097074E-2</v>
      </c>
      <c r="D113" s="124">
        <f t="shared" si="124"/>
        <v>6.1903790190042648E-2</v>
      </c>
      <c r="E113" s="124">
        <f t="shared" si="124"/>
        <v>5.9830046650571019E-2</v>
      </c>
      <c r="F113" s="124">
        <f t="shared" si="124"/>
        <v>5.3873780939693236E-2</v>
      </c>
      <c r="G113" s="124">
        <f t="shared" si="124"/>
        <v>4.7621996108201101E-2</v>
      </c>
      <c r="H113" s="124">
        <f t="shared" si="124"/>
        <v>4.5460275438443831E-2</v>
      </c>
      <c r="I113" s="124">
        <f t="shared" si="124"/>
        <v>4.1351319649620168E-2</v>
      </c>
      <c r="J113" s="124">
        <f t="shared" si="124"/>
        <v>4.3898408466640733E-2</v>
      </c>
      <c r="K113" s="124">
        <f t="shared" si="124"/>
        <v>3.6132833364165153E-2</v>
      </c>
      <c r="L113" s="124">
        <f t="shared" si="124"/>
        <v>4.1874233434239495E-2</v>
      </c>
      <c r="M113" s="124">
        <f t="shared" si="124"/>
        <v>4.5231818275825848E-2</v>
      </c>
      <c r="N113" s="124">
        <f t="shared" si="124"/>
        <v>4.8087145085248154E-2</v>
      </c>
      <c r="O113" s="124">
        <f t="shared" si="124"/>
        <v>4.840540571026284E-2</v>
      </c>
      <c r="P113" s="124">
        <f t="shared" si="124"/>
        <v>5.3147078998303614E-2</v>
      </c>
      <c r="Q113" s="124">
        <f t="shared" si="124"/>
        <v>5.2806184282814604E-2</v>
      </c>
      <c r="R113" s="124">
        <f t="shared" ref="R113:V113" si="125">IF(R21=0,0,R21/R$17)</f>
        <v>4.8542449387242725E-2</v>
      </c>
      <c r="S113" s="124">
        <f t="shared" si="125"/>
        <v>4.6129452771996635E-2</v>
      </c>
      <c r="T113" s="124">
        <f t="shared" si="125"/>
        <v>4.5093323143190166E-2</v>
      </c>
      <c r="U113" s="124">
        <f t="shared" si="125"/>
        <v>4.3577672072445145E-2</v>
      </c>
      <c r="V113" s="124">
        <f t="shared" si="125"/>
        <v>3.827006943808893E-2</v>
      </c>
      <c r="W113" s="124">
        <f t="shared" ref="W113" si="126">IF(W21=0,0,W21/W$17)</f>
        <v>3.941125804250744E-2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5.4875702820921489E-3</v>
      </c>
      <c r="C114" s="124">
        <f t="shared" si="127"/>
        <v>5.1664757736819243E-3</v>
      </c>
      <c r="D114" s="124">
        <f t="shared" si="127"/>
        <v>4.3118917109977849E-3</v>
      </c>
      <c r="E114" s="124">
        <f t="shared" si="127"/>
        <v>3.8448929818130223E-3</v>
      </c>
      <c r="F114" s="124">
        <f t="shared" si="127"/>
        <v>4.1446192225015879E-3</v>
      </c>
      <c r="G114" s="124">
        <f t="shared" si="127"/>
        <v>3.6732736936103184E-3</v>
      </c>
      <c r="H114" s="124">
        <f t="shared" si="127"/>
        <v>3.5942455951122137E-3</v>
      </c>
      <c r="I114" s="124">
        <f t="shared" si="127"/>
        <v>3.719228258479501E-3</v>
      </c>
      <c r="J114" s="124">
        <f t="shared" si="127"/>
        <v>4.2632700428237068E-3</v>
      </c>
      <c r="K114" s="124">
        <f t="shared" si="127"/>
        <v>4.7234838894945072E-3</v>
      </c>
      <c r="L114" s="124">
        <f t="shared" si="127"/>
        <v>6.1434550626242616E-3</v>
      </c>
      <c r="M114" s="124">
        <f t="shared" si="127"/>
        <v>6.5901345442877313E-3</v>
      </c>
      <c r="N114" s="124">
        <f t="shared" si="127"/>
        <v>6.9047147321411768E-3</v>
      </c>
      <c r="O114" s="124">
        <f t="shared" si="127"/>
        <v>7.0685641151258744E-3</v>
      </c>
      <c r="P114" s="124">
        <f t="shared" si="127"/>
        <v>7.4984247107141256E-3</v>
      </c>
      <c r="Q114" s="124">
        <f t="shared" si="127"/>
        <v>7.5277170267604348E-3</v>
      </c>
      <c r="R114" s="124">
        <f t="shared" ref="R114:V114" si="128">IF(R22=0,0,R22/R$17)</f>
        <v>7.7586150034241472E-3</v>
      </c>
      <c r="S114" s="124">
        <f t="shared" si="128"/>
        <v>9.3879998713358118E-3</v>
      </c>
      <c r="T114" s="124">
        <f t="shared" si="128"/>
        <v>1.0460758881455734E-2</v>
      </c>
      <c r="U114" s="124">
        <f t="shared" si="128"/>
        <v>1.0106143293353959E-2</v>
      </c>
      <c r="V114" s="124">
        <f t="shared" si="128"/>
        <v>7.284665786909607E-3</v>
      </c>
      <c r="W114" s="124">
        <f t="shared" ref="W114" si="129">IF(W22=0,0,W22/W$17)</f>
        <v>7.4637293905797106E-3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5.919061537826522E-4</v>
      </c>
      <c r="C115" s="140">
        <f t="shared" si="130"/>
        <v>5.2529785397888607E-4</v>
      </c>
      <c r="D115" s="140">
        <f t="shared" si="130"/>
        <v>4.6748832877589622E-4</v>
      </c>
      <c r="E115" s="140">
        <f t="shared" si="130"/>
        <v>4.0025398186670338E-4</v>
      </c>
      <c r="F115" s="140">
        <f t="shared" si="130"/>
        <v>4.5860511994949061E-4</v>
      </c>
      <c r="G115" s="140">
        <f t="shared" si="130"/>
        <v>4.2074955662293014E-4</v>
      </c>
      <c r="H115" s="140">
        <f t="shared" si="130"/>
        <v>3.9454117425226002E-4</v>
      </c>
      <c r="I115" s="140">
        <f t="shared" si="130"/>
        <v>3.5748133018766344E-4</v>
      </c>
      <c r="J115" s="140">
        <f t="shared" si="130"/>
        <v>3.6369731705379279E-4</v>
      </c>
      <c r="K115" s="140">
        <f t="shared" si="130"/>
        <v>3.3588298799170957E-4</v>
      </c>
      <c r="L115" s="140">
        <f t="shared" si="130"/>
        <v>3.3852967380561239E-4</v>
      </c>
      <c r="M115" s="140">
        <f t="shared" si="130"/>
        <v>3.1842308410351107E-4</v>
      </c>
      <c r="N115" s="140">
        <f t="shared" si="130"/>
        <v>2.8565957251262505E-4</v>
      </c>
      <c r="O115" s="140">
        <f t="shared" si="130"/>
        <v>2.7549618119033462E-4</v>
      </c>
      <c r="P115" s="140">
        <f t="shared" si="130"/>
        <v>2.7770760791996695E-4</v>
      </c>
      <c r="Q115" s="140">
        <f t="shared" si="130"/>
        <v>2.4814814423771201E-4</v>
      </c>
      <c r="R115" s="140">
        <f t="shared" ref="R115:V116" si="131">IF(R23=0,0,R23/R$17)</f>
        <v>2.5054293238167065E-4</v>
      </c>
      <c r="S115" s="140">
        <f t="shared" si="131"/>
        <v>2.4209176962489127E-4</v>
      </c>
      <c r="T115" s="140">
        <f t="shared" si="131"/>
        <v>2.3116827053765168E-4</v>
      </c>
      <c r="U115" s="140">
        <f t="shared" si="131"/>
        <v>2.1572797747094937E-4</v>
      </c>
      <c r="V115" s="140">
        <f t="shared" si="131"/>
        <v>1.7120189585464638E-4</v>
      </c>
      <c r="W115" s="140">
        <f t="shared" ref="W115" si="132">IF(W23=0,0,W23/W$17)</f>
        <v>1.7908165287278238E-4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9.6489900229824489E-4</v>
      </c>
      <c r="C116" s="140">
        <f t="shared" si="133"/>
        <v>8.8913177671521887E-4</v>
      </c>
      <c r="D116" s="140">
        <f t="shared" si="133"/>
        <v>7.5942018309128792E-4</v>
      </c>
      <c r="E116" s="140">
        <f t="shared" si="133"/>
        <v>7.0690089033063387E-4</v>
      </c>
      <c r="F116" s="140">
        <f t="shared" si="133"/>
        <v>7.1331816278620195E-4</v>
      </c>
      <c r="G116" s="140">
        <f t="shared" si="133"/>
        <v>6.2929131129877433E-4</v>
      </c>
      <c r="H116" s="140">
        <f t="shared" si="133"/>
        <v>5.1707341241303076E-4</v>
      </c>
      <c r="I116" s="140">
        <f t="shared" si="133"/>
        <v>4.1196256621480273E-4</v>
      </c>
      <c r="J116" s="140">
        <f t="shared" si="133"/>
        <v>4.4716893596716397E-4</v>
      </c>
      <c r="K116" s="140">
        <f t="shared" si="133"/>
        <v>4.834989510815886E-4</v>
      </c>
      <c r="L116" s="140">
        <f t="shared" si="133"/>
        <v>5.4683957458821666E-4</v>
      </c>
      <c r="M116" s="140">
        <f t="shared" si="133"/>
        <v>5.6255220367360133E-4</v>
      </c>
      <c r="N116" s="140">
        <f t="shared" si="133"/>
        <v>5.6368725476157663E-4</v>
      </c>
      <c r="O116" s="140">
        <f t="shared" si="133"/>
        <v>5.7898958062182907E-4</v>
      </c>
      <c r="P116" s="140">
        <f t="shared" si="133"/>
        <v>6.0771102079288459E-4</v>
      </c>
      <c r="Q116" s="140">
        <f t="shared" si="133"/>
        <v>6.0070716867101934E-4</v>
      </c>
      <c r="R116" s="140">
        <f t="shared" si="131"/>
        <v>5.8420901981186594E-4</v>
      </c>
      <c r="S116" s="140">
        <f t="shared" si="131"/>
        <v>6.0724390743937162E-4</v>
      </c>
      <c r="T116" s="140">
        <f t="shared" si="131"/>
        <v>5.9912871724618095E-4</v>
      </c>
      <c r="U116" s="140">
        <f t="shared" si="131"/>
        <v>6.5057511710387176E-4</v>
      </c>
      <c r="V116" s="140">
        <f t="shared" si="131"/>
        <v>6.1617848727548255E-4</v>
      </c>
      <c r="W116" s="140">
        <f t="shared" ref="W116" si="134">IF(W24=0,0,W24/W$17)</f>
        <v>5.8513424089159721E-4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3.930765126011251E-3</v>
      </c>
      <c r="C117" s="140">
        <f t="shared" si="135"/>
        <v>3.7520461429878197E-3</v>
      </c>
      <c r="D117" s="140">
        <f t="shared" si="135"/>
        <v>3.0849831991306012E-3</v>
      </c>
      <c r="E117" s="140">
        <f t="shared" si="135"/>
        <v>2.737738109615685E-3</v>
      </c>
      <c r="F117" s="140">
        <f t="shared" si="135"/>
        <v>2.9726959397658958E-3</v>
      </c>
      <c r="G117" s="140">
        <f t="shared" si="135"/>
        <v>2.6232328256886139E-3</v>
      </c>
      <c r="H117" s="140">
        <f t="shared" si="135"/>
        <v>2.6826310084469228E-3</v>
      </c>
      <c r="I117" s="140">
        <f t="shared" si="135"/>
        <v>2.949784362077035E-3</v>
      </c>
      <c r="J117" s="140">
        <f t="shared" si="135"/>
        <v>3.4524037898027498E-3</v>
      </c>
      <c r="K117" s="140">
        <f t="shared" si="135"/>
        <v>3.9041019504212088E-3</v>
      </c>
      <c r="L117" s="140">
        <f t="shared" si="135"/>
        <v>5.2580858142304331E-3</v>
      </c>
      <c r="M117" s="140">
        <f t="shared" si="135"/>
        <v>5.7091592565106184E-3</v>
      </c>
      <c r="N117" s="140">
        <f t="shared" si="135"/>
        <v>6.0553679048669746E-3</v>
      </c>
      <c r="O117" s="140">
        <f t="shared" si="135"/>
        <v>6.2140783533137112E-3</v>
      </c>
      <c r="P117" s="140">
        <f t="shared" si="135"/>
        <v>6.6130060820012741E-3</v>
      </c>
      <c r="Q117" s="140">
        <f t="shared" si="135"/>
        <v>6.6788617138517029E-3</v>
      </c>
      <c r="R117" s="140">
        <f t="shared" ref="R117:V117" si="136">IF(R25=0,0,R25/R$17)</f>
        <v>6.9238630512306098E-3</v>
      </c>
      <c r="S117" s="140">
        <f t="shared" si="136"/>
        <v>8.5386641942715499E-3</v>
      </c>
      <c r="T117" s="140">
        <f t="shared" si="136"/>
        <v>9.6304618936719003E-3</v>
      </c>
      <c r="U117" s="140">
        <f t="shared" si="136"/>
        <v>9.2398401987791364E-3</v>
      </c>
      <c r="V117" s="140">
        <f t="shared" si="136"/>
        <v>6.4972854037794779E-3</v>
      </c>
      <c r="W117" s="140">
        <f t="shared" ref="W117" si="137">IF(W25=0,0,W25/W$17)</f>
        <v>6.6995134968153318E-3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6.8938380891079454E-2</v>
      </c>
      <c r="C118" s="124">
        <f t="shared" si="138"/>
        <v>6.4869078998232924E-2</v>
      </c>
      <c r="D118" s="124">
        <f t="shared" si="138"/>
        <v>5.0776802515199726E-2</v>
      </c>
      <c r="E118" s="124">
        <f t="shared" si="138"/>
        <v>4.4787560027626142E-2</v>
      </c>
      <c r="F118" s="124">
        <f t="shared" si="138"/>
        <v>4.0545162339330115E-2</v>
      </c>
      <c r="G118" s="124">
        <f t="shared" si="138"/>
        <v>4.2212211342189471E-2</v>
      </c>
      <c r="H118" s="124">
        <f t="shared" si="138"/>
        <v>4.2930307317013278E-2</v>
      </c>
      <c r="I118" s="124">
        <f t="shared" si="138"/>
        <v>3.6925223357697559E-2</v>
      </c>
      <c r="J118" s="124">
        <f t="shared" si="138"/>
        <v>3.7201914523413149E-2</v>
      </c>
      <c r="K118" s="124">
        <f t="shared" si="138"/>
        <v>3.649937841612623E-2</v>
      </c>
      <c r="L118" s="124">
        <f t="shared" si="138"/>
        <v>3.9447388345680769E-2</v>
      </c>
      <c r="M118" s="124">
        <f t="shared" si="138"/>
        <v>4.1293567947328358E-2</v>
      </c>
      <c r="N118" s="124">
        <f t="shared" si="138"/>
        <v>3.6705368311010664E-2</v>
      </c>
      <c r="O118" s="124">
        <f t="shared" si="138"/>
        <v>3.7648141458968255E-2</v>
      </c>
      <c r="P118" s="124">
        <f t="shared" si="138"/>
        <v>3.9347569157746481E-2</v>
      </c>
      <c r="Q118" s="124">
        <f t="shared" si="138"/>
        <v>4.3272795765681098E-2</v>
      </c>
      <c r="R118" s="124">
        <f t="shared" ref="R118:V118" si="139">IF(R26=0,0,R26/R$17)</f>
        <v>4.3670379477056251E-2</v>
      </c>
      <c r="S118" s="124">
        <f t="shared" si="139"/>
        <v>3.7256348238247E-2</v>
      </c>
      <c r="T118" s="124">
        <f t="shared" si="139"/>
        <v>4.1075334452423111E-2</v>
      </c>
      <c r="U118" s="124">
        <f t="shared" si="139"/>
        <v>4.0860471980227506E-2</v>
      </c>
      <c r="V118" s="124">
        <f t="shared" si="139"/>
        <v>3.5742108252643651E-2</v>
      </c>
      <c r="W118" s="124">
        <f t="shared" ref="W118" si="140">IF(W26=0,0,W26/W$17)</f>
        <v>3.2197520711727282E-2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6.8938380891079454E-2</v>
      </c>
      <c r="C119" s="140">
        <f t="shared" si="141"/>
        <v>6.4869078998232924E-2</v>
      </c>
      <c r="D119" s="140">
        <f t="shared" si="141"/>
        <v>5.0776802515199726E-2</v>
      </c>
      <c r="E119" s="140">
        <f t="shared" si="141"/>
        <v>4.4787560027626142E-2</v>
      </c>
      <c r="F119" s="140">
        <f t="shared" si="141"/>
        <v>4.0545162339330115E-2</v>
      </c>
      <c r="G119" s="140">
        <f t="shared" si="141"/>
        <v>4.2212211342189471E-2</v>
      </c>
      <c r="H119" s="140">
        <f t="shared" si="141"/>
        <v>4.2930307317013278E-2</v>
      </c>
      <c r="I119" s="140">
        <f t="shared" si="141"/>
        <v>3.6925223357697559E-2</v>
      </c>
      <c r="J119" s="140">
        <f t="shared" si="141"/>
        <v>3.7201914523413149E-2</v>
      </c>
      <c r="K119" s="140">
        <f t="shared" si="141"/>
        <v>3.649937841612623E-2</v>
      </c>
      <c r="L119" s="140">
        <f t="shared" si="141"/>
        <v>3.9447388345680769E-2</v>
      </c>
      <c r="M119" s="140">
        <f t="shared" si="141"/>
        <v>4.1293567947328358E-2</v>
      </c>
      <c r="N119" s="140">
        <f t="shared" si="141"/>
        <v>3.6705368311010664E-2</v>
      </c>
      <c r="O119" s="140">
        <f t="shared" si="141"/>
        <v>3.7648141458968255E-2</v>
      </c>
      <c r="P119" s="140">
        <f t="shared" si="141"/>
        <v>3.9347569157746481E-2</v>
      </c>
      <c r="Q119" s="140">
        <f t="shared" si="141"/>
        <v>4.3272795765681098E-2</v>
      </c>
      <c r="R119" s="140">
        <f t="shared" ref="R119:V119" si="142">IF(R27=0,0,R27/R$17)</f>
        <v>4.3670379477056251E-2</v>
      </c>
      <c r="S119" s="140">
        <f t="shared" si="142"/>
        <v>3.7256348238247E-2</v>
      </c>
      <c r="T119" s="140">
        <f t="shared" si="142"/>
        <v>4.1075334452423111E-2</v>
      </c>
      <c r="U119" s="140">
        <f t="shared" si="142"/>
        <v>4.0860471980227506E-2</v>
      </c>
      <c r="V119" s="140">
        <f t="shared" si="142"/>
        <v>3.5742108252643651E-2</v>
      </c>
      <c r="W119" s="140">
        <f t="shared" ref="W119" si="143">IF(W27=0,0,W27/W$17)</f>
        <v>3.2197520711727282E-2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0.13308138064695008</v>
      </c>
      <c r="C122" s="140">
        <f>IF(C30=0,0,C30/C$29)</f>
        <v>0.126907717304477</v>
      </c>
      <c r="D122" s="140">
        <f t="shared" ref="D122:W122" si="150">IF(D30=0,0,D30/D$29)</f>
        <v>0.12447879375619619</v>
      </c>
      <c r="E122" s="140">
        <f t="shared" si="150"/>
        <v>0.12397410053006515</v>
      </c>
      <c r="F122" s="140">
        <f t="shared" si="150"/>
        <v>0.12362098750131374</v>
      </c>
      <c r="G122" s="140">
        <f t="shared" si="150"/>
        <v>0.11806299228215995</v>
      </c>
      <c r="H122" s="140">
        <f t="shared" si="150"/>
        <v>0.10645084411034755</v>
      </c>
      <c r="I122" s="140">
        <f t="shared" si="150"/>
        <v>9.7517182286514723E-2</v>
      </c>
      <c r="J122" s="140">
        <f t="shared" si="150"/>
        <v>9.6333837067698977E-2</v>
      </c>
      <c r="K122" s="140">
        <f t="shared" si="150"/>
        <v>0.11015087718456069</v>
      </c>
      <c r="L122" s="140">
        <f t="shared" si="150"/>
        <v>0.10924991435070937</v>
      </c>
      <c r="M122" s="140">
        <f t="shared" si="150"/>
        <v>0.10030024030818487</v>
      </c>
      <c r="N122" s="140">
        <f t="shared" si="150"/>
        <v>9.5980556248263044E-2</v>
      </c>
      <c r="O122" s="140">
        <f t="shared" si="150"/>
        <v>0.10449905283730784</v>
      </c>
      <c r="P122" s="140">
        <f t="shared" si="150"/>
        <v>0.11148063522069246</v>
      </c>
      <c r="Q122" s="140">
        <f t="shared" si="150"/>
        <v>0.11282808798382492</v>
      </c>
      <c r="R122" s="140">
        <f t="shared" si="150"/>
        <v>0.11721963824184069</v>
      </c>
      <c r="S122" s="140">
        <f t="shared" si="150"/>
        <v>0.11153626141366874</v>
      </c>
      <c r="T122" s="140">
        <f t="shared" si="150"/>
        <v>0.11262052503520673</v>
      </c>
      <c r="U122" s="140">
        <f t="shared" si="150"/>
        <v>0.11385265436699327</v>
      </c>
      <c r="V122" s="140">
        <f t="shared" si="150"/>
        <v>0.12171727932533967</v>
      </c>
      <c r="W122" s="140">
        <f t="shared" si="150"/>
        <v>0.12394494424398617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0.86691861935305004</v>
      </c>
      <c r="C123" s="127">
        <f>IF(C31=0,0,C31/C$29)</f>
        <v>0.87309228269552297</v>
      </c>
      <c r="D123" s="127">
        <f t="shared" ref="D123:W123" si="152">IF(D31=0,0,D31/D$29)</f>
        <v>0.87552120624380381</v>
      </c>
      <c r="E123" s="127">
        <f t="shared" si="152"/>
        <v>0.87602589946993481</v>
      </c>
      <c r="F123" s="127">
        <f t="shared" si="152"/>
        <v>0.87637901249868633</v>
      </c>
      <c r="G123" s="127">
        <f t="shared" si="152"/>
        <v>0.88193700771784</v>
      </c>
      <c r="H123" s="127">
        <f t="shared" si="152"/>
        <v>0.89354915588965245</v>
      </c>
      <c r="I123" s="127">
        <f t="shared" si="152"/>
        <v>0.90248281771348537</v>
      </c>
      <c r="J123" s="127">
        <f t="shared" si="152"/>
        <v>0.90366616293230106</v>
      </c>
      <c r="K123" s="127">
        <f t="shared" si="152"/>
        <v>0.88984912281543926</v>
      </c>
      <c r="L123" s="127">
        <f t="shared" si="152"/>
        <v>0.8907500856492907</v>
      </c>
      <c r="M123" s="127">
        <f t="shared" si="152"/>
        <v>0.89969975969181515</v>
      </c>
      <c r="N123" s="127">
        <f t="shared" si="152"/>
        <v>0.90401944375173682</v>
      </c>
      <c r="O123" s="127">
        <f t="shared" si="152"/>
        <v>0.89550094716269213</v>
      </c>
      <c r="P123" s="127">
        <f t="shared" si="152"/>
        <v>0.88851936477930749</v>
      </c>
      <c r="Q123" s="127">
        <f t="shared" si="152"/>
        <v>0.88717191201617507</v>
      </c>
      <c r="R123" s="127">
        <f t="shared" si="152"/>
        <v>0.88278036175815922</v>
      </c>
      <c r="S123" s="127">
        <f t="shared" si="152"/>
        <v>0.88846373858633132</v>
      </c>
      <c r="T123" s="127">
        <f t="shared" si="152"/>
        <v>0.8873794749647933</v>
      </c>
      <c r="U123" s="127">
        <f t="shared" si="152"/>
        <v>0.88614734563300668</v>
      </c>
      <c r="V123" s="127">
        <f t="shared" si="152"/>
        <v>0.87828272067466029</v>
      </c>
      <c r="W123" s="127">
        <f t="shared" si="152"/>
        <v>0.87605505575601395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0.77512148120426938</v>
      </c>
      <c r="C127" s="139">
        <f t="shared" ref="C127:W127" si="155">IF(C35=0,0,C35/C$34)</f>
        <v>0.77687650244412254</v>
      </c>
      <c r="D127" s="139">
        <f t="shared" si="155"/>
        <v>0.78998103626092209</v>
      </c>
      <c r="E127" s="139">
        <f t="shared" si="155"/>
        <v>0.78673592532925851</v>
      </c>
      <c r="F127" s="139">
        <f t="shared" si="155"/>
        <v>0.77327148776309329</v>
      </c>
      <c r="G127" s="139">
        <f t="shared" si="155"/>
        <v>0.76851392015418407</v>
      </c>
      <c r="H127" s="139">
        <f t="shared" si="155"/>
        <v>0.7723464655378881</v>
      </c>
      <c r="I127" s="139">
        <f t="shared" si="155"/>
        <v>0.76679495300060752</v>
      </c>
      <c r="J127" s="139">
        <f t="shared" si="155"/>
        <v>0.76423707388414341</v>
      </c>
      <c r="K127" s="139">
        <f t="shared" si="155"/>
        <v>0.779094550945301</v>
      </c>
      <c r="L127" s="139">
        <f t="shared" si="155"/>
        <v>0.77179728740296238</v>
      </c>
      <c r="M127" s="139">
        <f t="shared" si="155"/>
        <v>0.75366325072345131</v>
      </c>
      <c r="N127" s="139">
        <f t="shared" si="155"/>
        <v>0.74901130915977143</v>
      </c>
      <c r="O127" s="139">
        <f t="shared" si="155"/>
        <v>0.76836154289644243</v>
      </c>
      <c r="P127" s="139">
        <f t="shared" si="155"/>
        <v>0.76519344765258968</v>
      </c>
      <c r="Q127" s="139">
        <f t="shared" si="155"/>
        <v>0.75781852407326167</v>
      </c>
      <c r="R127" s="139">
        <f t="shared" si="155"/>
        <v>0.74743247646372035</v>
      </c>
      <c r="S127" s="139">
        <f t="shared" si="155"/>
        <v>0.72973066829970734</v>
      </c>
      <c r="T127" s="139">
        <f t="shared" si="155"/>
        <v>0.72633921578873084</v>
      </c>
      <c r="U127" s="139">
        <f t="shared" si="155"/>
        <v>0.72574537303024778</v>
      </c>
      <c r="V127" s="139">
        <f t="shared" si="155"/>
        <v>0.85787140198134537</v>
      </c>
      <c r="W127" s="139">
        <f t="shared" si="155"/>
        <v>0.82891151463981561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1.694077774161722E-2</v>
      </c>
      <c r="C128" s="140">
        <f t="shared" ref="C128:W128" si="156">IF(C36=0,0,C36/C$34)</f>
        <v>1.7505119832022038E-2</v>
      </c>
      <c r="D128" s="140">
        <f t="shared" si="156"/>
        <v>1.5657133780791418E-2</v>
      </c>
      <c r="E128" s="140">
        <f t="shared" si="156"/>
        <v>1.681327504020208E-2</v>
      </c>
      <c r="F128" s="140">
        <f t="shared" si="156"/>
        <v>1.5552696859407224E-2</v>
      </c>
      <c r="G128" s="140">
        <f t="shared" si="156"/>
        <v>1.6862162826420918E-2</v>
      </c>
      <c r="H128" s="140">
        <f t="shared" si="156"/>
        <v>1.6648106630130197E-2</v>
      </c>
      <c r="I128" s="140">
        <f t="shared" si="156"/>
        <v>1.8167372572391191E-2</v>
      </c>
      <c r="J128" s="140">
        <f t="shared" si="156"/>
        <v>1.8588900876058412E-2</v>
      </c>
      <c r="K128" s="140">
        <f t="shared" si="156"/>
        <v>1.9762803383500067E-2</v>
      </c>
      <c r="L128" s="140">
        <f t="shared" si="156"/>
        <v>2.0305827237081953E-2</v>
      </c>
      <c r="M128" s="140">
        <f t="shared" si="156"/>
        <v>1.882075581781904E-2</v>
      </c>
      <c r="N128" s="140">
        <f t="shared" si="156"/>
        <v>1.8934072475036024E-2</v>
      </c>
      <c r="O128" s="140">
        <f t="shared" si="156"/>
        <v>1.9446945679617352E-2</v>
      </c>
      <c r="P128" s="140">
        <f t="shared" si="156"/>
        <v>2.1257565007366634E-2</v>
      </c>
      <c r="Q128" s="140">
        <f t="shared" si="156"/>
        <v>2.208999453294045E-2</v>
      </c>
      <c r="R128" s="140">
        <f t="shared" si="156"/>
        <v>2.2295486510868788E-2</v>
      </c>
      <c r="S128" s="140">
        <f t="shared" si="156"/>
        <v>2.0870816328116361E-2</v>
      </c>
      <c r="T128" s="140">
        <f t="shared" si="156"/>
        <v>1.9288720506297014E-2</v>
      </c>
      <c r="U128" s="140">
        <f t="shared" si="156"/>
        <v>1.9688816775351139E-2</v>
      </c>
      <c r="V128" s="140">
        <f t="shared" si="156"/>
        <v>2.4549456872267613E-2</v>
      </c>
      <c r="W128" s="140">
        <f t="shared" si="156"/>
        <v>2.1769670203496131E-2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0.70494316170564997</v>
      </c>
      <c r="C129" s="140">
        <f t="shared" ref="C129:W129" si="157">IF(C37=0,0,C37/C$34)</f>
        <v>0.70760995095496604</v>
      </c>
      <c r="D129" s="140">
        <f t="shared" si="157"/>
        <v>0.72452306254814924</v>
      </c>
      <c r="E129" s="140">
        <f t="shared" si="157"/>
        <v>0.72273376178473847</v>
      </c>
      <c r="F129" s="140">
        <f t="shared" si="157"/>
        <v>0.71131133482791964</v>
      </c>
      <c r="G129" s="140">
        <f t="shared" si="157"/>
        <v>0.70804356009036706</v>
      </c>
      <c r="H129" s="140">
        <f t="shared" si="157"/>
        <v>0.71157836619391246</v>
      </c>
      <c r="I129" s="140">
        <f t="shared" si="157"/>
        <v>0.7046379719478103</v>
      </c>
      <c r="J129" s="140">
        <f t="shared" si="157"/>
        <v>0.7009349782801646</v>
      </c>
      <c r="K129" s="140">
        <f t="shared" si="157"/>
        <v>0.71377054684600794</v>
      </c>
      <c r="L129" s="140">
        <f t="shared" si="157"/>
        <v>0.70580246148794024</v>
      </c>
      <c r="M129" s="140">
        <f t="shared" si="157"/>
        <v>0.6888737236631699</v>
      </c>
      <c r="N129" s="140">
        <f t="shared" si="157"/>
        <v>0.68203880773256675</v>
      </c>
      <c r="O129" s="140">
        <f t="shared" si="157"/>
        <v>0.70168853897585326</v>
      </c>
      <c r="P129" s="140">
        <f t="shared" si="157"/>
        <v>0.69800695137351199</v>
      </c>
      <c r="Q129" s="140">
        <f t="shared" si="157"/>
        <v>0.69100880391387853</v>
      </c>
      <c r="R129" s="140">
        <f t="shared" si="157"/>
        <v>0.68065089599282846</v>
      </c>
      <c r="S129" s="140">
        <f t="shared" si="157"/>
        <v>0.68020128784354927</v>
      </c>
      <c r="T129" s="140">
        <f t="shared" si="157"/>
        <v>0.67891898499482106</v>
      </c>
      <c r="U129" s="140">
        <f t="shared" si="157"/>
        <v>0.67788028224264341</v>
      </c>
      <c r="V129" s="140">
        <f t="shared" si="157"/>
        <v>0.80332247642263599</v>
      </c>
      <c r="W129" s="140">
        <f t="shared" si="157"/>
        <v>0.77372311877637512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5.3237541757002203E-2</v>
      </c>
      <c r="C130" s="140">
        <f t="shared" ref="C130:W130" si="158">IF(C38=0,0,C38/C$34)</f>
        <v>5.1761431657134371E-2</v>
      </c>
      <c r="D130" s="140">
        <f t="shared" si="158"/>
        <v>4.980083993198145E-2</v>
      </c>
      <c r="E130" s="140">
        <f t="shared" si="158"/>
        <v>4.7188888504318009E-2</v>
      </c>
      <c r="F130" s="140">
        <f t="shared" si="158"/>
        <v>4.6407456075766414E-2</v>
      </c>
      <c r="G130" s="140">
        <f t="shared" si="158"/>
        <v>4.3608197237396271E-2</v>
      </c>
      <c r="H130" s="140">
        <f t="shared" si="158"/>
        <v>4.4119992713845486E-2</v>
      </c>
      <c r="I130" s="140">
        <f t="shared" si="158"/>
        <v>4.3989608480406048E-2</v>
      </c>
      <c r="J130" s="140">
        <f t="shared" si="158"/>
        <v>4.4713194727920437E-2</v>
      </c>
      <c r="K130" s="140">
        <f t="shared" si="158"/>
        <v>4.5561200715793004E-2</v>
      </c>
      <c r="L130" s="140">
        <f t="shared" si="158"/>
        <v>4.5688998677940212E-2</v>
      </c>
      <c r="M130" s="140">
        <f t="shared" si="158"/>
        <v>4.596877124246241E-2</v>
      </c>
      <c r="N130" s="140">
        <f t="shared" si="158"/>
        <v>4.8038428952168526E-2</v>
      </c>
      <c r="O130" s="140">
        <f t="shared" si="158"/>
        <v>4.722605824097164E-2</v>
      </c>
      <c r="P130" s="140">
        <f t="shared" si="158"/>
        <v>4.5928931271710993E-2</v>
      </c>
      <c r="Q130" s="140">
        <f t="shared" si="158"/>
        <v>4.471972562644265E-2</v>
      </c>
      <c r="R130" s="140">
        <f t="shared" si="158"/>
        <v>4.4486093960023121E-2</v>
      </c>
      <c r="S130" s="140">
        <f t="shared" si="158"/>
        <v>2.8658564128041662E-2</v>
      </c>
      <c r="T130" s="140">
        <f t="shared" si="158"/>
        <v>2.8131510287612863E-2</v>
      </c>
      <c r="U130" s="140">
        <f t="shared" si="158"/>
        <v>2.817627401225321E-2</v>
      </c>
      <c r="V130" s="140">
        <f t="shared" si="158"/>
        <v>2.999946868644178E-2</v>
      </c>
      <c r="W130" s="140">
        <f t="shared" si="158"/>
        <v>3.3418725659944422E-2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2.2622963455014092E-2</v>
      </c>
      <c r="C131" s="124">
        <f t="shared" ref="C131:W131" si="159">IF(C39=0,0,C39/C$34)</f>
        <v>2.377947060105778E-2</v>
      </c>
      <c r="D131" s="124">
        <f t="shared" si="159"/>
        <v>2.4584263367892142E-2</v>
      </c>
      <c r="E131" s="124">
        <f t="shared" si="159"/>
        <v>2.7418543531217299E-2</v>
      </c>
      <c r="F131" s="124">
        <f t="shared" si="159"/>
        <v>3.0088806744355878E-2</v>
      </c>
      <c r="G131" s="124">
        <f t="shared" si="159"/>
        <v>3.1866680427965588E-2</v>
      </c>
      <c r="H131" s="124">
        <f t="shared" si="159"/>
        <v>2.4431797490515505E-2</v>
      </c>
      <c r="I131" s="124">
        <f t="shared" si="159"/>
        <v>2.6333996312540044E-2</v>
      </c>
      <c r="J131" s="124">
        <f t="shared" si="159"/>
        <v>2.6735959698065737E-2</v>
      </c>
      <c r="K131" s="124">
        <f t="shared" si="159"/>
        <v>2.4310537074239309E-2</v>
      </c>
      <c r="L131" s="124">
        <f t="shared" si="159"/>
        <v>2.4606842591961286E-2</v>
      </c>
      <c r="M131" s="124">
        <f t="shared" si="159"/>
        <v>2.6393207018388546E-2</v>
      </c>
      <c r="N131" s="124">
        <f t="shared" si="159"/>
        <v>2.9909832192420691E-2</v>
      </c>
      <c r="O131" s="124">
        <f t="shared" si="159"/>
        <v>1.3773331052324856E-2</v>
      </c>
      <c r="P131" s="124">
        <f t="shared" si="159"/>
        <v>1.3636423260132422E-2</v>
      </c>
      <c r="Q131" s="124">
        <f t="shared" si="159"/>
        <v>1.380797276474548E-2</v>
      </c>
      <c r="R131" s="124">
        <f t="shared" si="159"/>
        <v>1.3351859649916418E-2</v>
      </c>
      <c r="S131" s="124">
        <f t="shared" si="159"/>
        <v>1.2812557130851219E-2</v>
      </c>
      <c r="T131" s="124">
        <f t="shared" si="159"/>
        <v>1.2441024883195097E-2</v>
      </c>
      <c r="U131" s="124">
        <f t="shared" si="159"/>
        <v>1.1418513958744454E-2</v>
      </c>
      <c r="V131" s="124">
        <f t="shared" si="159"/>
        <v>1.2813803606603945E-2</v>
      </c>
      <c r="W131" s="124">
        <f t="shared" si="159"/>
        <v>1.2735407278468639E-2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1.3009667550007609E-3</v>
      </c>
      <c r="C132" s="140">
        <f t="shared" ref="C132:W132" si="160">IF(C40=0,0,C40/C$34)</f>
        <v>1.2958329485254915E-3</v>
      </c>
      <c r="D132" s="140">
        <f t="shared" si="160"/>
        <v>1.2686035873272893E-3</v>
      </c>
      <c r="E132" s="140">
        <f t="shared" si="160"/>
        <v>1.3048521531453083E-3</v>
      </c>
      <c r="F132" s="140">
        <f t="shared" si="160"/>
        <v>1.2645983925079962E-3</v>
      </c>
      <c r="G132" s="140">
        <f t="shared" si="160"/>
        <v>1.1770856744087819E-3</v>
      </c>
      <c r="H132" s="140">
        <f t="shared" si="160"/>
        <v>1.1671042343110174E-3</v>
      </c>
      <c r="I132" s="140">
        <f t="shared" si="160"/>
        <v>1.1452322089590377E-3</v>
      </c>
      <c r="J132" s="140">
        <f t="shared" si="160"/>
        <v>1.1594232621464334E-3</v>
      </c>
      <c r="K132" s="140">
        <f t="shared" si="160"/>
        <v>1.1552052748713786E-3</v>
      </c>
      <c r="L132" s="140">
        <f t="shared" si="160"/>
        <v>1.4263905272155985E-3</v>
      </c>
      <c r="M132" s="140">
        <f t="shared" si="160"/>
        <v>1.4074289378656823E-3</v>
      </c>
      <c r="N132" s="140">
        <f t="shared" si="160"/>
        <v>1.4469653992681098E-3</v>
      </c>
      <c r="O132" s="140">
        <f t="shared" si="160"/>
        <v>1.3711363900377645E-3</v>
      </c>
      <c r="P132" s="140">
        <f t="shared" si="160"/>
        <v>1.3432080612005225E-3</v>
      </c>
      <c r="Q132" s="140">
        <f t="shared" si="160"/>
        <v>1.2687198940501594E-3</v>
      </c>
      <c r="R132" s="140">
        <f t="shared" si="160"/>
        <v>1.2589404156989328E-3</v>
      </c>
      <c r="S132" s="140">
        <f t="shared" si="160"/>
        <v>1.2687397055183075E-3</v>
      </c>
      <c r="T132" s="140">
        <f t="shared" si="160"/>
        <v>1.404811279336422E-3</v>
      </c>
      <c r="U132" s="140">
        <f t="shared" si="160"/>
        <v>1.3516025257536944E-3</v>
      </c>
      <c r="V132" s="140">
        <f t="shared" si="160"/>
        <v>1.7656373052028036E-3</v>
      </c>
      <c r="W132" s="140">
        <f t="shared" si="160"/>
        <v>1.4863123754464886E-3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2.0175882425991543E-2</v>
      </c>
      <c r="C133" s="140">
        <f t="shared" ref="C133:W133" si="161">IF(C41=0,0,C41/C$34)</f>
        <v>2.1301530047107938E-2</v>
      </c>
      <c r="D133" s="140">
        <f t="shared" si="161"/>
        <v>2.2059361139892111E-2</v>
      </c>
      <c r="E133" s="140">
        <f t="shared" si="161"/>
        <v>2.5035206845879236E-2</v>
      </c>
      <c r="F133" s="140">
        <f t="shared" si="161"/>
        <v>2.7748090101707201E-2</v>
      </c>
      <c r="G133" s="140">
        <f t="shared" si="161"/>
        <v>2.9604541319864879E-2</v>
      </c>
      <c r="H133" s="140">
        <f t="shared" si="161"/>
        <v>2.2069403726474625E-2</v>
      </c>
      <c r="I133" s="140">
        <f t="shared" si="161"/>
        <v>2.4045236274851365E-2</v>
      </c>
      <c r="J133" s="140">
        <f t="shared" si="161"/>
        <v>2.321164715011519E-2</v>
      </c>
      <c r="K133" s="140">
        <f t="shared" si="161"/>
        <v>1.7950331249167385E-2</v>
      </c>
      <c r="L133" s="140">
        <f t="shared" si="161"/>
        <v>1.7671730916489804E-2</v>
      </c>
      <c r="M133" s="140">
        <f t="shared" si="161"/>
        <v>1.9725148769158183E-2</v>
      </c>
      <c r="N133" s="140">
        <f t="shared" si="161"/>
        <v>2.3119168703923831E-2</v>
      </c>
      <c r="O133" s="140">
        <f t="shared" si="161"/>
        <v>6.7050503962995927E-3</v>
      </c>
      <c r="P133" s="140">
        <f t="shared" si="161"/>
        <v>6.920088883567245E-3</v>
      </c>
      <c r="Q133" s="140">
        <f t="shared" si="161"/>
        <v>7.5072223346754913E-3</v>
      </c>
      <c r="R133" s="140">
        <f t="shared" si="161"/>
        <v>7.1841731642440119E-3</v>
      </c>
      <c r="S133" s="140">
        <f t="shared" si="161"/>
        <v>6.449763239481726E-3</v>
      </c>
      <c r="T133" s="140">
        <f t="shared" si="161"/>
        <v>6.0631195311802721E-3</v>
      </c>
      <c r="U133" s="140">
        <f t="shared" si="161"/>
        <v>5.2869467446099577E-3</v>
      </c>
      <c r="V133" s="140">
        <f t="shared" si="161"/>
        <v>7.6644829048965182E-3</v>
      </c>
      <c r="W133" s="140">
        <f t="shared" si="161"/>
        <v>8.128959055882538E-3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1.1461142740217868E-3</v>
      </c>
      <c r="C134" s="140">
        <f t="shared" ref="C134:W134" si="162">IF(C42=0,0,C42/C$34)</f>
        <v>1.1821076054243523E-3</v>
      </c>
      <c r="D134" s="140">
        <f t="shared" si="162"/>
        <v>1.2562986406727367E-3</v>
      </c>
      <c r="E134" s="140">
        <f t="shared" si="162"/>
        <v>1.078484532192758E-3</v>
      </c>
      <c r="F134" s="140">
        <f t="shared" si="162"/>
        <v>1.0761182501406777E-3</v>
      </c>
      <c r="G134" s="140">
        <f t="shared" si="162"/>
        <v>1.0850534336919273E-3</v>
      </c>
      <c r="H134" s="140">
        <f t="shared" si="162"/>
        <v>1.1952895297298628E-3</v>
      </c>
      <c r="I134" s="140">
        <f t="shared" si="162"/>
        <v>1.143527828729641E-3</v>
      </c>
      <c r="J134" s="140">
        <f t="shared" si="162"/>
        <v>2.3648892858041154E-3</v>
      </c>
      <c r="K134" s="140">
        <f t="shared" si="162"/>
        <v>5.2050005502005461E-3</v>
      </c>
      <c r="L134" s="140">
        <f t="shared" si="162"/>
        <v>5.5087211482558853E-3</v>
      </c>
      <c r="M134" s="140">
        <f t="shared" si="162"/>
        <v>5.2606293113646816E-3</v>
      </c>
      <c r="N134" s="140">
        <f t="shared" si="162"/>
        <v>5.3436980892287546E-3</v>
      </c>
      <c r="O134" s="140">
        <f t="shared" si="162"/>
        <v>5.6971442659874989E-3</v>
      </c>
      <c r="P134" s="140">
        <f t="shared" si="162"/>
        <v>5.3731263153646569E-3</v>
      </c>
      <c r="Q134" s="140">
        <f t="shared" si="162"/>
        <v>5.0320305360198291E-3</v>
      </c>
      <c r="R134" s="140">
        <f t="shared" si="162"/>
        <v>4.9087460699734726E-3</v>
      </c>
      <c r="S134" s="140">
        <f t="shared" si="162"/>
        <v>5.0940541858511858E-3</v>
      </c>
      <c r="T134" s="140">
        <f t="shared" si="162"/>
        <v>4.9730940726784032E-3</v>
      </c>
      <c r="U134" s="140">
        <f t="shared" si="162"/>
        <v>4.7799646883808031E-3</v>
      </c>
      <c r="V134" s="140">
        <f t="shared" si="162"/>
        <v>3.3836833965046236E-3</v>
      </c>
      <c r="W134" s="140">
        <f t="shared" si="162"/>
        <v>3.1201358471396124E-3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0.20225555534071654</v>
      </c>
      <c r="C135" s="124">
        <f t="shared" ref="C135:W135" si="163">IF(C43=0,0,C43/C$34)</f>
        <v>0.1993440269548197</v>
      </c>
      <c r="D135" s="124">
        <f t="shared" si="163"/>
        <v>0.1854347003711857</v>
      </c>
      <c r="E135" s="124">
        <f t="shared" si="163"/>
        <v>0.18584553113952412</v>
      </c>
      <c r="F135" s="124">
        <f t="shared" si="163"/>
        <v>0.19663970549255094</v>
      </c>
      <c r="G135" s="124">
        <f t="shared" si="163"/>
        <v>0.19961939941785034</v>
      </c>
      <c r="H135" s="124">
        <f t="shared" si="163"/>
        <v>0.20322173697159651</v>
      </c>
      <c r="I135" s="124">
        <f t="shared" si="163"/>
        <v>0.20687105068685238</v>
      </c>
      <c r="J135" s="124">
        <f t="shared" si="163"/>
        <v>0.20902696641779087</v>
      </c>
      <c r="K135" s="124">
        <f t="shared" si="163"/>
        <v>0.19659491198045964</v>
      </c>
      <c r="L135" s="124">
        <f t="shared" si="163"/>
        <v>0.20359587000507631</v>
      </c>
      <c r="M135" s="124">
        <f t="shared" si="163"/>
        <v>0.21994354225816001</v>
      </c>
      <c r="N135" s="124">
        <f t="shared" si="163"/>
        <v>0.22107885864780802</v>
      </c>
      <c r="O135" s="124">
        <f t="shared" si="163"/>
        <v>0.21786512605123273</v>
      </c>
      <c r="P135" s="124">
        <f t="shared" si="163"/>
        <v>0.22117012908727796</v>
      </c>
      <c r="Q135" s="124">
        <f t="shared" si="163"/>
        <v>0.22837350316199273</v>
      </c>
      <c r="R135" s="124">
        <f t="shared" si="163"/>
        <v>0.23921566388636323</v>
      </c>
      <c r="S135" s="124">
        <f t="shared" si="163"/>
        <v>0.25745677456944133</v>
      </c>
      <c r="T135" s="124">
        <f t="shared" si="163"/>
        <v>0.26121975932807401</v>
      </c>
      <c r="U135" s="124">
        <f t="shared" si="163"/>
        <v>0.26283611301100779</v>
      </c>
      <c r="V135" s="124">
        <f t="shared" si="163"/>
        <v>0.12931479441205063</v>
      </c>
      <c r="W135" s="124">
        <f t="shared" si="163"/>
        <v>0.15835307808171575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8.0026786696366425E-2</v>
      </c>
      <c r="C136" s="140">
        <f t="shared" ref="C136:W136" si="164">IF(C44=0,0,C44/C$34)</f>
        <v>7.7733640385462238E-2</v>
      </c>
      <c r="D136" s="140">
        <f t="shared" si="164"/>
        <v>7.0730643094236947E-2</v>
      </c>
      <c r="E136" s="140">
        <f t="shared" si="164"/>
        <v>7.1148327034601097E-2</v>
      </c>
      <c r="F136" s="140">
        <f t="shared" si="164"/>
        <v>7.5094844427390339E-2</v>
      </c>
      <c r="G136" s="140">
        <f t="shared" si="164"/>
        <v>8.3418327162966266E-2</v>
      </c>
      <c r="H136" s="140">
        <f t="shared" si="164"/>
        <v>8.5322547322935122E-2</v>
      </c>
      <c r="I136" s="140">
        <f t="shared" si="164"/>
        <v>8.6954364935928591E-2</v>
      </c>
      <c r="J136" s="140">
        <f t="shared" si="164"/>
        <v>8.5810315296205378E-2</v>
      </c>
      <c r="K136" s="140">
        <f t="shared" si="164"/>
        <v>7.8459718688256685E-2</v>
      </c>
      <c r="L136" s="140">
        <f t="shared" si="164"/>
        <v>8.8935742028089793E-2</v>
      </c>
      <c r="M136" s="140">
        <f t="shared" si="164"/>
        <v>8.084923865049326E-2</v>
      </c>
      <c r="N136" s="140">
        <f t="shared" si="164"/>
        <v>7.451114249373901E-2</v>
      </c>
      <c r="O136" s="140">
        <f t="shared" si="164"/>
        <v>6.5962031353818174E-2</v>
      </c>
      <c r="P136" s="140">
        <f t="shared" si="164"/>
        <v>6.8895987681438842E-2</v>
      </c>
      <c r="Q136" s="140">
        <f t="shared" si="164"/>
        <v>7.2464386064489072E-2</v>
      </c>
      <c r="R136" s="140">
        <f t="shared" si="164"/>
        <v>7.725028642876379E-2</v>
      </c>
      <c r="S136" s="140">
        <f t="shared" si="164"/>
        <v>8.3046142444952342E-2</v>
      </c>
      <c r="T136" s="140">
        <f t="shared" si="164"/>
        <v>8.4378885184854854E-2</v>
      </c>
      <c r="U136" s="140">
        <f t="shared" si="164"/>
        <v>8.6670871005431971E-2</v>
      </c>
      <c r="V136" s="140">
        <f t="shared" si="164"/>
        <v>5.1029279132652816E-2</v>
      </c>
      <c r="W136" s="140">
        <f t="shared" si="164"/>
        <v>7.7454201109192919E-2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7.2674836665041501E-2</v>
      </c>
      <c r="C137" s="140">
        <f t="shared" ref="C137:W137" si="165">IF(C45=0,0,C45/C$34)</f>
        <v>7.9045033981685831E-2</v>
      </c>
      <c r="D137" s="140">
        <f t="shared" si="165"/>
        <v>7.0877547760494708E-2</v>
      </c>
      <c r="E137" s="140">
        <f t="shared" si="165"/>
        <v>7.9858225679838399E-2</v>
      </c>
      <c r="F137" s="140">
        <f t="shared" si="165"/>
        <v>8.2261238777557921E-2</v>
      </c>
      <c r="G137" s="140">
        <f t="shared" si="165"/>
        <v>7.9019308253444526E-2</v>
      </c>
      <c r="H137" s="140">
        <f t="shared" si="165"/>
        <v>8.0764267421817318E-2</v>
      </c>
      <c r="I137" s="140">
        <f t="shared" si="165"/>
        <v>8.2735828511197859E-2</v>
      </c>
      <c r="J137" s="140">
        <f t="shared" si="165"/>
        <v>8.4127402930810252E-2</v>
      </c>
      <c r="K137" s="140">
        <f t="shared" si="165"/>
        <v>7.8372868527085485E-2</v>
      </c>
      <c r="L137" s="140">
        <f t="shared" si="165"/>
        <v>7.5457560189168979E-2</v>
      </c>
      <c r="M137" s="140">
        <f t="shared" si="165"/>
        <v>9.2692430953241534E-2</v>
      </c>
      <c r="N137" s="140">
        <f t="shared" si="165"/>
        <v>9.6730045279679933E-2</v>
      </c>
      <c r="O137" s="140">
        <f t="shared" si="165"/>
        <v>0.10105486656893564</v>
      </c>
      <c r="P137" s="140">
        <f t="shared" si="165"/>
        <v>0.10191203366626676</v>
      </c>
      <c r="Q137" s="140">
        <f t="shared" si="165"/>
        <v>0.10433143998218398</v>
      </c>
      <c r="R137" s="140">
        <f t="shared" si="165"/>
        <v>0.11198214299921287</v>
      </c>
      <c r="S137" s="140">
        <f t="shared" si="165"/>
        <v>0.12264883117170398</v>
      </c>
      <c r="T137" s="140">
        <f t="shared" si="165"/>
        <v>0.12298293721518221</v>
      </c>
      <c r="U137" s="140">
        <f t="shared" si="165"/>
        <v>0.12117044070378677</v>
      </c>
      <c r="V137" s="140">
        <f t="shared" si="165"/>
        <v>4.5511435305483551E-2</v>
      </c>
      <c r="W137" s="140">
        <f t="shared" si="165"/>
        <v>5.0166928168332785E-2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4.9553931979308581E-2</v>
      </c>
      <c r="C138" s="140">
        <f t="shared" ref="C138:W138" si="166">IF(C46=0,0,C46/C$34)</f>
        <v>4.2565352587671676E-2</v>
      </c>
      <c r="D138" s="140">
        <f t="shared" si="166"/>
        <v>4.3826509516454067E-2</v>
      </c>
      <c r="E138" s="140">
        <f t="shared" si="166"/>
        <v>3.4838978425084613E-2</v>
      </c>
      <c r="F138" s="140">
        <f t="shared" si="166"/>
        <v>3.9283622287602703E-2</v>
      </c>
      <c r="G138" s="140">
        <f t="shared" si="166"/>
        <v>3.7181764001439549E-2</v>
      </c>
      <c r="H138" s="140">
        <f t="shared" si="166"/>
        <v>3.7134922226844044E-2</v>
      </c>
      <c r="I138" s="140">
        <f t="shared" si="166"/>
        <v>3.7180857239725952E-2</v>
      </c>
      <c r="J138" s="140">
        <f t="shared" si="166"/>
        <v>3.9089248190775208E-2</v>
      </c>
      <c r="K138" s="140">
        <f t="shared" si="166"/>
        <v>3.9762324765117464E-2</v>
      </c>
      <c r="L138" s="140">
        <f t="shared" si="166"/>
        <v>3.9202567787817527E-2</v>
      </c>
      <c r="M138" s="140">
        <f t="shared" si="166"/>
        <v>4.6401872654425219E-2</v>
      </c>
      <c r="N138" s="140">
        <f t="shared" si="166"/>
        <v>4.9837670874389048E-2</v>
      </c>
      <c r="O138" s="140">
        <f t="shared" si="166"/>
        <v>5.0848228128478931E-2</v>
      </c>
      <c r="P138" s="140">
        <f t="shared" si="166"/>
        <v>5.0362107739572351E-2</v>
      </c>
      <c r="Q138" s="140">
        <f t="shared" si="166"/>
        <v>5.1577677115319673E-2</v>
      </c>
      <c r="R138" s="140">
        <f t="shared" si="166"/>
        <v>4.998323445838658E-2</v>
      </c>
      <c r="S138" s="140">
        <f t="shared" si="166"/>
        <v>5.1761800952784973E-2</v>
      </c>
      <c r="T138" s="140">
        <f t="shared" si="166"/>
        <v>5.3857936928036934E-2</v>
      </c>
      <c r="U138" s="140">
        <f t="shared" si="166"/>
        <v>5.4994801301789006E-2</v>
      </c>
      <c r="V138" s="140">
        <f t="shared" si="166"/>
        <v>3.2774079973914252E-2</v>
      </c>
      <c r="W138" s="140">
        <f t="shared" si="166"/>
        <v>3.0731948804190046E-2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0.84191884019426022</v>
      </c>
      <c r="C140" s="139">
        <f t="shared" ref="C140:W140" si="169">IF(C48=0,0,C48/C$47)</f>
        <v>0.85186415595799359</v>
      </c>
      <c r="D140" s="139">
        <f t="shared" si="169"/>
        <v>0.8537272992526922</v>
      </c>
      <c r="E140" s="139">
        <f t="shared" si="169"/>
        <v>0.85050874982109814</v>
      </c>
      <c r="F140" s="139">
        <f t="shared" si="169"/>
        <v>0.85221936820986333</v>
      </c>
      <c r="G140" s="139">
        <f t="shared" si="169"/>
        <v>0.85818159032835251</v>
      </c>
      <c r="H140" s="139">
        <f t="shared" si="169"/>
        <v>0.85233917449034868</v>
      </c>
      <c r="I140" s="139">
        <f t="shared" si="169"/>
        <v>0.86840084561850905</v>
      </c>
      <c r="J140" s="139">
        <f t="shared" si="169"/>
        <v>0.86778777529630791</v>
      </c>
      <c r="K140" s="139">
        <f t="shared" si="169"/>
        <v>0.87118483599173036</v>
      </c>
      <c r="L140" s="139">
        <f t="shared" si="169"/>
        <v>0.86692088121798427</v>
      </c>
      <c r="M140" s="139">
        <f t="shared" si="169"/>
        <v>0.88857990548207422</v>
      </c>
      <c r="N140" s="139">
        <f t="shared" si="169"/>
        <v>0.87184525066129237</v>
      </c>
      <c r="O140" s="139">
        <f t="shared" si="169"/>
        <v>0.91707599216700941</v>
      </c>
      <c r="P140" s="139">
        <f t="shared" si="169"/>
        <v>0.93858771083434056</v>
      </c>
      <c r="Q140" s="139">
        <f t="shared" si="169"/>
        <v>0.92704289537499507</v>
      </c>
      <c r="R140" s="139">
        <f t="shared" si="169"/>
        <v>0.91613533708155948</v>
      </c>
      <c r="S140" s="139">
        <f t="shared" si="169"/>
        <v>0.89086239714639937</v>
      </c>
      <c r="T140" s="139">
        <f t="shared" si="169"/>
        <v>0.88966173544685123</v>
      </c>
      <c r="U140" s="139">
        <f t="shared" si="169"/>
        <v>0.88275660479593521</v>
      </c>
      <c r="V140" s="139">
        <f t="shared" si="169"/>
        <v>0.88741548346096466</v>
      </c>
      <c r="W140" s="139">
        <f t="shared" si="169"/>
        <v>0.89799583859034249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0.25355601168827369</v>
      </c>
      <c r="C141" s="140">
        <f t="shared" ref="C141:W141" si="170">IF(C49=0,0,C49/C$47)</f>
        <v>0.27881007441962735</v>
      </c>
      <c r="D141" s="140">
        <f t="shared" si="170"/>
        <v>0.25012428302733908</v>
      </c>
      <c r="E141" s="140">
        <f t="shared" si="170"/>
        <v>0.24777791541714525</v>
      </c>
      <c r="F141" s="140">
        <f t="shared" si="170"/>
        <v>0.23700151055111787</v>
      </c>
      <c r="G141" s="140">
        <f t="shared" si="170"/>
        <v>0.21485251312022854</v>
      </c>
      <c r="H141" s="140">
        <f t="shared" si="170"/>
        <v>0.21699740502064849</v>
      </c>
      <c r="I141" s="140">
        <f t="shared" si="170"/>
        <v>0.23417204391934907</v>
      </c>
      <c r="J141" s="140">
        <f t="shared" si="170"/>
        <v>0.22890110074894288</v>
      </c>
      <c r="K141" s="140">
        <f t="shared" si="170"/>
        <v>0.22374837242931492</v>
      </c>
      <c r="L141" s="140">
        <f t="shared" si="170"/>
        <v>0.22614258146271118</v>
      </c>
      <c r="M141" s="140">
        <f t="shared" si="170"/>
        <v>0.24051612521666491</v>
      </c>
      <c r="N141" s="140">
        <f t="shared" si="170"/>
        <v>0.25083195439070216</v>
      </c>
      <c r="O141" s="140">
        <f t="shared" si="170"/>
        <v>0.27013928981256574</v>
      </c>
      <c r="P141" s="140">
        <f t="shared" si="170"/>
        <v>0.26567572804591655</v>
      </c>
      <c r="Q141" s="140">
        <f t="shared" si="170"/>
        <v>0.25804546969657616</v>
      </c>
      <c r="R141" s="140">
        <f t="shared" si="170"/>
        <v>0.22477433932435853</v>
      </c>
      <c r="S141" s="140">
        <f t="shared" si="170"/>
        <v>0.21284275489412471</v>
      </c>
      <c r="T141" s="140">
        <f t="shared" si="170"/>
        <v>0.21008629545927088</v>
      </c>
      <c r="U141" s="140">
        <f t="shared" si="170"/>
        <v>0.21710517508948624</v>
      </c>
      <c r="V141" s="140">
        <f t="shared" si="170"/>
        <v>0.16648706570647206</v>
      </c>
      <c r="W141" s="140">
        <f t="shared" si="170"/>
        <v>0.20192101803554666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0.58836282850598653</v>
      </c>
      <c r="C142" s="140">
        <f t="shared" ref="C142:W142" si="171">IF(C50=0,0,C50/C$47)</f>
        <v>0.57305408153836623</v>
      </c>
      <c r="D142" s="140">
        <f t="shared" si="171"/>
        <v>0.60360301622535317</v>
      </c>
      <c r="E142" s="140">
        <f t="shared" si="171"/>
        <v>0.60273083440395292</v>
      </c>
      <c r="F142" s="140">
        <f t="shared" si="171"/>
        <v>0.61521785765874548</v>
      </c>
      <c r="G142" s="140">
        <f t="shared" si="171"/>
        <v>0.64332907720812393</v>
      </c>
      <c r="H142" s="140">
        <f t="shared" si="171"/>
        <v>0.63534176946970022</v>
      </c>
      <c r="I142" s="140">
        <f t="shared" si="171"/>
        <v>0.63422880169916007</v>
      </c>
      <c r="J142" s="140">
        <f t="shared" si="171"/>
        <v>0.63888667454736492</v>
      </c>
      <c r="K142" s="140">
        <f t="shared" si="171"/>
        <v>0.64743646356241535</v>
      </c>
      <c r="L142" s="140">
        <f t="shared" si="171"/>
        <v>0.64077829975527312</v>
      </c>
      <c r="M142" s="140">
        <f t="shared" si="171"/>
        <v>0.64806378026540934</v>
      </c>
      <c r="N142" s="140">
        <f t="shared" si="171"/>
        <v>0.62101329627059021</v>
      </c>
      <c r="O142" s="140">
        <f t="shared" si="171"/>
        <v>0.64693670235444367</v>
      </c>
      <c r="P142" s="140">
        <f t="shared" si="171"/>
        <v>0.67291198278842412</v>
      </c>
      <c r="Q142" s="140">
        <f t="shared" si="171"/>
        <v>0.66899742567841891</v>
      </c>
      <c r="R142" s="140">
        <f t="shared" si="171"/>
        <v>0.69136099775720106</v>
      </c>
      <c r="S142" s="140">
        <f t="shared" si="171"/>
        <v>0.67801964225227462</v>
      </c>
      <c r="T142" s="140">
        <f t="shared" si="171"/>
        <v>0.67957543998758041</v>
      </c>
      <c r="U142" s="140">
        <f t="shared" si="171"/>
        <v>0.66565142970644908</v>
      </c>
      <c r="V142" s="140">
        <f t="shared" si="171"/>
        <v>0.72092841775449246</v>
      </c>
      <c r="W142" s="140">
        <f t="shared" si="171"/>
        <v>0.69607482055479586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1.8942131249959471E-2</v>
      </c>
      <c r="C143" s="124">
        <f t="shared" ref="C143:W143" si="172">IF(C51=0,0,C51/C$47)</f>
        <v>1.9640190759881659E-2</v>
      </c>
      <c r="D143" s="124">
        <f t="shared" si="172"/>
        <v>1.8488856980025673E-2</v>
      </c>
      <c r="E143" s="124">
        <f t="shared" si="172"/>
        <v>1.565711035299695E-2</v>
      </c>
      <c r="F143" s="124">
        <f t="shared" si="172"/>
        <v>1.4237813711359784E-2</v>
      </c>
      <c r="G143" s="124">
        <f t="shared" si="172"/>
        <v>1.3555540888485061E-2</v>
      </c>
      <c r="H143" s="124">
        <f t="shared" si="172"/>
        <v>1.2851491570817868E-2</v>
      </c>
      <c r="I143" s="124">
        <f t="shared" si="172"/>
        <v>1.7086535641640466E-2</v>
      </c>
      <c r="J143" s="124">
        <f t="shared" si="172"/>
        <v>1.8469409147714201E-2</v>
      </c>
      <c r="K143" s="124">
        <f t="shared" si="172"/>
        <v>1.8694201741874795E-2</v>
      </c>
      <c r="L143" s="124">
        <f t="shared" si="172"/>
        <v>2.292122638487518E-2</v>
      </c>
      <c r="M143" s="124">
        <f t="shared" si="172"/>
        <v>1.5276170540814867E-2</v>
      </c>
      <c r="N143" s="124">
        <f t="shared" si="172"/>
        <v>1.7391189604552316E-2</v>
      </c>
      <c r="O143" s="124">
        <f t="shared" si="172"/>
        <v>7.2597709925946753E-3</v>
      </c>
      <c r="P143" s="124">
        <f t="shared" si="172"/>
        <v>7.8065700986995109E-3</v>
      </c>
      <c r="Q143" s="124">
        <f t="shared" si="172"/>
        <v>7.1518968914849827E-3</v>
      </c>
      <c r="R143" s="124">
        <f t="shared" si="172"/>
        <v>5.2813563884551822E-3</v>
      </c>
      <c r="S143" s="124">
        <f t="shared" si="172"/>
        <v>6.0509234502453459E-3</v>
      </c>
      <c r="T143" s="124">
        <f t="shared" si="172"/>
        <v>6.1421000167816847E-3</v>
      </c>
      <c r="U143" s="124">
        <f t="shared" si="172"/>
        <v>6.8138456759806185E-3</v>
      </c>
      <c r="V143" s="124">
        <f t="shared" si="172"/>
        <v>8.2484741649147923E-3</v>
      </c>
      <c r="W143" s="124">
        <f t="shared" si="172"/>
        <v>4.6538560225199612E-3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1.0721072314782809E-2</v>
      </c>
      <c r="C144" s="124">
        <f t="shared" ref="C144:W144" si="173">IF(C52=0,0,C52/C$47)</f>
        <v>1.0358963908849864E-2</v>
      </c>
      <c r="D144" s="124">
        <f t="shared" si="173"/>
        <v>9.1257076207727199E-3</v>
      </c>
      <c r="E144" s="124">
        <f t="shared" si="173"/>
        <v>8.6941531961962776E-3</v>
      </c>
      <c r="F144" s="124">
        <f t="shared" si="173"/>
        <v>1.0563014657519295E-2</v>
      </c>
      <c r="G144" s="124">
        <f t="shared" si="173"/>
        <v>9.9373349613236031E-3</v>
      </c>
      <c r="H144" s="124">
        <f t="shared" si="173"/>
        <v>9.6435773929205767E-3</v>
      </c>
      <c r="I144" s="124">
        <f t="shared" si="173"/>
        <v>9.2056453418216423E-3</v>
      </c>
      <c r="J144" s="124">
        <f t="shared" si="173"/>
        <v>9.7595723166588634E-3</v>
      </c>
      <c r="K144" s="124">
        <f t="shared" si="173"/>
        <v>9.736227209499718E-3</v>
      </c>
      <c r="L144" s="124">
        <f t="shared" si="173"/>
        <v>1.1141212913533207E-2</v>
      </c>
      <c r="M144" s="124">
        <f t="shared" si="173"/>
        <v>1.170406890822594E-2</v>
      </c>
      <c r="N144" s="124">
        <f t="shared" si="173"/>
        <v>1.1744107614748228E-2</v>
      </c>
      <c r="O144" s="124">
        <f t="shared" si="173"/>
        <v>1.2765265075004759E-2</v>
      </c>
      <c r="P144" s="124">
        <f t="shared" si="173"/>
        <v>1.249832764649896E-2</v>
      </c>
      <c r="Q144" s="124">
        <f t="shared" si="173"/>
        <v>1.3036268528871428E-2</v>
      </c>
      <c r="R144" s="124">
        <f t="shared" si="173"/>
        <v>1.1281820874597661E-2</v>
      </c>
      <c r="S144" s="124">
        <f t="shared" si="173"/>
        <v>1.2422074342682063E-2</v>
      </c>
      <c r="T144" s="124">
        <f t="shared" si="173"/>
        <v>1.2856008647872704E-2</v>
      </c>
      <c r="U144" s="124">
        <f t="shared" si="173"/>
        <v>1.2107326808209702E-2</v>
      </c>
      <c r="V144" s="124">
        <f t="shared" si="173"/>
        <v>1.5941532950082785E-2</v>
      </c>
      <c r="W144" s="124">
        <f t="shared" si="173"/>
        <v>1.4201110422999833E-2</v>
      </c>
      <c r="DA144" s="176"/>
    </row>
    <row r="145" spans="1:105" ht="11.45" customHeight="1" x14ac:dyDescent="0.25">
      <c r="A145" s="128" t="s">
        <v>27</v>
      </c>
      <c r="B145" s="140">
        <f t="shared" si="167"/>
        <v>4.9235645064434229E-3</v>
      </c>
      <c r="C145" s="140">
        <f t="shared" ref="C145:W145" si="174">IF(C53=0,0,C53/C$47)</f>
        <v>4.7008408563221143E-3</v>
      </c>
      <c r="D145" s="140">
        <f t="shared" si="174"/>
        <v>4.3116815350608207E-3</v>
      </c>
      <c r="E145" s="140">
        <f t="shared" si="174"/>
        <v>3.5234990659047914E-3</v>
      </c>
      <c r="F145" s="140">
        <f t="shared" si="174"/>
        <v>4.4887877753945048E-3</v>
      </c>
      <c r="G145" s="140">
        <f t="shared" si="174"/>
        <v>4.6275729962643999E-3</v>
      </c>
      <c r="H145" s="140">
        <f t="shared" si="174"/>
        <v>4.5471543811187298E-3</v>
      </c>
      <c r="I145" s="140">
        <f t="shared" si="174"/>
        <v>4.2345262199125992E-3</v>
      </c>
      <c r="J145" s="140">
        <f t="shared" si="174"/>
        <v>4.4885928967039511E-3</v>
      </c>
      <c r="K145" s="140">
        <f t="shared" si="174"/>
        <v>4.1241835227578804E-3</v>
      </c>
      <c r="L145" s="140">
        <f t="shared" si="174"/>
        <v>4.4245713659183256E-3</v>
      </c>
      <c r="M145" s="140">
        <f t="shared" si="174"/>
        <v>3.7421792283466103E-3</v>
      </c>
      <c r="N145" s="140">
        <f t="shared" si="174"/>
        <v>3.6512861037641896E-3</v>
      </c>
      <c r="O145" s="140">
        <f t="shared" si="174"/>
        <v>3.6639682726297379E-3</v>
      </c>
      <c r="P145" s="140">
        <f t="shared" si="174"/>
        <v>3.5392402815599081E-3</v>
      </c>
      <c r="Q145" s="140">
        <f t="shared" si="174"/>
        <v>3.2327124017424093E-3</v>
      </c>
      <c r="R145" s="140">
        <f t="shared" si="174"/>
        <v>2.7897963332159867E-3</v>
      </c>
      <c r="S145" s="140">
        <f t="shared" si="174"/>
        <v>2.807238246016672E-3</v>
      </c>
      <c r="T145" s="140">
        <f t="shared" si="174"/>
        <v>2.4488917090308582E-3</v>
      </c>
      <c r="U145" s="140">
        <f t="shared" si="174"/>
        <v>2.2354524948109645E-3</v>
      </c>
      <c r="V145" s="140">
        <f t="shared" si="174"/>
        <v>1.791872344299641E-3</v>
      </c>
      <c r="W145" s="140">
        <f t="shared" si="174"/>
        <v>2.0406408152038799E-3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1.753530894331252E-3</v>
      </c>
      <c r="C146" s="140">
        <f t="shared" ref="C146:W146" si="175">IF(C54=0,0,C54/C$47)</f>
        <v>1.6673163838247841E-3</v>
      </c>
      <c r="D146" s="140">
        <f t="shared" si="175"/>
        <v>1.4579113847504595E-3</v>
      </c>
      <c r="E146" s="140">
        <f t="shared" si="175"/>
        <v>1.4980822890623875E-3</v>
      </c>
      <c r="F146" s="140">
        <f t="shared" si="175"/>
        <v>1.7551036062932188E-3</v>
      </c>
      <c r="G146" s="140">
        <f t="shared" si="175"/>
        <v>1.5955985162060646E-3</v>
      </c>
      <c r="H146" s="140">
        <f t="shared" si="175"/>
        <v>1.6010912458339183E-3</v>
      </c>
      <c r="I146" s="140">
        <f t="shared" si="175"/>
        <v>1.3141385983199516E-3</v>
      </c>
      <c r="J146" s="140">
        <f t="shared" si="175"/>
        <v>1.4496649846962731E-3</v>
      </c>
      <c r="K146" s="140">
        <f t="shared" si="175"/>
        <v>1.5795246316341717E-3</v>
      </c>
      <c r="L146" s="140">
        <f t="shared" si="175"/>
        <v>1.6315423577429177E-3</v>
      </c>
      <c r="M146" s="140">
        <f t="shared" si="175"/>
        <v>1.8826442723450254E-3</v>
      </c>
      <c r="N146" s="140">
        <f t="shared" si="175"/>
        <v>1.8843081958618338E-3</v>
      </c>
      <c r="O146" s="140">
        <f t="shared" si="175"/>
        <v>1.9931302244456245E-3</v>
      </c>
      <c r="P146" s="140">
        <f t="shared" si="175"/>
        <v>1.7649247566528913E-3</v>
      </c>
      <c r="Q146" s="140">
        <f t="shared" si="175"/>
        <v>1.8464801392239106E-3</v>
      </c>
      <c r="R146" s="140">
        <f t="shared" si="175"/>
        <v>1.5017812601631358E-3</v>
      </c>
      <c r="S146" s="140">
        <f t="shared" si="175"/>
        <v>1.6227047935901242E-3</v>
      </c>
      <c r="T146" s="140">
        <f t="shared" si="175"/>
        <v>1.6196823285786039E-3</v>
      </c>
      <c r="U146" s="140">
        <f t="shared" si="175"/>
        <v>1.8436982945261836E-3</v>
      </c>
      <c r="V146" s="140">
        <f t="shared" si="175"/>
        <v>1.976127959827558E-3</v>
      </c>
      <c r="W146" s="140">
        <f t="shared" si="175"/>
        <v>1.6070758637436377E-3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4.0439769140081351E-3</v>
      </c>
      <c r="C147" s="140">
        <f t="shared" ref="C147:W147" si="176">IF(C55=0,0,C55/C$47)</f>
        <v>3.9908066687029649E-3</v>
      </c>
      <c r="D147" s="140">
        <f t="shared" si="176"/>
        <v>3.3561147009614394E-3</v>
      </c>
      <c r="E147" s="140">
        <f t="shared" si="176"/>
        <v>3.6725718412290989E-3</v>
      </c>
      <c r="F147" s="140">
        <f t="shared" si="176"/>
        <v>4.3191232758315705E-3</v>
      </c>
      <c r="G147" s="140">
        <f t="shared" si="176"/>
        <v>3.7141634488531403E-3</v>
      </c>
      <c r="H147" s="140">
        <f t="shared" si="176"/>
        <v>3.4953317659679284E-3</v>
      </c>
      <c r="I147" s="140">
        <f t="shared" si="176"/>
        <v>3.6569805235890924E-3</v>
      </c>
      <c r="J147" s="140">
        <f t="shared" si="176"/>
        <v>3.8213144352586392E-3</v>
      </c>
      <c r="K147" s="140">
        <f t="shared" si="176"/>
        <v>4.0325190551076659E-3</v>
      </c>
      <c r="L147" s="140">
        <f t="shared" si="176"/>
        <v>5.0850991898719628E-3</v>
      </c>
      <c r="M147" s="140">
        <f t="shared" si="176"/>
        <v>6.0792454075343054E-3</v>
      </c>
      <c r="N147" s="140">
        <f t="shared" si="176"/>
        <v>6.2085133151222058E-3</v>
      </c>
      <c r="O147" s="140">
        <f t="shared" si="176"/>
        <v>7.108166577929397E-3</v>
      </c>
      <c r="P147" s="140">
        <f t="shared" si="176"/>
        <v>7.1941626082861615E-3</v>
      </c>
      <c r="Q147" s="140">
        <f t="shared" si="176"/>
        <v>7.9570759879051076E-3</v>
      </c>
      <c r="R147" s="140">
        <f t="shared" si="176"/>
        <v>6.9902432812185382E-3</v>
      </c>
      <c r="S147" s="140">
        <f t="shared" si="176"/>
        <v>7.9921313030752693E-3</v>
      </c>
      <c r="T147" s="140">
        <f t="shared" si="176"/>
        <v>8.7874346102632412E-3</v>
      </c>
      <c r="U147" s="140">
        <f t="shared" si="176"/>
        <v>8.0281760188725543E-3</v>
      </c>
      <c r="V147" s="140">
        <f t="shared" si="176"/>
        <v>1.2173532645955585E-2</v>
      </c>
      <c r="W147" s="140">
        <f t="shared" si="176"/>
        <v>1.0553393744052316E-2</v>
      </c>
      <c r="DA147" s="175"/>
    </row>
    <row r="148" spans="1:105" ht="11.45" customHeight="1" x14ac:dyDescent="0.25">
      <c r="A148" s="109" t="s">
        <v>142</v>
      </c>
      <c r="B148" s="124">
        <f t="shared" si="167"/>
        <v>0.12841795624099761</v>
      </c>
      <c r="C148" s="124">
        <f t="shared" ref="C148:W148" si="177">IF(C56=0,0,C56/C$47)</f>
        <v>0.11813668937327491</v>
      </c>
      <c r="D148" s="124">
        <f t="shared" si="177"/>
        <v>0.11865813614650932</v>
      </c>
      <c r="E148" s="124">
        <f t="shared" si="177"/>
        <v>0.12513998662970854</v>
      </c>
      <c r="F148" s="124">
        <f t="shared" si="177"/>
        <v>0.12297980342125778</v>
      </c>
      <c r="G148" s="124">
        <f t="shared" si="177"/>
        <v>0.1183255338218389</v>
      </c>
      <c r="H148" s="124">
        <f t="shared" si="177"/>
        <v>0.125165756545913</v>
      </c>
      <c r="I148" s="124">
        <f t="shared" si="177"/>
        <v>0.10530697339802889</v>
      </c>
      <c r="J148" s="124">
        <f t="shared" si="177"/>
        <v>0.10398324323931914</v>
      </c>
      <c r="K148" s="124">
        <f t="shared" si="177"/>
        <v>0.10038473505689514</v>
      </c>
      <c r="L148" s="124">
        <f t="shared" si="177"/>
        <v>9.9016679483607442E-2</v>
      </c>
      <c r="M148" s="124">
        <f t="shared" si="177"/>
        <v>8.44398550688851E-2</v>
      </c>
      <c r="N148" s="124">
        <f t="shared" si="177"/>
        <v>9.9019452119407284E-2</v>
      </c>
      <c r="O148" s="124">
        <f t="shared" si="177"/>
        <v>6.2898971765391207E-2</v>
      </c>
      <c r="P148" s="124">
        <f t="shared" si="177"/>
        <v>4.1107391420460944E-2</v>
      </c>
      <c r="Q148" s="124">
        <f t="shared" si="177"/>
        <v>5.2768939204648563E-2</v>
      </c>
      <c r="R148" s="124">
        <f t="shared" si="177"/>
        <v>6.7301485655387586E-2</v>
      </c>
      <c r="S148" s="124">
        <f t="shared" si="177"/>
        <v>9.0664605060673281E-2</v>
      </c>
      <c r="T148" s="124">
        <f t="shared" si="177"/>
        <v>9.1340155888494479E-2</v>
      </c>
      <c r="U148" s="124">
        <f t="shared" si="177"/>
        <v>9.8322222719874439E-2</v>
      </c>
      <c r="V148" s="124">
        <f t="shared" si="177"/>
        <v>8.8394509424037773E-2</v>
      </c>
      <c r="W148" s="124">
        <f t="shared" si="177"/>
        <v>8.3149194964137724E-2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0.12841795624099761</v>
      </c>
      <c r="C149" s="140">
        <f t="shared" ref="C149:W149" si="178">IF(C57=0,0,C57/C$47)</f>
        <v>0.11813668937327491</v>
      </c>
      <c r="D149" s="140">
        <f t="shared" si="178"/>
        <v>0.11865813614650932</v>
      </c>
      <c r="E149" s="140">
        <f t="shared" si="178"/>
        <v>0.12513998662970854</v>
      </c>
      <c r="F149" s="140">
        <f t="shared" si="178"/>
        <v>0.12297980342125778</v>
      </c>
      <c r="G149" s="140">
        <f t="shared" si="178"/>
        <v>0.1183255338218389</v>
      </c>
      <c r="H149" s="140">
        <f t="shared" si="178"/>
        <v>0.125165756545913</v>
      </c>
      <c r="I149" s="140">
        <f t="shared" si="178"/>
        <v>0.10530697339802889</v>
      </c>
      <c r="J149" s="140">
        <f t="shared" si="178"/>
        <v>0.10398324323931914</v>
      </c>
      <c r="K149" s="140">
        <f t="shared" si="178"/>
        <v>0.10038473505689514</v>
      </c>
      <c r="L149" s="140">
        <f t="shared" si="178"/>
        <v>9.9016679483607442E-2</v>
      </c>
      <c r="M149" s="140">
        <f t="shared" si="178"/>
        <v>8.44398550688851E-2</v>
      </c>
      <c r="N149" s="140">
        <f t="shared" si="178"/>
        <v>9.9019452119407284E-2</v>
      </c>
      <c r="O149" s="140">
        <f t="shared" si="178"/>
        <v>6.2898971765391207E-2</v>
      </c>
      <c r="P149" s="140">
        <f t="shared" si="178"/>
        <v>4.1107391420460944E-2</v>
      </c>
      <c r="Q149" s="140">
        <f t="shared" si="178"/>
        <v>5.2768939204648563E-2</v>
      </c>
      <c r="R149" s="140">
        <f t="shared" si="178"/>
        <v>6.7301485655387586E-2</v>
      </c>
      <c r="S149" s="140">
        <f t="shared" si="178"/>
        <v>9.0664605060673281E-2</v>
      </c>
      <c r="T149" s="140">
        <f t="shared" si="178"/>
        <v>9.1340155888494479E-2</v>
      </c>
      <c r="U149" s="140">
        <f t="shared" si="178"/>
        <v>9.8322222719874439E-2</v>
      </c>
      <c r="V149" s="140">
        <f t="shared" si="178"/>
        <v>8.8394509424037773E-2</v>
      </c>
      <c r="W149" s="140">
        <f t="shared" si="178"/>
        <v>8.3149194964137724E-2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0.30644564177945649</v>
      </c>
      <c r="C152" s="140">
        <f t="shared" ref="C152:W152" si="181">IF(C60=0,0,C60/C$59)</f>
        <v>0.29971995747114755</v>
      </c>
      <c r="D152" s="140">
        <f t="shared" si="181"/>
        <v>0.29583046582936184</v>
      </c>
      <c r="E152" s="140">
        <f t="shared" si="181"/>
        <v>0.29401909234148432</v>
      </c>
      <c r="F152" s="140">
        <f t="shared" si="181"/>
        <v>0.29478167513602599</v>
      </c>
      <c r="G152" s="140">
        <f t="shared" si="181"/>
        <v>0.28803906638629384</v>
      </c>
      <c r="H152" s="140">
        <f t="shared" si="181"/>
        <v>0.27029062531467202</v>
      </c>
      <c r="I152" s="140">
        <f t="shared" si="181"/>
        <v>0.2567913488581629</v>
      </c>
      <c r="J152" s="140">
        <f t="shared" si="181"/>
        <v>0.25564362365721655</v>
      </c>
      <c r="K152" s="140">
        <f t="shared" si="181"/>
        <v>0.27880612794297449</v>
      </c>
      <c r="L152" s="140">
        <f t="shared" si="181"/>
        <v>0.27917534780685543</v>
      </c>
      <c r="M152" s="140">
        <f t="shared" si="181"/>
        <v>0.26681125311739329</v>
      </c>
      <c r="N152" s="140">
        <f t="shared" si="181"/>
        <v>0.26147704349026579</v>
      </c>
      <c r="O152" s="140">
        <f t="shared" si="181"/>
        <v>0.27578337645621953</v>
      </c>
      <c r="P152" s="140">
        <f t="shared" si="181"/>
        <v>0.28671905158418043</v>
      </c>
      <c r="Q152" s="140">
        <f t="shared" si="181"/>
        <v>0.28874950823939127</v>
      </c>
      <c r="R152" s="140">
        <f t="shared" si="181"/>
        <v>0.29459937141533432</v>
      </c>
      <c r="S152" s="140">
        <f t="shared" si="181"/>
        <v>0.28654821683259818</v>
      </c>
      <c r="T152" s="140">
        <f t="shared" si="181"/>
        <v>0.29079852976003778</v>
      </c>
      <c r="U152" s="140">
        <f t="shared" si="181"/>
        <v>0.29358807737320303</v>
      </c>
      <c r="V152" s="140">
        <f t="shared" si="181"/>
        <v>0.26974222807366544</v>
      </c>
      <c r="W152" s="140">
        <f t="shared" si="181"/>
        <v>0.28024793256143621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0.69355435822054357</v>
      </c>
      <c r="C153" s="127">
        <f t="shared" ref="C153:W153" si="182">IF(C61=0,0,C61/C$59)</f>
        <v>0.70028004252885245</v>
      </c>
      <c r="D153" s="127">
        <f t="shared" si="182"/>
        <v>0.70416953417063821</v>
      </c>
      <c r="E153" s="127">
        <f t="shared" si="182"/>
        <v>0.70598090765851562</v>
      </c>
      <c r="F153" s="127">
        <f t="shared" si="182"/>
        <v>0.70521832486397396</v>
      </c>
      <c r="G153" s="127">
        <f t="shared" si="182"/>
        <v>0.71196093361370627</v>
      </c>
      <c r="H153" s="127">
        <f t="shared" si="182"/>
        <v>0.72970937468532793</v>
      </c>
      <c r="I153" s="127">
        <f t="shared" si="182"/>
        <v>0.7432086511418371</v>
      </c>
      <c r="J153" s="127">
        <f t="shared" si="182"/>
        <v>0.7443563763427834</v>
      </c>
      <c r="K153" s="127">
        <f t="shared" si="182"/>
        <v>0.72119387205702545</v>
      </c>
      <c r="L153" s="127">
        <f t="shared" si="182"/>
        <v>0.72082465219314451</v>
      </c>
      <c r="M153" s="127">
        <f t="shared" si="182"/>
        <v>0.7331887468826066</v>
      </c>
      <c r="N153" s="127">
        <f t="shared" si="182"/>
        <v>0.7385229565097341</v>
      </c>
      <c r="O153" s="127">
        <f t="shared" si="182"/>
        <v>0.72421662354378036</v>
      </c>
      <c r="P153" s="127">
        <f t="shared" si="182"/>
        <v>0.71328094841581957</v>
      </c>
      <c r="Q153" s="127">
        <f t="shared" si="182"/>
        <v>0.71125049176060873</v>
      </c>
      <c r="R153" s="127">
        <f t="shared" si="182"/>
        <v>0.70540062858466568</v>
      </c>
      <c r="S153" s="127">
        <f t="shared" si="182"/>
        <v>0.71345178316740177</v>
      </c>
      <c r="T153" s="127">
        <f t="shared" si="182"/>
        <v>0.70920147023996216</v>
      </c>
      <c r="U153" s="127">
        <f t="shared" si="182"/>
        <v>0.70641192262679697</v>
      </c>
      <c r="V153" s="127">
        <f t="shared" si="182"/>
        <v>0.73025777192633456</v>
      </c>
      <c r="W153" s="127">
        <f t="shared" si="182"/>
        <v>0.71975206743856379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0.77996178899676438</v>
      </c>
      <c r="C157" s="139">
        <f t="shared" ref="C157:W157" si="185">IF(C65=0,0,C65/C$64)</f>
        <v>0.78251893236959214</v>
      </c>
      <c r="D157" s="139">
        <f t="shared" si="185"/>
        <v>0.79605754123346828</v>
      </c>
      <c r="E157" s="139">
        <f t="shared" si="185"/>
        <v>0.79270896116835721</v>
      </c>
      <c r="F157" s="139">
        <f t="shared" si="185"/>
        <v>0.77944723813541605</v>
      </c>
      <c r="G157" s="139">
        <f t="shared" si="185"/>
        <v>0.77481324633667203</v>
      </c>
      <c r="H157" s="139">
        <f t="shared" si="185"/>
        <v>0.77713295799786664</v>
      </c>
      <c r="I157" s="139">
        <f t="shared" si="185"/>
        <v>0.77099531541395716</v>
      </c>
      <c r="J157" s="139">
        <f t="shared" si="185"/>
        <v>0.76841754725284384</v>
      </c>
      <c r="K157" s="139">
        <f t="shared" si="185"/>
        <v>0.78147948591188743</v>
      </c>
      <c r="L157" s="139">
        <f t="shared" si="185"/>
        <v>0.77214617461866153</v>
      </c>
      <c r="M157" s="139">
        <f t="shared" si="185"/>
        <v>0.75272184905608874</v>
      </c>
      <c r="N157" s="139">
        <f t="shared" si="185"/>
        <v>0.74434425461204923</v>
      </c>
      <c r="O157" s="139">
        <f t="shared" si="185"/>
        <v>0.77319034878750004</v>
      </c>
      <c r="P157" s="139">
        <f t="shared" si="185"/>
        <v>0.76952630371649877</v>
      </c>
      <c r="Q157" s="139">
        <f t="shared" si="185"/>
        <v>0.76179633995320795</v>
      </c>
      <c r="R157" s="139">
        <f t="shared" si="185"/>
        <v>0.75030547440969009</v>
      </c>
      <c r="S157" s="139">
        <f t="shared" si="185"/>
        <v>0.7311997489754446</v>
      </c>
      <c r="T157" s="139">
        <f t="shared" si="185"/>
        <v>0.72502181401946997</v>
      </c>
      <c r="U157" s="139">
        <f t="shared" si="185"/>
        <v>0.72410497509701077</v>
      </c>
      <c r="V157" s="139">
        <f t="shared" si="185"/>
        <v>0.86222926691303037</v>
      </c>
      <c r="W157" s="139">
        <f t="shared" si="185"/>
        <v>0.83210052379819932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1.6535334918630573E-2</v>
      </c>
      <c r="C158" s="140">
        <f t="shared" ref="C158:W158" si="186">IF(C66=0,0,C66/C$64)</f>
        <v>1.7083167728235354E-2</v>
      </c>
      <c r="D158" s="140">
        <f t="shared" si="186"/>
        <v>1.5180365082325373E-2</v>
      </c>
      <c r="E158" s="140">
        <f t="shared" si="186"/>
        <v>1.6243147972371665E-2</v>
      </c>
      <c r="F158" s="140">
        <f t="shared" si="186"/>
        <v>1.5022806554105492E-2</v>
      </c>
      <c r="G158" s="140">
        <f t="shared" si="186"/>
        <v>1.6214897593527098E-2</v>
      </c>
      <c r="H158" s="140">
        <f t="shared" si="186"/>
        <v>1.5893073558847729E-2</v>
      </c>
      <c r="I158" s="140">
        <f t="shared" si="186"/>
        <v>1.7395063757578908E-2</v>
      </c>
      <c r="J158" s="140">
        <f t="shared" si="186"/>
        <v>1.7929754464460684E-2</v>
      </c>
      <c r="K158" s="140">
        <f t="shared" si="186"/>
        <v>1.9107331867724529E-2</v>
      </c>
      <c r="L158" s="140">
        <f t="shared" si="186"/>
        <v>1.9537490959691858E-2</v>
      </c>
      <c r="M158" s="140">
        <f t="shared" si="186"/>
        <v>1.8250529765966274E-2</v>
      </c>
      <c r="N158" s="140">
        <f t="shared" si="186"/>
        <v>1.8672942316713407E-2</v>
      </c>
      <c r="O158" s="140">
        <f t="shared" si="186"/>
        <v>1.8641258284295172E-2</v>
      </c>
      <c r="P158" s="140">
        <f t="shared" si="186"/>
        <v>2.0317253520001435E-2</v>
      </c>
      <c r="Q158" s="140">
        <f t="shared" si="186"/>
        <v>2.1081498539529953E-2</v>
      </c>
      <c r="R158" s="140">
        <f t="shared" si="186"/>
        <v>2.1597431605203485E-2</v>
      </c>
      <c r="S158" s="140">
        <f t="shared" si="186"/>
        <v>2.0291353863076969E-2</v>
      </c>
      <c r="T158" s="140">
        <f t="shared" si="186"/>
        <v>1.888298783243705E-2</v>
      </c>
      <c r="U158" s="140">
        <f t="shared" si="186"/>
        <v>1.9355000353865084E-2</v>
      </c>
      <c r="V158" s="140">
        <f t="shared" si="186"/>
        <v>2.446400885261453E-2</v>
      </c>
      <c r="W158" s="140">
        <f t="shared" si="186"/>
        <v>2.1548239658336819E-2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0.70817667449675936</v>
      </c>
      <c r="C159" s="140">
        <f t="shared" ref="C159:W159" si="187">IF(C67=0,0,C67/C$64)</f>
        <v>0.71174542684681708</v>
      </c>
      <c r="D159" s="140">
        <f t="shared" si="187"/>
        <v>0.72914568538041369</v>
      </c>
      <c r="E159" s="140">
        <f t="shared" si="187"/>
        <v>0.72752978750061215</v>
      </c>
      <c r="F159" s="140">
        <f t="shared" si="187"/>
        <v>0.71644854920035639</v>
      </c>
      <c r="G159" s="140">
        <f t="shared" si="187"/>
        <v>0.71356578413658223</v>
      </c>
      <c r="H159" s="140">
        <f t="shared" si="187"/>
        <v>0.71580868715632173</v>
      </c>
      <c r="I159" s="140">
        <f t="shared" si="187"/>
        <v>0.70860937014924308</v>
      </c>
      <c r="J159" s="140">
        <f t="shared" si="187"/>
        <v>0.70499091559933136</v>
      </c>
      <c r="K159" s="140">
        <f t="shared" si="187"/>
        <v>0.71629564435697757</v>
      </c>
      <c r="L159" s="140">
        <f t="shared" si="187"/>
        <v>0.7066044382292026</v>
      </c>
      <c r="M159" s="140">
        <f t="shared" si="187"/>
        <v>0.6884614132166007</v>
      </c>
      <c r="N159" s="140">
        <f t="shared" si="187"/>
        <v>0.67817787283808673</v>
      </c>
      <c r="O159" s="140">
        <f t="shared" si="187"/>
        <v>0.70679913646169756</v>
      </c>
      <c r="P159" s="140">
        <f t="shared" si="187"/>
        <v>0.70287333129379526</v>
      </c>
      <c r="Q159" s="140">
        <f t="shared" si="187"/>
        <v>0.69567393207457451</v>
      </c>
      <c r="R159" s="140">
        <f t="shared" si="187"/>
        <v>0.68432924575800969</v>
      </c>
      <c r="S159" s="140">
        <f t="shared" si="187"/>
        <v>0.68285313098047529</v>
      </c>
      <c r="T159" s="140">
        <f t="shared" si="187"/>
        <v>0.67873098870337456</v>
      </c>
      <c r="U159" s="140">
        <f t="shared" si="187"/>
        <v>0.67759916651007124</v>
      </c>
      <c r="V159" s="140">
        <f t="shared" si="187"/>
        <v>0.80928992999135863</v>
      </c>
      <c r="W159" s="140">
        <f t="shared" si="187"/>
        <v>0.7788769573179174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5.5249779581374392E-2</v>
      </c>
      <c r="C160" s="140">
        <f t="shared" ref="C160:W160" si="188">IF(C68=0,0,C68/C$64)</f>
        <v>5.3690337794539765E-2</v>
      </c>
      <c r="D160" s="140">
        <f t="shared" si="188"/>
        <v>5.173149077072909E-2</v>
      </c>
      <c r="E160" s="140">
        <f t="shared" si="188"/>
        <v>4.8936025695373427E-2</v>
      </c>
      <c r="F160" s="140">
        <f t="shared" si="188"/>
        <v>4.7975882380954155E-2</v>
      </c>
      <c r="G160" s="140">
        <f t="shared" si="188"/>
        <v>4.5032564606562769E-2</v>
      </c>
      <c r="H160" s="140">
        <f t="shared" si="188"/>
        <v>4.5431197282697143E-2</v>
      </c>
      <c r="I160" s="140">
        <f t="shared" si="188"/>
        <v>4.4990881507135136E-2</v>
      </c>
      <c r="J160" s="140">
        <f t="shared" si="188"/>
        <v>4.5496877189051731E-2</v>
      </c>
      <c r="K160" s="140">
        <f t="shared" si="188"/>
        <v>4.607650968718531E-2</v>
      </c>
      <c r="L160" s="140">
        <f t="shared" si="188"/>
        <v>4.6004245429766999E-2</v>
      </c>
      <c r="M160" s="140">
        <f t="shared" si="188"/>
        <v>4.6009906073521734E-2</v>
      </c>
      <c r="N160" s="140">
        <f t="shared" si="188"/>
        <v>4.7493439457249167E-2</v>
      </c>
      <c r="O160" s="140">
        <f t="shared" si="188"/>
        <v>4.7749954041507281E-2</v>
      </c>
      <c r="P160" s="140">
        <f t="shared" si="188"/>
        <v>4.6335718902702071E-2</v>
      </c>
      <c r="Q160" s="140">
        <f t="shared" si="188"/>
        <v>4.5040909339103395E-2</v>
      </c>
      <c r="R160" s="140">
        <f t="shared" si="188"/>
        <v>4.4378797046476903E-2</v>
      </c>
      <c r="S160" s="140">
        <f t="shared" si="188"/>
        <v>2.8055264131892375E-2</v>
      </c>
      <c r="T160" s="140">
        <f t="shared" si="188"/>
        <v>2.7407837483658323E-2</v>
      </c>
      <c r="U160" s="140">
        <f t="shared" si="188"/>
        <v>2.7150808233074395E-2</v>
      </c>
      <c r="V160" s="140">
        <f t="shared" si="188"/>
        <v>2.8475328069057306E-2</v>
      </c>
      <c r="W160" s="140">
        <f t="shared" si="188"/>
        <v>3.1675326821945106E-2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1.522897284420221E-2</v>
      </c>
      <c r="C161" s="124">
        <f t="shared" ref="C161:W161" si="189">IF(C69=0,0,C69/C$64)</f>
        <v>1.5656690917822933E-2</v>
      </c>
      <c r="D161" s="124">
        <f t="shared" si="189"/>
        <v>1.5851287461185751E-2</v>
      </c>
      <c r="E161" s="124">
        <f t="shared" si="189"/>
        <v>1.8806657735946263E-2</v>
      </c>
      <c r="F161" s="124">
        <f t="shared" si="189"/>
        <v>2.164803020506658E-2</v>
      </c>
      <c r="G161" s="124">
        <f t="shared" si="189"/>
        <v>2.307898683317829E-2</v>
      </c>
      <c r="H161" s="124">
        <f t="shared" si="189"/>
        <v>1.8423518370271532E-2</v>
      </c>
      <c r="I161" s="124">
        <f t="shared" si="189"/>
        <v>2.0182762268228297E-2</v>
      </c>
      <c r="J161" s="124">
        <f t="shared" si="189"/>
        <v>1.9425603696667588E-2</v>
      </c>
      <c r="K161" s="124">
        <f t="shared" si="189"/>
        <v>1.6384096801212784E-2</v>
      </c>
      <c r="L161" s="124">
        <f t="shared" si="189"/>
        <v>1.6224226752811079E-2</v>
      </c>
      <c r="M161" s="124">
        <f t="shared" si="189"/>
        <v>1.6395137537905419E-2</v>
      </c>
      <c r="N161" s="124">
        <f t="shared" si="189"/>
        <v>1.9858098759717391E-2</v>
      </c>
      <c r="O161" s="124">
        <f t="shared" si="189"/>
        <v>2.2197063537848201E-3</v>
      </c>
      <c r="P161" s="124">
        <f t="shared" si="189"/>
        <v>2.0816729861421524E-3</v>
      </c>
      <c r="Q161" s="124">
        <f t="shared" si="189"/>
        <v>2.66406700856356E-3</v>
      </c>
      <c r="R161" s="124">
        <f t="shared" si="189"/>
        <v>2.5104390019151926E-3</v>
      </c>
      <c r="S161" s="124">
        <f t="shared" si="189"/>
        <v>1.7477766131650837E-3</v>
      </c>
      <c r="T161" s="124">
        <f t="shared" si="189"/>
        <v>1.617785998687514E-3</v>
      </c>
      <c r="U161" s="124">
        <f t="shared" si="189"/>
        <v>1.368029464148652E-3</v>
      </c>
      <c r="V161" s="124">
        <f t="shared" si="189"/>
        <v>1.3865049557231918E-3</v>
      </c>
      <c r="W161" s="124">
        <f t="shared" si="189"/>
        <v>1.8291706032260771E-3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1.522897284420221E-2</v>
      </c>
      <c r="C163" s="140">
        <f t="shared" ref="C163:W163" si="191">IF(C71=0,0,C71/C$64)</f>
        <v>1.5656690917822933E-2</v>
      </c>
      <c r="D163" s="140">
        <f t="shared" si="191"/>
        <v>1.5851287461185751E-2</v>
      </c>
      <c r="E163" s="140">
        <f t="shared" si="191"/>
        <v>1.8806657735946263E-2</v>
      </c>
      <c r="F163" s="140">
        <f t="shared" si="191"/>
        <v>2.164803020506658E-2</v>
      </c>
      <c r="G163" s="140">
        <f t="shared" si="191"/>
        <v>2.307898683317829E-2</v>
      </c>
      <c r="H163" s="140">
        <f t="shared" si="191"/>
        <v>1.8423518370271532E-2</v>
      </c>
      <c r="I163" s="140">
        <f t="shared" si="191"/>
        <v>2.0182762268228297E-2</v>
      </c>
      <c r="J163" s="140">
        <f t="shared" si="191"/>
        <v>1.9425603696667588E-2</v>
      </c>
      <c r="K163" s="140">
        <f t="shared" si="191"/>
        <v>1.6384096801212784E-2</v>
      </c>
      <c r="L163" s="140">
        <f t="shared" si="191"/>
        <v>1.6224226752811079E-2</v>
      </c>
      <c r="M163" s="140">
        <f t="shared" si="191"/>
        <v>1.6395137537905419E-2</v>
      </c>
      <c r="N163" s="140">
        <f t="shared" si="191"/>
        <v>1.9858098759717391E-2</v>
      </c>
      <c r="O163" s="140">
        <f t="shared" si="191"/>
        <v>2.2197063537848201E-3</v>
      </c>
      <c r="P163" s="140">
        <f t="shared" si="191"/>
        <v>2.0816729861421524E-3</v>
      </c>
      <c r="Q163" s="140">
        <f t="shared" si="191"/>
        <v>2.66406700856356E-3</v>
      </c>
      <c r="R163" s="140">
        <f t="shared" si="191"/>
        <v>2.5104390019151926E-3</v>
      </c>
      <c r="S163" s="140">
        <f t="shared" si="191"/>
        <v>1.7477766131650837E-3</v>
      </c>
      <c r="T163" s="140">
        <f t="shared" si="191"/>
        <v>1.617785998687514E-3</v>
      </c>
      <c r="U163" s="140">
        <f t="shared" si="191"/>
        <v>1.368029464148652E-3</v>
      </c>
      <c r="V163" s="140">
        <f t="shared" si="191"/>
        <v>1.3865049557231918E-3</v>
      </c>
      <c r="W163" s="140">
        <f t="shared" si="191"/>
        <v>1.8291706032260771E-3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0.20480923815903337</v>
      </c>
      <c r="C165" s="124">
        <f t="shared" ref="C165:W165" si="193">IF(C73=0,0,C73/C$64)</f>
        <v>0.20182437671258491</v>
      </c>
      <c r="D165" s="124">
        <f t="shared" si="193"/>
        <v>0.18809117130534594</v>
      </c>
      <c r="E165" s="124">
        <f t="shared" si="193"/>
        <v>0.18848438109569654</v>
      </c>
      <c r="F165" s="124">
        <f t="shared" si="193"/>
        <v>0.19890473165951725</v>
      </c>
      <c r="G165" s="124">
        <f t="shared" si="193"/>
        <v>0.20210776683014967</v>
      </c>
      <c r="H165" s="124">
        <f t="shared" si="193"/>
        <v>0.20444352363186188</v>
      </c>
      <c r="I165" s="124">
        <f t="shared" si="193"/>
        <v>0.20882192231781463</v>
      </c>
      <c r="J165" s="124">
        <f t="shared" si="193"/>
        <v>0.21215684905048851</v>
      </c>
      <c r="K165" s="124">
        <f t="shared" si="193"/>
        <v>0.20213641728689985</v>
      </c>
      <c r="L165" s="124">
        <f t="shared" si="193"/>
        <v>0.21162959862852734</v>
      </c>
      <c r="M165" s="124">
        <f t="shared" si="193"/>
        <v>0.23088301340600587</v>
      </c>
      <c r="N165" s="124">
        <f t="shared" si="193"/>
        <v>0.23579764662823338</v>
      </c>
      <c r="O165" s="124">
        <f t="shared" si="193"/>
        <v>0.22458994485871506</v>
      </c>
      <c r="P165" s="124">
        <f t="shared" si="193"/>
        <v>0.22839202329735897</v>
      </c>
      <c r="Q165" s="124">
        <f t="shared" si="193"/>
        <v>0.23553959303822858</v>
      </c>
      <c r="R165" s="124">
        <f t="shared" si="193"/>
        <v>0.24718408658839477</v>
      </c>
      <c r="S165" s="124">
        <f t="shared" si="193"/>
        <v>0.26705247441139035</v>
      </c>
      <c r="T165" s="124">
        <f t="shared" si="193"/>
        <v>0.27336039998184258</v>
      </c>
      <c r="U165" s="124">
        <f t="shared" si="193"/>
        <v>0.27452699543884063</v>
      </c>
      <c r="V165" s="124">
        <f t="shared" si="193"/>
        <v>0.13638422813124643</v>
      </c>
      <c r="W165" s="124">
        <f t="shared" si="193"/>
        <v>0.16607030559857458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8.102973259530713E-2</v>
      </c>
      <c r="C166" s="140">
        <f t="shared" ref="C166:W166" si="194">IF(C74=0,0,C74/C$64)</f>
        <v>7.869274303111029E-2</v>
      </c>
      <c r="D166" s="140">
        <f t="shared" si="194"/>
        <v>7.1734386380517448E-2</v>
      </c>
      <c r="E166" s="140">
        <f t="shared" si="194"/>
        <v>7.2150860227522817E-2</v>
      </c>
      <c r="F166" s="140">
        <f t="shared" si="194"/>
        <v>7.5953160610717232E-2</v>
      </c>
      <c r="G166" s="140">
        <f t="shared" si="194"/>
        <v>8.4452185408610159E-2</v>
      </c>
      <c r="H166" s="140">
        <f t="shared" si="194"/>
        <v>8.5829733622732593E-2</v>
      </c>
      <c r="I166" s="140">
        <f t="shared" si="194"/>
        <v>8.7768204642393474E-2</v>
      </c>
      <c r="J166" s="140">
        <f t="shared" si="194"/>
        <v>8.7088746716666096E-2</v>
      </c>
      <c r="K166" s="140">
        <f t="shared" si="194"/>
        <v>8.0665034433651792E-2</v>
      </c>
      <c r="L166" s="140">
        <f t="shared" si="194"/>
        <v>9.2440248553504523E-2</v>
      </c>
      <c r="M166" s="140">
        <f t="shared" si="194"/>
        <v>8.4866326415320867E-2</v>
      </c>
      <c r="N166" s="140">
        <f t="shared" si="194"/>
        <v>7.9467944698605367E-2</v>
      </c>
      <c r="O166" s="140">
        <f t="shared" si="194"/>
        <v>6.7993920453191276E-2</v>
      </c>
      <c r="P166" s="140">
        <f t="shared" si="194"/>
        <v>7.1143225987087028E-2</v>
      </c>
      <c r="Q166" s="140">
        <f t="shared" si="194"/>
        <v>7.4735111785215289E-2</v>
      </c>
      <c r="R166" s="140">
        <f t="shared" si="194"/>
        <v>7.9820503598423215E-2</v>
      </c>
      <c r="S166" s="140">
        <f t="shared" si="194"/>
        <v>8.61383462166498E-2</v>
      </c>
      <c r="T166" s="140">
        <f t="shared" si="194"/>
        <v>8.8297568390842615E-2</v>
      </c>
      <c r="U166" s="140">
        <f t="shared" si="194"/>
        <v>9.0522402401459576E-2</v>
      </c>
      <c r="V166" s="140">
        <f t="shared" si="194"/>
        <v>5.3815170894908018E-2</v>
      </c>
      <c r="W166" s="140">
        <f t="shared" si="194"/>
        <v>8.1225670745447828E-2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7.3596874525490186E-2</v>
      </c>
      <c r="C167" s="140">
        <f t="shared" ref="C167:W167" si="195">IF(C75=0,0,C75/C$64)</f>
        <v>8.0033823122679634E-2</v>
      </c>
      <c r="D167" s="140">
        <f t="shared" si="195"/>
        <v>7.1898795705672897E-2</v>
      </c>
      <c r="E167" s="140">
        <f t="shared" si="195"/>
        <v>8.0997515467964729E-2</v>
      </c>
      <c r="F167" s="140">
        <f t="shared" si="195"/>
        <v>8.3213296354002056E-2</v>
      </c>
      <c r="G167" s="140">
        <f t="shared" si="195"/>
        <v>8.0008406770068374E-2</v>
      </c>
      <c r="H167" s="140">
        <f t="shared" si="195"/>
        <v>8.1253788806862862E-2</v>
      </c>
      <c r="I167" s="140">
        <f t="shared" si="195"/>
        <v>8.352031715619232E-2</v>
      </c>
      <c r="J167" s="140">
        <f t="shared" si="195"/>
        <v>8.5391499793700129E-2</v>
      </c>
      <c r="K167" s="140">
        <f t="shared" si="195"/>
        <v>8.0586152634578287E-2</v>
      </c>
      <c r="L167" s="140">
        <f t="shared" si="195"/>
        <v>7.8438230585257188E-2</v>
      </c>
      <c r="M167" s="140">
        <f t="shared" si="195"/>
        <v>9.7305506594154531E-2</v>
      </c>
      <c r="N167" s="140">
        <f t="shared" si="195"/>
        <v>0.10317264635764728</v>
      </c>
      <c r="O167" s="140">
        <f t="shared" si="195"/>
        <v>0.1041768792337536</v>
      </c>
      <c r="P167" s="140">
        <f t="shared" si="195"/>
        <v>0.10524140591115409</v>
      </c>
      <c r="Q167" s="140">
        <f t="shared" si="195"/>
        <v>0.10760732532545146</v>
      </c>
      <c r="R167" s="140">
        <f t="shared" si="195"/>
        <v>0.11571443834130526</v>
      </c>
      <c r="S167" s="140">
        <f t="shared" si="195"/>
        <v>0.12722221171525244</v>
      </c>
      <c r="T167" s="140">
        <f t="shared" si="195"/>
        <v>0.12870084876411186</v>
      </c>
      <c r="U167" s="140">
        <f t="shared" si="195"/>
        <v>0.12656252377614144</v>
      </c>
      <c r="V167" s="140">
        <f t="shared" si="195"/>
        <v>4.8001680684285217E-2</v>
      </c>
      <c r="W167" s="140">
        <f t="shared" si="195"/>
        <v>5.2613767476536316E-2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5.0182631038236093E-2</v>
      </c>
      <c r="C168" s="140">
        <f t="shared" ref="C168:W168" si="196">IF(C76=0,0,C76/C$64)</f>
        <v>4.3097810558794997E-2</v>
      </c>
      <c r="D168" s="140">
        <f t="shared" si="196"/>
        <v>4.44579892191556E-2</v>
      </c>
      <c r="E168" s="140">
        <f t="shared" si="196"/>
        <v>3.5336005400209022E-2</v>
      </c>
      <c r="F168" s="140">
        <f t="shared" si="196"/>
        <v>3.9738274694797973E-2</v>
      </c>
      <c r="G168" s="140">
        <f t="shared" si="196"/>
        <v>3.7647174651471139E-2</v>
      </c>
      <c r="H168" s="140">
        <f t="shared" si="196"/>
        <v>3.736000120226643E-2</v>
      </c>
      <c r="I168" s="140">
        <f t="shared" si="196"/>
        <v>3.7533400519228821E-2</v>
      </c>
      <c r="J168" s="140">
        <f t="shared" si="196"/>
        <v>3.9676602540122258E-2</v>
      </c>
      <c r="K168" s="140">
        <f t="shared" si="196"/>
        <v>4.0885230218669771E-2</v>
      </c>
      <c r="L168" s="140">
        <f t="shared" si="196"/>
        <v>4.0751119489765633E-2</v>
      </c>
      <c r="M168" s="140">
        <f t="shared" si="196"/>
        <v>4.8711180396530454E-2</v>
      </c>
      <c r="N168" s="140">
        <f t="shared" si="196"/>
        <v>5.3157055571980742E-2</v>
      </c>
      <c r="O168" s="140">
        <f t="shared" si="196"/>
        <v>5.2419145171770189E-2</v>
      </c>
      <c r="P168" s="140">
        <f t="shared" si="196"/>
        <v>5.2007391399117836E-2</v>
      </c>
      <c r="Q168" s="140">
        <f t="shared" si="196"/>
        <v>5.3197155927561808E-2</v>
      </c>
      <c r="R168" s="140">
        <f t="shared" si="196"/>
        <v>5.1649144648666288E-2</v>
      </c>
      <c r="S168" s="140">
        <f t="shared" si="196"/>
        <v>5.3691916479488094E-2</v>
      </c>
      <c r="T168" s="140">
        <f t="shared" si="196"/>
        <v>5.6361982826888091E-2</v>
      </c>
      <c r="U168" s="140">
        <f t="shared" si="196"/>
        <v>5.7442069261239591E-2</v>
      </c>
      <c r="V168" s="140">
        <f t="shared" si="196"/>
        <v>3.4567376552053206E-2</v>
      </c>
      <c r="W168" s="140">
        <f t="shared" si="196"/>
        <v>3.2230867376590436E-2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0.8433140230225451</v>
      </c>
      <c r="C170" s="139">
        <f t="shared" ref="C170:W170" si="199">IF(C78=0,0,C78/C$77)</f>
        <v>0.85389152024004222</v>
      </c>
      <c r="D170" s="139">
        <f t="shared" si="199"/>
        <v>0.85631080693042616</v>
      </c>
      <c r="E170" s="139">
        <f t="shared" si="199"/>
        <v>0.85307354194454754</v>
      </c>
      <c r="F170" s="139">
        <f t="shared" si="199"/>
        <v>0.85501550143621319</v>
      </c>
      <c r="G170" s="139">
        <f t="shared" si="199"/>
        <v>0.86086672086145866</v>
      </c>
      <c r="H170" s="139">
        <f t="shared" si="199"/>
        <v>0.85313735921384004</v>
      </c>
      <c r="I170" s="139">
        <f t="shared" si="199"/>
        <v>0.86901220767345189</v>
      </c>
      <c r="J170" s="139">
        <f t="shared" si="199"/>
        <v>0.86698336231913864</v>
      </c>
      <c r="K170" s="139">
        <f t="shared" si="199"/>
        <v>0.86687708239040728</v>
      </c>
      <c r="L170" s="139">
        <f t="shared" si="199"/>
        <v>0.86150696942596705</v>
      </c>
      <c r="M170" s="139">
        <f t="shared" si="199"/>
        <v>0.8837412701219246</v>
      </c>
      <c r="N170" s="139">
        <f t="shared" si="199"/>
        <v>0.86262836710942825</v>
      </c>
      <c r="O170" s="139">
        <f t="shared" si="199"/>
        <v>0.91712103058920702</v>
      </c>
      <c r="P170" s="139">
        <f t="shared" si="199"/>
        <v>0.93981458878592761</v>
      </c>
      <c r="Q170" s="139">
        <f t="shared" si="199"/>
        <v>0.92821700031842336</v>
      </c>
      <c r="R170" s="139">
        <f t="shared" si="199"/>
        <v>0.91496668789432478</v>
      </c>
      <c r="S170" s="139">
        <f t="shared" si="199"/>
        <v>0.8865948557701393</v>
      </c>
      <c r="T170" s="139">
        <f t="shared" si="199"/>
        <v>0.88353182126338292</v>
      </c>
      <c r="U170" s="139">
        <f t="shared" si="199"/>
        <v>0.87588038460104367</v>
      </c>
      <c r="V170" s="139">
        <f t="shared" si="199"/>
        <v>0.8830117887179646</v>
      </c>
      <c r="W170" s="139">
        <f t="shared" si="199"/>
        <v>0.89386177972312852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0.25308304857938468</v>
      </c>
      <c r="C171" s="140">
        <f t="shared" ref="C171:W171" si="200">IF(C79=0,0,C79/C$77)</f>
        <v>0.27860004665939275</v>
      </c>
      <c r="D171" s="140">
        <f t="shared" si="200"/>
        <v>0.25012993196996847</v>
      </c>
      <c r="E171" s="140">
        <f t="shared" si="200"/>
        <v>0.24787172467289351</v>
      </c>
      <c r="F171" s="140">
        <f t="shared" si="200"/>
        <v>0.23726232039375297</v>
      </c>
      <c r="G171" s="140">
        <f t="shared" si="200"/>
        <v>0.21510115760658446</v>
      </c>
      <c r="H171" s="140">
        <f t="shared" si="200"/>
        <v>0.21682296278175106</v>
      </c>
      <c r="I171" s="140">
        <f t="shared" si="200"/>
        <v>0.23404392599915236</v>
      </c>
      <c r="J171" s="140">
        <f t="shared" si="200"/>
        <v>0.2284727860212149</v>
      </c>
      <c r="K171" s="140">
        <f t="shared" si="200"/>
        <v>0.2224481284563242</v>
      </c>
      <c r="L171" s="140">
        <f t="shared" si="200"/>
        <v>0.22453527004537405</v>
      </c>
      <c r="M171" s="140">
        <f t="shared" si="200"/>
        <v>0.23904694118377057</v>
      </c>
      <c r="N171" s="140">
        <f t="shared" si="200"/>
        <v>0.24813074931138396</v>
      </c>
      <c r="O171" s="140">
        <f t="shared" si="200"/>
        <v>0.26986532291048287</v>
      </c>
      <c r="P171" s="140">
        <f t="shared" si="200"/>
        <v>0.2658094713500469</v>
      </c>
      <c r="Q171" s="140">
        <f t="shared" si="200"/>
        <v>0.25814214658160556</v>
      </c>
      <c r="R171" s="140">
        <f t="shared" si="200"/>
        <v>0.22430900069817089</v>
      </c>
      <c r="S171" s="140">
        <f t="shared" si="200"/>
        <v>0.21164825741011839</v>
      </c>
      <c r="T171" s="140">
        <f t="shared" si="200"/>
        <v>0.20846305083538674</v>
      </c>
      <c r="U171" s="140">
        <f t="shared" si="200"/>
        <v>0.21517930594413884</v>
      </c>
      <c r="V171" s="140">
        <f t="shared" si="200"/>
        <v>0.16543624796088577</v>
      </c>
      <c r="W171" s="140">
        <f t="shared" si="200"/>
        <v>0.20062901284467163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0.59023097444316031</v>
      </c>
      <c r="C172" s="140">
        <f t="shared" ref="C172:W172" si="201">IF(C80=0,0,C80/C$77)</f>
        <v>0.57529147358064947</v>
      </c>
      <c r="D172" s="140">
        <f t="shared" si="201"/>
        <v>0.60618087496045769</v>
      </c>
      <c r="E172" s="140">
        <f t="shared" si="201"/>
        <v>0.60520181727165401</v>
      </c>
      <c r="F172" s="140">
        <f t="shared" si="201"/>
        <v>0.61775318104246024</v>
      </c>
      <c r="G172" s="140">
        <f t="shared" si="201"/>
        <v>0.64576556325487433</v>
      </c>
      <c r="H172" s="140">
        <f t="shared" si="201"/>
        <v>0.63631439643208909</v>
      </c>
      <c r="I172" s="140">
        <f t="shared" si="201"/>
        <v>0.63496828167429953</v>
      </c>
      <c r="J172" s="140">
        <f t="shared" si="201"/>
        <v>0.63851057629792363</v>
      </c>
      <c r="K172" s="140">
        <f t="shared" si="201"/>
        <v>0.64442895393408306</v>
      </c>
      <c r="L172" s="140">
        <f t="shared" si="201"/>
        <v>0.63697169938059306</v>
      </c>
      <c r="M172" s="140">
        <f t="shared" si="201"/>
        <v>0.64469432893815404</v>
      </c>
      <c r="N172" s="140">
        <f t="shared" si="201"/>
        <v>0.61449761779804435</v>
      </c>
      <c r="O172" s="140">
        <f t="shared" si="201"/>
        <v>0.6472557076787242</v>
      </c>
      <c r="P172" s="140">
        <f t="shared" si="201"/>
        <v>0.67400511743588076</v>
      </c>
      <c r="Q172" s="140">
        <f t="shared" si="201"/>
        <v>0.67007485373681785</v>
      </c>
      <c r="R172" s="140">
        <f t="shared" si="201"/>
        <v>0.69065768719615395</v>
      </c>
      <c r="S172" s="140">
        <f t="shared" si="201"/>
        <v>0.67494659836002091</v>
      </c>
      <c r="T172" s="140">
        <f t="shared" si="201"/>
        <v>0.67506877042799618</v>
      </c>
      <c r="U172" s="140">
        <f t="shared" si="201"/>
        <v>0.66070107865690497</v>
      </c>
      <c r="V172" s="140">
        <f t="shared" si="201"/>
        <v>0.71757554075707874</v>
      </c>
      <c r="W172" s="140">
        <f t="shared" si="201"/>
        <v>0.69323276687845692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1.597164378189507E-2</v>
      </c>
      <c r="C173" s="124">
        <f t="shared" ref="C173:W173" si="202">IF(C81=0,0,C81/C$77)</f>
        <v>1.6134212362118708E-2</v>
      </c>
      <c r="D173" s="124">
        <f t="shared" si="202"/>
        <v>1.4278726075566838E-2</v>
      </c>
      <c r="E173" s="124">
        <f t="shared" si="202"/>
        <v>1.1217145482817735E-2</v>
      </c>
      <c r="F173" s="124">
        <f t="shared" si="202"/>
        <v>1.0093646534896897E-2</v>
      </c>
      <c r="G173" s="124">
        <f t="shared" si="202"/>
        <v>9.6085494276536357E-3</v>
      </c>
      <c r="H173" s="124">
        <f t="shared" si="202"/>
        <v>1.0967935693441972E-2</v>
      </c>
      <c r="I173" s="124">
        <f t="shared" si="202"/>
        <v>1.4676526714377787E-2</v>
      </c>
      <c r="J173" s="124">
        <f t="shared" si="202"/>
        <v>1.6515258065764694E-2</v>
      </c>
      <c r="K173" s="124">
        <f t="shared" si="202"/>
        <v>1.8693938583215965E-2</v>
      </c>
      <c r="L173" s="124">
        <f t="shared" si="202"/>
        <v>2.2889131251768814E-2</v>
      </c>
      <c r="M173" s="124">
        <f t="shared" si="202"/>
        <v>1.3559947032648728E-2</v>
      </c>
      <c r="N173" s="124">
        <f t="shared" si="202"/>
        <v>1.6386241734928177E-2</v>
      </c>
      <c r="O173" s="124">
        <f t="shared" si="202"/>
        <v>4.0611290882923857E-3</v>
      </c>
      <c r="P173" s="124">
        <f t="shared" si="202"/>
        <v>4.3008567734172292E-3</v>
      </c>
      <c r="Q173" s="124">
        <f t="shared" si="202"/>
        <v>3.1938144650220024E-3</v>
      </c>
      <c r="R173" s="124">
        <f t="shared" si="202"/>
        <v>2.2590664655814346E-3</v>
      </c>
      <c r="S173" s="124">
        <f t="shared" si="202"/>
        <v>3.6777667888817909E-3</v>
      </c>
      <c r="T173" s="124">
        <f t="shared" si="202"/>
        <v>4.0755742047695626E-3</v>
      </c>
      <c r="U173" s="124">
        <f t="shared" si="202"/>
        <v>4.8916310126143666E-3</v>
      </c>
      <c r="V173" s="124">
        <f t="shared" si="202"/>
        <v>4.3500600799871282E-3</v>
      </c>
      <c r="W173" s="124">
        <f t="shared" si="202"/>
        <v>1.8758468882671632E-3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1.0477908294353157E-2</v>
      </c>
      <c r="C174" s="124">
        <f t="shared" ref="C174:W174" si="203">IF(C82=0,0,C82/C$77)</f>
        <v>1.0128286859800141E-2</v>
      </c>
      <c r="D174" s="124">
        <f t="shared" si="203"/>
        <v>8.9225269810923116E-3</v>
      </c>
      <c r="E174" s="124">
        <f t="shared" si="203"/>
        <v>8.5074582078670542E-3</v>
      </c>
      <c r="F174" s="124">
        <f t="shared" si="203"/>
        <v>1.0337706786627456E-2</v>
      </c>
      <c r="G174" s="124">
        <f t="shared" si="203"/>
        <v>9.7379997627774217E-3</v>
      </c>
      <c r="H174" s="124">
        <f t="shared" si="203"/>
        <v>9.3923482882840876E-3</v>
      </c>
      <c r="I174" s="124">
        <f t="shared" si="203"/>
        <v>9.0354022009999854E-3</v>
      </c>
      <c r="J174" s="124">
        <f t="shared" si="203"/>
        <v>9.664276808702103E-3</v>
      </c>
      <c r="K174" s="124">
        <f t="shared" si="203"/>
        <v>9.7780747052762535E-3</v>
      </c>
      <c r="L174" s="124">
        <f t="shared" si="203"/>
        <v>1.132486593599984E-2</v>
      </c>
      <c r="M174" s="124">
        <f t="shared" si="203"/>
        <v>1.2093446430083289E-2</v>
      </c>
      <c r="N174" s="124">
        <f t="shared" si="203"/>
        <v>1.2426118159389016E-2</v>
      </c>
      <c r="O174" s="124">
        <f t="shared" si="203"/>
        <v>1.2850622128893313E-2</v>
      </c>
      <c r="P174" s="124">
        <f t="shared" si="203"/>
        <v>1.2619496530435691E-2</v>
      </c>
      <c r="Q174" s="124">
        <f t="shared" si="203"/>
        <v>1.3149041722851329E-2</v>
      </c>
      <c r="R174" s="124">
        <f t="shared" si="203"/>
        <v>1.143735895828512E-2</v>
      </c>
      <c r="S174" s="124">
        <f t="shared" si="203"/>
        <v>1.2631744111002026E-2</v>
      </c>
      <c r="T174" s="124">
        <f t="shared" si="203"/>
        <v>1.325822313975898E-2</v>
      </c>
      <c r="U174" s="124">
        <f t="shared" si="203"/>
        <v>1.2465201474833855E-2</v>
      </c>
      <c r="V174" s="124">
        <f t="shared" si="203"/>
        <v>1.6522364007294382E-2</v>
      </c>
      <c r="W174" s="124">
        <f t="shared" si="203"/>
        <v>1.459187535908949E-2</v>
      </c>
      <c r="DA174" s="176"/>
    </row>
    <row r="175" spans="1:105" ht="11.45" customHeight="1" x14ac:dyDescent="0.25">
      <c r="A175" s="128" t="s">
        <v>27</v>
      </c>
      <c r="B175" s="140">
        <f t="shared" si="197"/>
        <v>4.8114963094768792E-3</v>
      </c>
      <c r="C175" s="140">
        <f t="shared" ref="C175:W175" si="204">IF(C83=0,0,C83/C$77)</f>
        <v>4.5957371970941326E-3</v>
      </c>
      <c r="D175" s="140">
        <f t="shared" si="204"/>
        <v>4.2152064809591709E-3</v>
      </c>
      <c r="E175" s="140">
        <f t="shared" si="204"/>
        <v>3.4474816209280716E-3</v>
      </c>
      <c r="F175" s="140">
        <f t="shared" si="204"/>
        <v>4.3926832597345556E-3</v>
      </c>
      <c r="G175" s="140">
        <f t="shared" si="204"/>
        <v>4.5344518853288381E-3</v>
      </c>
      <c r="H175" s="140">
        <f t="shared" si="204"/>
        <v>4.4284227778667844E-3</v>
      </c>
      <c r="I175" s="140">
        <f t="shared" si="204"/>
        <v>4.1559433992058286E-3</v>
      </c>
      <c r="J175" s="140">
        <f t="shared" si="204"/>
        <v>4.4444629882771647E-3</v>
      </c>
      <c r="K175" s="140">
        <f t="shared" si="204"/>
        <v>4.1416013607708272E-3</v>
      </c>
      <c r="L175" s="140">
        <f t="shared" si="204"/>
        <v>4.4972551689520844E-3</v>
      </c>
      <c r="M175" s="140">
        <f t="shared" si="204"/>
        <v>3.8664721761197487E-3</v>
      </c>
      <c r="N175" s="140">
        <f t="shared" si="204"/>
        <v>3.8631269464004967E-3</v>
      </c>
      <c r="O175" s="140">
        <f t="shared" si="204"/>
        <v>3.688237607018537E-3</v>
      </c>
      <c r="P175" s="140">
        <f t="shared" si="204"/>
        <v>3.5734254331286431E-3</v>
      </c>
      <c r="Q175" s="140">
        <f t="shared" si="204"/>
        <v>3.2605277309176338E-3</v>
      </c>
      <c r="R175" s="140">
        <f t="shared" si="204"/>
        <v>2.828138506510763E-3</v>
      </c>
      <c r="S175" s="140">
        <f t="shared" si="204"/>
        <v>2.8545067961009904E-3</v>
      </c>
      <c r="T175" s="140">
        <f t="shared" si="204"/>
        <v>2.5254063731660367E-3</v>
      </c>
      <c r="U175" s="140">
        <f t="shared" si="204"/>
        <v>2.3014188553558187E-3</v>
      </c>
      <c r="V175" s="140">
        <f t="shared" si="204"/>
        <v>1.8569672313135312E-3</v>
      </c>
      <c r="W175" s="140">
        <f t="shared" si="204"/>
        <v>2.096653358581058E-3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1.7138792743317608E-3</v>
      </c>
      <c r="C176" s="140">
        <f t="shared" ref="C176:W176" si="205">IF(C84=0,0,C84/C$77)</f>
        <v>1.6303128460299194E-3</v>
      </c>
      <c r="D176" s="140">
        <f t="shared" si="205"/>
        <v>1.4255959620124185E-3</v>
      </c>
      <c r="E176" s="140">
        <f t="shared" si="205"/>
        <v>1.4660159269899403E-3</v>
      </c>
      <c r="F176" s="140">
        <f t="shared" si="205"/>
        <v>1.7177712380571891E-3</v>
      </c>
      <c r="G176" s="140">
        <f t="shared" si="205"/>
        <v>1.5636808819115488E-3</v>
      </c>
      <c r="H176" s="140">
        <f t="shared" si="205"/>
        <v>1.5594658569934704E-3</v>
      </c>
      <c r="I176" s="140">
        <f t="shared" si="205"/>
        <v>1.2899077638451825E-3</v>
      </c>
      <c r="J176" s="140">
        <f t="shared" si="205"/>
        <v>1.4355930310516074E-3</v>
      </c>
      <c r="K176" s="140">
        <f t="shared" si="205"/>
        <v>1.586400423829293E-3</v>
      </c>
      <c r="L176" s="140">
        <f t="shared" si="205"/>
        <v>1.6584979397293788E-3</v>
      </c>
      <c r="M176" s="140">
        <f t="shared" si="205"/>
        <v>1.9453253663003771E-3</v>
      </c>
      <c r="N176" s="140">
        <f t="shared" si="205"/>
        <v>1.9937810937541824E-3</v>
      </c>
      <c r="O176" s="140">
        <f t="shared" si="205"/>
        <v>2.0065080740775195E-3</v>
      </c>
      <c r="P176" s="140">
        <f t="shared" si="205"/>
        <v>1.7820604018842501E-3</v>
      </c>
      <c r="Q176" s="140">
        <f t="shared" si="205"/>
        <v>1.862481782709033E-3</v>
      </c>
      <c r="R176" s="140">
        <f t="shared" si="205"/>
        <v>1.5225068976289519E-3</v>
      </c>
      <c r="S176" s="140">
        <f t="shared" si="205"/>
        <v>1.6501133976127395E-3</v>
      </c>
      <c r="T176" s="140">
        <f t="shared" si="205"/>
        <v>1.6703717037945852E-3</v>
      </c>
      <c r="U176" s="140">
        <f t="shared" si="205"/>
        <v>1.8982158895634264E-3</v>
      </c>
      <c r="V176" s="140">
        <f t="shared" si="205"/>
        <v>2.0481551761839362E-3</v>
      </c>
      <c r="W176" s="140">
        <f t="shared" si="205"/>
        <v>1.6513153140288281E-3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3.9525327105445181E-3</v>
      </c>
      <c r="C177" s="140">
        <f t="shared" ref="C177:W177" si="206">IF(C85=0,0,C85/C$77)</f>
        <v>3.9022368166760886E-3</v>
      </c>
      <c r="D177" s="140">
        <f t="shared" si="206"/>
        <v>3.2817245381207222E-3</v>
      </c>
      <c r="E177" s="140">
        <f t="shared" si="206"/>
        <v>3.5939606599490422E-3</v>
      </c>
      <c r="F177" s="140">
        <f t="shared" si="206"/>
        <v>4.2272522888357113E-3</v>
      </c>
      <c r="G177" s="140">
        <f t="shared" si="206"/>
        <v>3.6398669955370333E-3</v>
      </c>
      <c r="H177" s="140">
        <f t="shared" si="206"/>
        <v>3.4044596534238331E-3</v>
      </c>
      <c r="I177" s="140">
        <f t="shared" si="206"/>
        <v>3.5895510379489732E-3</v>
      </c>
      <c r="J177" s="140">
        <f t="shared" si="206"/>
        <v>3.7842207893733324E-3</v>
      </c>
      <c r="K177" s="140">
        <f t="shared" si="206"/>
        <v>4.0500729206761326E-3</v>
      </c>
      <c r="L177" s="140">
        <f t="shared" si="206"/>
        <v>5.1691128273183779E-3</v>
      </c>
      <c r="M177" s="140">
        <f t="shared" si="206"/>
        <v>6.2816488876631642E-3</v>
      </c>
      <c r="N177" s="140">
        <f t="shared" si="206"/>
        <v>6.5692101192343375E-3</v>
      </c>
      <c r="O177" s="140">
        <f t="shared" si="206"/>
        <v>7.1558764477972587E-3</v>
      </c>
      <c r="P177" s="140">
        <f t="shared" si="206"/>
        <v>7.2640106954227979E-3</v>
      </c>
      <c r="Q177" s="140">
        <f t="shared" si="206"/>
        <v>8.0260322092246626E-3</v>
      </c>
      <c r="R177" s="140">
        <f t="shared" si="206"/>
        <v>7.0867135541454046E-3</v>
      </c>
      <c r="S177" s="140">
        <f t="shared" si="206"/>
        <v>8.1271239172882957E-3</v>
      </c>
      <c r="T177" s="140">
        <f t="shared" si="206"/>
        <v>9.0624450627983591E-3</v>
      </c>
      <c r="U177" s="140">
        <f t="shared" si="206"/>
        <v>8.2655667299146099E-3</v>
      </c>
      <c r="V177" s="140">
        <f t="shared" si="206"/>
        <v>1.2617241599796911E-2</v>
      </c>
      <c r="W177" s="140">
        <f t="shared" si="206"/>
        <v>1.0843906686479603E-2</v>
      </c>
      <c r="DA177" s="175"/>
    </row>
    <row r="178" spans="1:105" ht="11.45" customHeight="1" x14ac:dyDescent="0.25">
      <c r="A178" s="109" t="s">
        <v>142</v>
      </c>
      <c r="B178" s="124">
        <f t="shared" si="197"/>
        <v>0.13023642490120682</v>
      </c>
      <c r="C178" s="124">
        <f t="shared" ref="C178:W178" si="207">IF(C86=0,0,C86/C$77)</f>
        <v>0.11984598053803899</v>
      </c>
      <c r="D178" s="124">
        <f t="shared" si="207"/>
        <v>0.1204879400129145</v>
      </c>
      <c r="E178" s="124">
        <f t="shared" si="207"/>
        <v>0.12720185436476752</v>
      </c>
      <c r="F178" s="124">
        <f t="shared" si="207"/>
        <v>0.12455314524226237</v>
      </c>
      <c r="G178" s="124">
        <f t="shared" si="207"/>
        <v>0.11978672994811021</v>
      </c>
      <c r="H178" s="124">
        <f t="shared" si="207"/>
        <v>0.1265023568044337</v>
      </c>
      <c r="I178" s="124">
        <f t="shared" si="207"/>
        <v>0.10727586341117051</v>
      </c>
      <c r="J178" s="124">
        <f t="shared" si="207"/>
        <v>0.10683710280639463</v>
      </c>
      <c r="K178" s="124">
        <f t="shared" si="207"/>
        <v>0.10465090432110044</v>
      </c>
      <c r="L178" s="124">
        <f t="shared" si="207"/>
        <v>0.10427903338626419</v>
      </c>
      <c r="M178" s="124">
        <f t="shared" si="207"/>
        <v>9.0605336415343449E-2</v>
      </c>
      <c r="N178" s="124">
        <f t="shared" si="207"/>
        <v>0.10855927299625465</v>
      </c>
      <c r="O178" s="124">
        <f t="shared" si="207"/>
        <v>6.5967218193607305E-2</v>
      </c>
      <c r="P178" s="124">
        <f t="shared" si="207"/>
        <v>4.3265057910219354E-2</v>
      </c>
      <c r="Q178" s="124">
        <f t="shared" si="207"/>
        <v>5.5440143493703277E-2</v>
      </c>
      <c r="R178" s="124">
        <f t="shared" si="207"/>
        <v>7.1336886681808681E-2</v>
      </c>
      <c r="S178" s="124">
        <f t="shared" si="207"/>
        <v>9.7095633329976894E-2</v>
      </c>
      <c r="T178" s="124">
        <f t="shared" si="207"/>
        <v>9.9134381392088508E-2</v>
      </c>
      <c r="U178" s="124">
        <f t="shared" si="207"/>
        <v>0.10676278291150805</v>
      </c>
      <c r="V178" s="124">
        <f t="shared" si="207"/>
        <v>9.6115787194753902E-2</v>
      </c>
      <c r="W178" s="124">
        <f t="shared" si="207"/>
        <v>8.9670498029514892E-2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0.13023642490120682</v>
      </c>
      <c r="C179" s="140">
        <f t="shared" ref="C179:W179" si="208">IF(C87=0,0,C87/C$77)</f>
        <v>0.11984598053803899</v>
      </c>
      <c r="D179" s="140">
        <f t="shared" si="208"/>
        <v>0.1204879400129145</v>
      </c>
      <c r="E179" s="140">
        <f t="shared" si="208"/>
        <v>0.12720185436476752</v>
      </c>
      <c r="F179" s="140">
        <f t="shared" si="208"/>
        <v>0.12455314524226237</v>
      </c>
      <c r="G179" s="140">
        <f t="shared" si="208"/>
        <v>0.11978672994811021</v>
      </c>
      <c r="H179" s="140">
        <f t="shared" si="208"/>
        <v>0.1265023568044337</v>
      </c>
      <c r="I179" s="140">
        <f t="shared" si="208"/>
        <v>0.10727586341117051</v>
      </c>
      <c r="J179" s="140">
        <f t="shared" si="208"/>
        <v>0.10683710280639463</v>
      </c>
      <c r="K179" s="140">
        <f t="shared" si="208"/>
        <v>0.10465090432110044</v>
      </c>
      <c r="L179" s="140">
        <f t="shared" si="208"/>
        <v>0.10427903338626419</v>
      </c>
      <c r="M179" s="140">
        <f t="shared" si="208"/>
        <v>9.0605336415343449E-2</v>
      </c>
      <c r="N179" s="140">
        <f t="shared" si="208"/>
        <v>0.10855927299625465</v>
      </c>
      <c r="O179" s="140">
        <f t="shared" si="208"/>
        <v>6.5967218193607305E-2</v>
      </c>
      <c r="P179" s="140">
        <f t="shared" si="208"/>
        <v>4.3265057910219354E-2</v>
      </c>
      <c r="Q179" s="140">
        <f t="shared" si="208"/>
        <v>5.5440143493703277E-2</v>
      </c>
      <c r="R179" s="140">
        <f t="shared" si="208"/>
        <v>7.1336886681808681E-2</v>
      </c>
      <c r="S179" s="140">
        <f t="shared" si="208"/>
        <v>9.7095633329976894E-2</v>
      </c>
      <c r="T179" s="140">
        <f t="shared" si="208"/>
        <v>9.9134381392088508E-2</v>
      </c>
      <c r="U179" s="140">
        <f t="shared" si="208"/>
        <v>0.10676278291150805</v>
      </c>
      <c r="V179" s="140">
        <f t="shared" si="208"/>
        <v>9.6115787194753902E-2</v>
      </c>
      <c r="W179" s="140">
        <f t="shared" si="208"/>
        <v>8.9670498029514892E-2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0.30372729267751114</v>
      </c>
      <c r="C182" s="140">
        <f t="shared" ref="C182:W182" si="211">IF(C90=0,0,C90/C$89)</f>
        <v>0.29721848406545998</v>
      </c>
      <c r="D182" s="140">
        <f t="shared" si="211"/>
        <v>0.29349493284823303</v>
      </c>
      <c r="E182" s="140">
        <f t="shared" si="211"/>
        <v>0.29173496379488295</v>
      </c>
      <c r="F182" s="140">
        <f t="shared" si="211"/>
        <v>0.29258834479852625</v>
      </c>
      <c r="G182" s="140">
        <f t="shared" si="211"/>
        <v>0.28592630695101301</v>
      </c>
      <c r="H182" s="140">
        <f t="shared" si="211"/>
        <v>0.26815047779924417</v>
      </c>
      <c r="I182" s="140">
        <f t="shared" si="211"/>
        <v>0.25456197592150281</v>
      </c>
      <c r="J182" s="140">
        <f t="shared" si="211"/>
        <v>0.25288461419317254</v>
      </c>
      <c r="K182" s="140">
        <f t="shared" si="211"/>
        <v>0.27606627479424684</v>
      </c>
      <c r="L182" s="140">
        <f t="shared" si="211"/>
        <v>0.27618370066345432</v>
      </c>
      <c r="M182" s="140">
        <f t="shared" si="211"/>
        <v>0.26422961254836203</v>
      </c>
      <c r="N182" s="140">
        <f t="shared" si="211"/>
        <v>0.25913334478836719</v>
      </c>
      <c r="O182" s="140">
        <f t="shared" si="211"/>
        <v>0.27291983560344468</v>
      </c>
      <c r="P182" s="140">
        <f t="shared" si="211"/>
        <v>0.28394428776198882</v>
      </c>
      <c r="Q182" s="140">
        <f t="shared" si="211"/>
        <v>0.28494275715649109</v>
      </c>
      <c r="R182" s="140">
        <f t="shared" si="211"/>
        <v>0.29104757659158847</v>
      </c>
      <c r="S182" s="140">
        <f t="shared" si="211"/>
        <v>0.28328698723829565</v>
      </c>
      <c r="T182" s="140">
        <f t="shared" si="211"/>
        <v>0.28774629163971016</v>
      </c>
      <c r="U182" s="140">
        <f t="shared" si="211"/>
        <v>0.28976628490891382</v>
      </c>
      <c r="V182" s="140">
        <f t="shared" si="211"/>
        <v>0.2631128162115885</v>
      </c>
      <c r="W182" s="140">
        <f t="shared" si="211"/>
        <v>0.27379627651785027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0.6962727073224888</v>
      </c>
      <c r="C183" s="127">
        <f t="shared" ref="C183:W183" si="212">IF(C91=0,0,C91/C$89)</f>
        <v>0.70278151593454008</v>
      </c>
      <c r="D183" s="127">
        <f t="shared" si="212"/>
        <v>0.70650506715176697</v>
      </c>
      <c r="E183" s="127">
        <f t="shared" si="212"/>
        <v>0.70826503620511694</v>
      </c>
      <c r="F183" s="127">
        <f t="shared" si="212"/>
        <v>0.70741165520147387</v>
      </c>
      <c r="G183" s="127">
        <f t="shared" si="212"/>
        <v>0.71407369304898693</v>
      </c>
      <c r="H183" s="127">
        <f t="shared" si="212"/>
        <v>0.73184952220075572</v>
      </c>
      <c r="I183" s="127">
        <f t="shared" si="212"/>
        <v>0.74543802407849713</v>
      </c>
      <c r="J183" s="127">
        <f t="shared" si="212"/>
        <v>0.74711538580682746</v>
      </c>
      <c r="K183" s="127">
        <f t="shared" si="212"/>
        <v>0.72393372520575305</v>
      </c>
      <c r="L183" s="127">
        <f t="shared" si="212"/>
        <v>0.72381629933654568</v>
      </c>
      <c r="M183" s="127">
        <f t="shared" si="212"/>
        <v>0.73577038745163803</v>
      </c>
      <c r="N183" s="127">
        <f t="shared" si="212"/>
        <v>0.74086665521163286</v>
      </c>
      <c r="O183" s="127">
        <f t="shared" si="212"/>
        <v>0.72708016439655543</v>
      </c>
      <c r="P183" s="127">
        <f t="shared" si="212"/>
        <v>0.71605571223801123</v>
      </c>
      <c r="Q183" s="127">
        <f t="shared" si="212"/>
        <v>0.71505724284350891</v>
      </c>
      <c r="R183" s="127">
        <f t="shared" si="212"/>
        <v>0.70895242340841147</v>
      </c>
      <c r="S183" s="127">
        <f t="shared" si="212"/>
        <v>0.7167130127617044</v>
      </c>
      <c r="T183" s="127">
        <f t="shared" si="212"/>
        <v>0.71225370836028978</v>
      </c>
      <c r="U183" s="127">
        <f t="shared" si="212"/>
        <v>0.71023371509108624</v>
      </c>
      <c r="V183" s="127">
        <f t="shared" si="212"/>
        <v>0.73688718378841156</v>
      </c>
      <c r="W183" s="127">
        <f t="shared" si="212"/>
        <v>0.72620372348214979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42.418828793660801</v>
      </c>
      <c r="C186" s="32">
        <f t="shared" si="213"/>
        <v>43.265615237852074</v>
      </c>
      <c r="D186" s="32">
        <f t="shared" si="213"/>
        <v>44.048867749069352</v>
      </c>
      <c r="E186" s="32">
        <f t="shared" si="213"/>
        <v>45.109913666901392</v>
      </c>
      <c r="F186" s="32">
        <f t="shared" si="213"/>
        <v>45.084917586677278</v>
      </c>
      <c r="G186" s="32">
        <f t="shared" si="213"/>
        <v>45.647661240413868</v>
      </c>
      <c r="H186" s="32">
        <f t="shared" si="213"/>
        <v>46.428704220171497</v>
      </c>
      <c r="I186" s="32">
        <f t="shared" si="213"/>
        <v>45.978059709353232</v>
      </c>
      <c r="J186" s="32">
        <f t="shared" si="213"/>
        <v>44.52015916827628</v>
      </c>
      <c r="K186" s="32">
        <f t="shared" si="213"/>
        <v>43.904663007883421</v>
      </c>
      <c r="L186" s="32">
        <f t="shared" si="213"/>
        <v>43.687772797994505</v>
      </c>
      <c r="M186" s="32">
        <f t="shared" si="213"/>
        <v>42.374298241758183</v>
      </c>
      <c r="N186" s="32">
        <f t="shared" si="213"/>
        <v>41.099224865240977</v>
      </c>
      <c r="O186" s="32">
        <f t="shared" si="213"/>
        <v>39.803690445929448</v>
      </c>
      <c r="P186" s="32">
        <f t="shared" si="213"/>
        <v>41.413073729321034</v>
      </c>
      <c r="Q186" s="32">
        <f t="shared" si="213"/>
        <v>40.9590642286622</v>
      </c>
      <c r="R186" s="32">
        <f t="shared" si="213"/>
        <v>39.439190120550613</v>
      </c>
      <c r="S186" s="32">
        <f t="shared" si="213"/>
        <v>39.656007062156576</v>
      </c>
      <c r="T186" s="32">
        <f t="shared" si="213"/>
        <v>39.276193343935653</v>
      </c>
      <c r="U186" s="32">
        <f t="shared" si="213"/>
        <v>39.656903311640342</v>
      </c>
      <c r="V186" s="32">
        <f t="shared" si="213"/>
        <v>48.119611591802297</v>
      </c>
      <c r="W186" s="32">
        <f t="shared" ref="W186" si="214">IF(W34=0,0,W34/W4*1000)</f>
        <v>47.910340811583794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47.392653937850881</v>
      </c>
      <c r="C187" s="141">
        <f t="shared" si="215"/>
        <v>47.61062382827194</v>
      </c>
      <c r="D187" s="141">
        <f t="shared" si="215"/>
        <v>48.894278140523944</v>
      </c>
      <c r="E187" s="141">
        <f t="shared" si="215"/>
        <v>49.989286294082682</v>
      </c>
      <c r="F187" s="141">
        <f t="shared" si="215"/>
        <v>49.70874614316967</v>
      </c>
      <c r="G187" s="141">
        <f t="shared" si="215"/>
        <v>50.843693464619392</v>
      </c>
      <c r="H187" s="141">
        <f t="shared" si="215"/>
        <v>52.6245456235104</v>
      </c>
      <c r="I187" s="141">
        <f t="shared" si="215"/>
        <v>52.249817583851097</v>
      </c>
      <c r="J187" s="141">
        <f t="shared" si="215"/>
        <v>50.773533037770321</v>
      </c>
      <c r="K187" s="141">
        <f t="shared" si="215"/>
        <v>49.684428590104687</v>
      </c>
      <c r="L187" s="141">
        <f t="shared" si="215"/>
        <v>50.217688996847549</v>
      </c>
      <c r="M187" s="141">
        <f t="shared" si="215"/>
        <v>48.957606591130016</v>
      </c>
      <c r="N187" s="141">
        <f t="shared" si="215"/>
        <v>47.458577709878995</v>
      </c>
      <c r="O187" s="141">
        <f t="shared" si="215"/>
        <v>47.442407988207357</v>
      </c>
      <c r="P187" s="141">
        <f t="shared" si="215"/>
        <v>50.734328824900111</v>
      </c>
      <c r="Q187" s="141">
        <f t="shared" si="215"/>
        <v>49.425551966264678</v>
      </c>
      <c r="R187" s="141">
        <f t="shared" si="215"/>
        <v>48.078717216288346</v>
      </c>
      <c r="S187" s="141">
        <f t="shared" si="215"/>
        <v>49.331555674124893</v>
      </c>
      <c r="T187" s="141">
        <f t="shared" si="215"/>
        <v>49.261798970926016</v>
      </c>
      <c r="U187" s="141">
        <f t="shared" si="215"/>
        <v>50.298771052044792</v>
      </c>
      <c r="V187" s="141">
        <f t="shared" si="215"/>
        <v>52.95455306420299</v>
      </c>
      <c r="W187" s="141">
        <f t="shared" ref="W187" si="216">IF(W35=0,0,W35/W5*1000)</f>
        <v>54.805721928489334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35.505008530226434</v>
      </c>
      <c r="C188" s="97">
        <f t="shared" si="217"/>
        <v>35.303514383757786</v>
      </c>
      <c r="D188" s="97">
        <f t="shared" si="217"/>
        <v>34.759847114248544</v>
      </c>
      <c r="E188" s="97">
        <f t="shared" si="217"/>
        <v>34.268169904755929</v>
      </c>
      <c r="F188" s="97">
        <f t="shared" si="217"/>
        <v>34.437103825675841</v>
      </c>
      <c r="G188" s="97">
        <f t="shared" si="217"/>
        <v>33.922257884563699</v>
      </c>
      <c r="H188" s="97">
        <f t="shared" si="217"/>
        <v>33.980586347882522</v>
      </c>
      <c r="I188" s="97">
        <f t="shared" si="217"/>
        <v>33.431416014790223</v>
      </c>
      <c r="J188" s="97">
        <f t="shared" si="217"/>
        <v>33.455419670707307</v>
      </c>
      <c r="K188" s="97">
        <f t="shared" si="217"/>
        <v>33.143340879200927</v>
      </c>
      <c r="L188" s="97">
        <f t="shared" si="217"/>
        <v>33.128863232911485</v>
      </c>
      <c r="M188" s="97">
        <f t="shared" si="217"/>
        <v>32.608049091431837</v>
      </c>
      <c r="N188" s="97">
        <f t="shared" si="217"/>
        <v>32.543330823279391</v>
      </c>
      <c r="O188" s="97">
        <f t="shared" si="217"/>
        <v>32.533339145960923</v>
      </c>
      <c r="P188" s="97">
        <f t="shared" si="217"/>
        <v>32.567361327645855</v>
      </c>
      <c r="Q188" s="97">
        <f t="shared" si="217"/>
        <v>31.98957667939343</v>
      </c>
      <c r="R188" s="97">
        <f t="shared" si="217"/>
        <v>32.327146214422221</v>
      </c>
      <c r="S188" s="97">
        <f t="shared" si="217"/>
        <v>32.426316507803762</v>
      </c>
      <c r="T188" s="97">
        <f t="shared" si="217"/>
        <v>32.247023191583828</v>
      </c>
      <c r="U188" s="97">
        <f t="shared" si="217"/>
        <v>31.907794146004225</v>
      </c>
      <c r="V188" s="97">
        <f t="shared" si="217"/>
        <v>30.254723889736169</v>
      </c>
      <c r="W188" s="97">
        <f t="shared" ref="W188" si="218">IF(W36=0,0,W36/W6*1000)</f>
        <v>29.646064388497546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51.773442116220366</v>
      </c>
      <c r="C189" s="97">
        <f t="shared" si="219"/>
        <v>52.234936615959406</v>
      </c>
      <c r="D189" s="97">
        <f t="shared" si="219"/>
        <v>53.458724119012139</v>
      </c>
      <c r="E189" s="97">
        <f t="shared" si="219"/>
        <v>54.645770595528262</v>
      </c>
      <c r="F189" s="97">
        <f t="shared" si="219"/>
        <v>54.717263232618798</v>
      </c>
      <c r="G189" s="97">
        <f t="shared" si="219"/>
        <v>56.060728221667766</v>
      </c>
      <c r="H189" s="97">
        <f t="shared" si="219"/>
        <v>57.421571025109529</v>
      </c>
      <c r="I189" s="97">
        <f t="shared" si="219"/>
        <v>58.45368036952727</v>
      </c>
      <c r="J189" s="97">
        <f t="shared" si="219"/>
        <v>56.942624577527212</v>
      </c>
      <c r="K189" s="97">
        <f t="shared" si="219"/>
        <v>55.020949508531423</v>
      </c>
      <c r="L189" s="97">
        <f t="shared" si="219"/>
        <v>54.957994508066719</v>
      </c>
      <c r="M189" s="97">
        <f t="shared" si="219"/>
        <v>54.250730400803064</v>
      </c>
      <c r="N189" s="97">
        <f t="shared" si="219"/>
        <v>52.490409667243213</v>
      </c>
      <c r="O189" s="97">
        <f t="shared" si="219"/>
        <v>52.637139329905551</v>
      </c>
      <c r="P189" s="97">
        <f t="shared" si="219"/>
        <v>54.557849687422049</v>
      </c>
      <c r="Q189" s="97">
        <f t="shared" si="219"/>
        <v>54.08782170037027</v>
      </c>
      <c r="R189" s="97">
        <f t="shared" si="219"/>
        <v>52.449127725829506</v>
      </c>
      <c r="S189" s="97">
        <f t="shared" si="219"/>
        <v>52.481662930738629</v>
      </c>
      <c r="T189" s="97">
        <f t="shared" si="219"/>
        <v>52.528705072249458</v>
      </c>
      <c r="U189" s="97">
        <f t="shared" si="219"/>
        <v>53.852007282479619</v>
      </c>
      <c r="V189" s="97">
        <f t="shared" si="219"/>
        <v>55.923284314815419</v>
      </c>
      <c r="W189" s="97">
        <f t="shared" ref="W189" si="220">IF(W37=0,0,W37/W7*1000)</f>
        <v>58.289720740767628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23.533019162205591</v>
      </c>
      <c r="C190" s="97">
        <f t="shared" si="221"/>
        <v>22.75460732192564</v>
      </c>
      <c r="D190" s="97">
        <f t="shared" si="221"/>
        <v>23.125092780355736</v>
      </c>
      <c r="E190" s="97">
        <f t="shared" si="221"/>
        <v>23.341683269886975</v>
      </c>
      <c r="F190" s="97">
        <f t="shared" si="221"/>
        <v>22.049880519435941</v>
      </c>
      <c r="G190" s="97">
        <f t="shared" si="221"/>
        <v>21.933453264968875</v>
      </c>
      <c r="H190" s="97">
        <f t="shared" si="221"/>
        <v>24.58711493886733</v>
      </c>
      <c r="I190" s="97">
        <f t="shared" si="221"/>
        <v>21.174378610109613</v>
      </c>
      <c r="J190" s="97">
        <f t="shared" si="221"/>
        <v>20.447313720593144</v>
      </c>
      <c r="K190" s="97">
        <f t="shared" si="221"/>
        <v>21.573847160879154</v>
      </c>
      <c r="L190" s="97">
        <f t="shared" si="221"/>
        <v>23.876970945536584</v>
      </c>
      <c r="M190" s="97">
        <f t="shared" si="221"/>
        <v>21.693023678687435</v>
      </c>
      <c r="N190" s="97">
        <f t="shared" si="221"/>
        <v>21.766175179169196</v>
      </c>
      <c r="O190" s="97">
        <f t="shared" si="221"/>
        <v>20.829748944367065</v>
      </c>
      <c r="P190" s="97">
        <f t="shared" si="221"/>
        <v>28.078245750614258</v>
      </c>
      <c r="Q190" s="97">
        <f t="shared" si="221"/>
        <v>23.961624072993509</v>
      </c>
      <c r="R190" s="97">
        <f t="shared" si="221"/>
        <v>23.675682809854731</v>
      </c>
      <c r="S190" s="97">
        <f t="shared" si="221"/>
        <v>24.123557676098507</v>
      </c>
      <c r="T190" s="97">
        <f t="shared" si="221"/>
        <v>23.028536232073794</v>
      </c>
      <c r="U190" s="97">
        <f t="shared" si="221"/>
        <v>23.023601623414006</v>
      </c>
      <c r="V190" s="97">
        <f t="shared" si="221"/>
        <v>29.296471897881421</v>
      </c>
      <c r="W190" s="97">
        <f t="shared" ref="W190" si="222">IF(W38=0,0,W38/W8*1000)</f>
        <v>29.932346496865922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19.815188439783803</v>
      </c>
      <c r="C191" s="130">
        <f t="shared" si="223"/>
        <v>20.657894291885604</v>
      </c>
      <c r="D191" s="130">
        <f t="shared" si="223"/>
        <v>21.39163508457484</v>
      </c>
      <c r="E191" s="130">
        <f t="shared" si="223"/>
        <v>24.970723804820658</v>
      </c>
      <c r="F191" s="130">
        <f t="shared" si="223"/>
        <v>29.185489806770061</v>
      </c>
      <c r="G191" s="130">
        <f t="shared" si="223"/>
        <v>30.853526185902489</v>
      </c>
      <c r="H191" s="130">
        <f t="shared" si="223"/>
        <v>23.747545614820474</v>
      </c>
      <c r="I191" s="130">
        <f t="shared" si="223"/>
        <v>26.540034568989721</v>
      </c>
      <c r="J191" s="130">
        <f t="shared" si="223"/>
        <v>24.422978511241848</v>
      </c>
      <c r="K191" s="130">
        <f t="shared" si="223"/>
        <v>22.32758272148585</v>
      </c>
      <c r="L191" s="130">
        <f t="shared" si="223"/>
        <v>21.786504977027988</v>
      </c>
      <c r="M191" s="130">
        <f t="shared" si="223"/>
        <v>22.818422548412656</v>
      </c>
      <c r="N191" s="130">
        <f t="shared" si="223"/>
        <v>24.804928746094273</v>
      </c>
      <c r="O191" s="130">
        <f t="shared" si="223"/>
        <v>10.63303949979548</v>
      </c>
      <c r="P191" s="130">
        <f t="shared" si="223"/>
        <v>10.210601901738112</v>
      </c>
      <c r="Q191" s="130">
        <f t="shared" si="223"/>
        <v>10.293087332474899</v>
      </c>
      <c r="R191" s="130">
        <f t="shared" si="223"/>
        <v>9.93663878979409</v>
      </c>
      <c r="S191" s="130">
        <f t="shared" si="223"/>
        <v>9.348316181747272</v>
      </c>
      <c r="T191" s="130">
        <f t="shared" si="223"/>
        <v>8.7856704260130787</v>
      </c>
      <c r="U191" s="130">
        <f t="shared" si="223"/>
        <v>8.3745472570386763</v>
      </c>
      <c r="V191" s="130">
        <f t="shared" si="223"/>
        <v>13.773569392155174</v>
      </c>
      <c r="W191" s="130">
        <f t="shared" ref="W191" si="224">IF(W39=0,0,W39/W9*1000)</f>
        <v>11.522497675050856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5.5284343687034783</v>
      </c>
      <c r="C192" s="97">
        <f t="shared" si="225"/>
        <v>5.5164814413553671</v>
      </c>
      <c r="D192" s="97">
        <f t="shared" si="225"/>
        <v>5.36093047075006</v>
      </c>
      <c r="E192" s="97">
        <f t="shared" si="225"/>
        <v>5.6716607129917227</v>
      </c>
      <c r="F192" s="97">
        <f t="shared" si="225"/>
        <v>5.538036538204854</v>
      </c>
      <c r="G192" s="97">
        <f t="shared" si="225"/>
        <v>5.247003693196719</v>
      </c>
      <c r="H192" s="97">
        <f t="shared" si="225"/>
        <v>5.1789822793077898</v>
      </c>
      <c r="I192" s="97">
        <f t="shared" si="225"/>
        <v>5.0959404608338561</v>
      </c>
      <c r="J192" s="97">
        <f t="shared" si="225"/>
        <v>4.9646621905196344</v>
      </c>
      <c r="K192" s="97">
        <f t="shared" si="225"/>
        <v>4.9745441295330197</v>
      </c>
      <c r="L192" s="97">
        <f t="shared" si="225"/>
        <v>4.9999084613082934</v>
      </c>
      <c r="M192" s="97">
        <f t="shared" si="225"/>
        <v>4.8515339372760389</v>
      </c>
      <c r="N192" s="97">
        <f t="shared" si="225"/>
        <v>4.8861614485380898</v>
      </c>
      <c r="O192" s="97">
        <f t="shared" si="225"/>
        <v>4.6712082758830391</v>
      </c>
      <c r="P192" s="97">
        <f t="shared" si="225"/>
        <v>4.5311979316518878</v>
      </c>
      <c r="Q192" s="97">
        <f t="shared" si="225"/>
        <v>4.3787564866829181</v>
      </c>
      <c r="R192" s="97">
        <f t="shared" si="225"/>
        <v>4.2747210958199915</v>
      </c>
      <c r="S192" s="97">
        <f t="shared" si="225"/>
        <v>4.2409698280988684</v>
      </c>
      <c r="T192" s="97">
        <f t="shared" si="225"/>
        <v>4.1628025243582893</v>
      </c>
      <c r="U192" s="97">
        <f t="shared" si="225"/>
        <v>4.4794266583460987</v>
      </c>
      <c r="V192" s="97">
        <f t="shared" si="225"/>
        <v>6.3532152748210624</v>
      </c>
      <c r="W192" s="97">
        <f t="shared" ref="W192" si="226">IF(W40=0,0,W40/W10*1000)</f>
        <v>4.9051386579497862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24.634915487577775</v>
      </c>
      <c r="C193" s="97">
        <f t="shared" si="227"/>
        <v>25.825025879210745</v>
      </c>
      <c r="D193" s="97">
        <f t="shared" si="227"/>
        <v>26.942076899427246</v>
      </c>
      <c r="E193" s="97">
        <f t="shared" si="227"/>
        <v>31.904708427863699</v>
      </c>
      <c r="F193" s="97">
        <f t="shared" si="227"/>
        <v>38.511413580947718</v>
      </c>
      <c r="G193" s="97">
        <f t="shared" si="227"/>
        <v>41.025659741588157</v>
      </c>
      <c r="H193" s="97">
        <f t="shared" si="227"/>
        <v>31.285009111001962</v>
      </c>
      <c r="I193" s="97">
        <f t="shared" si="227"/>
        <v>35.544368357148493</v>
      </c>
      <c r="J193" s="97">
        <f t="shared" si="227"/>
        <v>34.948139582467974</v>
      </c>
      <c r="K193" s="97">
        <f t="shared" si="227"/>
        <v>41.682414533676855</v>
      </c>
      <c r="L193" s="97">
        <f t="shared" si="227"/>
        <v>43.765995448494301</v>
      </c>
      <c r="M193" s="97">
        <f t="shared" si="227"/>
        <v>44.869574028575386</v>
      </c>
      <c r="N193" s="97">
        <f t="shared" si="227"/>
        <v>50.555567722844572</v>
      </c>
      <c r="O193" s="97">
        <f t="shared" si="227"/>
        <v>14.416199048043673</v>
      </c>
      <c r="P193" s="97">
        <f t="shared" si="227"/>
        <v>13.592884259090518</v>
      </c>
      <c r="Q193" s="97">
        <f t="shared" si="227"/>
        <v>15.533164149209615</v>
      </c>
      <c r="R193" s="97">
        <f t="shared" si="227"/>
        <v>15.727991350813745</v>
      </c>
      <c r="S193" s="97">
        <f t="shared" si="227"/>
        <v>13.831240164946788</v>
      </c>
      <c r="T193" s="97">
        <f t="shared" si="227"/>
        <v>12.994817934302414</v>
      </c>
      <c r="U193" s="97">
        <f t="shared" si="227"/>
        <v>11.243237435886934</v>
      </c>
      <c r="V193" s="97">
        <f t="shared" si="227"/>
        <v>21.962675688264735</v>
      </c>
      <c r="W193" s="97">
        <f t="shared" ref="W193" si="228">IF(W41=0,0,W41/W11*1000)</f>
        <v>16.203488724045904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13.116451090558371</v>
      </c>
      <c r="C194" s="97">
        <f t="shared" si="229"/>
        <v>12.93823142616475</v>
      </c>
      <c r="D194" s="97">
        <f t="shared" si="229"/>
        <v>13.387952204884295</v>
      </c>
      <c r="E194" s="97">
        <f t="shared" si="229"/>
        <v>12.950816066349995</v>
      </c>
      <c r="F194" s="97">
        <f t="shared" si="229"/>
        <v>13.109469646795452</v>
      </c>
      <c r="G194" s="97">
        <f t="shared" si="229"/>
        <v>12.487328824242017</v>
      </c>
      <c r="H194" s="97">
        <f t="shared" si="229"/>
        <v>12.19322642545764</v>
      </c>
      <c r="I194" s="97">
        <f t="shared" si="229"/>
        <v>12.563843158233102</v>
      </c>
      <c r="J194" s="97">
        <f t="shared" si="229"/>
        <v>12.00476376055942</v>
      </c>
      <c r="K194" s="97">
        <f t="shared" si="229"/>
        <v>12.219936561435293</v>
      </c>
      <c r="L194" s="97">
        <f t="shared" si="229"/>
        <v>12.508664186940543</v>
      </c>
      <c r="M194" s="97">
        <f t="shared" si="229"/>
        <v>12.321370457222455</v>
      </c>
      <c r="N194" s="97">
        <f t="shared" si="229"/>
        <v>11.812816250897646</v>
      </c>
      <c r="O194" s="97">
        <f t="shared" si="229"/>
        <v>10.615160764445065</v>
      </c>
      <c r="P194" s="97">
        <f t="shared" si="229"/>
        <v>10.138277558535018</v>
      </c>
      <c r="Q194" s="97">
        <f t="shared" si="229"/>
        <v>8.8524600070360933</v>
      </c>
      <c r="R194" s="97">
        <f t="shared" si="229"/>
        <v>8.2859873993394082</v>
      </c>
      <c r="S194" s="97">
        <f t="shared" si="229"/>
        <v>8.4186350457703512</v>
      </c>
      <c r="T194" s="97">
        <f t="shared" si="229"/>
        <v>8.1258218531869151</v>
      </c>
      <c r="U194" s="97">
        <f t="shared" si="229"/>
        <v>8.0809633445949203</v>
      </c>
      <c r="V194" s="97">
        <f t="shared" si="229"/>
        <v>11.1515108413191</v>
      </c>
      <c r="W194" s="97">
        <f t="shared" ref="W194" si="230">IF(W42=0,0,W42/W12*1000)</f>
        <v>10.380604238906097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33.279783084061322</v>
      </c>
      <c r="C195" s="130">
        <f t="shared" si="231"/>
        <v>35.315624235548633</v>
      </c>
      <c r="D195" s="130">
        <f t="shared" si="231"/>
        <v>34.365911865687409</v>
      </c>
      <c r="E195" s="130">
        <f t="shared" si="231"/>
        <v>34.855026862558361</v>
      </c>
      <c r="F195" s="130">
        <f t="shared" si="231"/>
        <v>35.155850199571844</v>
      </c>
      <c r="G195" s="130">
        <f t="shared" si="231"/>
        <v>34.662983380904322</v>
      </c>
      <c r="H195" s="130">
        <f t="shared" si="231"/>
        <v>34.839750646277516</v>
      </c>
      <c r="I195" s="130">
        <f t="shared" si="231"/>
        <v>34.015250712517258</v>
      </c>
      <c r="J195" s="130">
        <f t="shared" si="231"/>
        <v>33.099284918241139</v>
      </c>
      <c r="K195" s="130">
        <f t="shared" si="231"/>
        <v>32.727895402556328</v>
      </c>
      <c r="L195" s="130">
        <f t="shared" si="231"/>
        <v>31.855586848452273</v>
      </c>
      <c r="M195" s="130">
        <f t="shared" si="231"/>
        <v>31.204980478669341</v>
      </c>
      <c r="N195" s="130">
        <f t="shared" si="231"/>
        <v>30.106876621740604</v>
      </c>
      <c r="O195" s="130">
        <f t="shared" si="231"/>
        <v>28.545161796212646</v>
      </c>
      <c r="P195" s="130">
        <f t="shared" si="231"/>
        <v>28.615297514814188</v>
      </c>
      <c r="Q195" s="130">
        <f t="shared" si="231"/>
        <v>29.503276984476802</v>
      </c>
      <c r="R195" s="130">
        <f t="shared" si="231"/>
        <v>28.256794221332076</v>
      </c>
      <c r="S195" s="130">
        <f t="shared" si="231"/>
        <v>28.435958361953322</v>
      </c>
      <c r="T195" s="130">
        <f t="shared" si="231"/>
        <v>28.087586813821694</v>
      </c>
      <c r="U195" s="130">
        <f t="shared" si="231"/>
        <v>27.889717898193528</v>
      </c>
      <c r="V195" s="130">
        <f t="shared" si="231"/>
        <v>35.418182279149164</v>
      </c>
      <c r="W195" s="130">
        <f t="shared" ref="W195" si="232">IF(W43=0,0,W43/W13*1000)</f>
        <v>34.109345383610794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71.592184689622115</v>
      </c>
      <c r="C196" s="97">
        <f t="shared" si="233"/>
        <v>77.109559375067406</v>
      </c>
      <c r="D196" s="97">
        <f t="shared" si="233"/>
        <v>72.672086478811906</v>
      </c>
      <c r="E196" s="97">
        <f t="shared" si="233"/>
        <v>70.875052088926864</v>
      </c>
      <c r="F196" s="97">
        <f t="shared" si="233"/>
        <v>70.190039093681548</v>
      </c>
      <c r="G196" s="97">
        <f t="shared" si="233"/>
        <v>73.082334089439357</v>
      </c>
      <c r="H196" s="97">
        <f t="shared" si="233"/>
        <v>72.46417906140131</v>
      </c>
      <c r="I196" s="97">
        <f t="shared" si="233"/>
        <v>70.598213739235931</v>
      </c>
      <c r="J196" s="97">
        <f t="shared" si="233"/>
        <v>74.477873583876743</v>
      </c>
      <c r="K196" s="97">
        <f t="shared" si="233"/>
        <v>72.661588832601439</v>
      </c>
      <c r="L196" s="97">
        <f t="shared" si="233"/>
        <v>78.911398281047227</v>
      </c>
      <c r="M196" s="97">
        <f t="shared" si="233"/>
        <v>70.488791358659739</v>
      </c>
      <c r="N196" s="97">
        <f t="shared" si="233"/>
        <v>70.026203219113938</v>
      </c>
      <c r="O196" s="97">
        <f t="shared" si="233"/>
        <v>68.698073204462347</v>
      </c>
      <c r="P196" s="97">
        <f t="shared" si="233"/>
        <v>72.521709395043175</v>
      </c>
      <c r="Q196" s="97">
        <f t="shared" si="233"/>
        <v>73.899075671207711</v>
      </c>
      <c r="R196" s="97">
        <f t="shared" si="233"/>
        <v>73.510274474690831</v>
      </c>
      <c r="S196" s="97">
        <f t="shared" si="233"/>
        <v>74.285702991358121</v>
      </c>
      <c r="T196" s="97">
        <f t="shared" si="233"/>
        <v>69.847324412513373</v>
      </c>
      <c r="U196" s="97">
        <f t="shared" si="233"/>
        <v>69.666895642158693</v>
      </c>
      <c r="V196" s="97">
        <f t="shared" si="233"/>
        <v>74.225174611997033</v>
      </c>
      <c r="W196" s="97">
        <f t="shared" ref="W196" si="234">IF(W44=0,0,W44/W14*1000)</f>
        <v>77.233638638823251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20.00711303921176</v>
      </c>
      <c r="C197" s="97">
        <f t="shared" si="235"/>
        <v>22.03641952205064</v>
      </c>
      <c r="D197" s="97">
        <f t="shared" si="235"/>
        <v>20.663459500005835</v>
      </c>
      <c r="E197" s="97">
        <f t="shared" si="235"/>
        <v>23.578065505468533</v>
      </c>
      <c r="F197" s="97">
        <f t="shared" si="235"/>
        <v>23.979631348327874</v>
      </c>
      <c r="G197" s="97">
        <f t="shared" si="235"/>
        <v>23.119968571237621</v>
      </c>
      <c r="H197" s="97">
        <f t="shared" si="235"/>
        <v>24.36082803459232</v>
      </c>
      <c r="I197" s="97">
        <f t="shared" si="235"/>
        <v>24.608646110309145</v>
      </c>
      <c r="J197" s="97">
        <f t="shared" si="235"/>
        <v>24.473396782572092</v>
      </c>
      <c r="K197" s="97">
        <f t="shared" si="235"/>
        <v>24.374416344909406</v>
      </c>
      <c r="L197" s="97">
        <f t="shared" si="235"/>
        <v>22.323079762762955</v>
      </c>
      <c r="M197" s="97">
        <f t="shared" si="235"/>
        <v>24.170372590237289</v>
      </c>
      <c r="N197" s="97">
        <f t="shared" si="235"/>
        <v>23.794356408183454</v>
      </c>
      <c r="O197" s="97">
        <f t="shared" si="235"/>
        <v>23.210104584018598</v>
      </c>
      <c r="P197" s="97">
        <f t="shared" si="235"/>
        <v>22.521222620438042</v>
      </c>
      <c r="Q197" s="97">
        <f t="shared" si="235"/>
        <v>23.092513576994349</v>
      </c>
      <c r="R197" s="97">
        <f t="shared" si="235"/>
        <v>22.143923962581134</v>
      </c>
      <c r="S197" s="97">
        <f t="shared" si="235"/>
        <v>22.74425489106099</v>
      </c>
      <c r="T197" s="97">
        <f t="shared" si="235"/>
        <v>23.091836394955706</v>
      </c>
      <c r="U197" s="97">
        <f t="shared" si="235"/>
        <v>23.399669278291878</v>
      </c>
      <c r="V197" s="97">
        <f t="shared" si="235"/>
        <v>24.206358529411659</v>
      </c>
      <c r="W197" s="97">
        <f t="shared" ref="W197" si="236">IF(W45=0,0,W45/W15*1000)</f>
        <v>20.401669037845217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37.338168217147363</v>
      </c>
      <c r="C198" s="97">
        <f t="shared" si="237"/>
        <v>40.556595462424298</v>
      </c>
      <c r="D198" s="97">
        <f t="shared" si="237"/>
        <v>44.157040733029902</v>
      </c>
      <c r="E198" s="97">
        <f t="shared" si="237"/>
        <v>37.0182041944798</v>
      </c>
      <c r="F198" s="97">
        <f t="shared" si="237"/>
        <v>35.940152288838114</v>
      </c>
      <c r="G198" s="97">
        <f t="shared" si="237"/>
        <v>30.994113211744182</v>
      </c>
      <c r="H198" s="97">
        <f t="shared" si="237"/>
        <v>27.707162875171676</v>
      </c>
      <c r="I198" s="97">
        <f t="shared" si="237"/>
        <v>24.987606843119423</v>
      </c>
      <c r="J198" s="97">
        <f t="shared" si="237"/>
        <v>22.654026620937188</v>
      </c>
      <c r="K198" s="97">
        <f t="shared" si="237"/>
        <v>23.228615520073404</v>
      </c>
      <c r="L198" s="97">
        <f t="shared" si="237"/>
        <v>20.808903985185236</v>
      </c>
      <c r="M198" s="97">
        <f t="shared" si="237"/>
        <v>22.455345571935627</v>
      </c>
      <c r="N198" s="97">
        <f t="shared" si="237"/>
        <v>22.511899254205957</v>
      </c>
      <c r="O198" s="97">
        <f t="shared" si="237"/>
        <v>21.934298894709748</v>
      </c>
      <c r="P198" s="97">
        <f t="shared" si="237"/>
        <v>22.344164019159535</v>
      </c>
      <c r="Q198" s="97">
        <f t="shared" si="237"/>
        <v>23.004672477459422</v>
      </c>
      <c r="R198" s="97">
        <f t="shared" si="237"/>
        <v>21.198350210403309</v>
      </c>
      <c r="S198" s="97">
        <f t="shared" si="237"/>
        <v>20.350878389391902</v>
      </c>
      <c r="T198" s="97">
        <f t="shared" si="237"/>
        <v>19.469171610698563</v>
      </c>
      <c r="U198" s="97">
        <f t="shared" si="237"/>
        <v>18.320914610323236</v>
      </c>
      <c r="V198" s="97">
        <f t="shared" si="237"/>
        <v>30.249786335074663</v>
      </c>
      <c r="W198" s="97">
        <f t="shared" ref="W198" si="238">IF(W46=0,0,W46/W16*1000)</f>
        <v>26.028689193026416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63.413704541226899</v>
      </c>
      <c r="C199" s="32">
        <f t="shared" si="239"/>
        <v>64.488257489609467</v>
      </c>
      <c r="D199" s="32">
        <f t="shared" si="239"/>
        <v>59.674954640833342</v>
      </c>
      <c r="E199" s="32">
        <f t="shared" si="239"/>
        <v>60.361027233405046</v>
      </c>
      <c r="F199" s="32">
        <f t="shared" si="239"/>
        <v>57.114395635529419</v>
      </c>
      <c r="G199" s="32">
        <f t="shared" si="239"/>
        <v>54.156572921785276</v>
      </c>
      <c r="H199" s="32">
        <f t="shared" si="239"/>
        <v>53.319683538686732</v>
      </c>
      <c r="I199" s="32">
        <f t="shared" si="239"/>
        <v>51.339594815004119</v>
      </c>
      <c r="J199" s="32">
        <f t="shared" si="239"/>
        <v>51.235648637338166</v>
      </c>
      <c r="K199" s="32">
        <f t="shared" si="239"/>
        <v>50.903749002169342</v>
      </c>
      <c r="L199" s="32">
        <f t="shared" si="239"/>
        <v>50.296671652728264</v>
      </c>
      <c r="M199" s="32">
        <f t="shared" si="239"/>
        <v>47.040986943655319</v>
      </c>
      <c r="N199" s="32">
        <f t="shared" si="239"/>
        <v>44.269076829047087</v>
      </c>
      <c r="O199" s="32">
        <f t="shared" si="239"/>
        <v>41.750240428358993</v>
      </c>
      <c r="P199" s="32">
        <f t="shared" si="239"/>
        <v>40.754454059718263</v>
      </c>
      <c r="Q199" s="32">
        <f t="shared" si="239"/>
        <v>40.567009180889016</v>
      </c>
      <c r="R199" s="32">
        <f t="shared" si="239"/>
        <v>42.957350615304499</v>
      </c>
      <c r="S199" s="32">
        <f t="shared" si="239"/>
        <v>46.221841748516681</v>
      </c>
      <c r="T199" s="32">
        <f t="shared" si="239"/>
        <v>45.947606667931367</v>
      </c>
      <c r="U199" s="32">
        <f t="shared" si="239"/>
        <v>42.948768049540547</v>
      </c>
      <c r="V199" s="32">
        <f t="shared" si="239"/>
        <v>38.996690519121572</v>
      </c>
      <c r="W199" s="32">
        <f t="shared" ref="W199" si="240">IF(W47=0,0,W47/W17*1000)</f>
        <v>41.800430922600697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62.461849380527141</v>
      </c>
      <c r="C200" s="141">
        <f t="shared" si="241"/>
        <v>63.68551104445924</v>
      </c>
      <c r="D200" s="141">
        <f t="shared" si="241"/>
        <v>57.696154290221259</v>
      </c>
      <c r="E200" s="141">
        <f t="shared" si="241"/>
        <v>57.583199574468701</v>
      </c>
      <c r="F200" s="141">
        <f t="shared" si="241"/>
        <v>53.996035815094729</v>
      </c>
      <c r="G200" s="141">
        <f t="shared" si="241"/>
        <v>51.27033363210144</v>
      </c>
      <c r="H200" s="141">
        <f t="shared" si="241"/>
        <v>50.050325666801733</v>
      </c>
      <c r="I200" s="141">
        <f t="shared" si="241"/>
        <v>48.565514357744625</v>
      </c>
      <c r="J200" s="141">
        <f t="shared" si="241"/>
        <v>48.611305222685303</v>
      </c>
      <c r="K200" s="141">
        <f t="shared" si="241"/>
        <v>48.064648551656234</v>
      </c>
      <c r="L200" s="141">
        <f t="shared" si="241"/>
        <v>47.782538295239767</v>
      </c>
      <c r="M200" s="141">
        <f t="shared" si="241"/>
        <v>46.091510759506313</v>
      </c>
      <c r="N200" s="141">
        <f t="shared" si="241"/>
        <v>42.492201477086937</v>
      </c>
      <c r="O200" s="141">
        <f t="shared" si="241"/>
        <v>42.219733925009159</v>
      </c>
      <c r="P200" s="141">
        <f t="shared" si="241"/>
        <v>42.501483698637735</v>
      </c>
      <c r="Q200" s="141">
        <f t="shared" si="241"/>
        <v>41.954081456265243</v>
      </c>
      <c r="R200" s="141">
        <f t="shared" si="241"/>
        <v>43.726109152806444</v>
      </c>
      <c r="S200" s="141">
        <f t="shared" si="241"/>
        <v>45.388130083344521</v>
      </c>
      <c r="T200" s="141">
        <f t="shared" si="241"/>
        <v>45.250341591163284</v>
      </c>
      <c r="U200" s="141">
        <f t="shared" si="241"/>
        <v>41.872074065834965</v>
      </c>
      <c r="V200" s="141">
        <f t="shared" si="241"/>
        <v>37.66860571308127</v>
      </c>
      <c r="W200" s="141">
        <f t="shared" ref="W200" si="242">IF(W48=0,0,W48/W18*1000)</f>
        <v>40.759574832717739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347.90710648021297</v>
      </c>
      <c r="C201" s="97">
        <f t="shared" si="243"/>
        <v>346.27626643350834</v>
      </c>
      <c r="D201" s="97">
        <f t="shared" si="243"/>
        <v>332.70558680632746</v>
      </c>
      <c r="E201" s="97">
        <f t="shared" si="243"/>
        <v>322.09923411512727</v>
      </c>
      <c r="F201" s="97">
        <f t="shared" si="243"/>
        <v>304.87613235152156</v>
      </c>
      <c r="G201" s="97">
        <f t="shared" si="243"/>
        <v>288.8029201788388</v>
      </c>
      <c r="H201" s="97">
        <f t="shared" si="243"/>
        <v>282.748541167719</v>
      </c>
      <c r="I201" s="97">
        <f t="shared" si="243"/>
        <v>267.86168787912891</v>
      </c>
      <c r="J201" s="97">
        <f t="shared" si="243"/>
        <v>260.20440009952802</v>
      </c>
      <c r="K201" s="97">
        <f t="shared" si="243"/>
        <v>248.79969494643419</v>
      </c>
      <c r="L201" s="97">
        <f t="shared" si="243"/>
        <v>246.21192104099592</v>
      </c>
      <c r="M201" s="97">
        <f t="shared" si="243"/>
        <v>245.7117538837081</v>
      </c>
      <c r="N201" s="97">
        <f t="shared" si="243"/>
        <v>245.95818040957957</v>
      </c>
      <c r="O201" s="97">
        <f t="shared" si="243"/>
        <v>246.33889372969978</v>
      </c>
      <c r="P201" s="97">
        <f t="shared" si="243"/>
        <v>241.7684983228275</v>
      </c>
      <c r="Q201" s="97">
        <f t="shared" si="243"/>
        <v>237.44615405605074</v>
      </c>
      <c r="R201" s="97">
        <f t="shared" si="243"/>
        <v>235.58890518276837</v>
      </c>
      <c r="S201" s="97">
        <f t="shared" si="243"/>
        <v>236.59336334367649</v>
      </c>
      <c r="T201" s="97">
        <f t="shared" si="243"/>
        <v>234.22897498695338</v>
      </c>
      <c r="U201" s="97">
        <f t="shared" si="243"/>
        <v>233.19603147794999</v>
      </c>
      <c r="V201" s="97">
        <f t="shared" si="243"/>
        <v>226.58272667283336</v>
      </c>
      <c r="W201" s="97">
        <f t="shared" ref="W201" si="244">IF(W49=0,0,W49/W19*1000)</f>
        <v>230.45300595128577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46.14565054853724</v>
      </c>
      <c r="C202" s="97">
        <f t="shared" si="245"/>
        <v>45.585620547826011</v>
      </c>
      <c r="D202" s="97">
        <f t="shared" si="245"/>
        <v>42.975859106485224</v>
      </c>
      <c r="E202" s="97">
        <f t="shared" si="245"/>
        <v>43.049664383802202</v>
      </c>
      <c r="F202" s="97">
        <f t="shared" si="245"/>
        <v>40.999138359565137</v>
      </c>
      <c r="G202" s="97">
        <f t="shared" si="245"/>
        <v>40.222084702953801</v>
      </c>
      <c r="H202" s="97">
        <f t="shared" si="245"/>
        <v>39.068657824544353</v>
      </c>
      <c r="I202" s="97">
        <f t="shared" si="245"/>
        <v>37.292679842257542</v>
      </c>
      <c r="J202" s="97">
        <f t="shared" si="245"/>
        <v>37.643868188555018</v>
      </c>
      <c r="K202" s="97">
        <f t="shared" si="245"/>
        <v>37.584925934686204</v>
      </c>
      <c r="L202" s="97">
        <f t="shared" si="245"/>
        <v>37.201431340979489</v>
      </c>
      <c r="M202" s="97">
        <f t="shared" si="245"/>
        <v>35.413809917775211</v>
      </c>
      <c r="N202" s="97">
        <f t="shared" si="245"/>
        <v>31.850175333820438</v>
      </c>
      <c r="O202" s="97">
        <f t="shared" si="245"/>
        <v>31.366803630388006</v>
      </c>
      <c r="P202" s="97">
        <f t="shared" si="245"/>
        <v>32.066697527082191</v>
      </c>
      <c r="Q202" s="97">
        <f t="shared" si="245"/>
        <v>31.842078068156614</v>
      </c>
      <c r="R202" s="97">
        <f t="shared" si="245"/>
        <v>34.572229862787616</v>
      </c>
      <c r="S202" s="97">
        <f t="shared" si="245"/>
        <v>36.203454432312505</v>
      </c>
      <c r="T202" s="97">
        <f t="shared" si="245"/>
        <v>36.21706369125674</v>
      </c>
      <c r="U202" s="97">
        <f t="shared" si="245"/>
        <v>33.032795263970407</v>
      </c>
      <c r="V202" s="97">
        <f t="shared" si="245"/>
        <v>31.586810974605978</v>
      </c>
      <c r="W202" s="97">
        <f t="shared" ref="W202" si="246">IF(W50=0,0,W50/W20*1000)</f>
        <v>32.90303265629823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16.959929073128425</v>
      </c>
      <c r="C203" s="130">
        <f t="shared" si="247"/>
        <v>18.80213067328193</v>
      </c>
      <c r="D203" s="130">
        <f t="shared" si="247"/>
        <v>17.823168795589492</v>
      </c>
      <c r="E203" s="130">
        <f t="shared" si="247"/>
        <v>15.796064307508896</v>
      </c>
      <c r="F203" s="130">
        <f t="shared" si="247"/>
        <v>15.094246423985972</v>
      </c>
      <c r="G203" s="130">
        <f t="shared" si="247"/>
        <v>15.415599903739823</v>
      </c>
      <c r="H203" s="130">
        <f t="shared" si="247"/>
        <v>15.073324060342856</v>
      </c>
      <c r="I203" s="130">
        <f t="shared" si="247"/>
        <v>21.213732090458343</v>
      </c>
      <c r="J203" s="130">
        <f t="shared" si="247"/>
        <v>21.556411512062677</v>
      </c>
      <c r="K203" s="130">
        <f t="shared" si="247"/>
        <v>26.336294850546334</v>
      </c>
      <c r="L203" s="130">
        <f t="shared" si="247"/>
        <v>27.531522437739795</v>
      </c>
      <c r="M203" s="130">
        <f t="shared" si="247"/>
        <v>15.887182217116029</v>
      </c>
      <c r="N203" s="130">
        <f t="shared" si="247"/>
        <v>16.010347617592995</v>
      </c>
      <c r="O203" s="130">
        <f t="shared" si="247"/>
        <v>6.2616391691846092</v>
      </c>
      <c r="P203" s="130">
        <f t="shared" si="247"/>
        <v>5.9862650675792457</v>
      </c>
      <c r="Q203" s="130">
        <f t="shared" si="247"/>
        <v>5.4942630450968597</v>
      </c>
      <c r="R203" s="130">
        <f t="shared" si="247"/>
        <v>4.6737047876053683</v>
      </c>
      <c r="S203" s="130">
        <f t="shared" si="247"/>
        <v>6.0630423589029547</v>
      </c>
      <c r="T203" s="130">
        <f t="shared" si="247"/>
        <v>6.2584608100411998</v>
      </c>
      <c r="U203" s="130">
        <f t="shared" si="247"/>
        <v>6.7155096531212202</v>
      </c>
      <c r="V203" s="130">
        <f t="shared" si="247"/>
        <v>8.405085200708081</v>
      </c>
      <c r="W203" s="130">
        <f t="shared" ref="W203" si="248">IF(W51=0,0,W51/W21*1000)</f>
        <v>4.9359801451468259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123.8914268402892</v>
      </c>
      <c r="C204" s="130">
        <f t="shared" si="249"/>
        <v>129.30120282039067</v>
      </c>
      <c r="D204" s="130">
        <f t="shared" si="249"/>
        <v>126.2963508443728</v>
      </c>
      <c r="E204" s="130">
        <f t="shared" si="249"/>
        <v>136.4896293159089</v>
      </c>
      <c r="F204" s="130">
        <f t="shared" si="249"/>
        <v>145.56227384606791</v>
      </c>
      <c r="G204" s="130">
        <f t="shared" si="249"/>
        <v>146.51018420361146</v>
      </c>
      <c r="H204" s="130">
        <f t="shared" si="249"/>
        <v>143.05992207950538</v>
      </c>
      <c r="I204" s="130">
        <f t="shared" si="249"/>
        <v>127.07316384312692</v>
      </c>
      <c r="J204" s="130">
        <f t="shared" si="249"/>
        <v>117.28978297040597</v>
      </c>
      <c r="K204" s="130">
        <f t="shared" si="249"/>
        <v>104.9247711424933</v>
      </c>
      <c r="L204" s="130">
        <f t="shared" si="249"/>
        <v>91.213481992289132</v>
      </c>
      <c r="M204" s="130">
        <f t="shared" si="249"/>
        <v>83.544721128148822</v>
      </c>
      <c r="N204" s="130">
        <f t="shared" si="249"/>
        <v>75.296492679960892</v>
      </c>
      <c r="O204" s="130">
        <f t="shared" si="249"/>
        <v>75.397616451229183</v>
      </c>
      <c r="P204" s="130">
        <f t="shared" si="249"/>
        <v>67.929270419258302</v>
      </c>
      <c r="Q204" s="130">
        <f t="shared" si="249"/>
        <v>70.252697227495261</v>
      </c>
      <c r="R204" s="130">
        <f t="shared" si="249"/>
        <v>62.464387609807389</v>
      </c>
      <c r="S204" s="130">
        <f t="shared" si="249"/>
        <v>61.160115288120615</v>
      </c>
      <c r="T204" s="130">
        <f t="shared" si="249"/>
        <v>56.468448930521198</v>
      </c>
      <c r="U204" s="130">
        <f t="shared" si="249"/>
        <v>51.453334441412842</v>
      </c>
      <c r="V204" s="130">
        <f t="shared" si="249"/>
        <v>85.339128113726247</v>
      </c>
      <c r="W204" s="130">
        <f t="shared" ref="W204" si="250">IF(W52=0,0,W52/W22*1000)</f>
        <v>79.532965920502534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527.48474214363819</v>
      </c>
      <c r="C205" s="97">
        <f t="shared" si="251"/>
        <v>577.09932234438861</v>
      </c>
      <c r="D205" s="97">
        <f t="shared" si="251"/>
        <v>550.38678870166393</v>
      </c>
      <c r="E205" s="97">
        <f t="shared" si="251"/>
        <v>531.3676633073095</v>
      </c>
      <c r="F205" s="97">
        <f t="shared" si="251"/>
        <v>559.03083017487029</v>
      </c>
      <c r="G205" s="97">
        <f t="shared" si="251"/>
        <v>595.63578969537366</v>
      </c>
      <c r="H205" s="97">
        <f t="shared" si="251"/>
        <v>614.5184544105025</v>
      </c>
      <c r="I205" s="97">
        <f t="shared" si="251"/>
        <v>608.14045939041955</v>
      </c>
      <c r="J205" s="97">
        <f t="shared" si="251"/>
        <v>632.32792145552423</v>
      </c>
      <c r="K205" s="97">
        <f t="shared" si="251"/>
        <v>625.02838901305552</v>
      </c>
      <c r="L205" s="97">
        <f t="shared" si="251"/>
        <v>657.37579425147567</v>
      </c>
      <c r="M205" s="97">
        <f t="shared" si="251"/>
        <v>552.83618873638682</v>
      </c>
      <c r="N205" s="97">
        <f t="shared" si="251"/>
        <v>565.84508487012135</v>
      </c>
      <c r="O205" s="97">
        <f t="shared" si="251"/>
        <v>555.2583547373597</v>
      </c>
      <c r="P205" s="97">
        <f t="shared" si="251"/>
        <v>519.39450467884319</v>
      </c>
      <c r="Q205" s="97">
        <f t="shared" si="251"/>
        <v>528.48057390681879</v>
      </c>
      <c r="R205" s="97">
        <f t="shared" si="251"/>
        <v>478.33023303441416</v>
      </c>
      <c r="S205" s="97">
        <f t="shared" si="251"/>
        <v>535.9774194670722</v>
      </c>
      <c r="T205" s="97">
        <f t="shared" si="251"/>
        <v>486.74808509492743</v>
      </c>
      <c r="U205" s="97">
        <f t="shared" si="251"/>
        <v>445.05090072673528</v>
      </c>
      <c r="V205" s="97">
        <f t="shared" si="251"/>
        <v>408.15605990574375</v>
      </c>
      <c r="W205" s="97">
        <f t="shared" ref="W205" si="252">IF(W53=0,0,W53/W23*1000)</f>
        <v>476.31716630606087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115.24303556349282</v>
      </c>
      <c r="C206" s="97">
        <f t="shared" si="253"/>
        <v>120.92957544939446</v>
      </c>
      <c r="D206" s="97">
        <f t="shared" si="253"/>
        <v>114.56213265388031</v>
      </c>
      <c r="E206" s="97">
        <f t="shared" si="253"/>
        <v>127.91861926455111</v>
      </c>
      <c r="F206" s="97">
        <f t="shared" si="253"/>
        <v>140.52871072234299</v>
      </c>
      <c r="G206" s="97">
        <f t="shared" si="253"/>
        <v>137.3166065465974</v>
      </c>
      <c r="H206" s="97">
        <f t="shared" si="253"/>
        <v>165.10165963867843</v>
      </c>
      <c r="I206" s="97">
        <f t="shared" si="253"/>
        <v>163.77056728335219</v>
      </c>
      <c r="J206" s="97">
        <f t="shared" si="253"/>
        <v>166.09947566484027</v>
      </c>
      <c r="K206" s="97">
        <f t="shared" si="253"/>
        <v>166.29555288917689</v>
      </c>
      <c r="L206" s="97">
        <f t="shared" si="253"/>
        <v>150.06439560762891</v>
      </c>
      <c r="M206" s="97">
        <f t="shared" si="253"/>
        <v>157.42795789724448</v>
      </c>
      <c r="N206" s="97">
        <f t="shared" si="253"/>
        <v>147.98380411757475</v>
      </c>
      <c r="O206" s="97">
        <f t="shared" si="253"/>
        <v>143.72221687696572</v>
      </c>
      <c r="P206" s="97">
        <f t="shared" si="253"/>
        <v>118.35978360244981</v>
      </c>
      <c r="Q206" s="97">
        <f t="shared" si="253"/>
        <v>124.69665864974618</v>
      </c>
      <c r="R206" s="97">
        <f t="shared" si="253"/>
        <v>110.42716211587552</v>
      </c>
      <c r="S206" s="97">
        <f t="shared" si="253"/>
        <v>123.51610819804021</v>
      </c>
      <c r="T206" s="97">
        <f t="shared" si="253"/>
        <v>124.2145876475315</v>
      </c>
      <c r="U206" s="97">
        <f t="shared" si="253"/>
        <v>121.71472336267639</v>
      </c>
      <c r="V206" s="97">
        <f t="shared" si="253"/>
        <v>125.06514275810009</v>
      </c>
      <c r="W206" s="97">
        <f t="shared" ref="W206" si="254">IF(W54=0,0,W54/W24*1000)</f>
        <v>114.80521722235017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65.240112033018065</v>
      </c>
      <c r="C207" s="97">
        <f t="shared" si="255"/>
        <v>68.591951760387204</v>
      </c>
      <c r="D207" s="97">
        <f t="shared" si="255"/>
        <v>64.919638008320078</v>
      </c>
      <c r="E207" s="97">
        <f t="shared" si="255"/>
        <v>80.972028751203283</v>
      </c>
      <c r="F207" s="97">
        <f t="shared" si="255"/>
        <v>82.983298854942745</v>
      </c>
      <c r="G207" s="97">
        <f t="shared" si="255"/>
        <v>76.678807039722997</v>
      </c>
      <c r="H207" s="97">
        <f t="shared" si="255"/>
        <v>69.472835823226262</v>
      </c>
      <c r="I207" s="97">
        <f t="shared" si="255"/>
        <v>63.648007881913948</v>
      </c>
      <c r="J207" s="97">
        <f t="shared" si="255"/>
        <v>56.710493806081153</v>
      </c>
      <c r="K207" s="97">
        <f t="shared" si="255"/>
        <v>52.578119228038943</v>
      </c>
      <c r="L207" s="97">
        <f t="shared" si="255"/>
        <v>48.641953233693627</v>
      </c>
      <c r="M207" s="97">
        <f t="shared" si="255"/>
        <v>50.090335720969556</v>
      </c>
      <c r="N207" s="97">
        <f t="shared" si="255"/>
        <v>45.388679475676646</v>
      </c>
      <c r="O207" s="97">
        <f t="shared" si="255"/>
        <v>47.757309573530605</v>
      </c>
      <c r="P207" s="97">
        <f t="shared" si="255"/>
        <v>44.335989696959842</v>
      </c>
      <c r="Q207" s="97">
        <f t="shared" si="255"/>
        <v>48.330806727876102</v>
      </c>
      <c r="R207" s="97">
        <f t="shared" si="255"/>
        <v>43.369189901035199</v>
      </c>
      <c r="S207" s="97">
        <f t="shared" si="255"/>
        <v>43.263327836682379</v>
      </c>
      <c r="T207" s="97">
        <f t="shared" si="255"/>
        <v>41.925464588344475</v>
      </c>
      <c r="U207" s="97">
        <f t="shared" si="255"/>
        <v>37.316691877528335</v>
      </c>
      <c r="V207" s="97">
        <f t="shared" si="255"/>
        <v>73.065512074104618</v>
      </c>
      <c r="W207" s="97">
        <f t="shared" ref="W207" si="256">IF(W55=0,0,W55/W25*1000)</f>
        <v>65.846035896033783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118.12662597517694</v>
      </c>
      <c r="C208" s="130">
        <f t="shared" si="257"/>
        <v>117.44315413328582</v>
      </c>
      <c r="D208" s="130">
        <f t="shared" si="257"/>
        <v>139.45184693717454</v>
      </c>
      <c r="E208" s="130">
        <f t="shared" si="257"/>
        <v>168.65348628691839</v>
      </c>
      <c r="F208" s="130">
        <f t="shared" si="257"/>
        <v>173.23687321798994</v>
      </c>
      <c r="G208" s="130">
        <f t="shared" si="257"/>
        <v>151.80691077718868</v>
      </c>
      <c r="H208" s="130">
        <f t="shared" si="257"/>
        <v>155.45657476026412</v>
      </c>
      <c r="I208" s="130">
        <f t="shared" si="257"/>
        <v>146.41529160370484</v>
      </c>
      <c r="J208" s="130">
        <f t="shared" si="257"/>
        <v>143.20899832796644</v>
      </c>
      <c r="K208" s="130">
        <f t="shared" si="257"/>
        <v>140.00127067171553</v>
      </c>
      <c r="L208" s="130">
        <f t="shared" si="257"/>
        <v>126.24940775517116</v>
      </c>
      <c r="M208" s="130">
        <f t="shared" si="257"/>
        <v>96.192562601666978</v>
      </c>
      <c r="N208" s="130">
        <f t="shared" si="257"/>
        <v>119.4239408334517</v>
      </c>
      <c r="O208" s="130">
        <f t="shared" si="257"/>
        <v>69.752372683886904</v>
      </c>
      <c r="P208" s="130">
        <f t="shared" si="257"/>
        <v>42.577199329484081</v>
      </c>
      <c r="Q208" s="130">
        <f t="shared" si="257"/>
        <v>49.469372230358339</v>
      </c>
      <c r="R208" s="130">
        <f t="shared" si="257"/>
        <v>66.202619506622483</v>
      </c>
      <c r="S208" s="130">
        <f t="shared" si="257"/>
        <v>112.48244193197895</v>
      </c>
      <c r="T208" s="130">
        <f t="shared" si="257"/>
        <v>102.17473848236673</v>
      </c>
      <c r="U208" s="130">
        <f t="shared" si="257"/>
        <v>103.3472726344078</v>
      </c>
      <c r="V208" s="130">
        <f t="shared" si="257"/>
        <v>96.443480704410135</v>
      </c>
      <c r="W208" s="130">
        <f t="shared" ref="W208" si="258">IF(W56=0,0,W56/W26*1000)</f>
        <v>107.94844148053782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118.12662597517694</v>
      </c>
      <c r="C209" s="97">
        <f t="shared" si="259"/>
        <v>117.44315413328582</v>
      </c>
      <c r="D209" s="97">
        <f t="shared" si="259"/>
        <v>139.45184693717454</v>
      </c>
      <c r="E209" s="97">
        <f t="shared" si="259"/>
        <v>168.65348628691839</v>
      </c>
      <c r="F209" s="97">
        <f t="shared" si="259"/>
        <v>173.23687321798994</v>
      </c>
      <c r="G209" s="97">
        <f t="shared" si="259"/>
        <v>151.80691077718868</v>
      </c>
      <c r="H209" s="97">
        <f t="shared" si="259"/>
        <v>155.45657476026412</v>
      </c>
      <c r="I209" s="97">
        <f t="shared" si="259"/>
        <v>146.41529160370484</v>
      </c>
      <c r="J209" s="97">
        <f t="shared" si="259"/>
        <v>143.20899832796644</v>
      </c>
      <c r="K209" s="97">
        <f t="shared" si="259"/>
        <v>140.00127067171553</v>
      </c>
      <c r="L209" s="97">
        <f t="shared" si="259"/>
        <v>126.24940775517116</v>
      </c>
      <c r="M209" s="97">
        <f t="shared" si="259"/>
        <v>96.192562601666978</v>
      </c>
      <c r="N209" s="97">
        <f t="shared" si="259"/>
        <v>119.4239408334517</v>
      </c>
      <c r="O209" s="97">
        <f t="shared" si="259"/>
        <v>69.752372683886904</v>
      </c>
      <c r="P209" s="97">
        <f t="shared" si="259"/>
        <v>42.577199329484081</v>
      </c>
      <c r="Q209" s="97">
        <f t="shared" si="259"/>
        <v>49.469372230358339</v>
      </c>
      <c r="R209" s="97">
        <f t="shared" si="259"/>
        <v>66.202619506622483</v>
      </c>
      <c r="S209" s="97">
        <f t="shared" si="259"/>
        <v>112.48244193197895</v>
      </c>
      <c r="T209" s="97">
        <f t="shared" si="259"/>
        <v>102.17473848236673</v>
      </c>
      <c r="U209" s="97">
        <f t="shared" si="259"/>
        <v>103.3472726344078</v>
      </c>
      <c r="V209" s="97">
        <f t="shared" si="259"/>
        <v>96.443480704410135</v>
      </c>
      <c r="W209" s="97">
        <f t="shared" ref="W209" si="260">IF(W57=0,0,W57/W27*1000)</f>
        <v>107.94844148053782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9.8546899235685999</v>
      </c>
      <c r="C211" s="32">
        <f t="shared" si="263"/>
        <v>9.1771535994290776</v>
      </c>
      <c r="D211" s="32">
        <f t="shared" si="263"/>
        <v>8.8559939852178857</v>
      </c>
      <c r="E211" s="32">
        <f t="shared" si="263"/>
        <v>8.525540747105504</v>
      </c>
      <c r="F211" s="32">
        <f t="shared" si="263"/>
        <v>7.8381908577947517</v>
      </c>
      <c r="G211" s="32">
        <f t="shared" si="263"/>
        <v>7.7725241886444136</v>
      </c>
      <c r="H211" s="32">
        <f t="shared" si="263"/>
        <v>7.5494962559315981</v>
      </c>
      <c r="I211" s="32">
        <f t="shared" si="263"/>
        <v>7.1178989127606425</v>
      </c>
      <c r="J211" s="32">
        <f t="shared" si="263"/>
        <v>7.7300037552347867</v>
      </c>
      <c r="K211" s="32">
        <f t="shared" si="263"/>
        <v>9.3590646593318993</v>
      </c>
      <c r="L211" s="32">
        <f t="shared" si="263"/>
        <v>8.7879592387299272</v>
      </c>
      <c r="M211" s="32">
        <f t="shared" si="263"/>
        <v>8.0918917212622397</v>
      </c>
      <c r="N211" s="32">
        <f t="shared" si="263"/>
        <v>7.5713201811185051</v>
      </c>
      <c r="O211" s="32">
        <f t="shared" si="263"/>
        <v>7.0897187781326592</v>
      </c>
      <c r="P211" s="32">
        <f t="shared" si="263"/>
        <v>7.4926807604938359</v>
      </c>
      <c r="Q211" s="32">
        <f t="shared" si="263"/>
        <v>7.553745185799781</v>
      </c>
      <c r="R211" s="32">
        <f t="shared" si="263"/>
        <v>7.5669075990861199</v>
      </c>
      <c r="S211" s="32">
        <f t="shared" si="263"/>
        <v>6.3731573116349098</v>
      </c>
      <c r="T211" s="32">
        <f t="shared" si="263"/>
        <v>6.2230561009423653</v>
      </c>
      <c r="U211" s="32">
        <f t="shared" si="263"/>
        <v>5.8172821665788197</v>
      </c>
      <c r="V211" s="32">
        <f t="shared" si="263"/>
        <v>5.6056648254124575</v>
      </c>
      <c r="W211" s="32">
        <f t="shared" si="262"/>
        <v>6.2203073800940505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22.692331289957448</v>
      </c>
      <c r="C212" s="97">
        <f t="shared" si="264"/>
        <v>21.673828392389172</v>
      </c>
      <c r="D212" s="97">
        <f t="shared" si="264"/>
        <v>21.046740147243948</v>
      </c>
      <c r="E212" s="97">
        <f t="shared" si="264"/>
        <v>20.219317917748505</v>
      </c>
      <c r="F212" s="97">
        <f t="shared" si="264"/>
        <v>18.690637227534413</v>
      </c>
      <c r="G212" s="97">
        <f t="shared" si="264"/>
        <v>18.962678884264722</v>
      </c>
      <c r="H212" s="97">
        <f t="shared" si="264"/>
        <v>19.169017219922395</v>
      </c>
      <c r="I212" s="97">
        <f t="shared" si="264"/>
        <v>18.74351596289527</v>
      </c>
      <c r="J212" s="97">
        <f t="shared" si="264"/>
        <v>20.513313193196925</v>
      </c>
      <c r="K212" s="97">
        <f t="shared" si="264"/>
        <v>23.689004078144581</v>
      </c>
      <c r="L212" s="97">
        <f t="shared" si="264"/>
        <v>22.456599545782307</v>
      </c>
      <c r="M212" s="97">
        <f t="shared" si="264"/>
        <v>21.525449626106791</v>
      </c>
      <c r="N212" s="97">
        <f t="shared" si="264"/>
        <v>20.626327807022658</v>
      </c>
      <c r="O212" s="97">
        <f t="shared" si="264"/>
        <v>18.710471814539172</v>
      </c>
      <c r="P212" s="97">
        <f t="shared" si="264"/>
        <v>19.270560462980509</v>
      </c>
      <c r="Q212" s="97">
        <f t="shared" si="264"/>
        <v>19.331535672908373</v>
      </c>
      <c r="R212" s="97">
        <f t="shared" si="264"/>
        <v>19.017344326293859</v>
      </c>
      <c r="S212" s="97">
        <f t="shared" si="264"/>
        <v>16.373301741480248</v>
      </c>
      <c r="T212" s="97">
        <f t="shared" si="264"/>
        <v>16.068612397274386</v>
      </c>
      <c r="U212" s="97">
        <f t="shared" si="264"/>
        <v>15.000833281568399</v>
      </c>
      <c r="V212" s="97">
        <f t="shared" si="264"/>
        <v>12.422924076369313</v>
      </c>
      <c r="W212" s="97">
        <f t="shared" si="262"/>
        <v>14.064537233051222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7.8839731813622995</v>
      </c>
      <c r="C213" s="98">
        <f t="shared" si="265"/>
        <v>7.360708186608921</v>
      </c>
      <c r="D213" s="98">
        <f t="shared" si="265"/>
        <v>7.1227528410685892</v>
      </c>
      <c r="E213" s="98">
        <f t="shared" si="265"/>
        <v>6.8706518820540552</v>
      </c>
      <c r="F213" s="98">
        <f t="shared" si="265"/>
        <v>6.3073576019786479</v>
      </c>
      <c r="G213" s="98">
        <f t="shared" si="265"/>
        <v>6.2745224766129901</v>
      </c>
      <c r="H213" s="98">
        <f t="shared" si="265"/>
        <v>6.1652323834609382</v>
      </c>
      <c r="I213" s="98">
        <f t="shared" si="265"/>
        <v>5.8617005732249288</v>
      </c>
      <c r="J213" s="98">
        <f t="shared" si="265"/>
        <v>6.3672601900816446</v>
      </c>
      <c r="K213" s="98">
        <f t="shared" si="265"/>
        <v>7.5852185583325831</v>
      </c>
      <c r="L213" s="98">
        <f t="shared" si="265"/>
        <v>7.1115094612958627</v>
      </c>
      <c r="M213" s="98">
        <f t="shared" si="265"/>
        <v>6.5942931373620253</v>
      </c>
      <c r="N213" s="98">
        <f t="shared" si="265"/>
        <v>6.1852582966976817</v>
      </c>
      <c r="O213" s="98">
        <f t="shared" si="265"/>
        <v>5.7336535618888069</v>
      </c>
      <c r="P213" s="98">
        <f t="shared" si="265"/>
        <v>6.0149352404372847</v>
      </c>
      <c r="Q213" s="98">
        <f t="shared" si="265"/>
        <v>6.0558781283153049</v>
      </c>
      <c r="R213" s="98">
        <f t="shared" si="265"/>
        <v>6.0464659252351085</v>
      </c>
      <c r="S213" s="98">
        <f t="shared" si="265"/>
        <v>5.1177557967949285</v>
      </c>
      <c r="T213" s="98">
        <f t="shared" si="265"/>
        <v>4.9735210929339928</v>
      </c>
      <c r="U213" s="98">
        <f t="shared" si="265"/>
        <v>4.6373749241668527</v>
      </c>
      <c r="V213" s="98">
        <f t="shared" si="265"/>
        <v>4.6608913157565128</v>
      </c>
      <c r="W213" s="98">
        <f t="shared" si="262"/>
        <v>5.1104996969196641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126.09401462636083</v>
      </c>
      <c r="C216" s="32">
        <f t="shared" si="266"/>
        <v>128.63377559276091</v>
      </c>
      <c r="D216" s="32">
        <f t="shared" si="266"/>
        <v>130.71725602479589</v>
      </c>
      <c r="E216" s="32">
        <f t="shared" si="266"/>
        <v>133.88473428343332</v>
      </c>
      <c r="F216" s="32">
        <f t="shared" si="266"/>
        <v>134.16675166401185</v>
      </c>
      <c r="G216" s="32">
        <f t="shared" si="266"/>
        <v>135.71480856979989</v>
      </c>
      <c r="H216" s="32">
        <f t="shared" si="266"/>
        <v>138.92272904086832</v>
      </c>
      <c r="I216" s="32">
        <f t="shared" si="266"/>
        <v>137.10813746494793</v>
      </c>
      <c r="J216" s="32">
        <f t="shared" si="266"/>
        <v>132.03548192244023</v>
      </c>
      <c r="K216" s="32">
        <f t="shared" si="266"/>
        <v>128.5366789084205</v>
      </c>
      <c r="L216" s="32">
        <f t="shared" si="266"/>
        <v>126.51615404897565</v>
      </c>
      <c r="M216" s="32">
        <f t="shared" si="266"/>
        <v>121.51236647802027</v>
      </c>
      <c r="N216" s="32">
        <f t="shared" si="266"/>
        <v>115.99561125629482</v>
      </c>
      <c r="O216" s="32">
        <f t="shared" si="266"/>
        <v>116.2305614152949</v>
      </c>
      <c r="P216" s="32">
        <f t="shared" si="266"/>
        <v>120.72227146440659</v>
      </c>
      <c r="Q216" s="32">
        <f t="shared" si="266"/>
        <v>119.54584789163997</v>
      </c>
      <c r="R216" s="32">
        <f t="shared" si="266"/>
        <v>114.89478496877697</v>
      </c>
      <c r="S216" s="32">
        <f t="shared" si="266"/>
        <v>115.08548745203234</v>
      </c>
      <c r="T216" s="32">
        <f t="shared" si="266"/>
        <v>112.98061780709921</v>
      </c>
      <c r="U216" s="32">
        <f t="shared" si="266"/>
        <v>114.29348236875278</v>
      </c>
      <c r="V216" s="32">
        <f t="shared" si="266"/>
        <v>137.34008366548372</v>
      </c>
      <c r="W216" s="32">
        <f t="shared" ref="W216" si="267">IF(W4=0,0,W64/W4*1000)</f>
        <v>137.51756433636797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141.75891556695436</v>
      </c>
      <c r="C217" s="141">
        <f t="shared" si="268"/>
        <v>142.58008622771615</v>
      </c>
      <c r="D217" s="141">
        <f t="shared" si="268"/>
        <v>146.21233293096125</v>
      </c>
      <c r="E217" s="141">
        <f t="shared" si="268"/>
        <v>149.49297576397316</v>
      </c>
      <c r="F217" s="141">
        <f t="shared" si="268"/>
        <v>149.10807348081846</v>
      </c>
      <c r="G217" s="141">
        <f t="shared" si="268"/>
        <v>152.40215124484712</v>
      </c>
      <c r="H217" s="141">
        <f t="shared" si="268"/>
        <v>158.43760407196908</v>
      </c>
      <c r="I217" s="141">
        <f t="shared" si="268"/>
        <v>156.66423538518742</v>
      </c>
      <c r="J217" s="141">
        <f t="shared" si="268"/>
        <v>151.40509946193168</v>
      </c>
      <c r="K217" s="141">
        <f t="shared" si="268"/>
        <v>145.90297293661021</v>
      </c>
      <c r="L217" s="141">
        <f t="shared" si="268"/>
        <v>145.49198712887218</v>
      </c>
      <c r="M217" s="141">
        <f t="shared" si="268"/>
        <v>140.21527279922378</v>
      </c>
      <c r="N217" s="141">
        <f t="shared" si="268"/>
        <v>133.10921150162125</v>
      </c>
      <c r="O217" s="141">
        <f t="shared" si="268"/>
        <v>139.40698153626226</v>
      </c>
      <c r="P217" s="141">
        <f t="shared" si="268"/>
        <v>148.73188392597913</v>
      </c>
      <c r="Q217" s="141">
        <f t="shared" si="268"/>
        <v>145.01391033279882</v>
      </c>
      <c r="R217" s="141">
        <f t="shared" si="268"/>
        <v>140.60195233319939</v>
      </c>
      <c r="S217" s="141">
        <f t="shared" si="268"/>
        <v>143.45306258081408</v>
      </c>
      <c r="T217" s="141">
        <f t="shared" si="268"/>
        <v>141.44786751451261</v>
      </c>
      <c r="U217" s="141">
        <f t="shared" si="268"/>
        <v>144.63629774530187</v>
      </c>
      <c r="V217" s="141">
        <f t="shared" si="268"/>
        <v>151.90744917420352</v>
      </c>
      <c r="W217" s="141">
        <f t="shared" ref="W217" si="269">IF(W5=0,0,W65/W5*1000)</f>
        <v>157.91465546542935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103.01609221204598</v>
      </c>
      <c r="C218" s="97">
        <f t="shared" si="270"/>
        <v>102.43146653718853</v>
      </c>
      <c r="D218" s="97">
        <f t="shared" si="270"/>
        <v>100.01058891779367</v>
      </c>
      <c r="E218" s="97">
        <f t="shared" si="270"/>
        <v>98.25798637930238</v>
      </c>
      <c r="F218" s="97">
        <f t="shared" si="270"/>
        <v>98.988698167652828</v>
      </c>
      <c r="G218" s="97">
        <f t="shared" si="270"/>
        <v>96.982726649694641</v>
      </c>
      <c r="H218" s="97">
        <f t="shared" si="270"/>
        <v>97.06455239603595</v>
      </c>
      <c r="I218" s="97">
        <f t="shared" si="270"/>
        <v>95.455567816048273</v>
      </c>
      <c r="J218" s="97">
        <f t="shared" si="270"/>
        <v>95.702010029501608</v>
      </c>
      <c r="K218" s="97">
        <f t="shared" si="270"/>
        <v>93.813255457237773</v>
      </c>
      <c r="L218" s="97">
        <f t="shared" si="270"/>
        <v>92.308291661864047</v>
      </c>
      <c r="M218" s="97">
        <f t="shared" si="270"/>
        <v>90.673669441727313</v>
      </c>
      <c r="N218" s="97">
        <f t="shared" si="270"/>
        <v>90.581320642469521</v>
      </c>
      <c r="O218" s="97">
        <f t="shared" si="270"/>
        <v>91.064573679506609</v>
      </c>
      <c r="P218" s="97">
        <f t="shared" si="270"/>
        <v>90.73691079604005</v>
      </c>
      <c r="Q218" s="97">
        <f t="shared" si="270"/>
        <v>89.104335139141284</v>
      </c>
      <c r="R218" s="97">
        <f t="shared" si="270"/>
        <v>91.227305951068601</v>
      </c>
      <c r="S218" s="97">
        <f t="shared" si="270"/>
        <v>91.491507664544713</v>
      </c>
      <c r="T218" s="97">
        <f t="shared" si="270"/>
        <v>90.809540685242212</v>
      </c>
      <c r="U218" s="97">
        <f t="shared" si="270"/>
        <v>90.400954191787619</v>
      </c>
      <c r="V218" s="97">
        <f t="shared" si="270"/>
        <v>86.05064405364773</v>
      </c>
      <c r="W218" s="97">
        <f t="shared" ref="W218" si="271">IF(W6=0,0,W66/W6*1000)</f>
        <v>84.227887085139372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154.60742773206107</v>
      </c>
      <c r="C219" s="97">
        <f t="shared" si="272"/>
        <v>156.2082471145564</v>
      </c>
      <c r="D219" s="97">
        <f t="shared" si="272"/>
        <v>159.65365247268073</v>
      </c>
      <c r="E219" s="97">
        <f t="shared" si="272"/>
        <v>163.26310670016628</v>
      </c>
      <c r="F219" s="97">
        <f t="shared" si="272"/>
        <v>164.00733459266647</v>
      </c>
      <c r="G219" s="97">
        <f t="shared" si="272"/>
        <v>167.97377483607255</v>
      </c>
      <c r="H219" s="97">
        <f t="shared" si="272"/>
        <v>172.83673047439672</v>
      </c>
      <c r="I219" s="97">
        <f t="shared" si="272"/>
        <v>175.29329300260662</v>
      </c>
      <c r="J219" s="97">
        <f t="shared" si="272"/>
        <v>169.85456175744599</v>
      </c>
      <c r="K219" s="97">
        <f t="shared" si="272"/>
        <v>161.65092514071114</v>
      </c>
      <c r="L219" s="97">
        <f t="shared" si="272"/>
        <v>159.33461858283292</v>
      </c>
      <c r="M219" s="97">
        <f t="shared" si="272"/>
        <v>155.47606280516479</v>
      </c>
      <c r="N219" s="97">
        <f t="shared" si="272"/>
        <v>147.30667210843586</v>
      </c>
      <c r="O219" s="97">
        <f t="shared" si="272"/>
        <v>154.82493320186001</v>
      </c>
      <c r="P219" s="97">
        <f t="shared" si="272"/>
        <v>160.14909744891102</v>
      </c>
      <c r="Q219" s="97">
        <f t="shared" si="272"/>
        <v>158.93008342414794</v>
      </c>
      <c r="R219" s="97">
        <f t="shared" si="272"/>
        <v>153.62124427699683</v>
      </c>
      <c r="S219" s="97">
        <f t="shared" si="272"/>
        <v>152.90054066523379</v>
      </c>
      <c r="T219" s="97">
        <f t="shared" si="272"/>
        <v>151.0605201101327</v>
      </c>
      <c r="U219" s="97">
        <f t="shared" si="272"/>
        <v>155.14022758398457</v>
      </c>
      <c r="V219" s="97">
        <f t="shared" si="272"/>
        <v>160.7985327811719</v>
      </c>
      <c r="W219" s="97">
        <f t="shared" ref="W219" si="273">IF(W7=0,0,W67/W7*1000)</f>
        <v>168.42407390483149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72.59822515030146</v>
      </c>
      <c r="C220" s="97">
        <f t="shared" si="274"/>
        <v>70.173208649572359</v>
      </c>
      <c r="D220" s="97">
        <f t="shared" si="274"/>
        <v>71.285300265965446</v>
      </c>
      <c r="E220" s="97">
        <f t="shared" si="274"/>
        <v>71.842292828849821</v>
      </c>
      <c r="F220" s="97">
        <f t="shared" si="274"/>
        <v>67.83519446057133</v>
      </c>
      <c r="G220" s="97">
        <f t="shared" si="274"/>
        <v>67.340179260789256</v>
      </c>
      <c r="H220" s="97">
        <f t="shared" si="274"/>
        <v>75.755307379914811</v>
      </c>
      <c r="I220" s="97">
        <f t="shared" si="274"/>
        <v>64.579945070602676</v>
      </c>
      <c r="J220" s="97">
        <f t="shared" si="274"/>
        <v>61.704394436942628</v>
      </c>
      <c r="K220" s="97">
        <f t="shared" si="274"/>
        <v>63.874635806281887</v>
      </c>
      <c r="L220" s="97">
        <f t="shared" si="274"/>
        <v>69.622815030723544</v>
      </c>
      <c r="M220" s="97">
        <f t="shared" si="274"/>
        <v>62.262492418544817</v>
      </c>
      <c r="N220" s="97">
        <f t="shared" si="274"/>
        <v>60.734417871449345</v>
      </c>
      <c r="O220" s="97">
        <f t="shared" si="274"/>
        <v>61.49959992514119</v>
      </c>
      <c r="P220" s="97">
        <f t="shared" si="274"/>
        <v>82.575168633629346</v>
      </c>
      <c r="Q220" s="97">
        <f t="shared" si="274"/>
        <v>70.438279694616554</v>
      </c>
      <c r="R220" s="97">
        <f t="shared" si="274"/>
        <v>68.805965370759608</v>
      </c>
      <c r="S220" s="97">
        <f t="shared" si="274"/>
        <v>68.535071404154152</v>
      </c>
      <c r="T220" s="97">
        <f t="shared" si="274"/>
        <v>64.539056405950873</v>
      </c>
      <c r="U220" s="97">
        <f t="shared" si="274"/>
        <v>63.9403676535823</v>
      </c>
      <c r="V220" s="97">
        <f t="shared" si="274"/>
        <v>79.368046339842095</v>
      </c>
      <c r="W220" s="97">
        <f t="shared" ref="W220" si="275">IF(W8=0,0,W68/W8*1000)</f>
        <v>81.433086311414371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39.651089408330833</v>
      </c>
      <c r="C221" s="130">
        <f t="shared" si="276"/>
        <v>40.438587772762546</v>
      </c>
      <c r="D221" s="130">
        <f t="shared" si="276"/>
        <v>40.930730594053905</v>
      </c>
      <c r="E221" s="130">
        <f t="shared" si="276"/>
        <v>50.834368822975925</v>
      </c>
      <c r="F221" s="130">
        <f t="shared" si="276"/>
        <v>62.487626874090481</v>
      </c>
      <c r="G221" s="130">
        <f t="shared" si="276"/>
        <v>66.434462743463925</v>
      </c>
      <c r="H221" s="130">
        <f t="shared" si="276"/>
        <v>53.582457153266539</v>
      </c>
      <c r="I221" s="130">
        <f t="shared" si="276"/>
        <v>60.656578597488533</v>
      </c>
      <c r="J221" s="130">
        <f t="shared" si="276"/>
        <v>52.62732798973358</v>
      </c>
      <c r="K221" s="130">
        <f t="shared" si="276"/>
        <v>44.054074843777549</v>
      </c>
      <c r="L221" s="130">
        <f t="shared" si="276"/>
        <v>41.598891545732769</v>
      </c>
      <c r="M221" s="130">
        <f t="shared" si="276"/>
        <v>40.646811001478319</v>
      </c>
      <c r="N221" s="130">
        <f t="shared" si="276"/>
        <v>46.480372544492425</v>
      </c>
      <c r="O221" s="130">
        <f t="shared" si="276"/>
        <v>5.0039269574992673</v>
      </c>
      <c r="P221" s="130">
        <f t="shared" si="276"/>
        <v>4.5437383044685911</v>
      </c>
      <c r="Q221" s="130">
        <f t="shared" si="276"/>
        <v>5.7962265363137915</v>
      </c>
      <c r="R221" s="130">
        <f t="shared" si="276"/>
        <v>5.442767042207219</v>
      </c>
      <c r="S221" s="130">
        <f t="shared" si="276"/>
        <v>3.7007954374068879</v>
      </c>
      <c r="T221" s="130">
        <f t="shared" si="276"/>
        <v>3.2863542602230216</v>
      </c>
      <c r="U221" s="130">
        <f t="shared" si="276"/>
        <v>2.8916775845776908</v>
      </c>
      <c r="V221" s="130">
        <f t="shared" si="276"/>
        <v>4.2536823833642536</v>
      </c>
      <c r="W221" s="130">
        <f t="shared" ref="W221" si="277">IF(W9=0,0,W69/W9*1000)</f>
        <v>4.7502549098943456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55.274516132676993</v>
      </c>
      <c r="C223" s="97">
        <f t="shared" si="280"/>
        <v>56.434161636054093</v>
      </c>
      <c r="D223" s="97">
        <f t="shared" si="280"/>
        <v>57.451431681438464</v>
      </c>
      <c r="E223" s="97">
        <f t="shared" si="280"/>
        <v>71.133517043543335</v>
      </c>
      <c r="F223" s="97">
        <f t="shared" si="280"/>
        <v>89.410469227087759</v>
      </c>
      <c r="G223" s="97">
        <f t="shared" si="280"/>
        <v>95.087336726707136</v>
      </c>
      <c r="H223" s="97">
        <f t="shared" si="280"/>
        <v>78.145684754905687</v>
      </c>
      <c r="I223" s="97">
        <f t="shared" si="280"/>
        <v>88.968229505799812</v>
      </c>
      <c r="J223" s="97">
        <f t="shared" si="280"/>
        <v>86.741429001362789</v>
      </c>
      <c r="K223" s="97">
        <f t="shared" si="280"/>
        <v>111.38310816008216</v>
      </c>
      <c r="L223" s="97">
        <f t="shared" si="280"/>
        <v>116.36109641582595</v>
      </c>
      <c r="M223" s="97">
        <f t="shared" si="280"/>
        <v>106.94603391664471</v>
      </c>
      <c r="N223" s="97">
        <f t="shared" si="280"/>
        <v>122.55819906016536</v>
      </c>
      <c r="O223" s="97">
        <f t="shared" si="280"/>
        <v>13.936099689067975</v>
      </c>
      <c r="P223" s="97">
        <f t="shared" si="280"/>
        <v>11.91961932106879</v>
      </c>
      <c r="Q223" s="97">
        <f t="shared" si="280"/>
        <v>16.088304170831055</v>
      </c>
      <c r="R223" s="97">
        <f t="shared" si="280"/>
        <v>16.011000525397819</v>
      </c>
      <c r="S223" s="97">
        <f t="shared" si="280"/>
        <v>10.877143343422578</v>
      </c>
      <c r="T223" s="97">
        <f t="shared" si="280"/>
        <v>9.9740076588125426</v>
      </c>
      <c r="U223" s="97">
        <f t="shared" si="280"/>
        <v>8.384642777135296</v>
      </c>
      <c r="V223" s="97">
        <f t="shared" si="280"/>
        <v>11.339633267492882</v>
      </c>
      <c r="W223" s="97">
        <f t="shared" ref="W223" si="281">IF(W11=0,0,W71/W11*1000)</f>
        <v>10.465421386938681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100.17638805021868</v>
      </c>
      <c r="C225" s="130">
        <f t="shared" si="284"/>
        <v>106.3039526953763</v>
      </c>
      <c r="D225" s="130">
        <f t="shared" si="284"/>
        <v>103.44355781388165</v>
      </c>
      <c r="E225" s="130">
        <f t="shared" si="284"/>
        <v>104.9174513693623</v>
      </c>
      <c r="F225" s="130">
        <f t="shared" si="284"/>
        <v>105.82423304433877</v>
      </c>
      <c r="G225" s="130">
        <f t="shared" si="284"/>
        <v>104.34097841270169</v>
      </c>
      <c r="H225" s="130">
        <f t="shared" si="284"/>
        <v>104.87331100741574</v>
      </c>
      <c r="I225" s="130">
        <f t="shared" si="284"/>
        <v>102.39120092164586</v>
      </c>
      <c r="J225" s="130">
        <f t="shared" si="284"/>
        <v>99.633938180322104</v>
      </c>
      <c r="K225" s="130">
        <f t="shared" si="284"/>
        <v>98.516005680255901</v>
      </c>
      <c r="L225" s="130">
        <f t="shared" si="284"/>
        <v>95.891283316791672</v>
      </c>
      <c r="M225" s="130">
        <f t="shared" si="284"/>
        <v>93.933962300961994</v>
      </c>
      <c r="N225" s="130">
        <f t="shared" si="284"/>
        <v>90.628727467208066</v>
      </c>
      <c r="O225" s="130">
        <f t="shared" si="284"/>
        <v>85.927483919382638</v>
      </c>
      <c r="P225" s="130">
        <f t="shared" si="284"/>
        <v>86.139561955554242</v>
      </c>
      <c r="Q225" s="130">
        <f t="shared" si="284"/>
        <v>88.812262467446587</v>
      </c>
      <c r="R225" s="130">
        <f t="shared" si="284"/>
        <v>85.060143575210489</v>
      </c>
      <c r="S225" s="130">
        <f t="shared" si="284"/>
        <v>85.599598998743943</v>
      </c>
      <c r="T225" s="130">
        <f t="shared" si="284"/>
        <v>84.550963315146575</v>
      </c>
      <c r="U225" s="130">
        <f t="shared" si="284"/>
        <v>83.955047041191136</v>
      </c>
      <c r="V225" s="130">
        <f t="shared" si="284"/>
        <v>106.61477619938721</v>
      </c>
      <c r="W225" s="130">
        <f t="shared" ref="W225" si="285">IF(W13=0,0,W73/W13*1000)</f>
        <v>102.67572338163757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215.48172372663538</v>
      </c>
      <c r="C226" s="97">
        <f t="shared" si="286"/>
        <v>232.08444399786617</v>
      </c>
      <c r="D226" s="97">
        <f t="shared" si="286"/>
        <v>218.71853252242735</v>
      </c>
      <c r="E226" s="97">
        <f t="shared" si="286"/>
        <v>213.31887119958984</v>
      </c>
      <c r="F226" s="97">
        <f t="shared" si="286"/>
        <v>211.26367882715346</v>
      </c>
      <c r="G226" s="97">
        <f t="shared" si="286"/>
        <v>219.9735848626274</v>
      </c>
      <c r="H226" s="97">
        <f t="shared" si="286"/>
        <v>218.11426563279082</v>
      </c>
      <c r="I226" s="97">
        <f t="shared" si="286"/>
        <v>212.49667119538384</v>
      </c>
      <c r="J226" s="97">
        <f t="shared" si="286"/>
        <v>224.17323454514278</v>
      </c>
      <c r="K226" s="97">
        <f t="shared" si="286"/>
        <v>218.70559495561739</v>
      </c>
      <c r="L226" s="97">
        <f t="shared" si="286"/>
        <v>237.52568927252878</v>
      </c>
      <c r="M226" s="97">
        <f t="shared" si="286"/>
        <v>212.17660340319091</v>
      </c>
      <c r="N226" s="97">
        <f t="shared" si="286"/>
        <v>210.7847877386977</v>
      </c>
      <c r="O226" s="97">
        <f t="shared" si="286"/>
        <v>206.78432430325537</v>
      </c>
      <c r="P226" s="97">
        <f t="shared" si="286"/>
        <v>218.30193682240457</v>
      </c>
      <c r="Q226" s="97">
        <f t="shared" si="286"/>
        <v>222.44546094882287</v>
      </c>
      <c r="R226" s="97">
        <f t="shared" si="286"/>
        <v>221.27621696282111</v>
      </c>
      <c r="S226" s="97">
        <f t="shared" si="286"/>
        <v>223.61136945625913</v>
      </c>
      <c r="T226" s="97">
        <f t="shared" si="286"/>
        <v>210.25159116789419</v>
      </c>
      <c r="U226" s="97">
        <f t="shared" si="286"/>
        <v>209.70656950990102</v>
      </c>
      <c r="V226" s="97">
        <f t="shared" si="286"/>
        <v>223.41468347475998</v>
      </c>
      <c r="W226" s="97">
        <f t="shared" ref="W226" si="287">IF(W14=0,0,W74/W14*1000)</f>
        <v>232.47900318330446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60.227596447379135</v>
      </c>
      <c r="C227" s="97">
        <f t="shared" si="288"/>
        <v>66.336436422288642</v>
      </c>
      <c r="D227" s="97">
        <f t="shared" si="288"/>
        <v>62.20340223669497</v>
      </c>
      <c r="E227" s="97">
        <f t="shared" si="288"/>
        <v>70.977267509314572</v>
      </c>
      <c r="F227" s="97">
        <f t="shared" si="288"/>
        <v>72.18610486047983</v>
      </c>
      <c r="G227" s="97">
        <f t="shared" si="288"/>
        <v>69.598254093707453</v>
      </c>
      <c r="H227" s="97">
        <f t="shared" si="288"/>
        <v>73.333624752151195</v>
      </c>
      <c r="I227" s="97">
        <f t="shared" si="288"/>
        <v>74.07963378540785</v>
      </c>
      <c r="J227" s="97">
        <f t="shared" si="288"/>
        <v>73.672491489827166</v>
      </c>
      <c r="K227" s="97">
        <f t="shared" si="288"/>
        <v>73.374529767711138</v>
      </c>
      <c r="L227" s="97">
        <f t="shared" si="288"/>
        <v>67.199372382179163</v>
      </c>
      <c r="M227" s="97">
        <f t="shared" si="288"/>
        <v>72.760294975819136</v>
      </c>
      <c r="N227" s="97">
        <f t="shared" si="288"/>
        <v>71.628370003633606</v>
      </c>
      <c r="O227" s="97">
        <f t="shared" si="288"/>
        <v>69.869591362233351</v>
      </c>
      <c r="P227" s="97">
        <f t="shared" si="288"/>
        <v>67.795843649552737</v>
      </c>
      <c r="Q227" s="97">
        <f t="shared" si="288"/>
        <v>69.515606071950998</v>
      </c>
      <c r="R227" s="97">
        <f t="shared" si="288"/>
        <v>66.660058028658483</v>
      </c>
      <c r="S227" s="97">
        <f t="shared" si="288"/>
        <v>68.467239745705911</v>
      </c>
      <c r="T227" s="97">
        <f t="shared" si="288"/>
        <v>69.513567544629993</v>
      </c>
      <c r="U227" s="97">
        <f t="shared" si="288"/>
        <v>70.440239705399435</v>
      </c>
      <c r="V227" s="97">
        <f t="shared" si="288"/>
        <v>72.868623779586386</v>
      </c>
      <c r="W227" s="97">
        <f t="shared" ref="W227" si="289">IF(W15=0,0,W75/W15*1000)</f>
        <v>61.415289243788351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112.39943129522636</v>
      </c>
      <c r="C228" s="97">
        <f t="shared" si="290"/>
        <v>122.08789244121411</v>
      </c>
      <c r="D228" s="97">
        <f t="shared" si="290"/>
        <v>132.92634596341469</v>
      </c>
      <c r="E228" s="97">
        <f t="shared" si="290"/>
        <v>111.43624065412114</v>
      </c>
      <c r="F228" s="97">
        <f t="shared" si="290"/>
        <v>108.19097108449047</v>
      </c>
      <c r="G228" s="97">
        <f t="shared" si="290"/>
        <v>93.301864147155058</v>
      </c>
      <c r="H228" s="97">
        <f t="shared" si="290"/>
        <v>83.407127309027757</v>
      </c>
      <c r="I228" s="97">
        <f t="shared" si="290"/>
        <v>75.22042276582539</v>
      </c>
      <c r="J228" s="97">
        <f t="shared" si="290"/>
        <v>68.195624754052133</v>
      </c>
      <c r="K228" s="97">
        <f t="shared" si="290"/>
        <v>69.925315003339747</v>
      </c>
      <c r="L228" s="97">
        <f t="shared" si="290"/>
        <v>62.641235108519808</v>
      </c>
      <c r="M228" s="97">
        <f t="shared" si="290"/>
        <v>67.597533364377071</v>
      </c>
      <c r="N228" s="97">
        <f t="shared" si="290"/>
        <v>67.767777434409339</v>
      </c>
      <c r="O228" s="97">
        <f t="shared" si="290"/>
        <v>66.029021758294604</v>
      </c>
      <c r="P228" s="97">
        <f t="shared" si="290"/>
        <v>67.262842513184935</v>
      </c>
      <c r="Q228" s="97">
        <f t="shared" si="290"/>
        <v>69.251177201882882</v>
      </c>
      <c r="R228" s="97">
        <f t="shared" si="290"/>
        <v>63.813588663199042</v>
      </c>
      <c r="S228" s="97">
        <f t="shared" si="290"/>
        <v>61.262436443667632</v>
      </c>
      <c r="T228" s="97">
        <f t="shared" si="290"/>
        <v>58.608226416064696</v>
      </c>
      <c r="U228" s="97">
        <f t="shared" si="290"/>
        <v>55.151617803870487</v>
      </c>
      <c r="V228" s="97">
        <f t="shared" si="290"/>
        <v>91.061210102509534</v>
      </c>
      <c r="W228" s="97">
        <f t="shared" ref="W228" si="291">IF(W16=0,0,W76/W16*1000)</f>
        <v>78.354347992855267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195.31132467284826</v>
      </c>
      <c r="C229" s="32">
        <f t="shared" si="292"/>
        <v>198.53579317925713</v>
      </c>
      <c r="D229" s="32">
        <f t="shared" si="292"/>
        <v>183.71214765501287</v>
      </c>
      <c r="E229" s="32">
        <f t="shared" si="292"/>
        <v>185.6798211014671</v>
      </c>
      <c r="F229" s="32">
        <f t="shared" si="292"/>
        <v>175.66859318259759</v>
      </c>
      <c r="G229" s="32">
        <f t="shared" si="292"/>
        <v>166.35573492614711</v>
      </c>
      <c r="H229" s="32">
        <f t="shared" si="292"/>
        <v>164.79304601050006</v>
      </c>
      <c r="I229" s="32">
        <f t="shared" si="292"/>
        <v>157.45122987265029</v>
      </c>
      <c r="J229" s="32">
        <f t="shared" si="292"/>
        <v>155.74698643585705</v>
      </c>
      <c r="K229" s="32">
        <f t="shared" si="292"/>
        <v>152.57186686568872</v>
      </c>
      <c r="L229" s="32">
        <f t="shared" si="292"/>
        <v>148.94768914531019</v>
      </c>
      <c r="M229" s="32">
        <f t="shared" si="292"/>
        <v>137.04511140819341</v>
      </c>
      <c r="N229" s="32">
        <f t="shared" si="292"/>
        <v>125.94648024001026</v>
      </c>
      <c r="O229" s="32">
        <f t="shared" si="292"/>
        <v>124.84318791907887</v>
      </c>
      <c r="P229" s="32">
        <f t="shared" si="292"/>
        <v>121.50382796671289</v>
      </c>
      <c r="Q229" s="32">
        <f t="shared" si="292"/>
        <v>121.07004488932533</v>
      </c>
      <c r="R229" s="32">
        <f t="shared" si="292"/>
        <v>127.55456506860787</v>
      </c>
      <c r="S229" s="32">
        <f t="shared" si="292"/>
        <v>136.83086765540281</v>
      </c>
      <c r="T229" s="32">
        <f t="shared" si="292"/>
        <v>134.11912765588517</v>
      </c>
      <c r="U229" s="32">
        <f t="shared" si="292"/>
        <v>125.57583260082048</v>
      </c>
      <c r="V229" s="32">
        <f t="shared" si="292"/>
        <v>113.26378310524292</v>
      </c>
      <c r="W229" s="32">
        <f t="shared" ref="W229" si="293">IF(W17=0,0,W77/W17*1000)</f>
        <v>122.4610369607623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192.69845535051334</v>
      </c>
      <c r="C230" s="141">
        <f t="shared" si="294"/>
        <v>196.53104672198185</v>
      </c>
      <c r="D230" s="141">
        <f t="shared" si="294"/>
        <v>178.15782382937508</v>
      </c>
      <c r="E230" s="141">
        <f t="shared" si="294"/>
        <v>177.66896243203774</v>
      </c>
      <c r="F230" s="141">
        <f t="shared" si="294"/>
        <v>166.62225314901019</v>
      </c>
      <c r="G230" s="141">
        <f t="shared" si="294"/>
        <v>157.98267833815399</v>
      </c>
      <c r="H230" s="141">
        <f t="shared" si="294"/>
        <v>154.83343062959605</v>
      </c>
      <c r="I230" s="141">
        <f t="shared" si="294"/>
        <v>149.0483775452723</v>
      </c>
      <c r="J230" s="141">
        <f t="shared" si="294"/>
        <v>147.63248537086326</v>
      </c>
      <c r="K230" s="141">
        <f t="shared" si="294"/>
        <v>143.34999325595979</v>
      </c>
      <c r="L230" s="141">
        <f t="shared" si="294"/>
        <v>140.61869745716686</v>
      </c>
      <c r="M230" s="141">
        <f t="shared" si="294"/>
        <v>133.54779312395743</v>
      </c>
      <c r="N230" s="141">
        <f t="shared" si="294"/>
        <v>119.61320603343734</v>
      </c>
      <c r="O230" s="141">
        <f t="shared" si="294"/>
        <v>126.25328568606071</v>
      </c>
      <c r="P230" s="141">
        <f t="shared" si="294"/>
        <v>126.87799023967698</v>
      </c>
      <c r="Q230" s="141">
        <f t="shared" si="294"/>
        <v>125.3682658370119</v>
      </c>
      <c r="R230" s="141">
        <f t="shared" si="294"/>
        <v>129.67163889572493</v>
      </c>
      <c r="S230" s="141">
        <f t="shared" si="294"/>
        <v>133.71917994842846</v>
      </c>
      <c r="T230" s="141">
        <f t="shared" si="294"/>
        <v>131.17376111799462</v>
      </c>
      <c r="U230" s="141">
        <f t="shared" si="294"/>
        <v>121.47408980679344</v>
      </c>
      <c r="V230" s="141">
        <f t="shared" si="294"/>
        <v>108.86351593186255</v>
      </c>
      <c r="W230" s="141">
        <f t="shared" ref="W230" si="295">IF(W18=0,0,W78/W18*1000)</f>
        <v>118.86195320760359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1069.5392968278954</v>
      </c>
      <c r="C231" s="97">
        <f t="shared" si="296"/>
        <v>1065.2550993515536</v>
      </c>
      <c r="D231" s="97">
        <f t="shared" si="296"/>
        <v>1024.2728908742711</v>
      </c>
      <c r="E231" s="97">
        <f t="shared" si="296"/>
        <v>991.20200721767606</v>
      </c>
      <c r="F231" s="97">
        <f t="shared" si="296"/>
        <v>938.74929415745544</v>
      </c>
      <c r="G231" s="97">
        <f t="shared" si="296"/>
        <v>888.15853402949654</v>
      </c>
      <c r="H231" s="97">
        <f t="shared" si="296"/>
        <v>873.17727662805123</v>
      </c>
      <c r="I231" s="97">
        <f t="shared" si="296"/>
        <v>821.04422302350724</v>
      </c>
      <c r="J231" s="97">
        <f t="shared" si="296"/>
        <v>789.49365898673557</v>
      </c>
      <c r="K231" s="97">
        <f t="shared" si="296"/>
        <v>741.38433656129337</v>
      </c>
      <c r="L231" s="97">
        <f t="shared" si="296"/>
        <v>723.94541828070362</v>
      </c>
      <c r="M231" s="97">
        <f t="shared" si="296"/>
        <v>711.46255483148525</v>
      </c>
      <c r="N231" s="97">
        <f t="shared" si="296"/>
        <v>692.22067427103377</v>
      </c>
      <c r="O231" s="97">
        <f t="shared" si="296"/>
        <v>735.86506336326158</v>
      </c>
      <c r="P231" s="97">
        <f t="shared" si="296"/>
        <v>721.16255068854923</v>
      </c>
      <c r="Q231" s="97">
        <f t="shared" si="296"/>
        <v>708.91069916818412</v>
      </c>
      <c r="R231" s="97">
        <f t="shared" si="296"/>
        <v>698.09306305131213</v>
      </c>
      <c r="S231" s="97">
        <f t="shared" si="296"/>
        <v>696.45846006782824</v>
      </c>
      <c r="T231" s="97">
        <f t="shared" si="296"/>
        <v>678.42182296509168</v>
      </c>
      <c r="U231" s="97">
        <f t="shared" si="296"/>
        <v>675.78233845558293</v>
      </c>
      <c r="V231" s="97">
        <f t="shared" si="296"/>
        <v>653.94358377855053</v>
      </c>
      <c r="W231" s="97">
        <f t="shared" ref="W231" si="297">IF(W19=0,0,W79/W19*1000)</f>
        <v>670.82889357793874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142.57777841609862</v>
      </c>
      <c r="C232" s="97">
        <f t="shared" si="298"/>
        <v>140.8894168224497</v>
      </c>
      <c r="D232" s="97">
        <f t="shared" si="298"/>
        <v>132.86823709646177</v>
      </c>
      <c r="E232" s="97">
        <f t="shared" si="298"/>
        <v>132.97030680726974</v>
      </c>
      <c r="F232" s="97">
        <f t="shared" si="298"/>
        <v>126.62204542758509</v>
      </c>
      <c r="G232" s="97">
        <f t="shared" si="298"/>
        <v>124.02032928528405</v>
      </c>
      <c r="H232" s="97">
        <f t="shared" si="298"/>
        <v>120.93281176879682</v>
      </c>
      <c r="I232" s="97">
        <f t="shared" si="298"/>
        <v>114.50469244794762</v>
      </c>
      <c r="J232" s="97">
        <f t="shared" si="298"/>
        <v>114.36310098768</v>
      </c>
      <c r="K232" s="97">
        <f t="shared" si="298"/>
        <v>112.12856906610409</v>
      </c>
      <c r="L232" s="97">
        <f t="shared" si="298"/>
        <v>109.51321127914375</v>
      </c>
      <c r="M232" s="97">
        <f t="shared" si="298"/>
        <v>102.63509188206035</v>
      </c>
      <c r="N232" s="97">
        <f t="shared" si="298"/>
        <v>89.663709420856421</v>
      </c>
      <c r="O232" s="97">
        <f t="shared" si="298"/>
        <v>93.840482614358493</v>
      </c>
      <c r="P232" s="97">
        <f t="shared" si="298"/>
        <v>95.757775360981896</v>
      </c>
      <c r="Q232" s="97">
        <f t="shared" si="298"/>
        <v>95.18400831455908</v>
      </c>
      <c r="R232" s="97">
        <f t="shared" si="298"/>
        <v>102.55194080809628</v>
      </c>
      <c r="S232" s="97">
        <f t="shared" si="298"/>
        <v>106.68760933783358</v>
      </c>
      <c r="T232" s="97">
        <f t="shared" si="298"/>
        <v>105.01501642807669</v>
      </c>
      <c r="U232" s="97">
        <f t="shared" si="298"/>
        <v>95.864724318780304</v>
      </c>
      <c r="V232" s="97">
        <f t="shared" si="298"/>
        <v>91.315515433879597</v>
      </c>
      <c r="W232" s="97">
        <f t="shared" ref="W232" si="299">IF(W20=0,0,W80/W20*1000)</f>
        <v>96.00111126153638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44.044238576371129</v>
      </c>
      <c r="C233" s="130">
        <f t="shared" si="300"/>
        <v>47.551837870666255</v>
      </c>
      <c r="D233" s="130">
        <f t="shared" si="300"/>
        <v>42.375037539170918</v>
      </c>
      <c r="E233" s="130">
        <f t="shared" si="300"/>
        <v>34.811899423763002</v>
      </c>
      <c r="F233" s="130">
        <f t="shared" si="300"/>
        <v>32.912794608802429</v>
      </c>
      <c r="G233" s="130">
        <f t="shared" si="300"/>
        <v>33.565105040531051</v>
      </c>
      <c r="H233" s="130">
        <f t="shared" si="300"/>
        <v>39.758657727821728</v>
      </c>
      <c r="I233" s="130">
        <f t="shared" si="300"/>
        <v>55.883033504562313</v>
      </c>
      <c r="J233" s="130">
        <f t="shared" si="300"/>
        <v>58.594417515341114</v>
      </c>
      <c r="K233" s="130">
        <f t="shared" si="300"/>
        <v>78.93566164513507</v>
      </c>
      <c r="L233" s="130">
        <f t="shared" si="300"/>
        <v>81.41720879138488</v>
      </c>
      <c r="M233" s="130">
        <f t="shared" si="300"/>
        <v>41.084451667328366</v>
      </c>
      <c r="N233" s="130">
        <f t="shared" si="300"/>
        <v>42.917695929286474</v>
      </c>
      <c r="O233" s="130">
        <f t="shared" si="300"/>
        <v>10.474125657949592</v>
      </c>
      <c r="P233" s="130">
        <f t="shared" si="300"/>
        <v>9.8325358863737105</v>
      </c>
      <c r="Q233" s="130">
        <f t="shared" si="300"/>
        <v>7.3225374243567751</v>
      </c>
      <c r="R233" s="130">
        <f t="shared" si="300"/>
        <v>5.9361289781567139</v>
      </c>
      <c r="S233" s="130">
        <f t="shared" si="300"/>
        <v>10.909126176810238</v>
      </c>
      <c r="T233" s="130">
        <f t="shared" si="300"/>
        <v>12.121804713855271</v>
      </c>
      <c r="U233" s="130">
        <f t="shared" si="300"/>
        <v>14.095994759973806</v>
      </c>
      <c r="V233" s="130">
        <f t="shared" si="300"/>
        <v>12.87440207526944</v>
      </c>
      <c r="W233" s="130">
        <f t="shared" ref="W233" si="301">IF(W21=0,0,W81/W21*1000)</f>
        <v>5.8287445396706445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372.9253647008461</v>
      </c>
      <c r="C234" s="130">
        <f t="shared" si="302"/>
        <v>389.20679266525207</v>
      </c>
      <c r="D234" s="130">
        <f t="shared" si="302"/>
        <v>380.15254187052778</v>
      </c>
      <c r="E234" s="130">
        <f t="shared" si="302"/>
        <v>410.84714855186616</v>
      </c>
      <c r="F234" s="130">
        <f t="shared" si="302"/>
        <v>438.16097702817154</v>
      </c>
      <c r="G234" s="130">
        <f t="shared" si="302"/>
        <v>441.01590090208509</v>
      </c>
      <c r="H234" s="130">
        <f t="shared" si="302"/>
        <v>430.63103025643926</v>
      </c>
      <c r="I234" s="130">
        <f t="shared" si="302"/>
        <v>382.50816838090549</v>
      </c>
      <c r="J234" s="130">
        <f t="shared" si="302"/>
        <v>353.05809247784873</v>
      </c>
      <c r="K234" s="130">
        <f t="shared" si="302"/>
        <v>315.83872138406326</v>
      </c>
      <c r="L234" s="130">
        <f t="shared" si="302"/>
        <v>274.57067624859803</v>
      </c>
      <c r="M234" s="130">
        <f t="shared" si="302"/>
        <v>251.48920741782993</v>
      </c>
      <c r="N234" s="130">
        <f t="shared" si="302"/>
        <v>226.66046403573884</v>
      </c>
      <c r="O234" s="130">
        <f t="shared" si="302"/>
        <v>226.96443113269157</v>
      </c>
      <c r="P234" s="130">
        <f t="shared" si="302"/>
        <v>204.4852345146185</v>
      </c>
      <c r="Q234" s="130">
        <f t="shared" si="302"/>
        <v>211.47913317914964</v>
      </c>
      <c r="R234" s="130">
        <f t="shared" si="302"/>
        <v>188.03450703685473</v>
      </c>
      <c r="S234" s="130">
        <f t="shared" si="302"/>
        <v>184.1087058369865</v>
      </c>
      <c r="T234" s="130">
        <f t="shared" si="302"/>
        <v>169.98588170537116</v>
      </c>
      <c r="U234" s="130">
        <f t="shared" si="302"/>
        <v>154.88876501173638</v>
      </c>
      <c r="V234" s="130">
        <f t="shared" si="302"/>
        <v>256.89379692214618</v>
      </c>
      <c r="W234" s="130">
        <f t="shared" ref="W234" si="303">IF(W22=0,0,W82/W22*1000)</f>
        <v>239.4159935556697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1587.6498526952673</v>
      </c>
      <c r="C235" s="97">
        <f t="shared" si="304"/>
        <v>1736.9542303616065</v>
      </c>
      <c r="D235" s="97">
        <f t="shared" si="304"/>
        <v>1656.4790771441092</v>
      </c>
      <c r="E235" s="97">
        <f t="shared" si="304"/>
        <v>1599.303941060359</v>
      </c>
      <c r="F235" s="97">
        <f t="shared" si="304"/>
        <v>1682.6163838277778</v>
      </c>
      <c r="G235" s="97">
        <f t="shared" si="304"/>
        <v>1792.82916404153</v>
      </c>
      <c r="H235" s="97">
        <f t="shared" si="304"/>
        <v>1849.6758417420542</v>
      </c>
      <c r="I235" s="97">
        <f t="shared" si="304"/>
        <v>1830.4687384445183</v>
      </c>
      <c r="J235" s="97">
        <f t="shared" si="304"/>
        <v>1903.2631924735654</v>
      </c>
      <c r="K235" s="97">
        <f t="shared" si="304"/>
        <v>1881.2856679775596</v>
      </c>
      <c r="L235" s="97">
        <f t="shared" si="304"/>
        <v>1978.7209711396035</v>
      </c>
      <c r="M235" s="97">
        <f t="shared" si="304"/>
        <v>1664.0788202426945</v>
      </c>
      <c r="N235" s="97">
        <f t="shared" si="304"/>
        <v>1703.241509954923</v>
      </c>
      <c r="O235" s="97">
        <f t="shared" si="304"/>
        <v>1671.3528974295027</v>
      </c>
      <c r="P235" s="97">
        <f t="shared" si="304"/>
        <v>1563.4604767611108</v>
      </c>
      <c r="Q235" s="97">
        <f t="shared" si="304"/>
        <v>1590.7926289665802</v>
      </c>
      <c r="R235" s="97">
        <f t="shared" si="304"/>
        <v>1439.8409634729492</v>
      </c>
      <c r="S235" s="97">
        <f t="shared" si="304"/>
        <v>1613.3743094361835</v>
      </c>
      <c r="T235" s="97">
        <f t="shared" si="304"/>
        <v>1465.1894005949871</v>
      </c>
      <c r="U235" s="97">
        <f t="shared" si="304"/>
        <v>1339.6620703193319</v>
      </c>
      <c r="V235" s="97">
        <f t="shared" si="304"/>
        <v>1228.5327371585356</v>
      </c>
      <c r="W235" s="97">
        <f t="shared" ref="W235" si="305">IF(W23=0,0,W83/W23*1000)</f>
        <v>1433.7501375503812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346.91717019270976</v>
      </c>
      <c r="C236" s="97">
        <f t="shared" si="306"/>
        <v>364.03541352740632</v>
      </c>
      <c r="D236" s="97">
        <f t="shared" si="306"/>
        <v>344.86744189959632</v>
      </c>
      <c r="E236" s="97">
        <f t="shared" si="306"/>
        <v>385.0745964233754</v>
      </c>
      <c r="F236" s="97">
        <f t="shared" si="306"/>
        <v>423.03487075160785</v>
      </c>
      <c r="G236" s="97">
        <f t="shared" si="306"/>
        <v>413.36544400000236</v>
      </c>
      <c r="H236" s="97">
        <f t="shared" si="306"/>
        <v>497.00704494558249</v>
      </c>
      <c r="I236" s="97">
        <f t="shared" si="306"/>
        <v>493.00004538229416</v>
      </c>
      <c r="J236" s="97">
        <f t="shared" si="306"/>
        <v>500.01077970904493</v>
      </c>
      <c r="K236" s="97">
        <f t="shared" si="306"/>
        <v>500.60103278137569</v>
      </c>
      <c r="L236" s="97">
        <f t="shared" si="306"/>
        <v>451.74023069008496</v>
      </c>
      <c r="M236" s="97">
        <f t="shared" si="306"/>
        <v>473.90682999528769</v>
      </c>
      <c r="N236" s="97">
        <f t="shared" si="306"/>
        <v>445.47700698613323</v>
      </c>
      <c r="O236" s="97">
        <f t="shared" si="306"/>
        <v>432.64831170912521</v>
      </c>
      <c r="P236" s="97">
        <f t="shared" si="306"/>
        <v>356.29954548846382</v>
      </c>
      <c r="Q236" s="97">
        <f t="shared" si="306"/>
        <v>375.37549874259054</v>
      </c>
      <c r="R236" s="97">
        <f t="shared" si="306"/>
        <v>332.41990204731172</v>
      </c>
      <c r="S236" s="97">
        <f t="shared" si="306"/>
        <v>371.82167685675591</v>
      </c>
      <c r="T236" s="97">
        <f t="shared" si="306"/>
        <v>373.92431596957044</v>
      </c>
      <c r="U236" s="97">
        <f t="shared" si="306"/>
        <v>366.39895151411986</v>
      </c>
      <c r="V236" s="97">
        <f t="shared" si="306"/>
        <v>376.48474984402202</v>
      </c>
      <c r="W236" s="97">
        <f t="shared" ref="W236" si="307">IF(W24=0,0,W84/W24*1000)</f>
        <v>345.59896101281316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196.3929094620251</v>
      </c>
      <c r="C237" s="97">
        <f t="shared" si="308"/>
        <v>206.48298343024982</v>
      </c>
      <c r="D237" s="97">
        <f t="shared" si="308"/>
        <v>195.42818355711566</v>
      </c>
      <c r="E237" s="97">
        <f t="shared" si="308"/>
        <v>243.75084309241174</v>
      </c>
      <c r="F237" s="97">
        <f t="shared" si="308"/>
        <v>249.80538798938366</v>
      </c>
      <c r="G237" s="97">
        <f t="shared" si="308"/>
        <v>230.82691827670294</v>
      </c>
      <c r="H237" s="97">
        <f t="shared" si="308"/>
        <v>209.13471682874763</v>
      </c>
      <c r="I237" s="97">
        <f t="shared" si="308"/>
        <v>191.60018368859815</v>
      </c>
      <c r="J237" s="97">
        <f t="shared" si="308"/>
        <v>170.71612124098914</v>
      </c>
      <c r="K237" s="97">
        <f t="shared" si="308"/>
        <v>158.27639603086249</v>
      </c>
      <c r="L237" s="97">
        <f t="shared" si="308"/>
        <v>146.42731932535773</v>
      </c>
      <c r="M237" s="97">
        <f t="shared" si="308"/>
        <v>150.78739845192325</v>
      </c>
      <c r="N237" s="97">
        <f t="shared" si="308"/>
        <v>136.63395940148061</v>
      </c>
      <c r="O237" s="97">
        <f t="shared" si="308"/>
        <v>143.76426837644726</v>
      </c>
      <c r="P237" s="97">
        <f t="shared" si="308"/>
        <v>133.46503767586344</v>
      </c>
      <c r="Q237" s="97">
        <f t="shared" si="308"/>
        <v>145.49067213634734</v>
      </c>
      <c r="R237" s="97">
        <f t="shared" si="308"/>
        <v>130.55467135563339</v>
      </c>
      <c r="S237" s="97">
        <f t="shared" si="308"/>
        <v>130.23599380938111</v>
      </c>
      <c r="T237" s="97">
        <f t="shared" si="308"/>
        <v>126.20861176456758</v>
      </c>
      <c r="U237" s="97">
        <f t="shared" si="308"/>
        <v>112.33478087248886</v>
      </c>
      <c r="V237" s="97">
        <f t="shared" si="308"/>
        <v>219.94978319938818</v>
      </c>
      <c r="W237" s="97">
        <f t="shared" ref="W237" si="309">IF(W25=0,0,W85/W25*1000)</f>
        <v>198.21678964648564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368.97658951839554</v>
      </c>
      <c r="C238" s="130">
        <f t="shared" si="310"/>
        <v>366.79597079085312</v>
      </c>
      <c r="D238" s="130">
        <f t="shared" si="310"/>
        <v>435.92934430392455</v>
      </c>
      <c r="E238" s="130">
        <f t="shared" si="310"/>
        <v>527.35218323249148</v>
      </c>
      <c r="F238" s="130">
        <f t="shared" si="310"/>
        <v>539.6470143110414</v>
      </c>
      <c r="G238" s="130">
        <f t="shared" si="310"/>
        <v>472.07215308811169</v>
      </c>
      <c r="H238" s="130">
        <f t="shared" si="310"/>
        <v>485.59421090023716</v>
      </c>
      <c r="I238" s="130">
        <f t="shared" si="310"/>
        <v>457.43031710648125</v>
      </c>
      <c r="J238" s="130">
        <f t="shared" si="310"/>
        <v>447.27689461147622</v>
      </c>
      <c r="K238" s="130">
        <f t="shared" si="310"/>
        <v>437.45358234370343</v>
      </c>
      <c r="L238" s="130">
        <f t="shared" si="310"/>
        <v>393.74269629921821</v>
      </c>
      <c r="M238" s="130">
        <f t="shared" si="310"/>
        <v>300.70103021991235</v>
      </c>
      <c r="N238" s="130">
        <f t="shared" si="310"/>
        <v>372.49751086658404</v>
      </c>
      <c r="O238" s="130">
        <f t="shared" si="310"/>
        <v>218.75071380134713</v>
      </c>
      <c r="P238" s="130">
        <f t="shared" si="310"/>
        <v>133.60088731830146</v>
      </c>
      <c r="Q238" s="130">
        <f t="shared" si="310"/>
        <v>155.11224876245635</v>
      </c>
      <c r="R238" s="130">
        <f t="shared" si="310"/>
        <v>208.36424283483333</v>
      </c>
      <c r="S238" s="130">
        <f t="shared" si="310"/>
        <v>356.60177076755576</v>
      </c>
      <c r="T238" s="130">
        <f t="shared" si="310"/>
        <v>323.69345083271452</v>
      </c>
      <c r="U238" s="130">
        <f t="shared" si="310"/>
        <v>328.11234685152124</v>
      </c>
      <c r="V238" s="130">
        <f t="shared" si="310"/>
        <v>304.58297526450696</v>
      </c>
      <c r="W238" s="130">
        <f t="shared" ref="W238" si="311">IF(W26=0,0,W86/W26*1000)</f>
        <v>341.05552013769591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368.97658951839554</v>
      </c>
      <c r="C239" s="97">
        <f t="shared" si="312"/>
        <v>366.79597079085312</v>
      </c>
      <c r="D239" s="97">
        <f t="shared" si="312"/>
        <v>435.92934430392455</v>
      </c>
      <c r="E239" s="97">
        <f t="shared" si="312"/>
        <v>527.35218323249148</v>
      </c>
      <c r="F239" s="97">
        <f t="shared" si="312"/>
        <v>539.6470143110414</v>
      </c>
      <c r="G239" s="97">
        <f t="shared" si="312"/>
        <v>472.07215308811169</v>
      </c>
      <c r="H239" s="97">
        <f t="shared" si="312"/>
        <v>485.59421090023716</v>
      </c>
      <c r="I239" s="97">
        <f t="shared" si="312"/>
        <v>457.43031710648125</v>
      </c>
      <c r="J239" s="97">
        <f t="shared" si="312"/>
        <v>447.27689461147622</v>
      </c>
      <c r="K239" s="97">
        <f t="shared" si="312"/>
        <v>437.45358234370343</v>
      </c>
      <c r="L239" s="97">
        <f t="shared" si="312"/>
        <v>393.74269629921821</v>
      </c>
      <c r="M239" s="97">
        <f t="shared" si="312"/>
        <v>300.70103021991235</v>
      </c>
      <c r="N239" s="97">
        <f t="shared" si="312"/>
        <v>372.49751086658404</v>
      </c>
      <c r="O239" s="97">
        <f t="shared" si="312"/>
        <v>218.75071380134713</v>
      </c>
      <c r="P239" s="97">
        <f t="shared" si="312"/>
        <v>133.60088731830146</v>
      </c>
      <c r="Q239" s="97">
        <f t="shared" si="312"/>
        <v>155.11224876245635</v>
      </c>
      <c r="R239" s="97">
        <f t="shared" si="312"/>
        <v>208.36424283483333</v>
      </c>
      <c r="S239" s="97">
        <f t="shared" si="312"/>
        <v>356.60177076755576</v>
      </c>
      <c r="T239" s="97">
        <f t="shared" si="312"/>
        <v>323.69345083271452</v>
      </c>
      <c r="U239" s="97">
        <f t="shared" si="312"/>
        <v>328.11234685152124</v>
      </c>
      <c r="V239" s="97">
        <f t="shared" si="312"/>
        <v>304.58297526450696</v>
      </c>
      <c r="W239" s="97">
        <f t="shared" ref="W239" si="313">IF(W27=0,0,W87/W27*1000)</f>
        <v>341.05552013769591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31.70397912540486</v>
      </c>
      <c r="C241" s="32">
        <f t="shared" si="316"/>
        <v>29.539774122266103</v>
      </c>
      <c r="D241" s="32">
        <f t="shared" si="316"/>
        <v>28.523059871355894</v>
      </c>
      <c r="E241" s="32">
        <f t="shared" si="316"/>
        <v>27.464885760981726</v>
      </c>
      <c r="F241" s="32">
        <f t="shared" si="316"/>
        <v>25.255717995856763</v>
      </c>
      <c r="G241" s="32">
        <f t="shared" si="316"/>
        <v>25.049374660723</v>
      </c>
      <c r="H241" s="32">
        <f t="shared" si="316"/>
        <v>24.32730465335932</v>
      </c>
      <c r="I241" s="32">
        <f t="shared" si="316"/>
        <v>22.930290215284678</v>
      </c>
      <c r="J241" s="32">
        <f t="shared" si="316"/>
        <v>24.867943594340044</v>
      </c>
      <c r="K241" s="32">
        <f t="shared" si="316"/>
        <v>30.112951259781166</v>
      </c>
      <c r="L241" s="32">
        <f t="shared" si="316"/>
        <v>28.257572142481735</v>
      </c>
      <c r="M241" s="32">
        <f t="shared" si="316"/>
        <v>26.045226814530505</v>
      </c>
      <c r="N241" s="32">
        <f t="shared" si="316"/>
        <v>24.384555796863356</v>
      </c>
      <c r="O241" s="32">
        <f t="shared" si="316"/>
        <v>22.803601297840309</v>
      </c>
      <c r="P241" s="32">
        <f t="shared" si="316"/>
        <v>24.107348747394497</v>
      </c>
      <c r="Q241" s="32">
        <f t="shared" si="316"/>
        <v>24.236720563915277</v>
      </c>
      <c r="R241" s="32">
        <f t="shared" si="316"/>
        <v>24.298538681429612</v>
      </c>
      <c r="S241" s="32">
        <f t="shared" si="316"/>
        <v>20.480082094825708</v>
      </c>
      <c r="T241" s="32">
        <f t="shared" si="316"/>
        <v>20.007401303357103</v>
      </c>
      <c r="U241" s="32">
        <f t="shared" si="316"/>
        <v>18.642548633790707</v>
      </c>
      <c r="V241" s="32">
        <f t="shared" si="316"/>
        <v>17.841739883528387</v>
      </c>
      <c r="W241" s="32">
        <f t="shared" si="315"/>
        <v>19.754306587526219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72.35695707432707</v>
      </c>
      <c r="C242" s="97">
        <f t="shared" si="317"/>
        <v>69.182293013683463</v>
      </c>
      <c r="D242" s="97">
        <f t="shared" si="317"/>
        <v>67.251403142336642</v>
      </c>
      <c r="E242" s="97">
        <f t="shared" si="317"/>
        <v>64.630172099272329</v>
      </c>
      <c r="F242" s="97">
        <f t="shared" si="317"/>
        <v>59.775681091590968</v>
      </c>
      <c r="G242" s="97">
        <f t="shared" si="317"/>
        <v>60.66486245796326</v>
      </c>
      <c r="H242" s="97">
        <f t="shared" si="317"/>
        <v>61.280663585944943</v>
      </c>
      <c r="I242" s="97">
        <f t="shared" si="317"/>
        <v>59.857963989424775</v>
      </c>
      <c r="J242" s="97">
        <f t="shared" si="317"/>
        <v>65.280492431883872</v>
      </c>
      <c r="K242" s="97">
        <f t="shared" si="317"/>
        <v>75.470758743206147</v>
      </c>
      <c r="L242" s="97">
        <f t="shared" si="317"/>
        <v>71.435120955996126</v>
      </c>
      <c r="M242" s="97">
        <f t="shared" si="317"/>
        <v>68.613197423974796</v>
      </c>
      <c r="N242" s="97">
        <f t="shared" si="317"/>
        <v>65.834703942280186</v>
      </c>
      <c r="O242" s="97">
        <f t="shared" si="317"/>
        <v>59.556091164408762</v>
      </c>
      <c r="P242" s="97">
        <f t="shared" si="317"/>
        <v>61.402089756286593</v>
      </c>
      <c r="Q242" s="97">
        <f t="shared" si="317"/>
        <v>61.208854154326389</v>
      </c>
      <c r="R242" s="97">
        <f t="shared" si="317"/>
        <v>60.33145046358581</v>
      </c>
      <c r="S242" s="97">
        <f t="shared" si="317"/>
        <v>52.01663281072765</v>
      </c>
      <c r="T242" s="97">
        <f t="shared" si="317"/>
        <v>51.119061366378602</v>
      </c>
      <c r="U242" s="97">
        <f t="shared" si="317"/>
        <v>47.447133216890151</v>
      </c>
      <c r="V242" s="97">
        <f t="shared" si="317"/>
        <v>38.567986837120124</v>
      </c>
      <c r="W242" s="97">
        <f t="shared" si="315"/>
        <v>43.637565225813148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25.463307495938661</v>
      </c>
      <c r="C243" s="98">
        <f t="shared" si="318"/>
        <v>23.777563551377526</v>
      </c>
      <c r="D243" s="98">
        <f t="shared" si="318"/>
        <v>23.016788383963579</v>
      </c>
      <c r="E243" s="98">
        <f t="shared" si="318"/>
        <v>22.205300459314479</v>
      </c>
      <c r="F243" s="98">
        <f t="shared" si="318"/>
        <v>20.386372808964847</v>
      </c>
      <c r="G243" s="98">
        <f t="shared" si="318"/>
        <v>20.281606640859824</v>
      </c>
      <c r="H243" s="98">
        <f t="shared" si="318"/>
        <v>19.924954513853191</v>
      </c>
      <c r="I243" s="98">
        <f t="shared" si="318"/>
        <v>18.940094918300066</v>
      </c>
      <c r="J243" s="98">
        <f t="shared" si="318"/>
        <v>20.559830648544114</v>
      </c>
      <c r="K243" s="98">
        <f t="shared" si="318"/>
        <v>24.498289005960036</v>
      </c>
      <c r="L243" s="98">
        <f t="shared" si="318"/>
        <v>22.961874072117165</v>
      </c>
      <c r="M243" s="98">
        <f t="shared" si="318"/>
        <v>21.299668492917167</v>
      </c>
      <c r="N243" s="98">
        <f t="shared" si="318"/>
        <v>19.983756341644366</v>
      </c>
      <c r="O243" s="98">
        <f t="shared" si="318"/>
        <v>18.514828189740616</v>
      </c>
      <c r="P243" s="98">
        <f t="shared" si="318"/>
        <v>19.428056902027475</v>
      </c>
      <c r="Q243" s="98">
        <f t="shared" si="318"/>
        <v>19.534706123209475</v>
      </c>
      <c r="R243" s="98">
        <f t="shared" si="318"/>
        <v>19.513922862051402</v>
      </c>
      <c r="S243" s="98">
        <f t="shared" si="318"/>
        <v>16.521035921111245</v>
      </c>
      <c r="T243" s="98">
        <f t="shared" si="318"/>
        <v>16.058908477158514</v>
      </c>
      <c r="U243" s="98">
        <f t="shared" si="318"/>
        <v>14.941721193652301</v>
      </c>
      <c r="V243" s="98">
        <f t="shared" si="318"/>
        <v>14.969381893975291</v>
      </c>
      <c r="W243" s="98">
        <f t="shared" si="315"/>
        <v>16.375284754551821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363493.28452162811</v>
      </c>
      <c r="C4" s="29">
        <f t="shared" si="0"/>
        <v>370939.01473112352</v>
      </c>
      <c r="D4" s="29">
        <f t="shared" si="0"/>
        <v>375522.14786426147</v>
      </c>
      <c r="E4" s="29">
        <f t="shared" si="0"/>
        <v>383079.58577626164</v>
      </c>
      <c r="F4" s="29">
        <f t="shared" si="0"/>
        <v>395121.23751616135</v>
      </c>
      <c r="G4" s="29">
        <f t="shared" si="0"/>
        <v>404267.83872132021</v>
      </c>
      <c r="H4" s="29">
        <f t="shared" si="0"/>
        <v>403785.08618333947</v>
      </c>
      <c r="I4" s="29">
        <f t="shared" si="0"/>
        <v>417931.6221037638</v>
      </c>
      <c r="J4" s="29">
        <f t="shared" si="0"/>
        <v>418939.94143619249</v>
      </c>
      <c r="K4" s="29">
        <f t="shared" si="0"/>
        <v>423549.97649480571</v>
      </c>
      <c r="L4" s="29">
        <f t="shared" ref="L4" si="1">L5+L6+L13</f>
        <v>408835.84183603071</v>
      </c>
      <c r="M4" s="29">
        <f t="shared" ref="M4:V4" si="2">M5+M6+M13</f>
        <v>404945.80401962</v>
      </c>
      <c r="N4" s="29">
        <f t="shared" si="2"/>
        <v>389951.36300807027</v>
      </c>
      <c r="O4" s="29">
        <f t="shared" si="2"/>
        <v>384568.77387848566</v>
      </c>
      <c r="P4" s="29">
        <f t="shared" si="2"/>
        <v>363922.64239509037</v>
      </c>
      <c r="Q4" s="29">
        <f t="shared" si="2"/>
        <v>381106.02925042098</v>
      </c>
      <c r="R4" s="29">
        <f t="shared" si="2"/>
        <v>395174.51393598958</v>
      </c>
      <c r="S4" s="29">
        <f t="shared" si="2"/>
        <v>379897.92776694114</v>
      </c>
      <c r="T4" s="29">
        <f t="shared" si="2"/>
        <v>388504.90197613521</v>
      </c>
      <c r="U4" s="29">
        <f t="shared" si="2"/>
        <v>392020.02423243312</v>
      </c>
      <c r="V4" s="29">
        <f t="shared" si="2"/>
        <v>299466.5463759175</v>
      </c>
      <c r="W4" s="29">
        <f t="shared" ref="W4" si="3">W5+W6+W13</f>
        <v>320531.58625411487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10604.284521628195</v>
      </c>
      <c r="C5" s="152">
        <f t="shared" si="4"/>
        <v>11272.014731123585</v>
      </c>
      <c r="D5" s="152">
        <f t="shared" si="4"/>
        <v>10469.147864261453</v>
      </c>
      <c r="E5" s="152">
        <f t="shared" si="4"/>
        <v>11942.585776261656</v>
      </c>
      <c r="F5" s="152">
        <f t="shared" si="4"/>
        <v>11471.237516161373</v>
      </c>
      <c r="G5" s="152">
        <f t="shared" si="4"/>
        <v>13294.838721320146</v>
      </c>
      <c r="H5" s="152">
        <f t="shared" si="4"/>
        <v>13479.086183339497</v>
      </c>
      <c r="I5" s="152">
        <f t="shared" si="4"/>
        <v>15475.622103763837</v>
      </c>
      <c r="J5" s="152">
        <f t="shared" si="4"/>
        <v>15464.941436192523</v>
      </c>
      <c r="K5" s="152">
        <f t="shared" si="4"/>
        <v>16105.976494805698</v>
      </c>
      <c r="L5" s="152">
        <f t="shared" ref="L5:L7" si="5">IF(L32=0,0,L32*L142)</f>
        <v>16304.841836030739</v>
      </c>
      <c r="M5" s="152">
        <f t="shared" ref="M5:V5" si="6">IF(M32=0,0,M32*M142)</f>
        <v>15182.80401961998</v>
      </c>
      <c r="N5" s="152">
        <f t="shared" si="6"/>
        <v>14375.363008070266</v>
      </c>
      <c r="O5" s="152">
        <f t="shared" si="6"/>
        <v>14193.773878485674</v>
      </c>
      <c r="P5" s="152">
        <f t="shared" si="6"/>
        <v>15749.642395090374</v>
      </c>
      <c r="Q5" s="152">
        <f t="shared" si="6"/>
        <v>17164.029250420979</v>
      </c>
      <c r="R5" s="152">
        <f t="shared" si="6"/>
        <v>17531.513935989562</v>
      </c>
      <c r="S5" s="152">
        <f t="shared" si="6"/>
        <v>16529.92776694108</v>
      </c>
      <c r="T5" s="152">
        <f t="shared" si="6"/>
        <v>15760.901976135156</v>
      </c>
      <c r="U5" s="152">
        <f t="shared" si="6"/>
        <v>16765.024232433094</v>
      </c>
      <c r="V5" s="152">
        <f t="shared" si="6"/>
        <v>14999.546375917475</v>
      </c>
      <c r="W5" s="152">
        <f t="shared" ref="W5" si="7">IF(W32=0,0,W32*W142)</f>
        <v>15562.285030806455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302610.99999999994</v>
      </c>
      <c r="C6" s="116">
        <f t="shared" si="8"/>
        <v>307954.99999999994</v>
      </c>
      <c r="D6" s="116">
        <f t="shared" si="8"/>
        <v>315000</v>
      </c>
      <c r="E6" s="116">
        <f t="shared" si="8"/>
        <v>321928</v>
      </c>
      <c r="F6" s="116">
        <f t="shared" si="8"/>
        <v>330192</v>
      </c>
      <c r="G6" s="116">
        <f t="shared" si="8"/>
        <v>337797.00000000006</v>
      </c>
      <c r="H6" s="116">
        <f t="shared" si="8"/>
        <v>340937</v>
      </c>
      <c r="I6" s="116">
        <f t="shared" si="8"/>
        <v>343292.99999999994</v>
      </c>
      <c r="J6" s="116">
        <f t="shared" si="8"/>
        <v>342610.99999999994</v>
      </c>
      <c r="K6" s="116">
        <f t="shared" si="8"/>
        <v>350401</v>
      </c>
      <c r="L6" s="116">
        <f t="shared" ref="L6" si="9">SUM(L7:L12)</f>
        <v>341629</v>
      </c>
      <c r="M6" s="116">
        <f t="shared" ref="M6:V6" si="10">SUM(M7:M12)</f>
        <v>334021</v>
      </c>
      <c r="N6" s="116">
        <f t="shared" si="10"/>
        <v>321045</v>
      </c>
      <c r="O6" s="116">
        <f t="shared" si="10"/>
        <v>316539</v>
      </c>
      <c r="P6" s="116">
        <f t="shared" si="10"/>
        <v>308704</v>
      </c>
      <c r="Q6" s="116">
        <f t="shared" si="10"/>
        <v>317553</v>
      </c>
      <c r="R6" s="116">
        <f t="shared" si="10"/>
        <v>329880</v>
      </c>
      <c r="S6" s="116">
        <f t="shared" si="10"/>
        <v>332858.00000000006</v>
      </c>
      <c r="T6" s="116">
        <f t="shared" si="10"/>
        <v>340556.00000000006</v>
      </c>
      <c r="U6" s="116">
        <f t="shared" si="10"/>
        <v>342005</v>
      </c>
      <c r="V6" s="116">
        <f t="shared" si="10"/>
        <v>265538</v>
      </c>
      <c r="W6" s="116">
        <f t="shared" ref="W6" si="11">SUM(W7:W12)</f>
        <v>281308.05122330843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151400.26381176655</v>
      </c>
      <c r="C7" s="87">
        <f t="shared" si="12"/>
        <v>144409.65481369061</v>
      </c>
      <c r="D7" s="87">
        <f t="shared" si="12"/>
        <v>138399.46603747789</v>
      </c>
      <c r="E7" s="87">
        <f t="shared" si="12"/>
        <v>130151.69432147096</v>
      </c>
      <c r="F7" s="87">
        <f t="shared" si="12"/>
        <v>122931.94469494408</v>
      </c>
      <c r="G7" s="87">
        <f t="shared" si="12"/>
        <v>115887.50229594822</v>
      </c>
      <c r="H7" s="87">
        <f t="shared" si="12"/>
        <v>107539.71629895546</v>
      </c>
      <c r="I7" s="87">
        <f t="shared" si="12"/>
        <v>100792.3179280521</v>
      </c>
      <c r="J7" s="87">
        <f t="shared" si="12"/>
        <v>96080.384565624248</v>
      </c>
      <c r="K7" s="87">
        <f t="shared" si="12"/>
        <v>93706.80021232029</v>
      </c>
      <c r="L7" s="87">
        <f t="shared" si="5"/>
        <v>87749.858956421784</v>
      </c>
      <c r="M7" s="87">
        <f t="shared" ref="M7:V7" si="13">IF(M34=0,0,M34*M144)</f>
        <v>83243.654102987974</v>
      </c>
      <c r="N7" s="87">
        <f t="shared" si="13"/>
        <v>77972.220537063375</v>
      </c>
      <c r="O7" s="87">
        <f t="shared" si="13"/>
        <v>74220.366201115321</v>
      </c>
      <c r="P7" s="87">
        <f t="shared" si="13"/>
        <v>69821.804042895557</v>
      </c>
      <c r="Q7" s="87">
        <f t="shared" si="13"/>
        <v>70172.929106834723</v>
      </c>
      <c r="R7" s="87">
        <f t="shared" si="13"/>
        <v>71884.262248631465</v>
      </c>
      <c r="S7" s="87">
        <f t="shared" si="13"/>
        <v>72583.481101278201</v>
      </c>
      <c r="T7" s="87">
        <f t="shared" si="13"/>
        <v>75845.422674341084</v>
      </c>
      <c r="U7" s="87">
        <f t="shared" si="13"/>
        <v>78380.100280105209</v>
      </c>
      <c r="V7" s="87">
        <f t="shared" si="13"/>
        <v>53311.302922695657</v>
      </c>
      <c r="W7" s="87">
        <f t="shared" ref="W7" si="14">IF(W34=0,0,W34*W144)</f>
        <v>66574.576045421461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150561.79883896979</v>
      </c>
      <c r="C8" s="87">
        <f t="shared" si="15"/>
        <v>162927.74585338251</v>
      </c>
      <c r="D8" s="87">
        <f t="shared" si="15"/>
        <v>175992.58444341511</v>
      </c>
      <c r="E8" s="87">
        <f t="shared" si="15"/>
        <v>191222.3889666851</v>
      </c>
      <c r="F8" s="87">
        <f t="shared" si="15"/>
        <v>206727.67510651069</v>
      </c>
      <c r="G8" s="87">
        <f t="shared" si="15"/>
        <v>221522.27695261207</v>
      </c>
      <c r="H8" s="87">
        <f t="shared" si="15"/>
        <v>233025.73646132351</v>
      </c>
      <c r="I8" s="87">
        <f t="shared" si="15"/>
        <v>242200.81653542884</v>
      </c>
      <c r="J8" s="87">
        <f t="shared" si="15"/>
        <v>246300.73974102602</v>
      </c>
      <c r="K8" s="87">
        <f t="shared" si="15"/>
        <v>256412.09093217659</v>
      </c>
      <c r="L8" s="87">
        <f t="shared" ref="L8" si="16">IF(L35=0,0,L35*L145)</f>
        <v>253571.4330996396</v>
      </c>
      <c r="M8" s="87">
        <f t="shared" ref="M8:V8" si="17">IF(M35=0,0,M35*M145)</f>
        <v>250448.65148800946</v>
      </c>
      <c r="N8" s="87">
        <f t="shared" si="17"/>
        <v>242584.42036526292</v>
      </c>
      <c r="O8" s="87">
        <f t="shared" si="17"/>
        <v>241776.38478706899</v>
      </c>
      <c r="P8" s="87">
        <f t="shared" si="17"/>
        <v>238299.52409601607</v>
      </c>
      <c r="Q8" s="87">
        <f t="shared" si="17"/>
        <v>246721.72825024009</v>
      </c>
      <c r="R8" s="87">
        <f t="shared" si="17"/>
        <v>257221.4339151372</v>
      </c>
      <c r="S8" s="87">
        <f t="shared" si="17"/>
        <v>259298.49097403279</v>
      </c>
      <c r="T8" s="87">
        <f t="shared" si="17"/>
        <v>263109.5585816942</v>
      </c>
      <c r="U8" s="87">
        <f t="shared" si="17"/>
        <v>261560.15072259976</v>
      </c>
      <c r="V8" s="87">
        <f t="shared" si="17"/>
        <v>210440.75630642552</v>
      </c>
      <c r="W8" s="87">
        <f t="shared" ref="W8" si="18">IF(W35=0,0,W35*W145)</f>
        <v>211831.8489796053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648.93734926365312</v>
      </c>
      <c r="C9" s="87">
        <f t="shared" si="19"/>
        <v>617.59933292687924</v>
      </c>
      <c r="D9" s="87">
        <f t="shared" si="19"/>
        <v>607.94951910699035</v>
      </c>
      <c r="E9" s="87">
        <f t="shared" si="19"/>
        <v>553.91671184394215</v>
      </c>
      <c r="F9" s="87">
        <f t="shared" si="19"/>
        <v>505.00633982439859</v>
      </c>
      <c r="G9" s="87">
        <f t="shared" si="19"/>
        <v>329.81834890785495</v>
      </c>
      <c r="H9" s="87">
        <f t="shared" si="19"/>
        <v>281.76376481602892</v>
      </c>
      <c r="I9" s="87">
        <f t="shared" si="19"/>
        <v>215.79164312846646</v>
      </c>
      <c r="J9" s="87">
        <f t="shared" si="19"/>
        <v>145.9710325444714</v>
      </c>
      <c r="K9" s="87">
        <f t="shared" si="19"/>
        <v>195.26473862315143</v>
      </c>
      <c r="L9" s="87">
        <f t="shared" ref="L9" si="20">IF(L36=0,0,L36*L146)</f>
        <v>221.06291075530606</v>
      </c>
      <c r="M9" s="87">
        <f t="shared" ref="M9:V9" si="21">IF(M36=0,0,M36*M146)</f>
        <v>237.3963468644759</v>
      </c>
      <c r="N9" s="87">
        <f t="shared" si="21"/>
        <v>332.65394235677263</v>
      </c>
      <c r="O9" s="87">
        <f t="shared" si="21"/>
        <v>347.59836017079476</v>
      </c>
      <c r="P9" s="87">
        <f t="shared" si="21"/>
        <v>380.60770108203519</v>
      </c>
      <c r="Q9" s="87">
        <f t="shared" si="21"/>
        <v>419.71509515112558</v>
      </c>
      <c r="R9" s="87">
        <f t="shared" si="21"/>
        <v>476.60105293034758</v>
      </c>
      <c r="S9" s="87">
        <f t="shared" si="21"/>
        <v>571.95495259719064</v>
      </c>
      <c r="T9" s="87">
        <f t="shared" si="21"/>
        <v>976.78852222822275</v>
      </c>
      <c r="U9" s="87">
        <f t="shared" si="21"/>
        <v>1247.5044386486297</v>
      </c>
      <c r="V9" s="87">
        <f t="shared" si="21"/>
        <v>879.08784877749326</v>
      </c>
      <c r="W9" s="87">
        <f t="shared" ref="W9" si="22">IF(W36=0,0,W36*W146)</f>
        <v>1109.3088939513184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27.37385872081574</v>
      </c>
      <c r="G10" s="87">
        <f t="shared" si="23"/>
        <v>57.40240253187028</v>
      </c>
      <c r="H10" s="87">
        <f t="shared" si="23"/>
        <v>89.783474905001185</v>
      </c>
      <c r="I10" s="87">
        <f t="shared" si="23"/>
        <v>84.073893390588267</v>
      </c>
      <c r="J10" s="87">
        <f t="shared" si="23"/>
        <v>83.90466080526781</v>
      </c>
      <c r="K10" s="87">
        <f t="shared" si="23"/>
        <v>86.830277248341488</v>
      </c>
      <c r="L10" s="87">
        <f t="shared" ref="L10" si="24">IF(L37=0,0,L37*L147)</f>
        <v>85.577954216374565</v>
      </c>
      <c r="M10" s="87">
        <f t="shared" ref="M10:V10" si="25">IF(M37=0,0,M37*M147)</f>
        <v>83.161912412101373</v>
      </c>
      <c r="N10" s="87">
        <f t="shared" si="25"/>
        <v>139.75980793207472</v>
      </c>
      <c r="O10" s="87">
        <f t="shared" si="25"/>
        <v>163.58297484685778</v>
      </c>
      <c r="P10" s="87">
        <f t="shared" si="25"/>
        <v>156.66153501723446</v>
      </c>
      <c r="Q10" s="87">
        <f t="shared" si="25"/>
        <v>162.76563456485545</v>
      </c>
      <c r="R10" s="87">
        <f t="shared" si="25"/>
        <v>171.65404285696329</v>
      </c>
      <c r="S10" s="87">
        <f t="shared" si="25"/>
        <v>191.68751604893265</v>
      </c>
      <c r="T10" s="87">
        <f t="shared" si="25"/>
        <v>262.19970015236055</v>
      </c>
      <c r="U10" s="87">
        <f t="shared" si="25"/>
        <v>269.3098887842371</v>
      </c>
      <c r="V10" s="87">
        <f t="shared" si="25"/>
        <v>182.19960847683308</v>
      </c>
      <c r="W10" s="87">
        <f t="shared" ref="W10" si="26">IF(W37=0,0,W37*W147)</f>
        <v>229.64329822159257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9.0144504619809274E-2</v>
      </c>
      <c r="N11" s="87">
        <f t="shared" si="29"/>
        <v>1.1734567061098722</v>
      </c>
      <c r="O11" s="87">
        <f t="shared" si="29"/>
        <v>2.017463353426181</v>
      </c>
      <c r="P11" s="87">
        <f t="shared" si="29"/>
        <v>6.2746878064555522</v>
      </c>
      <c r="Q11" s="87">
        <f t="shared" si="29"/>
        <v>14.130779975653144</v>
      </c>
      <c r="R11" s="87">
        <f t="shared" si="29"/>
        <v>32.710790546938036</v>
      </c>
      <c r="S11" s="87">
        <f t="shared" si="29"/>
        <v>67.566552636638832</v>
      </c>
      <c r="T11" s="87">
        <f t="shared" si="29"/>
        <v>126.73204563324698</v>
      </c>
      <c r="U11" s="87">
        <f t="shared" si="29"/>
        <v>201.69641646326085</v>
      </c>
      <c r="V11" s="87">
        <f t="shared" si="29"/>
        <v>298.2139128917388</v>
      </c>
      <c r="W11" s="87">
        <f t="shared" ref="W11" si="30">IF(W38=0,0,W38*W148)</f>
        <v>724.61257063927553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1.3839631623706055E-2</v>
      </c>
      <c r="L12" s="87">
        <f t="shared" ref="L12" si="32">IF(L39=0,0,L39*L149)</f>
        <v>1.0670789669419256</v>
      </c>
      <c r="M12" s="87">
        <f t="shared" ref="M12:V12" si="33">IF(M39=0,0,M39*M149)</f>
        <v>8.0460052213547897</v>
      </c>
      <c r="N12" s="87">
        <f t="shared" si="33"/>
        <v>14.771890678754682</v>
      </c>
      <c r="O12" s="87">
        <f t="shared" si="33"/>
        <v>29.050213444607923</v>
      </c>
      <c r="P12" s="87">
        <f t="shared" si="33"/>
        <v>39.127937182662684</v>
      </c>
      <c r="Q12" s="87">
        <f t="shared" si="33"/>
        <v>61.731133233578497</v>
      </c>
      <c r="R12" s="87">
        <f t="shared" si="33"/>
        <v>93.337949897115081</v>
      </c>
      <c r="S12" s="87">
        <f t="shared" si="33"/>
        <v>144.81890340625506</v>
      </c>
      <c r="T12" s="87">
        <f t="shared" si="33"/>
        <v>235.29847595090135</v>
      </c>
      <c r="U12" s="87">
        <f t="shared" si="33"/>
        <v>346.23825339893102</v>
      </c>
      <c r="V12" s="87">
        <f t="shared" si="33"/>
        <v>426.43940073276673</v>
      </c>
      <c r="W12" s="87">
        <f t="shared" ref="W12" si="34">IF(W39=0,0,W39*W149)</f>
        <v>838.06143546948954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50278</v>
      </c>
      <c r="C13" s="116">
        <f t="shared" si="35"/>
        <v>51712.000000000007</v>
      </c>
      <c r="D13" s="116">
        <f t="shared" si="35"/>
        <v>50053</v>
      </c>
      <c r="E13" s="116">
        <f t="shared" si="35"/>
        <v>49208.999999999993</v>
      </c>
      <c r="F13" s="116">
        <f t="shared" si="35"/>
        <v>53458</v>
      </c>
      <c r="G13" s="116">
        <f t="shared" si="35"/>
        <v>53176</v>
      </c>
      <c r="H13" s="116">
        <f t="shared" si="35"/>
        <v>49369</v>
      </c>
      <c r="I13" s="116">
        <f t="shared" si="35"/>
        <v>59163</v>
      </c>
      <c r="J13" s="116">
        <f t="shared" si="35"/>
        <v>60864.000000000007</v>
      </c>
      <c r="K13" s="116">
        <f t="shared" si="35"/>
        <v>57043</v>
      </c>
      <c r="L13" s="116">
        <f t="shared" ref="L13" si="36">SUM(L14:L18)</f>
        <v>50902</v>
      </c>
      <c r="M13" s="116">
        <f t="shared" ref="M13:V13" si="37">SUM(M14:M18)</f>
        <v>55742.000000000007</v>
      </c>
      <c r="N13" s="116">
        <f t="shared" si="37"/>
        <v>54531</v>
      </c>
      <c r="O13" s="116">
        <f t="shared" si="37"/>
        <v>53836.000000000007</v>
      </c>
      <c r="P13" s="116">
        <f t="shared" si="37"/>
        <v>39468.999999999993</v>
      </c>
      <c r="Q13" s="116">
        <f t="shared" si="37"/>
        <v>46389</v>
      </c>
      <c r="R13" s="116">
        <f t="shared" si="37"/>
        <v>47763</v>
      </c>
      <c r="S13" s="116">
        <f t="shared" si="37"/>
        <v>30510</v>
      </c>
      <c r="T13" s="116">
        <f t="shared" si="37"/>
        <v>32188.000000000004</v>
      </c>
      <c r="U13" s="116">
        <f t="shared" si="37"/>
        <v>33250</v>
      </c>
      <c r="V13" s="116">
        <f t="shared" si="37"/>
        <v>18929</v>
      </c>
      <c r="W13" s="116">
        <f t="shared" ref="W13" si="38">SUM(W14:W18)</f>
        <v>23661.25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192.06450674413611</v>
      </c>
      <c r="C14" s="101">
        <f t="shared" si="39"/>
        <v>197.36731578161218</v>
      </c>
      <c r="D14" s="101">
        <f t="shared" si="39"/>
        <v>197.6686436319435</v>
      </c>
      <c r="E14" s="101">
        <f t="shared" si="39"/>
        <v>193.79925246500565</v>
      </c>
      <c r="F14" s="101">
        <f t="shared" si="39"/>
        <v>204.55709281188808</v>
      </c>
      <c r="G14" s="101">
        <f t="shared" si="39"/>
        <v>182.56588917999139</v>
      </c>
      <c r="H14" s="101">
        <f t="shared" si="39"/>
        <v>159.70712653333572</v>
      </c>
      <c r="I14" s="101">
        <f t="shared" si="39"/>
        <v>210.47332428347428</v>
      </c>
      <c r="J14" s="101">
        <f t="shared" si="39"/>
        <v>197.85667059221521</v>
      </c>
      <c r="K14" s="101">
        <f t="shared" si="39"/>
        <v>170.90496788422382</v>
      </c>
      <c r="L14" s="101">
        <f t="shared" ref="L14" si="40">IF(L41=0,0,L41*L151)</f>
        <v>144.59830778429878</v>
      </c>
      <c r="M14" s="101">
        <f t="shared" ref="M14:V14" si="41">IF(M41=0,0,M41*M151)</f>
        <v>151.93541382226149</v>
      </c>
      <c r="N14" s="101">
        <f t="shared" si="41"/>
        <v>140.90193949533361</v>
      </c>
      <c r="O14" s="101">
        <f t="shared" si="41"/>
        <v>138.25007430401891</v>
      </c>
      <c r="P14" s="101">
        <f t="shared" si="41"/>
        <v>97.413228383609052</v>
      </c>
      <c r="Q14" s="101">
        <f t="shared" si="41"/>
        <v>109.33804285461459</v>
      </c>
      <c r="R14" s="101">
        <f t="shared" si="41"/>
        <v>106.90488177140637</v>
      </c>
      <c r="S14" s="101">
        <f t="shared" si="41"/>
        <v>88.340785425524416</v>
      </c>
      <c r="T14" s="101">
        <f t="shared" si="41"/>
        <v>85.155209250765068</v>
      </c>
      <c r="U14" s="101">
        <f t="shared" si="41"/>
        <v>80.299429995180361</v>
      </c>
      <c r="V14" s="101">
        <f t="shared" si="41"/>
        <v>42.23115970192751</v>
      </c>
      <c r="W14" s="101">
        <f t="shared" ref="W14" si="42">IF(W41=0,0,W41*W151)</f>
        <v>48.906195439949187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49915.568584547473</v>
      </c>
      <c r="C15" s="101">
        <f t="shared" si="43"/>
        <v>51343.747954466271</v>
      </c>
      <c r="D15" s="101">
        <f t="shared" si="43"/>
        <v>49843.898519191527</v>
      </c>
      <c r="E15" s="101">
        <f t="shared" si="43"/>
        <v>48751.28769002913</v>
      </c>
      <c r="F15" s="101">
        <f t="shared" si="43"/>
        <v>52893.780856567959</v>
      </c>
      <c r="G15" s="101">
        <f t="shared" si="43"/>
        <v>52586.229763053103</v>
      </c>
      <c r="H15" s="101">
        <f t="shared" si="43"/>
        <v>48812.208796935825</v>
      </c>
      <c r="I15" s="101">
        <f t="shared" si="43"/>
        <v>58351.69484093388</v>
      </c>
      <c r="J15" s="101">
        <f t="shared" si="43"/>
        <v>60091.643736891885</v>
      </c>
      <c r="K15" s="101">
        <f t="shared" si="43"/>
        <v>56325.406593693384</v>
      </c>
      <c r="L15" s="101">
        <f t="shared" ref="L15" si="44">IF(L42=0,0,L42*L152)</f>
        <v>50262.10698967216</v>
      </c>
      <c r="M15" s="101">
        <f t="shared" ref="M15:V15" si="45">IF(M42=0,0,M42*M152)</f>
        <v>55046.651865233012</v>
      </c>
      <c r="N15" s="101">
        <f t="shared" si="45"/>
        <v>53847.767851067707</v>
      </c>
      <c r="O15" s="101">
        <f t="shared" si="45"/>
        <v>53152.257760388704</v>
      </c>
      <c r="P15" s="101">
        <f t="shared" si="45"/>
        <v>38934.164109673926</v>
      </c>
      <c r="Q15" s="101">
        <f t="shared" si="45"/>
        <v>44259.680810503756</v>
      </c>
      <c r="R15" s="101">
        <f t="shared" si="45"/>
        <v>45140.317248767584</v>
      </c>
      <c r="S15" s="101">
        <f t="shared" si="45"/>
        <v>26744.817897766887</v>
      </c>
      <c r="T15" s="101">
        <f t="shared" si="45"/>
        <v>27617.427039679962</v>
      </c>
      <c r="U15" s="101">
        <f t="shared" si="45"/>
        <v>27308.168026764513</v>
      </c>
      <c r="V15" s="101">
        <f t="shared" si="45"/>
        <v>14895.955219543306</v>
      </c>
      <c r="W15" s="101">
        <f t="shared" ref="W15" si="46">IF(W42=0,0,W42*W152)</f>
        <v>18360.127231442468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1.5281909861794714</v>
      </c>
      <c r="Q16" s="101">
        <f t="shared" si="49"/>
        <v>46.405560222178977</v>
      </c>
      <c r="R16" s="101">
        <f t="shared" si="49"/>
        <v>46.919795745838584</v>
      </c>
      <c r="S16" s="101">
        <f t="shared" si="49"/>
        <v>40.492430425713017</v>
      </c>
      <c r="T16" s="101">
        <f t="shared" si="49"/>
        <v>38.147712119900717</v>
      </c>
      <c r="U16" s="101">
        <f t="shared" si="49"/>
        <v>49.199703465848025</v>
      </c>
      <c r="V16" s="101">
        <f t="shared" si="49"/>
        <v>35.895854686844608</v>
      </c>
      <c r="W16" s="101">
        <f t="shared" ref="W16" si="50">IF(W43=0,0,W43*W153)</f>
        <v>95.532069589347003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170.36690870839419</v>
      </c>
      <c r="C17" s="101">
        <f t="shared" si="51"/>
        <v>170.884729752119</v>
      </c>
      <c r="D17" s="101">
        <f t="shared" si="51"/>
        <v>11.432837176528158</v>
      </c>
      <c r="E17" s="101">
        <f t="shared" si="51"/>
        <v>263.91305750586196</v>
      </c>
      <c r="F17" s="101">
        <f t="shared" si="51"/>
        <v>359.66205062015422</v>
      </c>
      <c r="G17" s="101">
        <f t="shared" si="51"/>
        <v>407.20434776690689</v>
      </c>
      <c r="H17" s="101">
        <f t="shared" si="51"/>
        <v>397.08407653083901</v>
      </c>
      <c r="I17" s="101">
        <f t="shared" si="51"/>
        <v>600.83183478264243</v>
      </c>
      <c r="J17" s="101">
        <f t="shared" si="51"/>
        <v>574.49959251590928</v>
      </c>
      <c r="K17" s="101">
        <f t="shared" si="51"/>
        <v>546.68843842239301</v>
      </c>
      <c r="L17" s="101">
        <f t="shared" ref="L17" si="52">IF(L44=0,0,L44*L154)</f>
        <v>495.2947025435393</v>
      </c>
      <c r="M17" s="101">
        <f t="shared" ref="M17:V17" si="53">IF(M44=0,0,M44*M154)</f>
        <v>543.41272094473345</v>
      </c>
      <c r="N17" s="101">
        <f t="shared" si="53"/>
        <v>542.33020943695919</v>
      </c>
      <c r="O17" s="101">
        <f t="shared" si="53"/>
        <v>545.49216530728086</v>
      </c>
      <c r="P17" s="101">
        <f t="shared" si="53"/>
        <v>365.95551947706792</v>
      </c>
      <c r="Q17" s="101">
        <f t="shared" si="53"/>
        <v>1844.0155222017784</v>
      </c>
      <c r="R17" s="101">
        <f t="shared" si="53"/>
        <v>2285.1276138265034</v>
      </c>
      <c r="S17" s="101">
        <f t="shared" si="53"/>
        <v>3409.4964324234766</v>
      </c>
      <c r="T17" s="101">
        <f t="shared" si="53"/>
        <v>4143.9524023652639</v>
      </c>
      <c r="U17" s="101">
        <f t="shared" si="53"/>
        <v>5312.1489508421892</v>
      </c>
      <c r="V17" s="101">
        <f t="shared" si="53"/>
        <v>3559.3597200212866</v>
      </c>
      <c r="W17" s="101">
        <f t="shared" ref="W17" si="54">IF(W44=0,0,W44*W154)</f>
        <v>4571.1805910859621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0</v>
      </c>
      <c r="P18" s="101">
        <f t="shared" si="57"/>
        <v>69.938951479215348</v>
      </c>
      <c r="Q18" s="101">
        <f t="shared" si="57"/>
        <v>129.56006421767037</v>
      </c>
      <c r="R18" s="101">
        <f t="shared" si="57"/>
        <v>183.73045988866704</v>
      </c>
      <c r="S18" s="101">
        <f t="shared" si="57"/>
        <v>226.85245395840033</v>
      </c>
      <c r="T18" s="101">
        <f t="shared" si="57"/>
        <v>303.3176365841116</v>
      </c>
      <c r="U18" s="101">
        <f t="shared" si="57"/>
        <v>500.18388893226881</v>
      </c>
      <c r="V18" s="101">
        <f t="shared" si="57"/>
        <v>395.55804604663462</v>
      </c>
      <c r="W18" s="101">
        <f t="shared" ref="W18" si="58">IF(W45=0,0,W45*W155)</f>
        <v>585.50391244227478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146884.79517647673</v>
      </c>
      <c r="C19" s="29">
        <f t="shared" si="59"/>
        <v>157787.38403993781</v>
      </c>
      <c r="D19" s="29">
        <f t="shared" si="59"/>
        <v>174693.55285282343</v>
      </c>
      <c r="E19" s="29">
        <f t="shared" si="59"/>
        <v>184938.38023129822</v>
      </c>
      <c r="F19" s="29">
        <f t="shared" si="59"/>
        <v>208083.84600442095</v>
      </c>
      <c r="G19" s="29">
        <f t="shared" si="59"/>
        <v>220522.37808524416</v>
      </c>
      <c r="H19" s="29">
        <f t="shared" si="59"/>
        <v>230517.80911877388</v>
      </c>
      <c r="I19" s="29">
        <f t="shared" si="59"/>
        <v>249462.74038393333</v>
      </c>
      <c r="J19" s="29">
        <f t="shared" si="59"/>
        <v>228584.05056897894</v>
      </c>
      <c r="K19" s="29">
        <f t="shared" si="59"/>
        <v>199324.56907031313</v>
      </c>
      <c r="L19" s="29">
        <f t="shared" ref="L19" si="60">L20+L26</f>
        <v>194234.57107281411</v>
      </c>
      <c r="M19" s="29">
        <f t="shared" ref="M19:V19" si="61">M20+M26</f>
        <v>189489.733995674</v>
      </c>
      <c r="N19" s="29">
        <f t="shared" si="61"/>
        <v>178649.15043577825</v>
      </c>
      <c r="O19" s="29">
        <f t="shared" si="61"/>
        <v>174947.93402859988</v>
      </c>
      <c r="P19" s="29">
        <f t="shared" si="61"/>
        <v>175862.38255120258</v>
      </c>
      <c r="Q19" s="29">
        <f t="shared" si="61"/>
        <v>187202.03852849139</v>
      </c>
      <c r="R19" s="29">
        <f t="shared" si="61"/>
        <v>195608.20245075951</v>
      </c>
      <c r="S19" s="29">
        <f t="shared" si="61"/>
        <v>207466.7831375183</v>
      </c>
      <c r="T19" s="29">
        <f t="shared" si="61"/>
        <v>213355.23851211503</v>
      </c>
      <c r="U19" s="29">
        <f t="shared" si="61"/>
        <v>222532.09548235356</v>
      </c>
      <c r="V19" s="29">
        <f t="shared" si="61"/>
        <v>214131.62496181382</v>
      </c>
      <c r="W19" s="29">
        <f t="shared" ref="W19" si="62">W20+W26</f>
        <v>240657.94165684341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7942.0399006761781</v>
      </c>
      <c r="C20" s="152">
        <f t="shared" si="63"/>
        <v>9497.9155884977808</v>
      </c>
      <c r="D20" s="152">
        <f t="shared" si="63"/>
        <v>8875.6534757567206</v>
      </c>
      <c r="E20" s="152">
        <f t="shared" si="63"/>
        <v>9632.0107563122747</v>
      </c>
      <c r="F20" s="152">
        <f t="shared" si="63"/>
        <v>10248.882889556136</v>
      </c>
      <c r="G20" s="152">
        <f t="shared" si="63"/>
        <v>9801.1824719679407</v>
      </c>
      <c r="H20" s="152">
        <f t="shared" si="63"/>
        <v>10388.506333541667</v>
      </c>
      <c r="I20" s="152">
        <f t="shared" si="63"/>
        <v>12196.574960665544</v>
      </c>
      <c r="J20" s="152">
        <f t="shared" si="63"/>
        <v>11264.266669817953</v>
      </c>
      <c r="K20" s="152">
        <f t="shared" si="63"/>
        <v>9889.7733542855658</v>
      </c>
      <c r="L20" s="152">
        <f t="shared" ref="L20" si="64">SUM(L21:L25)</f>
        <v>9833.0795439314043</v>
      </c>
      <c r="M20" s="152">
        <f t="shared" ref="M20:V20" si="65">SUM(M21:M25)</f>
        <v>9621.1815200284545</v>
      </c>
      <c r="N20" s="152">
        <f t="shared" si="65"/>
        <v>8879.5789243713407</v>
      </c>
      <c r="O20" s="152">
        <f t="shared" si="65"/>
        <v>8832.2987989893209</v>
      </c>
      <c r="P20" s="152">
        <f t="shared" si="65"/>
        <v>8750.9327558398945</v>
      </c>
      <c r="Q20" s="152">
        <f t="shared" si="65"/>
        <v>9206.9558386206627</v>
      </c>
      <c r="R20" s="152">
        <f t="shared" si="65"/>
        <v>8907.5887387032071</v>
      </c>
      <c r="S20" s="152">
        <f t="shared" si="65"/>
        <v>9509.0372655638294</v>
      </c>
      <c r="T20" s="152">
        <f t="shared" si="65"/>
        <v>9733.2385121150255</v>
      </c>
      <c r="U20" s="152">
        <f t="shared" si="65"/>
        <v>9827.0954823535649</v>
      </c>
      <c r="V20" s="152">
        <f t="shared" si="65"/>
        <v>6678.6249618138127</v>
      </c>
      <c r="W20" s="152">
        <f t="shared" ref="W20" si="66">SUM(W21:W25)</f>
        <v>9570.9416568433971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585.81404420410774</v>
      </c>
      <c r="C21" s="87">
        <f t="shared" si="67"/>
        <v>623.29960092612407</v>
      </c>
      <c r="D21" s="87">
        <f t="shared" si="67"/>
        <v>451.14607421484561</v>
      </c>
      <c r="E21" s="87">
        <f t="shared" si="67"/>
        <v>398.29225254916298</v>
      </c>
      <c r="F21" s="87">
        <f t="shared" si="67"/>
        <v>339.07293569876464</v>
      </c>
      <c r="G21" s="87">
        <f t="shared" si="67"/>
        <v>260.66690081803756</v>
      </c>
      <c r="H21" s="87">
        <f t="shared" si="67"/>
        <v>225.77890195833052</v>
      </c>
      <c r="I21" s="87">
        <f t="shared" si="67"/>
        <v>204.47772802352176</v>
      </c>
      <c r="J21" s="87">
        <f t="shared" si="67"/>
        <v>166.49733639101149</v>
      </c>
      <c r="K21" s="87">
        <f t="shared" si="67"/>
        <v>145.78694980536727</v>
      </c>
      <c r="L21" s="87">
        <f t="shared" ref="L21" si="68">IF(L48=0,0,L48*L158)</f>
        <v>137.23541725138898</v>
      </c>
      <c r="M21" s="87">
        <f t="shared" ref="M21:V21" si="69">IF(M48=0,0,M48*M158)</f>
        <v>139.66468711570965</v>
      </c>
      <c r="N21" s="87">
        <f t="shared" si="69"/>
        <v>144.37070726327025</v>
      </c>
      <c r="O21" s="87">
        <f t="shared" si="69"/>
        <v>147.52390099618057</v>
      </c>
      <c r="P21" s="87">
        <f t="shared" si="69"/>
        <v>103.97924747033098</v>
      </c>
      <c r="Q21" s="87">
        <f t="shared" si="69"/>
        <v>108.82052093672769</v>
      </c>
      <c r="R21" s="87">
        <f t="shared" si="69"/>
        <v>102.94319666252963</v>
      </c>
      <c r="S21" s="87">
        <f t="shared" si="69"/>
        <v>121.8423164518225</v>
      </c>
      <c r="T21" s="87">
        <f t="shared" si="69"/>
        <v>132.50768127339396</v>
      </c>
      <c r="U21" s="87">
        <f t="shared" si="69"/>
        <v>147.98824942765197</v>
      </c>
      <c r="V21" s="87">
        <f t="shared" si="69"/>
        <v>102.96345520250232</v>
      </c>
      <c r="W21" s="87">
        <f t="shared" ref="W21" si="70">IF(W48=0,0,W48*W158)</f>
        <v>169.867824638142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7356.2258564720705</v>
      </c>
      <c r="C22" s="87">
        <f t="shared" si="71"/>
        <v>8874.6159875716567</v>
      </c>
      <c r="D22" s="87">
        <f t="shared" si="71"/>
        <v>8424.5074015418759</v>
      </c>
      <c r="E22" s="87">
        <f t="shared" si="71"/>
        <v>9233.7185037631116</v>
      </c>
      <c r="F22" s="87">
        <f t="shared" si="71"/>
        <v>9909.8099538573715</v>
      </c>
      <c r="G22" s="87">
        <f t="shared" si="71"/>
        <v>9540.5155711499028</v>
      </c>
      <c r="H22" s="87">
        <f t="shared" si="71"/>
        <v>10162.727431583337</v>
      </c>
      <c r="I22" s="87">
        <f t="shared" si="71"/>
        <v>11992.097232642023</v>
      </c>
      <c r="J22" s="87">
        <f t="shared" si="71"/>
        <v>11097.769333426941</v>
      </c>
      <c r="K22" s="87">
        <f t="shared" si="71"/>
        <v>9743.986404480198</v>
      </c>
      <c r="L22" s="87">
        <f t="shared" ref="L22" si="72">IF(L49=0,0,L49*L159)</f>
        <v>9695.8441266800146</v>
      </c>
      <c r="M22" s="87">
        <f t="shared" ref="M22:V22" si="73">IF(M49=0,0,M49*M159)</f>
        <v>9481.4525218809777</v>
      </c>
      <c r="N22" s="87">
        <f t="shared" si="73"/>
        <v>8734.5649641472355</v>
      </c>
      <c r="O22" s="87">
        <f t="shared" si="73"/>
        <v>8684.1123111183406</v>
      </c>
      <c r="P22" s="87">
        <f t="shared" si="73"/>
        <v>8644.5987130556477</v>
      </c>
      <c r="Q22" s="87">
        <f t="shared" si="73"/>
        <v>9091.7019019391773</v>
      </c>
      <c r="R22" s="87">
        <f t="shared" si="73"/>
        <v>8791.1387242291748</v>
      </c>
      <c r="S22" s="87">
        <f t="shared" si="73"/>
        <v>9367.3016295230773</v>
      </c>
      <c r="T22" s="87">
        <f t="shared" si="73"/>
        <v>9565.6658175416123</v>
      </c>
      <c r="U22" s="87">
        <f t="shared" si="73"/>
        <v>9615.5710016255707</v>
      </c>
      <c r="V22" s="87">
        <f t="shared" si="73"/>
        <v>6521.4384760860949</v>
      </c>
      <c r="W22" s="87">
        <f t="shared" ref="W22" si="74">IF(W49=0,0,W49*W159)</f>
        <v>9306.5775095041445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6.7115969154441834E-3</v>
      </c>
      <c r="P23" s="87">
        <f t="shared" si="77"/>
        <v>0.76646774757791358</v>
      </c>
      <c r="Q23" s="87">
        <f t="shared" si="77"/>
        <v>1.7278267061975856</v>
      </c>
      <c r="R23" s="87">
        <f t="shared" si="77"/>
        <v>5.5509030558789743</v>
      </c>
      <c r="S23" s="87">
        <f t="shared" si="77"/>
        <v>8.3500980703354486</v>
      </c>
      <c r="T23" s="87">
        <f t="shared" si="77"/>
        <v>15.548082804872905</v>
      </c>
      <c r="U23" s="87">
        <f t="shared" si="77"/>
        <v>34.356496710140867</v>
      </c>
      <c r="V23" s="87">
        <f t="shared" si="77"/>
        <v>27.16684206125041</v>
      </c>
      <c r="W23" s="87">
        <f t="shared" ref="W23" si="78">IF(W50=0,0,W50*W160)</f>
        <v>48.241133592250385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5.0992363330290807E-2</v>
      </c>
      <c r="O24" s="87">
        <f t="shared" si="81"/>
        <v>0.34722667726725753</v>
      </c>
      <c r="P24" s="87">
        <f t="shared" si="81"/>
        <v>0.57410735361363674</v>
      </c>
      <c r="Q24" s="87">
        <f t="shared" si="81"/>
        <v>1.7262290852574118</v>
      </c>
      <c r="R24" s="87">
        <f t="shared" si="81"/>
        <v>2.3231538387474462</v>
      </c>
      <c r="S24" s="87">
        <f t="shared" si="81"/>
        <v>3.589642458860788</v>
      </c>
      <c r="T24" s="87">
        <f t="shared" si="81"/>
        <v>6.7229612812272066</v>
      </c>
      <c r="U24" s="87">
        <f t="shared" si="81"/>
        <v>12.236980710464652</v>
      </c>
      <c r="V24" s="87">
        <f t="shared" si="81"/>
        <v>11.238601644922147</v>
      </c>
      <c r="W24" s="87">
        <f t="shared" ref="W24" si="82">IF(W51=0,0,W51*W161)</f>
        <v>18.095344150053727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6.4311031766436766E-2</v>
      </c>
      <c r="N25" s="87">
        <f t="shared" si="85"/>
        <v>0.59226059750382332</v>
      </c>
      <c r="O25" s="87">
        <f t="shared" si="85"/>
        <v>0.30864860061659288</v>
      </c>
      <c r="P25" s="87">
        <f t="shared" si="85"/>
        <v>1.0142202127234112</v>
      </c>
      <c r="Q25" s="87">
        <f t="shared" si="85"/>
        <v>2.9793599533027026</v>
      </c>
      <c r="R25" s="87">
        <f t="shared" si="85"/>
        <v>5.6327609168771788</v>
      </c>
      <c r="S25" s="87">
        <f t="shared" si="85"/>
        <v>7.9535790597334932</v>
      </c>
      <c r="T25" s="87">
        <f t="shared" si="85"/>
        <v>12.793969213919159</v>
      </c>
      <c r="U25" s="87">
        <f t="shared" si="85"/>
        <v>16.942753879736483</v>
      </c>
      <c r="V25" s="87">
        <f t="shared" si="85"/>
        <v>15.817586819042493</v>
      </c>
      <c r="W25" s="87">
        <f t="shared" ref="W25" si="86">IF(W52=0,0,W52*W162)</f>
        <v>28.159844958807273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138942.75527580056</v>
      </c>
      <c r="C26" s="116">
        <f t="shared" si="87"/>
        <v>148289.46845144004</v>
      </c>
      <c r="D26" s="116">
        <f t="shared" si="87"/>
        <v>165817.8993770667</v>
      </c>
      <c r="E26" s="116">
        <f t="shared" si="87"/>
        <v>175306.36947498593</v>
      </c>
      <c r="F26" s="116">
        <f t="shared" si="87"/>
        <v>197834.9631148648</v>
      </c>
      <c r="G26" s="116">
        <f t="shared" si="87"/>
        <v>210721.19561327621</v>
      </c>
      <c r="H26" s="116">
        <f t="shared" si="87"/>
        <v>220129.3027852322</v>
      </c>
      <c r="I26" s="116">
        <f t="shared" si="87"/>
        <v>237266.16542326778</v>
      </c>
      <c r="J26" s="116">
        <f t="shared" si="87"/>
        <v>217319.783899161</v>
      </c>
      <c r="K26" s="116">
        <f t="shared" si="87"/>
        <v>189434.79571602755</v>
      </c>
      <c r="L26" s="116">
        <f t="shared" ref="L26" si="88">SUM(L27:L28)</f>
        <v>184401.4915288827</v>
      </c>
      <c r="M26" s="116">
        <f t="shared" ref="M26:V26" si="89">SUM(M27:M28)</f>
        <v>179868.55247564556</v>
      </c>
      <c r="N26" s="116">
        <f t="shared" si="89"/>
        <v>169769.57151140692</v>
      </c>
      <c r="O26" s="116">
        <f t="shared" si="89"/>
        <v>166115.63522961055</v>
      </c>
      <c r="P26" s="116">
        <f t="shared" si="89"/>
        <v>167111.44979536269</v>
      </c>
      <c r="Q26" s="116">
        <f t="shared" si="89"/>
        <v>177995.08268987073</v>
      </c>
      <c r="R26" s="116">
        <f t="shared" si="89"/>
        <v>186700.61371205631</v>
      </c>
      <c r="S26" s="116">
        <f t="shared" si="89"/>
        <v>197957.74587195448</v>
      </c>
      <c r="T26" s="116">
        <f t="shared" si="89"/>
        <v>203622</v>
      </c>
      <c r="U26" s="116">
        <f t="shared" si="89"/>
        <v>212705</v>
      </c>
      <c r="V26" s="116">
        <f t="shared" si="89"/>
        <v>207453</v>
      </c>
      <c r="W26" s="116">
        <f t="shared" ref="W26" si="90">SUM(W27:W28)</f>
        <v>231087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106936</v>
      </c>
      <c r="C27" s="101">
        <f t="shared" si="91"/>
        <v>114004</v>
      </c>
      <c r="D27" s="101">
        <f t="shared" si="91"/>
        <v>129510</v>
      </c>
      <c r="E27" s="101">
        <f t="shared" si="91"/>
        <v>138413</v>
      </c>
      <c r="F27" s="101">
        <f t="shared" si="91"/>
        <v>155014</v>
      </c>
      <c r="G27" s="101">
        <f t="shared" si="91"/>
        <v>166386</v>
      </c>
      <c r="H27" s="101">
        <f t="shared" si="91"/>
        <v>174588</v>
      </c>
      <c r="I27" s="101">
        <f t="shared" si="91"/>
        <v>190611</v>
      </c>
      <c r="J27" s="101">
        <f t="shared" si="91"/>
        <v>175184</v>
      </c>
      <c r="K27" s="101">
        <f t="shared" si="91"/>
        <v>151060</v>
      </c>
      <c r="L27" s="101">
        <f t="shared" ref="L27:V27" si="92">IF(L54=0,0,L54*L164)</f>
        <v>146194</v>
      </c>
      <c r="M27" s="101">
        <f t="shared" si="92"/>
        <v>142323</v>
      </c>
      <c r="N27" s="101">
        <f t="shared" si="92"/>
        <v>133368</v>
      </c>
      <c r="O27" s="101">
        <f t="shared" si="92"/>
        <v>126997</v>
      </c>
      <c r="P27" s="101">
        <f t="shared" si="92"/>
        <v>128157.00000000001</v>
      </c>
      <c r="Q27" s="101">
        <f t="shared" si="92"/>
        <v>137236</v>
      </c>
      <c r="R27" s="101">
        <f t="shared" si="92"/>
        <v>144984</v>
      </c>
      <c r="S27" s="101">
        <f t="shared" si="92"/>
        <v>154666</v>
      </c>
      <c r="T27" s="101">
        <f t="shared" si="92"/>
        <v>158476</v>
      </c>
      <c r="U27" s="101">
        <f t="shared" si="92"/>
        <v>165910</v>
      </c>
      <c r="V27" s="101">
        <f t="shared" si="92"/>
        <v>163682</v>
      </c>
      <c r="W27" s="101">
        <f t="shared" ref="W27" si="93">IF(W54=0,0,W54*W164)</f>
        <v>182466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32006.755275800562</v>
      </c>
      <c r="C28" s="88">
        <f t="shared" si="94"/>
        <v>34285.468451440043</v>
      </c>
      <c r="D28" s="88">
        <f t="shared" si="94"/>
        <v>36307.899377066715</v>
      </c>
      <c r="E28" s="88">
        <f t="shared" si="94"/>
        <v>36893.369474985928</v>
      </c>
      <c r="F28" s="88">
        <f t="shared" si="94"/>
        <v>42820.963114864804</v>
      </c>
      <c r="G28" s="88">
        <f t="shared" si="94"/>
        <v>44335.195613276213</v>
      </c>
      <c r="H28" s="88">
        <f t="shared" si="94"/>
        <v>45541.302785232197</v>
      </c>
      <c r="I28" s="88">
        <f t="shared" si="94"/>
        <v>46655.165423267783</v>
      </c>
      <c r="J28" s="88">
        <f t="shared" si="94"/>
        <v>42135.783899161004</v>
      </c>
      <c r="K28" s="88">
        <f t="shared" si="94"/>
        <v>38374.795716027555</v>
      </c>
      <c r="L28" s="88">
        <f t="shared" ref="L28:V28" si="95">IF(L55=0,0,L55*L165)</f>
        <v>38207.491528882703</v>
      </c>
      <c r="M28" s="88">
        <f t="shared" si="95"/>
        <v>37545.552475645556</v>
      </c>
      <c r="N28" s="88">
        <f t="shared" si="95"/>
        <v>36401.571511406917</v>
      </c>
      <c r="O28" s="88">
        <f t="shared" si="95"/>
        <v>39118.635229610547</v>
      </c>
      <c r="P28" s="88">
        <f t="shared" si="95"/>
        <v>38954.449795362671</v>
      </c>
      <c r="Q28" s="88">
        <f t="shared" si="95"/>
        <v>40759.082689870731</v>
      </c>
      <c r="R28" s="88">
        <f t="shared" si="95"/>
        <v>41716.613712056307</v>
      </c>
      <c r="S28" s="88">
        <f t="shared" si="95"/>
        <v>43291.745871954481</v>
      </c>
      <c r="T28" s="88">
        <f t="shared" si="95"/>
        <v>45146</v>
      </c>
      <c r="U28" s="88">
        <f t="shared" si="95"/>
        <v>46795</v>
      </c>
      <c r="V28" s="88">
        <f t="shared" si="95"/>
        <v>43771</v>
      </c>
      <c r="W28" s="88">
        <f t="shared" ref="W28" si="96">IF(W55=0,0,W55*W165)</f>
        <v>48621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220051.1615579272</v>
      </c>
      <c r="C30" s="62">
        <f t="shared" ref="C30:V30" si="98">C31+C46</f>
        <v>238149.37681194668</v>
      </c>
      <c r="D30" s="62">
        <f t="shared" si="98"/>
        <v>248733.01728520234</v>
      </c>
      <c r="E30" s="62">
        <f t="shared" si="98"/>
        <v>262216.62022323848</v>
      </c>
      <c r="F30" s="62">
        <f t="shared" si="98"/>
        <v>280704.25560695067</v>
      </c>
      <c r="G30" s="62">
        <f t="shared" si="98"/>
        <v>295442.00937619538</v>
      </c>
      <c r="H30" s="62">
        <f t="shared" si="98"/>
        <v>309327.77882403223</v>
      </c>
      <c r="I30" s="62">
        <f t="shared" si="98"/>
        <v>327483.56658369512</v>
      </c>
      <c r="J30" s="62">
        <f t="shared" si="98"/>
        <v>325093.68343476206</v>
      </c>
      <c r="K30" s="62">
        <f t="shared" si="98"/>
        <v>323469.51806345762</v>
      </c>
      <c r="L30" s="62">
        <f t="shared" si="98"/>
        <v>317764.85101610172</v>
      </c>
      <c r="M30" s="62">
        <f t="shared" si="98"/>
        <v>311650.05539454328</v>
      </c>
      <c r="N30" s="62">
        <f t="shared" si="98"/>
        <v>298755.02676669927</v>
      </c>
      <c r="O30" s="62">
        <f t="shared" si="98"/>
        <v>296458.61179908522</v>
      </c>
      <c r="P30" s="62">
        <f t="shared" si="98"/>
        <v>302200.84507942741</v>
      </c>
      <c r="Q30" s="62">
        <f t="shared" si="98"/>
        <v>315864.94010525499</v>
      </c>
      <c r="R30" s="62">
        <f t="shared" si="98"/>
        <v>306425.29033591045</v>
      </c>
      <c r="S30" s="62">
        <f t="shared" si="98"/>
        <v>309719.86793102667</v>
      </c>
      <c r="T30" s="62">
        <f t="shared" si="98"/>
        <v>314705.65018654981</v>
      </c>
      <c r="U30" s="62">
        <f t="shared" si="98"/>
        <v>336902.78650093172</v>
      </c>
      <c r="V30" s="62">
        <f t="shared" si="98"/>
        <v>273633.6299853333</v>
      </c>
      <c r="W30" s="62">
        <f t="shared" ref="W30" si="99">W31+W46</f>
        <v>294020.65763345931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185801.8918447764</v>
      </c>
      <c r="C31" s="29">
        <f t="shared" ref="C31:V31" si="101">C32+C33+C40</f>
        <v>197681.50876814331</v>
      </c>
      <c r="D31" s="29">
        <f t="shared" si="101"/>
        <v>208719.76309942149</v>
      </c>
      <c r="E31" s="29">
        <f t="shared" si="101"/>
        <v>218945.41022544107</v>
      </c>
      <c r="F31" s="29">
        <f t="shared" si="101"/>
        <v>233782.32070080363</v>
      </c>
      <c r="G31" s="29">
        <f t="shared" si="101"/>
        <v>249204.2526991503</v>
      </c>
      <c r="H31" s="29">
        <f t="shared" si="101"/>
        <v>260370.12625384176</v>
      </c>
      <c r="I31" s="29">
        <f t="shared" si="101"/>
        <v>272259.80653324677</v>
      </c>
      <c r="J31" s="29">
        <f t="shared" si="101"/>
        <v>274258.16422392958</v>
      </c>
      <c r="K31" s="29">
        <f t="shared" si="101"/>
        <v>278500.86775662674</v>
      </c>
      <c r="L31" s="29">
        <f t="shared" si="101"/>
        <v>273505.13902299304</v>
      </c>
      <c r="M31" s="29">
        <f t="shared" si="101"/>
        <v>268288.63230658841</v>
      </c>
      <c r="N31" s="29">
        <f t="shared" si="101"/>
        <v>258378.23133813191</v>
      </c>
      <c r="O31" s="29">
        <f t="shared" si="101"/>
        <v>256558.87630249831</v>
      </c>
      <c r="P31" s="29">
        <f t="shared" si="101"/>
        <v>262610.36896519363</v>
      </c>
      <c r="Q31" s="29">
        <f t="shared" si="101"/>
        <v>274400.8654945874</v>
      </c>
      <c r="R31" s="29">
        <f t="shared" si="101"/>
        <v>265173.72750839457</v>
      </c>
      <c r="S31" s="29">
        <f t="shared" si="101"/>
        <v>265601.37643386313</v>
      </c>
      <c r="T31" s="29">
        <f t="shared" si="101"/>
        <v>269502.70309483452</v>
      </c>
      <c r="U31" s="29">
        <f t="shared" si="101"/>
        <v>290618.94429720117</v>
      </c>
      <c r="V31" s="29">
        <f t="shared" si="101"/>
        <v>237297.72860654557</v>
      </c>
      <c r="W31" s="29">
        <f t="shared" ref="W31" si="102">W32+W33+W40</f>
        <v>247393.0655143797</v>
      </c>
      <c r="DA31" s="173" t="s">
        <v>474</v>
      </c>
    </row>
    <row r="32" spans="1:105" ht="11.45" customHeight="1" x14ac:dyDescent="0.25">
      <c r="A32" s="136" t="s">
        <v>180</v>
      </c>
      <c r="B32" s="152">
        <v>8791.0360018323117</v>
      </c>
      <c r="C32" s="152">
        <v>9346.2714792980096</v>
      </c>
      <c r="D32" s="152">
        <v>8683.6289774844317</v>
      </c>
      <c r="E32" s="152">
        <v>9833.0620591866864</v>
      </c>
      <c r="F32" s="152">
        <v>9554.062932751538</v>
      </c>
      <c r="G32" s="152">
        <v>10980.416034343767</v>
      </c>
      <c r="H32" s="152">
        <v>11230.638856534488</v>
      </c>
      <c r="I32" s="152">
        <v>12772.5</v>
      </c>
      <c r="J32" s="152">
        <v>12870</v>
      </c>
      <c r="K32" s="152">
        <v>13357.5</v>
      </c>
      <c r="L32" s="152">
        <v>13624</v>
      </c>
      <c r="M32" s="152">
        <v>12530.199999999999</v>
      </c>
      <c r="N32" s="152">
        <v>11923.199999999999</v>
      </c>
      <c r="O32" s="152">
        <v>11816.377207142637</v>
      </c>
      <c r="P32" s="152">
        <v>13236.974497462179</v>
      </c>
      <c r="Q32" s="152">
        <v>14591.855237906064</v>
      </c>
      <c r="R32" s="152">
        <v>14975.879396815464</v>
      </c>
      <c r="S32" s="152">
        <v>14138.898482428885</v>
      </c>
      <c r="T32" s="152">
        <v>13496.153969622683</v>
      </c>
      <c r="U32" s="152">
        <v>14343.280756592791</v>
      </c>
      <c r="V32" s="152">
        <v>12848.198774922463</v>
      </c>
      <c r="W32" s="152">
        <v>13330.042507825025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175043.52284672097</v>
      </c>
      <c r="C33" s="116">
        <f t="shared" ref="C33:V33" si="104">SUM(C34:C39)</f>
        <v>186318.18568671774</v>
      </c>
      <c r="D33" s="116">
        <f t="shared" si="104"/>
        <v>198032.82763287053</v>
      </c>
      <c r="E33" s="116">
        <f t="shared" si="104"/>
        <v>207097.53966247092</v>
      </c>
      <c r="F33" s="116">
        <f t="shared" si="104"/>
        <v>222133.1201078844</v>
      </c>
      <c r="G33" s="116">
        <f t="shared" si="104"/>
        <v>236130.285119037</v>
      </c>
      <c r="H33" s="116">
        <f t="shared" si="104"/>
        <v>246940.98692659504</v>
      </c>
      <c r="I33" s="116">
        <f t="shared" si="104"/>
        <v>257217.03043812077</v>
      </c>
      <c r="J33" s="116">
        <f t="shared" si="104"/>
        <v>259123.16757242786</v>
      </c>
      <c r="K33" s="116">
        <f t="shared" si="104"/>
        <v>262906.36775662674</v>
      </c>
      <c r="L33" s="116">
        <f t="shared" si="104"/>
        <v>257687.13902299307</v>
      </c>
      <c r="M33" s="116">
        <f t="shared" si="104"/>
        <v>253577.26379431636</v>
      </c>
      <c r="N33" s="116">
        <f t="shared" si="104"/>
        <v>244316.63083590436</v>
      </c>
      <c r="O33" s="116">
        <f t="shared" si="104"/>
        <v>242732.9929154026</v>
      </c>
      <c r="P33" s="116">
        <f t="shared" si="104"/>
        <v>247406.50237122926</v>
      </c>
      <c r="Q33" s="116">
        <f t="shared" si="104"/>
        <v>257786.01025668136</v>
      </c>
      <c r="R33" s="116">
        <f t="shared" si="104"/>
        <v>248169.84811157911</v>
      </c>
      <c r="S33" s="116">
        <f t="shared" si="104"/>
        <v>250170.47795143424</v>
      </c>
      <c r="T33" s="116">
        <f t="shared" si="104"/>
        <v>254672.54912521184</v>
      </c>
      <c r="U33" s="116">
        <f t="shared" si="104"/>
        <v>274906.66354060837</v>
      </c>
      <c r="V33" s="116">
        <f t="shared" si="104"/>
        <v>223546.85783162311</v>
      </c>
      <c r="W33" s="116">
        <f t="shared" ref="W33" si="105">SUM(W34:W39)</f>
        <v>232906.44326790574</v>
      </c>
      <c r="DA33" s="176" t="s">
        <v>476</v>
      </c>
    </row>
    <row r="34" spans="1:105" ht="11.45" customHeight="1" x14ac:dyDescent="0.25">
      <c r="A34" s="111" t="s">
        <v>110</v>
      </c>
      <c r="B34" s="87">
        <v>89528.62895829638</v>
      </c>
      <c r="C34" s="87">
        <v>89444.616181778329</v>
      </c>
      <c r="D34" s="87">
        <v>89193.016867037746</v>
      </c>
      <c r="E34" s="87">
        <v>85966.073421949462</v>
      </c>
      <c r="F34" s="87">
        <v>85035.8241940148</v>
      </c>
      <c r="G34" s="87">
        <v>83407.722808833176</v>
      </c>
      <c r="H34" s="87">
        <v>80298.224115502715</v>
      </c>
      <c r="I34" s="87">
        <v>77931.588820218065</v>
      </c>
      <c r="J34" s="87">
        <v>75033.291077191869</v>
      </c>
      <c r="K34" s="87">
        <v>72639.824893299054</v>
      </c>
      <c r="L34" s="87">
        <v>68416.178260973189</v>
      </c>
      <c r="M34" s="87">
        <v>65344.802337714042</v>
      </c>
      <c r="N34" s="87">
        <v>61371.349342549875</v>
      </c>
      <c r="O34" s="87">
        <v>58887.810636436727</v>
      </c>
      <c r="P34" s="87">
        <v>57919.027936248713</v>
      </c>
      <c r="Q34" s="87">
        <v>58975.718151071989</v>
      </c>
      <c r="R34" s="87">
        <v>55994.180692303446</v>
      </c>
      <c r="S34" s="87">
        <v>56482.907615985969</v>
      </c>
      <c r="T34" s="87">
        <v>58708.461604053322</v>
      </c>
      <c r="U34" s="87">
        <v>65190.312443198243</v>
      </c>
      <c r="V34" s="87">
        <v>46498.144008094299</v>
      </c>
      <c r="W34" s="87">
        <v>57003.224914563645</v>
      </c>
      <c r="DA34" s="171" t="s">
        <v>477</v>
      </c>
    </row>
    <row r="35" spans="1:105" ht="11.45" customHeight="1" x14ac:dyDescent="0.25">
      <c r="A35" s="111" t="s">
        <v>111</v>
      </c>
      <c r="B35" s="87">
        <v>85127.91045751069</v>
      </c>
      <c r="C35" s="87">
        <v>96488.354610634968</v>
      </c>
      <c r="D35" s="87">
        <v>108445.78699778565</v>
      </c>
      <c r="E35" s="87">
        <v>120764.10873123909</v>
      </c>
      <c r="F35" s="87">
        <v>136728.06595698322</v>
      </c>
      <c r="G35" s="87">
        <v>152443.51181830536</v>
      </c>
      <c r="H35" s="87">
        <v>166365.32774708007</v>
      </c>
      <c r="I35" s="87">
        <v>179053.81439881632</v>
      </c>
      <c r="J35" s="87">
        <v>183910.64007587134</v>
      </c>
      <c r="K35" s="87">
        <v>190048.32972830866</v>
      </c>
      <c r="L35" s="87">
        <v>189031.67625139977</v>
      </c>
      <c r="M35" s="87">
        <v>187975.1702924229</v>
      </c>
      <c r="N35" s="87">
        <v>182562.07012456321</v>
      </c>
      <c r="O35" s="87">
        <v>183416.36045245363</v>
      </c>
      <c r="P35" s="87">
        <v>189005.85167989746</v>
      </c>
      <c r="Q35" s="87">
        <v>198258.99864410469</v>
      </c>
      <c r="R35" s="87">
        <v>191574.67881680213</v>
      </c>
      <c r="S35" s="87">
        <v>192930.60138208169</v>
      </c>
      <c r="T35" s="87">
        <v>194728.63833409722</v>
      </c>
      <c r="U35" s="87">
        <v>208003.52903583684</v>
      </c>
      <c r="V35" s="87">
        <v>175496.3353221596</v>
      </c>
      <c r="W35" s="87">
        <v>173421.98401811294</v>
      </c>
      <c r="DA35" s="171" t="s">
        <v>478</v>
      </c>
    </row>
    <row r="36" spans="1:105" ht="11.45" customHeight="1" x14ac:dyDescent="0.25">
      <c r="A36" s="111" t="s">
        <v>112</v>
      </c>
      <c r="B36" s="87">
        <v>386.98343091391774</v>
      </c>
      <c r="C36" s="87">
        <v>385.21489430445735</v>
      </c>
      <c r="D36" s="87">
        <v>394.02376804713185</v>
      </c>
      <c r="E36" s="87">
        <v>367.35750928236718</v>
      </c>
      <c r="F36" s="87">
        <v>350.24493696468579</v>
      </c>
      <c r="G36" s="87">
        <v>237.68347165712754</v>
      </c>
      <c r="H36" s="87">
        <v>210.39356445429456</v>
      </c>
      <c r="I36" s="87">
        <v>166.68543768033342</v>
      </c>
      <c r="J36" s="87">
        <v>113.81510077459849</v>
      </c>
      <c r="K36" s="87">
        <v>151.03856763095268</v>
      </c>
      <c r="L36" s="87">
        <v>171.9024885910633</v>
      </c>
      <c r="M36" s="87">
        <v>185.7970596535437</v>
      </c>
      <c r="N36" s="87">
        <v>260.98050111447532</v>
      </c>
      <c r="O36" s="87">
        <v>274.79420475880551</v>
      </c>
      <c r="P36" s="87">
        <v>314.46671932977887</v>
      </c>
      <c r="Q36" s="87">
        <v>351.25780228881041</v>
      </c>
      <c r="R36" s="87">
        <v>369.63772804463429</v>
      </c>
      <c r="S36" s="87">
        <v>443.16673057613906</v>
      </c>
      <c r="T36" s="87">
        <v>753.04757215129632</v>
      </c>
      <c r="U36" s="87">
        <v>1033.7682197055792</v>
      </c>
      <c r="V36" s="87">
        <v>762.9611649043095</v>
      </c>
      <c r="W36" s="87">
        <v>946.84764181142339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18.985019921702605</v>
      </c>
      <c r="G37" s="87">
        <v>41.367020241334664</v>
      </c>
      <c r="H37" s="87">
        <v>67.041499557934998</v>
      </c>
      <c r="I37" s="87">
        <v>64.941781406043859</v>
      </c>
      <c r="J37" s="87">
        <v>65.421318590047534</v>
      </c>
      <c r="K37" s="87">
        <v>67.16379411389056</v>
      </c>
      <c r="L37" s="87">
        <v>66.546953752049802</v>
      </c>
      <c r="M37" s="87">
        <v>65.086253455090997</v>
      </c>
      <c r="N37" s="87">
        <v>109.64723415379382</v>
      </c>
      <c r="O37" s="87">
        <v>129.3206718899211</v>
      </c>
      <c r="P37" s="87">
        <v>129.43731517250245</v>
      </c>
      <c r="Q37" s="87">
        <v>136.21787671184128</v>
      </c>
      <c r="R37" s="87">
        <v>133.12981585165949</v>
      </c>
      <c r="S37" s="87">
        <v>148.52486090717335</v>
      </c>
      <c r="T37" s="87">
        <v>202.14083511968195</v>
      </c>
      <c r="U37" s="87">
        <v>223.16874846487275</v>
      </c>
      <c r="V37" s="87">
        <v>158.13121034707754</v>
      </c>
      <c r="W37" s="87">
        <v>196.01142347683594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7.0551144208833294E-2</v>
      </c>
      <c r="N38" s="87">
        <v>0.92062434921706848</v>
      </c>
      <c r="O38" s="87">
        <v>1.5949075178673988</v>
      </c>
      <c r="P38" s="87">
        <v>5.1842894500165402</v>
      </c>
      <c r="Q38" s="87">
        <v>11.825990478344467</v>
      </c>
      <c r="R38" s="87">
        <v>25.369524943288628</v>
      </c>
      <c r="S38" s="87">
        <v>52.352459039493453</v>
      </c>
      <c r="T38" s="87">
        <v>97.703092436200706</v>
      </c>
      <c r="U38" s="87">
        <v>167.13956191938496</v>
      </c>
      <c r="V38" s="87">
        <v>258.82013349059787</v>
      </c>
      <c r="W38" s="87">
        <v>618.4911231468235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1.0773274128440948E-2</v>
      </c>
      <c r="L39" s="87">
        <v>0.83506827698538477</v>
      </c>
      <c r="M39" s="87">
        <v>6.3372999265869874</v>
      </c>
      <c r="N39" s="87">
        <v>11.663009173798896</v>
      </c>
      <c r="O39" s="87">
        <v>23.112042345669881</v>
      </c>
      <c r="P39" s="87">
        <v>32.534431130762556</v>
      </c>
      <c r="Q39" s="87">
        <v>51.991792025717736</v>
      </c>
      <c r="R39" s="87">
        <v>72.851533633952016</v>
      </c>
      <c r="S39" s="87">
        <v>112.92490284381273</v>
      </c>
      <c r="T39" s="87">
        <v>182.55768735412067</v>
      </c>
      <c r="U39" s="87">
        <v>288.7455314834628</v>
      </c>
      <c r="V39" s="87">
        <v>372.46599262720548</v>
      </c>
      <c r="W39" s="87">
        <v>719.88414679410789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1967.3329962231114</v>
      </c>
      <c r="C40" s="116">
        <f t="shared" ref="C40:V40" si="107">SUM(C41:C45)</f>
        <v>2017.0516021275628</v>
      </c>
      <c r="D40" s="116">
        <f t="shared" si="107"/>
        <v>2003.3064890665378</v>
      </c>
      <c r="E40" s="116">
        <f t="shared" si="107"/>
        <v>2014.8085037834458</v>
      </c>
      <c r="F40" s="116">
        <f t="shared" si="107"/>
        <v>2095.137660167678</v>
      </c>
      <c r="G40" s="116">
        <f t="shared" si="107"/>
        <v>2093.5515457695246</v>
      </c>
      <c r="H40" s="116">
        <f t="shared" si="107"/>
        <v>2198.5004707122357</v>
      </c>
      <c r="I40" s="116">
        <f t="shared" si="107"/>
        <v>2270.2760951259743</v>
      </c>
      <c r="J40" s="116">
        <f t="shared" si="107"/>
        <v>2264.9966515016722</v>
      </c>
      <c r="K40" s="116">
        <f t="shared" si="107"/>
        <v>2237</v>
      </c>
      <c r="L40" s="116">
        <f t="shared" si="107"/>
        <v>2194</v>
      </c>
      <c r="M40" s="116">
        <f t="shared" si="107"/>
        <v>2181.1685122720892</v>
      </c>
      <c r="N40" s="116">
        <f t="shared" si="107"/>
        <v>2138.4005022275387</v>
      </c>
      <c r="O40" s="116">
        <f t="shared" si="107"/>
        <v>2009.5061799530563</v>
      </c>
      <c r="P40" s="116">
        <f t="shared" si="107"/>
        <v>1966.8920965021673</v>
      </c>
      <c r="Q40" s="116">
        <f t="shared" si="107"/>
        <v>2023</v>
      </c>
      <c r="R40" s="116">
        <f t="shared" si="107"/>
        <v>2027.9999999999998</v>
      </c>
      <c r="S40" s="116">
        <f t="shared" si="107"/>
        <v>1292</v>
      </c>
      <c r="T40" s="116">
        <f t="shared" si="107"/>
        <v>1333.9999999999998</v>
      </c>
      <c r="U40" s="116">
        <f t="shared" si="107"/>
        <v>1369</v>
      </c>
      <c r="V40" s="116">
        <f t="shared" si="107"/>
        <v>902.67199999999991</v>
      </c>
      <c r="W40" s="116">
        <f t="shared" ref="W40" si="108">SUM(W41:W45)</f>
        <v>1156.579738648948</v>
      </c>
      <c r="DA40" s="176" t="s">
        <v>483</v>
      </c>
    </row>
    <row r="41" spans="1:105" ht="11.45" customHeight="1" x14ac:dyDescent="0.25">
      <c r="A41" s="111" t="s">
        <v>110</v>
      </c>
      <c r="B41" s="101">
        <v>19.539810413197497</v>
      </c>
      <c r="C41" s="101">
        <v>20.01586009654984</v>
      </c>
      <c r="D41" s="101">
        <v>20.56972167161646</v>
      </c>
      <c r="E41" s="101">
        <v>20.630734071465739</v>
      </c>
      <c r="F41" s="101">
        <v>20.844320754460789</v>
      </c>
      <c r="G41" s="101">
        <v>18.687920465880332</v>
      </c>
      <c r="H41" s="101">
        <v>18.491403541393517</v>
      </c>
      <c r="I41" s="101">
        <v>20.999013701712538</v>
      </c>
      <c r="J41" s="101">
        <v>19.143930904285877</v>
      </c>
      <c r="K41" s="101">
        <v>17.42575730954232</v>
      </c>
      <c r="L41" s="101">
        <v>16.20460074112518</v>
      </c>
      <c r="M41" s="101">
        <v>15.457492113185401</v>
      </c>
      <c r="N41" s="101">
        <v>14.366001417034433</v>
      </c>
      <c r="O41" s="101">
        <v>13.416995776089001</v>
      </c>
      <c r="P41" s="101">
        <v>12.621637320592141</v>
      </c>
      <c r="Q41" s="101">
        <v>12.397254474265488</v>
      </c>
      <c r="R41" s="101">
        <v>11.801772514378733</v>
      </c>
      <c r="S41" s="101">
        <v>9.7264623533733729</v>
      </c>
      <c r="T41" s="101">
        <v>9.1758521115121638</v>
      </c>
      <c r="U41" s="101">
        <v>8.5960237932284187</v>
      </c>
      <c r="V41" s="101">
        <v>5.2361087228692273</v>
      </c>
      <c r="W41" s="101">
        <v>6.2154864313868492</v>
      </c>
      <c r="DA41" s="175" t="s">
        <v>484</v>
      </c>
    </row>
    <row r="42" spans="1:105" ht="11.45" customHeight="1" x14ac:dyDescent="0.25">
      <c r="A42" s="111" t="s">
        <v>111</v>
      </c>
      <c r="B42" s="101">
        <v>1941.1677828778993</v>
      </c>
      <c r="C42" s="101">
        <v>1990.4111599404405</v>
      </c>
      <c r="D42" s="101">
        <v>1982.282085698725</v>
      </c>
      <c r="E42" s="101">
        <v>1983.4404975109398</v>
      </c>
      <c r="F42" s="101">
        <v>2060.2840180376716</v>
      </c>
      <c r="G42" s="101">
        <v>2058.9202635754687</v>
      </c>
      <c r="H42" s="101">
        <v>2162.417940846547</v>
      </c>
      <c r="I42" s="101">
        <v>2226.3529193573731</v>
      </c>
      <c r="J42" s="101">
        <v>2224.5848205459833</v>
      </c>
      <c r="K42" s="101">
        <v>2198.2383735614271</v>
      </c>
      <c r="L42" s="101">
        <v>2156.5443011231318</v>
      </c>
      <c r="M42" s="101">
        <v>2144.5404220132568</v>
      </c>
      <c r="N42" s="101">
        <v>2102.8554973383198</v>
      </c>
      <c r="O42" s="101">
        <v>1975.8117793931574</v>
      </c>
      <c r="P42" s="101">
        <v>1932.5582993092939</v>
      </c>
      <c r="Q42" s="101">
        <v>1922.8454139551475</v>
      </c>
      <c r="R42" s="101">
        <v>1909.7625896396937</v>
      </c>
      <c r="S42" s="101">
        <v>1127.2946034138281</v>
      </c>
      <c r="T42" s="101">
        <v>1139.7193763731418</v>
      </c>
      <c r="U42" s="101">
        <v>1120.0022830512899</v>
      </c>
      <c r="V42" s="101">
        <v>707.80581696705394</v>
      </c>
      <c r="W42" s="101">
        <v>894.48274207911152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7.5854156389528971E-2</v>
      </c>
      <c r="Q43" s="101">
        <v>2.0160723489460848</v>
      </c>
      <c r="R43" s="101">
        <v>1.9850474274498944</v>
      </c>
      <c r="S43" s="101">
        <v>1.7067567433999078</v>
      </c>
      <c r="T43" s="101">
        <v>1.5742844764245361</v>
      </c>
      <c r="U43" s="101">
        <v>2.0178497566438542</v>
      </c>
      <c r="V43" s="101">
        <v>1.7056505862087081</v>
      </c>
      <c r="W43" s="101">
        <v>4.6542045425715752</v>
      </c>
      <c r="DA43" s="175" t="s">
        <v>486</v>
      </c>
    </row>
    <row r="44" spans="1:105" ht="11.45" customHeight="1" x14ac:dyDescent="0.25">
      <c r="A44" s="111" t="s">
        <v>113</v>
      </c>
      <c r="B44" s="101">
        <v>6.625402932014568</v>
      </c>
      <c r="C44" s="101">
        <v>6.6245820905724653</v>
      </c>
      <c r="D44" s="101">
        <v>0.45468169619629822</v>
      </c>
      <c r="E44" s="101">
        <v>10.73727220104014</v>
      </c>
      <c r="F44" s="101">
        <v>14.009321375545937</v>
      </c>
      <c r="G44" s="101">
        <v>15.943361728175738</v>
      </c>
      <c r="H44" s="101">
        <v>17.591126324295161</v>
      </c>
      <c r="I44" s="101">
        <v>22.924162066888382</v>
      </c>
      <c r="J44" s="101">
        <v>21.267900051403181</v>
      </c>
      <c r="K44" s="101">
        <v>21.33586912903057</v>
      </c>
      <c r="L44" s="101">
        <v>21.251098135743181</v>
      </c>
      <c r="M44" s="101">
        <v>21.17059814564724</v>
      </c>
      <c r="N44" s="101">
        <v>21.179003472184572</v>
      </c>
      <c r="O44" s="101">
        <v>20.277404783809942</v>
      </c>
      <c r="P44" s="101">
        <v>18.164776168078227</v>
      </c>
      <c r="Q44" s="101">
        <v>80.112570294142586</v>
      </c>
      <c r="R44" s="101">
        <v>96.677460315315457</v>
      </c>
      <c r="S44" s="101">
        <v>143.7103420678219</v>
      </c>
      <c r="T44" s="101">
        <v>171.01313750038796</v>
      </c>
      <c r="U44" s="101">
        <v>217.86957466427606</v>
      </c>
      <c r="V44" s="101">
        <v>169.12883245003013</v>
      </c>
      <c r="W44" s="101">
        <v>222.70227750116439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3.4715295478133643</v>
      </c>
      <c r="Q45" s="101">
        <v>5.6286889274980831</v>
      </c>
      <c r="R45" s="101">
        <v>7.7731301031618782</v>
      </c>
      <c r="S45" s="101">
        <v>9.5618354215768004</v>
      </c>
      <c r="T45" s="101">
        <v>12.517349538533441</v>
      </c>
      <c r="U45" s="101">
        <v>20.514268734561746</v>
      </c>
      <c r="V45" s="101">
        <v>18.795591273838003</v>
      </c>
      <c r="W45" s="101">
        <v>28.525028094713676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34249.26971315081</v>
      </c>
      <c r="C46" s="29">
        <f t="shared" ref="C46:V46" si="110">C47+C53</f>
        <v>40467.868043803384</v>
      </c>
      <c r="D46" s="29">
        <f t="shared" si="110"/>
        <v>40013.254185780839</v>
      </c>
      <c r="E46" s="29">
        <f t="shared" si="110"/>
        <v>43271.209997797429</v>
      </c>
      <c r="F46" s="29">
        <f t="shared" si="110"/>
        <v>46921.934906147057</v>
      </c>
      <c r="G46" s="29">
        <f t="shared" si="110"/>
        <v>46237.756677045087</v>
      </c>
      <c r="H46" s="29">
        <f t="shared" si="110"/>
        <v>48957.652570190447</v>
      </c>
      <c r="I46" s="29">
        <f t="shared" si="110"/>
        <v>55223.760050448342</v>
      </c>
      <c r="J46" s="29">
        <f t="shared" si="110"/>
        <v>50835.519210832492</v>
      </c>
      <c r="K46" s="29">
        <f t="shared" si="110"/>
        <v>44968.650306830896</v>
      </c>
      <c r="L46" s="29">
        <f t="shared" si="110"/>
        <v>44259.711993108678</v>
      </c>
      <c r="M46" s="29">
        <f t="shared" si="110"/>
        <v>43361.423087954892</v>
      </c>
      <c r="N46" s="29">
        <f t="shared" si="110"/>
        <v>40376.79542856734</v>
      </c>
      <c r="O46" s="29">
        <f t="shared" si="110"/>
        <v>39899.735496586916</v>
      </c>
      <c r="P46" s="29">
        <f t="shared" si="110"/>
        <v>39590.476114233767</v>
      </c>
      <c r="Q46" s="29">
        <f t="shared" si="110"/>
        <v>41464.07461066758</v>
      </c>
      <c r="R46" s="29">
        <f t="shared" si="110"/>
        <v>41251.562827515882</v>
      </c>
      <c r="S46" s="29">
        <f t="shared" si="110"/>
        <v>44118.491497163544</v>
      </c>
      <c r="T46" s="29">
        <f t="shared" si="110"/>
        <v>45202.947091715294</v>
      </c>
      <c r="U46" s="29">
        <f t="shared" si="110"/>
        <v>46283.842203730514</v>
      </c>
      <c r="V46" s="29">
        <f t="shared" si="110"/>
        <v>36335.901378787734</v>
      </c>
      <c r="W46" s="29">
        <f t="shared" ref="W46" si="111">W47+W53</f>
        <v>46627.592119079593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21729.350867476802</v>
      </c>
      <c r="C47" s="152">
        <f t="shared" ref="C47:V47" si="113">SUM(C48:C52)</f>
        <v>26918.035616861955</v>
      </c>
      <c r="D47" s="152">
        <f t="shared" si="113"/>
        <v>24802.076007003168</v>
      </c>
      <c r="E47" s="152">
        <f t="shared" si="113"/>
        <v>27204.955838878566</v>
      </c>
      <c r="F47" s="152">
        <f t="shared" si="113"/>
        <v>28850.794757042771</v>
      </c>
      <c r="G47" s="152">
        <f t="shared" si="113"/>
        <v>27090.822104833711</v>
      </c>
      <c r="H47" s="152">
        <f t="shared" si="113"/>
        <v>28995.216578088919</v>
      </c>
      <c r="I47" s="152">
        <f t="shared" si="113"/>
        <v>33912.460782697955</v>
      </c>
      <c r="J47" s="152">
        <f t="shared" si="113"/>
        <v>31353.533057625158</v>
      </c>
      <c r="K47" s="152">
        <f t="shared" si="113"/>
        <v>27739.057364307184</v>
      </c>
      <c r="L47" s="152">
        <f t="shared" si="113"/>
        <v>27917.001544584371</v>
      </c>
      <c r="M47" s="152">
        <f t="shared" si="113"/>
        <v>27488.873776765915</v>
      </c>
      <c r="N47" s="152">
        <f t="shared" si="113"/>
        <v>25391.635965808269</v>
      </c>
      <c r="O47" s="152">
        <f t="shared" si="113"/>
        <v>25445.380366805563</v>
      </c>
      <c r="P47" s="152">
        <f t="shared" si="113"/>
        <v>24890.216044882742</v>
      </c>
      <c r="Q47" s="152">
        <f t="shared" si="113"/>
        <v>25895.866564290562</v>
      </c>
      <c r="R47" s="152">
        <f t="shared" si="113"/>
        <v>25000.055663479183</v>
      </c>
      <c r="S47" s="152">
        <f t="shared" si="113"/>
        <v>27008.154106397742</v>
      </c>
      <c r="T47" s="152">
        <f t="shared" si="113"/>
        <v>27676.762953598383</v>
      </c>
      <c r="U47" s="152">
        <f t="shared" si="113"/>
        <v>27940.526141000988</v>
      </c>
      <c r="V47" s="152">
        <f t="shared" si="113"/>
        <v>18458.913093999396</v>
      </c>
      <c r="W47" s="152">
        <f t="shared" ref="W47" si="114">SUM(W48:W52)</f>
        <v>26972.748999371561</v>
      </c>
      <c r="DA47" s="174" t="s">
        <v>490</v>
      </c>
    </row>
    <row r="48" spans="1:105" ht="11.45" customHeight="1" x14ac:dyDescent="0.25">
      <c r="A48" s="111" t="s">
        <v>110</v>
      </c>
      <c r="B48" s="87">
        <v>1798.9016305608902</v>
      </c>
      <c r="C48" s="87">
        <v>1969.7273455707123</v>
      </c>
      <c r="D48" s="87">
        <v>1423.068055319518</v>
      </c>
      <c r="E48" s="87">
        <v>1267.7898631642583</v>
      </c>
      <c r="F48" s="87">
        <v>1072.9026261047882</v>
      </c>
      <c r="G48" s="87">
        <v>805.86601466424804</v>
      </c>
      <c r="H48" s="87">
        <v>701.77478136346167</v>
      </c>
      <c r="I48" s="87">
        <v>631.09310467081275</v>
      </c>
      <c r="J48" s="87">
        <v>509.62869866579746</v>
      </c>
      <c r="K48" s="87">
        <v>445.44376047900164</v>
      </c>
      <c r="L48" s="87">
        <v>420.61489379071213</v>
      </c>
      <c r="M48" s="87">
        <v>426.64666173350037</v>
      </c>
      <c r="N48" s="87">
        <v>443.84308971166496</v>
      </c>
      <c r="O48" s="87">
        <v>461.19945916864674</v>
      </c>
      <c r="P48" s="87">
        <v>324.37699299182862</v>
      </c>
      <c r="Q48" s="87">
        <v>338.98312045057122</v>
      </c>
      <c r="R48" s="87">
        <v>322.09429835472099</v>
      </c>
      <c r="S48" s="87">
        <v>385.85725811296629</v>
      </c>
      <c r="T48" s="87">
        <v>418.78803207215134</v>
      </c>
      <c r="U48" s="87">
        <v>471.99844411358157</v>
      </c>
      <c r="V48" s="87">
        <v>316.38375783111854</v>
      </c>
      <c r="W48" s="87">
        <v>543.94995084242487</v>
      </c>
      <c r="DA48" s="171" t="s">
        <v>491</v>
      </c>
    </row>
    <row r="49" spans="1:105" ht="11.45" customHeight="1" x14ac:dyDescent="0.25">
      <c r="A49" s="111" t="s">
        <v>111</v>
      </c>
      <c r="B49" s="87">
        <v>19930.449236915912</v>
      </c>
      <c r="C49" s="87">
        <v>24948.308271291244</v>
      </c>
      <c r="D49" s="87">
        <v>23379.007951683649</v>
      </c>
      <c r="E49" s="87">
        <v>25937.165975714306</v>
      </c>
      <c r="F49" s="87">
        <v>27777.892130937984</v>
      </c>
      <c r="G49" s="87">
        <v>26284.956090169464</v>
      </c>
      <c r="H49" s="87">
        <v>28293.441796725456</v>
      </c>
      <c r="I49" s="87">
        <v>33281.367678027142</v>
      </c>
      <c r="J49" s="87">
        <v>30843.90435895936</v>
      </c>
      <c r="K49" s="87">
        <v>27293.613603828184</v>
      </c>
      <c r="L49" s="87">
        <v>27496.386650793658</v>
      </c>
      <c r="M49" s="87">
        <v>27062.047017458728</v>
      </c>
      <c r="N49" s="87">
        <v>24945.972801589032</v>
      </c>
      <c r="O49" s="87">
        <v>24982.186775549213</v>
      </c>
      <c r="P49" s="87">
        <v>24558.770781741383</v>
      </c>
      <c r="Q49" s="87">
        <v>25537.767474766129</v>
      </c>
      <c r="R49" s="87">
        <v>24637.691355311908</v>
      </c>
      <c r="S49" s="87">
        <v>26562.438575723831</v>
      </c>
      <c r="T49" s="87">
        <v>27151.982806846405</v>
      </c>
      <c r="U49" s="87">
        <v>27274.408456119785</v>
      </c>
      <c r="V49" s="87">
        <v>17981.533757570138</v>
      </c>
      <c r="W49" s="87">
        <v>26143.231623179585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2.1417206547450867E-2</v>
      </c>
      <c r="P50" s="87">
        <v>2.4157530540528875</v>
      </c>
      <c r="Q50" s="87">
        <v>5.3822944737164056</v>
      </c>
      <c r="R50" s="87">
        <v>17.25266415282616</v>
      </c>
      <c r="S50" s="87">
        <v>26.271795035665935</v>
      </c>
      <c r="T50" s="87">
        <v>48.962987184780054</v>
      </c>
      <c r="U50" s="87">
        <v>108.12402406052331</v>
      </c>
      <c r="V50" s="87">
        <v>82.996688240805156</v>
      </c>
      <c r="W50" s="87">
        <v>150.30449872959525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0.16145485084295239</v>
      </c>
      <c r="O51" s="87">
        <v>1.1080262357093218</v>
      </c>
      <c r="P51" s="87">
        <v>1.8094715625400555</v>
      </c>
      <c r="Q51" s="87">
        <v>5.3773177788160735</v>
      </c>
      <c r="R51" s="87">
        <v>7.2205535841252173</v>
      </c>
      <c r="S51" s="87">
        <v>11.29404111618128</v>
      </c>
      <c r="T51" s="87">
        <v>21.171502055117269</v>
      </c>
      <c r="U51" s="87">
        <v>38.511248918342197</v>
      </c>
      <c r="V51" s="87">
        <v>34.334749503942561</v>
      </c>
      <c r="W51" s="87">
        <v>56.379513275995208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0.18009757368920326</v>
      </c>
      <c r="N52" s="87">
        <v>1.6586196567309686</v>
      </c>
      <c r="O52" s="87">
        <v>0.86468864544893231</v>
      </c>
      <c r="P52" s="87">
        <v>2.8430455329377464</v>
      </c>
      <c r="Q52" s="87">
        <v>8.3563568213271449</v>
      </c>
      <c r="R52" s="87">
        <v>15.796792075601472</v>
      </c>
      <c r="S52" s="87">
        <v>22.292436409097689</v>
      </c>
      <c r="T52" s="87">
        <v>35.857625439930203</v>
      </c>
      <c r="U52" s="87">
        <v>47.483967788758001</v>
      </c>
      <c r="V52" s="87">
        <v>43.664140853395537</v>
      </c>
      <c r="W52" s="87">
        <v>78.883413343961692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12519.918845674007</v>
      </c>
      <c r="C53" s="116">
        <f t="shared" ref="C53:V53" si="116">SUM(C54:C55)</f>
        <v>13549.832426941428</v>
      </c>
      <c r="D53" s="116">
        <f t="shared" si="116"/>
        <v>15211.178178777674</v>
      </c>
      <c r="E53" s="116">
        <f t="shared" si="116"/>
        <v>16066.254158918859</v>
      </c>
      <c r="F53" s="116">
        <f t="shared" si="116"/>
        <v>18071.140149104282</v>
      </c>
      <c r="G53" s="116">
        <f t="shared" si="116"/>
        <v>19146.934572211376</v>
      </c>
      <c r="H53" s="116">
        <f t="shared" si="116"/>
        <v>19962.435992101528</v>
      </c>
      <c r="I53" s="116">
        <f t="shared" si="116"/>
        <v>21311.299267750386</v>
      </c>
      <c r="J53" s="116">
        <f t="shared" si="116"/>
        <v>19481.986153207334</v>
      </c>
      <c r="K53" s="116">
        <f t="shared" si="116"/>
        <v>17229.592942523712</v>
      </c>
      <c r="L53" s="116">
        <f t="shared" si="116"/>
        <v>16342.710448524304</v>
      </c>
      <c r="M53" s="116">
        <f t="shared" si="116"/>
        <v>15872.549311188977</v>
      </c>
      <c r="N53" s="116">
        <f t="shared" si="116"/>
        <v>14985.159462759071</v>
      </c>
      <c r="O53" s="116">
        <f t="shared" si="116"/>
        <v>14454.355129781357</v>
      </c>
      <c r="P53" s="116">
        <f t="shared" si="116"/>
        <v>14700.260069351029</v>
      </c>
      <c r="Q53" s="116">
        <f t="shared" si="116"/>
        <v>15568.208046377022</v>
      </c>
      <c r="R53" s="116">
        <f t="shared" si="116"/>
        <v>16251.507164036699</v>
      </c>
      <c r="S53" s="116">
        <f t="shared" si="116"/>
        <v>17110.337390765806</v>
      </c>
      <c r="T53" s="116">
        <f t="shared" si="116"/>
        <v>17526.184138116914</v>
      </c>
      <c r="U53" s="116">
        <f t="shared" si="116"/>
        <v>18343.316062729529</v>
      </c>
      <c r="V53" s="116">
        <f t="shared" si="116"/>
        <v>17876.988284788342</v>
      </c>
      <c r="W53" s="116">
        <f t="shared" ref="W53" si="117">SUM(W54:W55)</f>
        <v>19654.843119708035</v>
      </c>
      <c r="DA53" s="176" t="s">
        <v>496</v>
      </c>
    </row>
    <row r="54" spans="1:105" ht="11.45" customHeight="1" x14ac:dyDescent="0.25">
      <c r="A54" s="128" t="s">
        <v>27</v>
      </c>
      <c r="B54" s="101">
        <v>10275</v>
      </c>
      <c r="C54" s="101">
        <v>11143</v>
      </c>
      <c r="D54" s="101">
        <v>12679</v>
      </c>
      <c r="E54" s="101">
        <v>13478</v>
      </c>
      <c r="F54" s="101">
        <v>15011</v>
      </c>
      <c r="G54" s="101">
        <v>15980</v>
      </c>
      <c r="H54" s="101">
        <v>16730</v>
      </c>
      <c r="I54" s="101">
        <v>18006</v>
      </c>
      <c r="J54" s="101">
        <v>16454</v>
      </c>
      <c r="K54" s="101">
        <v>14435</v>
      </c>
      <c r="L54" s="101">
        <v>13648</v>
      </c>
      <c r="M54" s="101">
        <v>13216</v>
      </c>
      <c r="N54" s="101">
        <v>12401</v>
      </c>
      <c r="O54" s="101">
        <v>11681</v>
      </c>
      <c r="P54" s="101">
        <v>11945</v>
      </c>
      <c r="Q54" s="101">
        <v>12658</v>
      </c>
      <c r="R54" s="101">
        <v>13257</v>
      </c>
      <c r="S54" s="101">
        <v>14029</v>
      </c>
      <c r="T54" s="101">
        <v>14337</v>
      </c>
      <c r="U54" s="101">
        <v>15025</v>
      </c>
      <c r="V54" s="101">
        <v>14725</v>
      </c>
      <c r="W54" s="101">
        <v>16192</v>
      </c>
      <c r="DA54" s="175" t="s">
        <v>497</v>
      </c>
    </row>
    <row r="55" spans="1:105" ht="11.45" customHeight="1" x14ac:dyDescent="0.25">
      <c r="A55" s="138" t="s">
        <v>116</v>
      </c>
      <c r="B55" s="88">
        <v>2244.9188456740071</v>
      </c>
      <c r="C55" s="88">
        <v>2406.8324269414279</v>
      </c>
      <c r="D55" s="88">
        <v>2532.178178777674</v>
      </c>
      <c r="E55" s="88">
        <v>2588.2541589188577</v>
      </c>
      <c r="F55" s="88">
        <v>3060.1401491042802</v>
      </c>
      <c r="G55" s="88">
        <v>3166.9345722113771</v>
      </c>
      <c r="H55" s="88">
        <v>3232.4359921015289</v>
      </c>
      <c r="I55" s="88">
        <v>3305.2992677503844</v>
      </c>
      <c r="J55" s="88">
        <v>3027.9861532073355</v>
      </c>
      <c r="K55" s="88">
        <v>2794.5929425237136</v>
      </c>
      <c r="L55" s="88">
        <v>2694.7104485243035</v>
      </c>
      <c r="M55" s="88">
        <v>2656.5493111889764</v>
      </c>
      <c r="N55" s="88">
        <v>2584.1594627590712</v>
      </c>
      <c r="O55" s="88">
        <v>2773.3551297813578</v>
      </c>
      <c r="P55" s="88">
        <v>2755.2600693510281</v>
      </c>
      <c r="Q55" s="88">
        <v>2910.2080463770212</v>
      </c>
      <c r="R55" s="88">
        <v>2994.5071640366978</v>
      </c>
      <c r="S55" s="88">
        <v>3081.3373907658051</v>
      </c>
      <c r="T55" s="88">
        <v>3189.1841381169161</v>
      </c>
      <c r="U55" s="88">
        <v>3318.3160627295288</v>
      </c>
      <c r="V55" s="88">
        <v>3151.9882847883414</v>
      </c>
      <c r="W55" s="88">
        <v>3462.8431197080367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24268988</v>
      </c>
      <c r="C57" s="54">
        <f t="shared" si="118"/>
        <v>25119674</v>
      </c>
      <c r="D57" s="54">
        <f t="shared" si="118"/>
        <v>25915058</v>
      </c>
      <c r="E57" s="54">
        <f t="shared" si="118"/>
        <v>26082891</v>
      </c>
      <c r="F57" s="54">
        <f t="shared" si="118"/>
        <v>27359383</v>
      </c>
      <c r="G57" s="54">
        <f t="shared" si="118"/>
        <v>28422663</v>
      </c>
      <c r="H57" s="54">
        <f t="shared" si="118"/>
        <v>29578978</v>
      </c>
      <c r="I57" s="54">
        <f t="shared" si="118"/>
        <v>31272239</v>
      </c>
      <c r="J57" s="54">
        <f t="shared" si="118"/>
        <v>31503792</v>
      </c>
      <c r="K57" s="54">
        <f t="shared" si="118"/>
        <v>30837014</v>
      </c>
      <c r="L57" s="54">
        <f t="shared" ref="L57" si="119">L58+L73</f>
        <v>30854047</v>
      </c>
      <c r="M57" s="54">
        <f t="shared" ref="M57:V57" si="120">M58+M73</f>
        <v>30863612</v>
      </c>
      <c r="N57" s="54">
        <f t="shared" si="120"/>
        <v>30582788</v>
      </c>
      <c r="O57" s="54">
        <f t="shared" si="120"/>
        <v>30067647</v>
      </c>
      <c r="P57" s="54">
        <f t="shared" si="120"/>
        <v>30202043</v>
      </c>
      <c r="Q57" s="54">
        <f t="shared" si="120"/>
        <v>30863003</v>
      </c>
      <c r="R57" s="54">
        <f t="shared" si="120"/>
        <v>31429237</v>
      </c>
      <c r="S57" s="54">
        <f t="shared" si="120"/>
        <v>32186775</v>
      </c>
      <c r="T57" s="54">
        <f t="shared" si="120"/>
        <v>32938151</v>
      </c>
      <c r="U57" s="54">
        <f t="shared" si="120"/>
        <v>33593505</v>
      </c>
      <c r="V57" s="54">
        <f t="shared" si="120"/>
        <v>33883234</v>
      </c>
      <c r="W57" s="54">
        <f t="shared" ref="W57" si="121">W58+W73</f>
        <v>34201310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20763863</v>
      </c>
      <c r="C58" s="28">
        <f t="shared" si="122"/>
        <v>21497462</v>
      </c>
      <c r="D58" s="28">
        <f t="shared" si="122"/>
        <v>22351411</v>
      </c>
      <c r="E58" s="28">
        <f t="shared" si="122"/>
        <v>22401300</v>
      </c>
      <c r="F58" s="28">
        <f t="shared" si="122"/>
        <v>23453329</v>
      </c>
      <c r="G58" s="28">
        <f t="shared" si="122"/>
        <v>24426225</v>
      </c>
      <c r="H58" s="28">
        <f t="shared" si="122"/>
        <v>25514653</v>
      </c>
      <c r="I58" s="28">
        <f t="shared" si="122"/>
        <v>26562958</v>
      </c>
      <c r="J58" s="28">
        <f t="shared" si="122"/>
        <v>27118729</v>
      </c>
      <c r="K58" s="28">
        <f t="shared" si="122"/>
        <v>27005542</v>
      </c>
      <c r="L58" s="28">
        <f t="shared" ref="L58" si="123">L59+L60+L67</f>
        <v>27208134</v>
      </c>
      <c r="M58" s="28">
        <f t="shared" ref="M58:V58" si="124">M59+M60+M67</f>
        <v>27366819</v>
      </c>
      <c r="N58" s="28">
        <f t="shared" si="124"/>
        <v>27332323</v>
      </c>
      <c r="O58" s="28">
        <f t="shared" si="124"/>
        <v>27082750</v>
      </c>
      <c r="P58" s="28">
        <f t="shared" si="124"/>
        <v>27122520</v>
      </c>
      <c r="Q58" s="28">
        <f t="shared" si="124"/>
        <v>27518475</v>
      </c>
      <c r="R58" s="28">
        <f t="shared" si="124"/>
        <v>28137680</v>
      </c>
      <c r="S58" s="28">
        <f t="shared" si="124"/>
        <v>28830696</v>
      </c>
      <c r="T58" s="28">
        <f t="shared" si="124"/>
        <v>29513929</v>
      </c>
      <c r="U58" s="28">
        <f t="shared" si="124"/>
        <v>30121255</v>
      </c>
      <c r="V58" s="28">
        <f t="shared" si="124"/>
        <v>30390939</v>
      </c>
      <c r="W58" s="28">
        <f t="shared" ref="W58" si="125">W59+W60+W67</f>
        <v>30684894</v>
      </c>
      <c r="DA58" s="173" t="s">
        <v>500</v>
      </c>
    </row>
    <row r="59" spans="1:105" ht="11.45" customHeight="1" x14ac:dyDescent="0.25">
      <c r="A59" s="136" t="s">
        <v>180</v>
      </c>
      <c r="B59" s="137">
        <v>3242201</v>
      </c>
      <c r="C59" s="137">
        <v>3290200</v>
      </c>
      <c r="D59" s="137">
        <v>3561450</v>
      </c>
      <c r="E59" s="137">
        <v>3657119</v>
      </c>
      <c r="F59" s="137">
        <v>3854128</v>
      </c>
      <c r="G59" s="137">
        <v>4117600.0000000005</v>
      </c>
      <c r="H59" s="137">
        <v>4401146</v>
      </c>
      <c r="I59" s="137">
        <v>4741760</v>
      </c>
      <c r="J59" s="137">
        <v>4911504</v>
      </c>
      <c r="K59" s="137">
        <v>4958879</v>
      </c>
      <c r="L59" s="137">
        <v>4997689</v>
      </c>
      <c r="M59" s="137">
        <v>5027461</v>
      </c>
      <c r="N59" s="137">
        <v>5021965</v>
      </c>
      <c r="O59" s="137">
        <v>4998320</v>
      </c>
      <c r="P59" s="137">
        <v>5033209</v>
      </c>
      <c r="Q59" s="137">
        <v>5102674</v>
      </c>
      <c r="R59" s="137">
        <v>5199012</v>
      </c>
      <c r="S59" s="137">
        <v>5284804</v>
      </c>
      <c r="T59" s="137">
        <v>5393201</v>
      </c>
      <c r="U59" s="137">
        <v>5515718</v>
      </c>
      <c r="V59" s="137">
        <v>5627674</v>
      </c>
      <c r="W59" s="137">
        <v>5724606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17466814</v>
      </c>
      <c r="C60" s="110">
        <f t="shared" si="126"/>
        <v>18151000</v>
      </c>
      <c r="D60" s="110">
        <f t="shared" si="126"/>
        <v>18733000</v>
      </c>
      <c r="E60" s="110">
        <f t="shared" si="126"/>
        <v>18688000</v>
      </c>
      <c r="F60" s="110">
        <f t="shared" si="126"/>
        <v>19542000</v>
      </c>
      <c r="G60" s="110">
        <f t="shared" si="126"/>
        <v>20250377</v>
      </c>
      <c r="H60" s="110">
        <f t="shared" si="126"/>
        <v>21053000</v>
      </c>
      <c r="I60" s="110">
        <f t="shared" si="126"/>
        <v>21760000</v>
      </c>
      <c r="J60" s="110">
        <f t="shared" si="126"/>
        <v>22145000</v>
      </c>
      <c r="K60" s="110">
        <f t="shared" si="126"/>
        <v>21984000</v>
      </c>
      <c r="L60" s="110">
        <f t="shared" ref="L60" si="127">SUM(L61:L66)</f>
        <v>22148000</v>
      </c>
      <c r="M60" s="110">
        <f t="shared" ref="M60:V60" si="128">SUM(M61:M66)</f>
        <v>22277000</v>
      </c>
      <c r="N60" s="110">
        <f t="shared" si="128"/>
        <v>22248000</v>
      </c>
      <c r="O60" s="110">
        <f t="shared" si="128"/>
        <v>22024538</v>
      </c>
      <c r="P60" s="110">
        <f t="shared" si="128"/>
        <v>22029512</v>
      </c>
      <c r="Q60" s="110">
        <f t="shared" si="128"/>
        <v>22355549</v>
      </c>
      <c r="R60" s="110">
        <f t="shared" si="128"/>
        <v>22876830</v>
      </c>
      <c r="S60" s="110">
        <f t="shared" si="128"/>
        <v>23500401</v>
      </c>
      <c r="T60" s="110">
        <f t="shared" si="128"/>
        <v>24074151</v>
      </c>
      <c r="U60" s="110">
        <f t="shared" si="128"/>
        <v>24558126</v>
      </c>
      <c r="V60" s="110">
        <f t="shared" si="128"/>
        <v>24716898</v>
      </c>
      <c r="W60" s="110">
        <f t="shared" ref="W60" si="129">SUM(W61:W66)</f>
        <v>24913132</v>
      </c>
      <c r="DA60" s="176" t="s">
        <v>502</v>
      </c>
    </row>
    <row r="61" spans="1:105" ht="11.45" customHeight="1" x14ac:dyDescent="0.25">
      <c r="A61" s="111" t="s">
        <v>110</v>
      </c>
      <c r="B61" s="84">
        <v>12747000</v>
      </c>
      <c r="C61" s="84">
        <v>12783451</v>
      </c>
      <c r="D61" s="84">
        <v>12716658</v>
      </c>
      <c r="E61" s="84">
        <v>12085193</v>
      </c>
      <c r="F61" s="84">
        <v>12024101</v>
      </c>
      <c r="G61" s="84">
        <v>11840477</v>
      </c>
      <c r="H61" s="84">
        <v>11662923</v>
      </c>
      <c r="I61" s="84">
        <v>11497796</v>
      </c>
      <c r="J61" s="84">
        <v>11345358</v>
      </c>
      <c r="K61" s="84">
        <v>10903549</v>
      </c>
      <c r="L61" s="84">
        <v>10682509</v>
      </c>
      <c r="M61" s="84">
        <v>10520117</v>
      </c>
      <c r="N61" s="84">
        <v>10316522</v>
      </c>
      <c r="O61" s="84">
        <v>9960178</v>
      </c>
      <c r="P61" s="84">
        <v>9707492</v>
      </c>
      <c r="Q61" s="84">
        <v>9686021</v>
      </c>
      <c r="R61" s="84">
        <v>9811541</v>
      </c>
      <c r="S61" s="84">
        <v>10083874</v>
      </c>
      <c r="T61" s="84">
        <v>10489252</v>
      </c>
      <c r="U61" s="84">
        <v>10921401</v>
      </c>
      <c r="V61" s="84">
        <v>11090744</v>
      </c>
      <c r="W61" s="84">
        <v>11318414</v>
      </c>
      <c r="DA61" s="171" t="s">
        <v>503</v>
      </c>
    </row>
    <row r="62" spans="1:105" ht="11.45" customHeight="1" x14ac:dyDescent="0.25">
      <c r="A62" s="111" t="s">
        <v>111</v>
      </c>
      <c r="B62" s="84">
        <v>4702000</v>
      </c>
      <c r="C62" s="84">
        <v>5349749</v>
      </c>
      <c r="D62" s="84">
        <v>5998179</v>
      </c>
      <c r="E62" s="84">
        <v>6586110</v>
      </c>
      <c r="F62" s="84">
        <v>7500202</v>
      </c>
      <c r="G62" s="84">
        <v>8395305</v>
      </c>
      <c r="H62" s="84">
        <v>9374085</v>
      </c>
      <c r="I62" s="84">
        <v>10248239</v>
      </c>
      <c r="J62" s="84">
        <v>10787869</v>
      </c>
      <c r="K62" s="84">
        <v>11066792</v>
      </c>
      <c r="L62" s="84">
        <v>11450215</v>
      </c>
      <c r="M62" s="84">
        <v>11740176</v>
      </c>
      <c r="N62" s="84">
        <v>11905367</v>
      </c>
      <c r="O62" s="84">
        <v>12034952</v>
      </c>
      <c r="P62" s="84">
        <v>12289257</v>
      </c>
      <c r="Q62" s="84">
        <v>12631929</v>
      </c>
      <c r="R62" s="84">
        <v>13022580</v>
      </c>
      <c r="S62" s="84">
        <v>13362142</v>
      </c>
      <c r="T62" s="84">
        <v>13497031</v>
      </c>
      <c r="U62" s="84">
        <v>13518565</v>
      </c>
      <c r="V62" s="84">
        <v>13462996</v>
      </c>
      <c r="W62" s="84">
        <v>13358414</v>
      </c>
      <c r="DA62" s="171" t="s">
        <v>504</v>
      </c>
    </row>
    <row r="63" spans="1:105" ht="11.45" customHeight="1" x14ac:dyDescent="0.25">
      <c r="A63" s="111" t="s">
        <v>112</v>
      </c>
      <c r="B63" s="84">
        <v>17814</v>
      </c>
      <c r="C63" s="84">
        <v>17800</v>
      </c>
      <c r="D63" s="84">
        <v>18163</v>
      </c>
      <c r="E63" s="84">
        <v>16697</v>
      </c>
      <c r="F63" s="84">
        <v>16012</v>
      </c>
      <c r="G63" s="84">
        <v>10909</v>
      </c>
      <c r="H63" s="84">
        <v>9880</v>
      </c>
      <c r="I63" s="84">
        <v>7951</v>
      </c>
      <c r="J63" s="84">
        <v>5564</v>
      </c>
      <c r="K63" s="84">
        <v>7330</v>
      </c>
      <c r="L63" s="84">
        <v>8678</v>
      </c>
      <c r="M63" s="84">
        <v>9671</v>
      </c>
      <c r="N63" s="84">
        <v>14184</v>
      </c>
      <c r="O63" s="84">
        <v>15027</v>
      </c>
      <c r="P63" s="84">
        <v>17852</v>
      </c>
      <c r="Q63" s="84">
        <v>20517</v>
      </c>
      <c r="R63" s="84">
        <v>21938</v>
      </c>
      <c r="S63" s="84">
        <v>25580</v>
      </c>
      <c r="T63" s="84">
        <v>43500</v>
      </c>
      <c r="U63" s="84">
        <v>55994</v>
      </c>
      <c r="V63" s="84">
        <v>58837</v>
      </c>
      <c r="W63" s="84">
        <v>60784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1685</v>
      </c>
      <c r="G64" s="84">
        <v>3686</v>
      </c>
      <c r="H64" s="84">
        <v>6112</v>
      </c>
      <c r="I64" s="84">
        <v>6014</v>
      </c>
      <c r="J64" s="84">
        <v>6209</v>
      </c>
      <c r="K64" s="84">
        <v>6328</v>
      </c>
      <c r="L64" s="84">
        <v>6522</v>
      </c>
      <c r="M64" s="84">
        <v>6460</v>
      </c>
      <c r="N64" s="84">
        <v>10795</v>
      </c>
      <c r="O64" s="84">
        <v>12170</v>
      </c>
      <c r="P64" s="84">
        <v>11467</v>
      </c>
      <c r="Q64" s="84">
        <v>11234</v>
      </c>
      <c r="R64" s="84">
        <v>11156</v>
      </c>
      <c r="S64" s="84">
        <v>12077</v>
      </c>
      <c r="T64" s="84">
        <v>15666</v>
      </c>
      <c r="U64" s="84">
        <v>15645</v>
      </c>
      <c r="V64" s="84">
        <v>15783</v>
      </c>
      <c r="W64" s="84">
        <v>16286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8</v>
      </c>
      <c r="N65" s="84">
        <v>109</v>
      </c>
      <c r="O65" s="84">
        <v>190</v>
      </c>
      <c r="P65" s="84">
        <v>612</v>
      </c>
      <c r="Q65" s="84">
        <v>1368</v>
      </c>
      <c r="R65" s="84">
        <v>3131</v>
      </c>
      <c r="S65" s="84">
        <v>6583</v>
      </c>
      <c r="T65" s="84">
        <v>12295</v>
      </c>
      <c r="U65" s="84">
        <v>19722</v>
      </c>
      <c r="V65" s="84">
        <v>43481</v>
      </c>
      <c r="W65" s="84">
        <v>86496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1</v>
      </c>
      <c r="L66" s="84">
        <v>76</v>
      </c>
      <c r="M66" s="84">
        <v>568</v>
      </c>
      <c r="N66" s="84">
        <v>1023</v>
      </c>
      <c r="O66" s="84">
        <v>2021</v>
      </c>
      <c r="P66" s="84">
        <v>2832</v>
      </c>
      <c r="Q66" s="84">
        <v>4480</v>
      </c>
      <c r="R66" s="84">
        <v>6484</v>
      </c>
      <c r="S66" s="84">
        <v>10145</v>
      </c>
      <c r="T66" s="84">
        <v>16407</v>
      </c>
      <c r="U66" s="84">
        <v>26799</v>
      </c>
      <c r="V66" s="84">
        <v>45057</v>
      </c>
      <c r="W66" s="84">
        <v>72738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54848</v>
      </c>
      <c r="C67" s="110">
        <f t="shared" si="130"/>
        <v>56262</v>
      </c>
      <c r="D67" s="110">
        <f t="shared" si="130"/>
        <v>56961</v>
      </c>
      <c r="E67" s="110">
        <f t="shared" si="130"/>
        <v>56181</v>
      </c>
      <c r="F67" s="110">
        <f t="shared" si="130"/>
        <v>57201</v>
      </c>
      <c r="G67" s="110">
        <f t="shared" si="130"/>
        <v>58248</v>
      </c>
      <c r="H67" s="110">
        <f t="shared" si="130"/>
        <v>60507</v>
      </c>
      <c r="I67" s="110">
        <f t="shared" si="130"/>
        <v>61198</v>
      </c>
      <c r="J67" s="110">
        <f t="shared" si="130"/>
        <v>62225</v>
      </c>
      <c r="K67" s="110">
        <f t="shared" si="130"/>
        <v>62663</v>
      </c>
      <c r="L67" s="110">
        <f t="shared" ref="L67" si="131">SUM(L68:L72)</f>
        <v>62445</v>
      </c>
      <c r="M67" s="110">
        <f t="shared" ref="M67:V67" si="132">SUM(M68:M72)</f>
        <v>62358</v>
      </c>
      <c r="N67" s="110">
        <f t="shared" si="132"/>
        <v>62358</v>
      </c>
      <c r="O67" s="110">
        <f t="shared" si="132"/>
        <v>59892</v>
      </c>
      <c r="P67" s="110">
        <f t="shared" si="132"/>
        <v>59799</v>
      </c>
      <c r="Q67" s="110">
        <f t="shared" si="132"/>
        <v>60252</v>
      </c>
      <c r="R67" s="110">
        <f t="shared" si="132"/>
        <v>61838</v>
      </c>
      <c r="S67" s="110">
        <f t="shared" si="132"/>
        <v>45491</v>
      </c>
      <c r="T67" s="110">
        <f t="shared" si="132"/>
        <v>46577</v>
      </c>
      <c r="U67" s="110">
        <f t="shared" si="132"/>
        <v>47411</v>
      </c>
      <c r="V67" s="110">
        <f t="shared" si="132"/>
        <v>46367</v>
      </c>
      <c r="W67" s="110">
        <f t="shared" ref="W67" si="133">SUM(W68:W72)</f>
        <v>47156</v>
      </c>
      <c r="DA67" s="176" t="s">
        <v>509</v>
      </c>
    </row>
    <row r="68" spans="1:105" ht="11.45" customHeight="1" x14ac:dyDescent="0.25">
      <c r="A68" s="111" t="s">
        <v>110</v>
      </c>
      <c r="B68" s="102">
        <v>964</v>
      </c>
      <c r="C68" s="102">
        <v>988</v>
      </c>
      <c r="D68" s="102">
        <v>1036</v>
      </c>
      <c r="E68" s="102">
        <v>1018</v>
      </c>
      <c r="F68" s="102">
        <v>1006</v>
      </c>
      <c r="G68" s="102">
        <v>920</v>
      </c>
      <c r="H68" s="102">
        <v>900</v>
      </c>
      <c r="I68" s="102">
        <v>1000</v>
      </c>
      <c r="J68" s="102">
        <v>930</v>
      </c>
      <c r="K68" s="102">
        <v>864</v>
      </c>
      <c r="L68" s="102">
        <v>817</v>
      </c>
      <c r="M68" s="102">
        <v>783</v>
      </c>
      <c r="N68" s="102">
        <v>743</v>
      </c>
      <c r="O68" s="102">
        <v>710</v>
      </c>
      <c r="P68" s="102">
        <v>682</v>
      </c>
      <c r="Q68" s="102">
        <v>649</v>
      </c>
      <c r="R68" s="102">
        <v>627</v>
      </c>
      <c r="S68" s="102">
        <v>601</v>
      </c>
      <c r="T68" s="102">
        <v>562</v>
      </c>
      <c r="U68" s="102">
        <v>522</v>
      </c>
      <c r="V68" s="102">
        <v>481</v>
      </c>
      <c r="W68" s="102">
        <v>448</v>
      </c>
      <c r="DA68" s="175" t="s">
        <v>510</v>
      </c>
    </row>
    <row r="69" spans="1:105" ht="11.45" customHeight="1" x14ac:dyDescent="0.25">
      <c r="A69" s="111" t="s">
        <v>111</v>
      </c>
      <c r="B69" s="102">
        <v>53768</v>
      </c>
      <c r="C69" s="102">
        <v>55158</v>
      </c>
      <c r="D69" s="102">
        <v>55917</v>
      </c>
      <c r="E69" s="102">
        <v>54975</v>
      </c>
      <c r="F69" s="102">
        <v>55951</v>
      </c>
      <c r="G69" s="102">
        <v>57049</v>
      </c>
      <c r="H69" s="102">
        <v>59300</v>
      </c>
      <c r="I69" s="102">
        <v>59800</v>
      </c>
      <c r="J69" s="102">
        <v>60924</v>
      </c>
      <c r="K69" s="102">
        <v>61425</v>
      </c>
      <c r="L69" s="102">
        <v>61254</v>
      </c>
      <c r="M69" s="102">
        <v>61202</v>
      </c>
      <c r="N69" s="102">
        <v>61240</v>
      </c>
      <c r="O69" s="102">
        <v>58821</v>
      </c>
      <c r="P69" s="102">
        <v>58717</v>
      </c>
      <c r="Q69" s="102">
        <v>57959</v>
      </c>
      <c r="R69" s="102">
        <v>59216</v>
      </c>
      <c r="S69" s="102">
        <v>42555</v>
      </c>
      <c r="T69" s="102">
        <v>43263</v>
      </c>
      <c r="U69" s="102">
        <v>43315</v>
      </c>
      <c r="V69" s="102">
        <v>41701</v>
      </c>
      <c r="W69" s="102">
        <v>42106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4</v>
      </c>
      <c r="Q70" s="102">
        <v>103</v>
      </c>
      <c r="R70" s="102">
        <v>105</v>
      </c>
      <c r="S70" s="102">
        <v>105</v>
      </c>
      <c r="T70" s="102">
        <v>96</v>
      </c>
      <c r="U70" s="102">
        <v>122</v>
      </c>
      <c r="V70" s="102">
        <v>156</v>
      </c>
      <c r="W70" s="102">
        <v>334</v>
      </c>
      <c r="DA70" s="175" t="s">
        <v>512</v>
      </c>
    </row>
    <row r="71" spans="1:105" ht="11.45" customHeight="1" x14ac:dyDescent="0.25">
      <c r="A71" s="111" t="s">
        <v>113</v>
      </c>
      <c r="B71" s="102">
        <v>116</v>
      </c>
      <c r="C71" s="102">
        <v>116</v>
      </c>
      <c r="D71" s="102">
        <v>8</v>
      </c>
      <c r="E71" s="102">
        <v>188</v>
      </c>
      <c r="F71" s="102">
        <v>244</v>
      </c>
      <c r="G71" s="102">
        <v>279</v>
      </c>
      <c r="H71" s="102">
        <v>307</v>
      </c>
      <c r="I71" s="102">
        <v>398</v>
      </c>
      <c r="J71" s="102">
        <v>371</v>
      </c>
      <c r="K71" s="102">
        <v>374</v>
      </c>
      <c r="L71" s="102">
        <v>374</v>
      </c>
      <c r="M71" s="102">
        <v>373</v>
      </c>
      <c r="N71" s="102">
        <v>375</v>
      </c>
      <c r="O71" s="102">
        <v>361</v>
      </c>
      <c r="P71" s="102">
        <v>325</v>
      </c>
      <c r="Q71" s="102">
        <v>1426</v>
      </c>
      <c r="R71" s="102">
        <v>1731</v>
      </c>
      <c r="S71" s="102">
        <v>2033</v>
      </c>
      <c r="T71" s="102">
        <v>2398</v>
      </c>
      <c r="U71" s="102">
        <v>3029</v>
      </c>
      <c r="V71" s="102">
        <v>3557</v>
      </c>
      <c r="W71" s="102">
        <v>3675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71</v>
      </c>
      <c r="Q72" s="102">
        <v>115</v>
      </c>
      <c r="R72" s="102">
        <v>159</v>
      </c>
      <c r="S72" s="102">
        <v>197</v>
      </c>
      <c r="T72" s="102">
        <v>258</v>
      </c>
      <c r="U72" s="102">
        <v>423</v>
      </c>
      <c r="V72" s="102">
        <v>472</v>
      </c>
      <c r="W72" s="102">
        <v>593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3505125</v>
      </c>
      <c r="C73" s="28">
        <f t="shared" si="134"/>
        <v>3622212</v>
      </c>
      <c r="D73" s="28">
        <f t="shared" si="134"/>
        <v>3563647</v>
      </c>
      <c r="E73" s="28">
        <f t="shared" si="134"/>
        <v>3681591</v>
      </c>
      <c r="F73" s="28">
        <f t="shared" si="134"/>
        <v>3906054</v>
      </c>
      <c r="G73" s="28">
        <f t="shared" si="134"/>
        <v>3996438</v>
      </c>
      <c r="H73" s="28">
        <f t="shared" si="134"/>
        <v>4064325</v>
      </c>
      <c r="I73" s="28">
        <f t="shared" si="134"/>
        <v>4709281</v>
      </c>
      <c r="J73" s="28">
        <f t="shared" si="134"/>
        <v>4385063</v>
      </c>
      <c r="K73" s="28">
        <f t="shared" si="134"/>
        <v>3831472</v>
      </c>
      <c r="L73" s="28">
        <f t="shared" ref="L73" si="135">L74+L80</f>
        <v>3645913</v>
      </c>
      <c r="M73" s="28">
        <f t="shared" ref="M73:V73" si="136">M74+M80</f>
        <v>3496793</v>
      </c>
      <c r="N73" s="28">
        <f t="shared" si="136"/>
        <v>3250465</v>
      </c>
      <c r="O73" s="28">
        <f t="shared" si="136"/>
        <v>2984897</v>
      </c>
      <c r="P73" s="28">
        <f t="shared" si="136"/>
        <v>3079523</v>
      </c>
      <c r="Q73" s="28">
        <f t="shared" si="136"/>
        <v>3344528</v>
      </c>
      <c r="R73" s="28">
        <f t="shared" si="136"/>
        <v>3291557</v>
      </c>
      <c r="S73" s="28">
        <f t="shared" si="136"/>
        <v>3356079</v>
      </c>
      <c r="T73" s="28">
        <f t="shared" si="136"/>
        <v>3424222</v>
      </c>
      <c r="U73" s="28">
        <f t="shared" si="136"/>
        <v>3472250</v>
      </c>
      <c r="V73" s="28">
        <f t="shared" si="136"/>
        <v>3492295</v>
      </c>
      <c r="W73" s="28">
        <f t="shared" ref="W73" si="137">W74+W80</f>
        <v>3516416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2891834</v>
      </c>
      <c r="C74" s="137">
        <f t="shared" si="138"/>
        <v>2982968</v>
      </c>
      <c r="D74" s="137">
        <f t="shared" si="138"/>
        <v>2906938</v>
      </c>
      <c r="E74" s="137">
        <f t="shared" si="138"/>
        <v>2996438</v>
      </c>
      <c r="F74" s="137">
        <f t="shared" si="138"/>
        <v>3206773</v>
      </c>
      <c r="G74" s="137">
        <f t="shared" si="138"/>
        <v>3279859</v>
      </c>
      <c r="H74" s="137">
        <f t="shared" si="138"/>
        <v>3328697</v>
      </c>
      <c r="I74" s="137">
        <f t="shared" si="138"/>
        <v>3949516</v>
      </c>
      <c r="J74" s="137">
        <f t="shared" si="138"/>
        <v>3626082</v>
      </c>
      <c r="K74" s="137">
        <f t="shared" si="138"/>
        <v>3088449</v>
      </c>
      <c r="L74" s="137">
        <f t="shared" ref="L74" si="139">SUM(L75:L79)</f>
        <v>2923723</v>
      </c>
      <c r="M74" s="137">
        <f t="shared" ref="M74:V74" si="140">SUM(M75:M79)</f>
        <v>2791808</v>
      </c>
      <c r="N74" s="137">
        <f t="shared" si="140"/>
        <v>2571941</v>
      </c>
      <c r="O74" s="137">
        <f t="shared" si="140"/>
        <v>2483314</v>
      </c>
      <c r="P74" s="137">
        <f t="shared" si="140"/>
        <v>2576691</v>
      </c>
      <c r="Q74" s="137">
        <f t="shared" si="140"/>
        <v>2834711</v>
      </c>
      <c r="R74" s="137">
        <f t="shared" si="140"/>
        <v>2766056</v>
      </c>
      <c r="S74" s="137">
        <f t="shared" si="140"/>
        <v>2819356</v>
      </c>
      <c r="T74" s="137">
        <f t="shared" si="140"/>
        <v>2876732</v>
      </c>
      <c r="U74" s="137">
        <f t="shared" si="140"/>
        <v>2913005</v>
      </c>
      <c r="V74" s="137">
        <f t="shared" si="140"/>
        <v>2926539</v>
      </c>
      <c r="W74" s="137">
        <f t="shared" ref="W74" si="141">SUM(W75:W79)</f>
        <v>2949771</v>
      </c>
      <c r="DA74" s="174" t="s">
        <v>516</v>
      </c>
    </row>
    <row r="75" spans="1:105" ht="11.45" customHeight="1" x14ac:dyDescent="0.25">
      <c r="A75" s="111" t="s">
        <v>110</v>
      </c>
      <c r="B75" s="84">
        <v>291921</v>
      </c>
      <c r="C75" s="84">
        <v>276921</v>
      </c>
      <c r="D75" s="84">
        <v>201920</v>
      </c>
      <c r="E75" s="84">
        <v>171916</v>
      </c>
      <c r="F75" s="84">
        <v>149872</v>
      </c>
      <c r="G75" s="84">
        <v>126437</v>
      </c>
      <c r="H75" s="84">
        <v>107182</v>
      </c>
      <c r="I75" s="84">
        <v>99851</v>
      </c>
      <c r="J75" s="84">
        <v>84046</v>
      </c>
      <c r="K75" s="84">
        <v>74117</v>
      </c>
      <c r="L75" s="84">
        <v>68911</v>
      </c>
      <c r="M75" s="84">
        <v>71065</v>
      </c>
      <c r="N75" s="84">
        <v>71610</v>
      </c>
      <c r="O75" s="84">
        <v>68431</v>
      </c>
      <c r="P75" s="84">
        <v>48644</v>
      </c>
      <c r="Q75" s="84">
        <v>51208</v>
      </c>
      <c r="R75" s="84">
        <v>47594</v>
      </c>
      <c r="S75" s="84">
        <v>53676</v>
      </c>
      <c r="T75" s="84">
        <v>58847</v>
      </c>
      <c r="U75" s="84">
        <v>63368</v>
      </c>
      <c r="V75" s="84">
        <v>62820</v>
      </c>
      <c r="W75" s="84">
        <v>71584</v>
      </c>
      <c r="DA75" s="171" t="s">
        <v>517</v>
      </c>
    </row>
    <row r="76" spans="1:105" ht="11.45" customHeight="1" x14ac:dyDescent="0.25">
      <c r="A76" s="111" t="s">
        <v>111</v>
      </c>
      <c r="B76" s="84">
        <v>2599913</v>
      </c>
      <c r="C76" s="84">
        <v>2706047</v>
      </c>
      <c r="D76" s="84">
        <v>2705018</v>
      </c>
      <c r="E76" s="84">
        <v>2824522</v>
      </c>
      <c r="F76" s="84">
        <v>3056901</v>
      </c>
      <c r="G76" s="84">
        <v>3153422</v>
      </c>
      <c r="H76" s="84">
        <v>3221515</v>
      </c>
      <c r="I76" s="84">
        <v>3849665</v>
      </c>
      <c r="J76" s="84">
        <v>3542036</v>
      </c>
      <c r="K76" s="84">
        <v>3014332</v>
      </c>
      <c r="L76" s="84">
        <v>2854812</v>
      </c>
      <c r="M76" s="84">
        <v>2720719</v>
      </c>
      <c r="N76" s="84">
        <v>2500095</v>
      </c>
      <c r="O76" s="84">
        <v>2414667</v>
      </c>
      <c r="P76" s="84">
        <v>2527258</v>
      </c>
      <c r="Q76" s="84">
        <v>2781289</v>
      </c>
      <c r="R76" s="84">
        <v>2713798</v>
      </c>
      <c r="S76" s="84">
        <v>2759006</v>
      </c>
      <c r="T76" s="84">
        <v>2806220</v>
      </c>
      <c r="U76" s="84">
        <v>2828824</v>
      </c>
      <c r="V76" s="84">
        <v>2837776</v>
      </c>
      <c r="W76" s="84">
        <v>2846196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2</v>
      </c>
      <c r="P77" s="84">
        <v>240</v>
      </c>
      <c r="Q77" s="84">
        <v>567</v>
      </c>
      <c r="R77" s="84">
        <v>1838</v>
      </c>
      <c r="S77" s="84">
        <v>2633</v>
      </c>
      <c r="T77" s="84">
        <v>4885</v>
      </c>
      <c r="U77" s="84">
        <v>10822</v>
      </c>
      <c r="V77" s="84">
        <v>12900</v>
      </c>
      <c r="W77" s="84">
        <v>15818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15</v>
      </c>
      <c r="O78" s="84">
        <v>99</v>
      </c>
      <c r="P78" s="84">
        <v>172</v>
      </c>
      <c r="Q78" s="84">
        <v>542</v>
      </c>
      <c r="R78" s="84">
        <v>736</v>
      </c>
      <c r="S78" s="84">
        <v>1083</v>
      </c>
      <c r="T78" s="84">
        <v>2021</v>
      </c>
      <c r="U78" s="84">
        <v>3688</v>
      </c>
      <c r="V78" s="84">
        <v>5106</v>
      </c>
      <c r="W78" s="84">
        <v>5677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24</v>
      </c>
      <c r="N79" s="84">
        <v>221</v>
      </c>
      <c r="O79" s="84">
        <v>115</v>
      </c>
      <c r="P79" s="84">
        <v>377</v>
      </c>
      <c r="Q79" s="84">
        <v>1105</v>
      </c>
      <c r="R79" s="84">
        <v>2090</v>
      </c>
      <c r="S79" s="84">
        <v>2958</v>
      </c>
      <c r="T79" s="84">
        <v>4759</v>
      </c>
      <c r="U79" s="84">
        <v>6303</v>
      </c>
      <c r="V79" s="84">
        <v>7937</v>
      </c>
      <c r="W79" s="84">
        <v>10496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613291</v>
      </c>
      <c r="C80" s="110">
        <f t="shared" si="142"/>
        <v>639244</v>
      </c>
      <c r="D80" s="110">
        <f t="shared" si="142"/>
        <v>656709</v>
      </c>
      <c r="E80" s="110">
        <f t="shared" si="142"/>
        <v>685153</v>
      </c>
      <c r="F80" s="110">
        <f t="shared" si="142"/>
        <v>699281</v>
      </c>
      <c r="G80" s="110">
        <f t="shared" si="142"/>
        <v>716579</v>
      </c>
      <c r="H80" s="110">
        <f t="shared" si="142"/>
        <v>735628</v>
      </c>
      <c r="I80" s="110">
        <f t="shared" si="142"/>
        <v>759765</v>
      </c>
      <c r="J80" s="110">
        <f t="shared" si="142"/>
        <v>758981</v>
      </c>
      <c r="K80" s="110">
        <f t="shared" si="142"/>
        <v>743023</v>
      </c>
      <c r="L80" s="110">
        <f t="shared" ref="L80" si="143">SUM(L81:L82)</f>
        <v>722190</v>
      </c>
      <c r="M80" s="110">
        <f t="shared" ref="M80:V80" si="144">SUM(M81:M82)</f>
        <v>704985</v>
      </c>
      <c r="N80" s="110">
        <f t="shared" si="144"/>
        <v>678524</v>
      </c>
      <c r="O80" s="110">
        <f t="shared" si="144"/>
        <v>501583</v>
      </c>
      <c r="P80" s="110">
        <f t="shared" si="144"/>
        <v>502832</v>
      </c>
      <c r="Q80" s="110">
        <f t="shared" si="144"/>
        <v>509817</v>
      </c>
      <c r="R80" s="110">
        <f t="shared" si="144"/>
        <v>525501</v>
      </c>
      <c r="S80" s="110">
        <f t="shared" si="144"/>
        <v>536723</v>
      </c>
      <c r="T80" s="110">
        <f t="shared" si="144"/>
        <v>547490</v>
      </c>
      <c r="U80" s="110">
        <f t="shared" si="144"/>
        <v>559245</v>
      </c>
      <c r="V80" s="110">
        <f t="shared" si="144"/>
        <v>565756</v>
      </c>
      <c r="W80" s="110">
        <f t="shared" ref="W80" si="145">SUM(W81:W82)</f>
        <v>566645</v>
      </c>
      <c r="DA80" s="176" t="s">
        <v>522</v>
      </c>
    </row>
    <row r="81" spans="1:105" ht="11.45" customHeight="1" x14ac:dyDescent="0.25">
      <c r="A81" s="128" t="s">
        <v>27</v>
      </c>
      <c r="B81" s="102">
        <v>586880</v>
      </c>
      <c r="C81" s="102">
        <v>610928</v>
      </c>
      <c r="D81" s="102">
        <v>626919</v>
      </c>
      <c r="E81" s="102">
        <v>654703</v>
      </c>
      <c r="F81" s="102">
        <v>663279</v>
      </c>
      <c r="G81" s="102">
        <v>679321</v>
      </c>
      <c r="H81" s="102">
        <v>697599</v>
      </c>
      <c r="I81" s="102">
        <v>720879</v>
      </c>
      <c r="J81" s="102">
        <v>723358</v>
      </c>
      <c r="K81" s="102">
        <v>710145</v>
      </c>
      <c r="L81" s="102">
        <v>690488</v>
      </c>
      <c r="M81" s="102">
        <v>673731</v>
      </c>
      <c r="N81" s="102">
        <v>648122</v>
      </c>
      <c r="O81" s="102">
        <v>468955</v>
      </c>
      <c r="P81" s="102">
        <v>470417</v>
      </c>
      <c r="Q81" s="102">
        <v>475579</v>
      </c>
      <c r="R81" s="102">
        <v>490272</v>
      </c>
      <c r="S81" s="102">
        <v>500472</v>
      </c>
      <c r="T81" s="102">
        <v>509970</v>
      </c>
      <c r="U81" s="102">
        <v>520206</v>
      </c>
      <c r="V81" s="102">
        <v>528674</v>
      </c>
      <c r="W81" s="102">
        <v>525906</v>
      </c>
      <c r="DA81" s="175" t="s">
        <v>523</v>
      </c>
    </row>
    <row r="82" spans="1:105" ht="11.45" customHeight="1" x14ac:dyDescent="0.25">
      <c r="A82" s="138" t="s">
        <v>116</v>
      </c>
      <c r="B82" s="86">
        <v>26411</v>
      </c>
      <c r="C82" s="86">
        <v>28316</v>
      </c>
      <c r="D82" s="86">
        <v>29790</v>
      </c>
      <c r="E82" s="86">
        <v>30450</v>
      </c>
      <c r="F82" s="86">
        <v>36002</v>
      </c>
      <c r="G82" s="86">
        <v>37258</v>
      </c>
      <c r="H82" s="86">
        <v>38029</v>
      </c>
      <c r="I82" s="86">
        <v>38886</v>
      </c>
      <c r="J82" s="86">
        <v>35623</v>
      </c>
      <c r="K82" s="86">
        <v>32878</v>
      </c>
      <c r="L82" s="86">
        <v>31702</v>
      </c>
      <c r="M82" s="86">
        <v>31254</v>
      </c>
      <c r="N82" s="86">
        <v>30402</v>
      </c>
      <c r="O82" s="86">
        <v>32628</v>
      </c>
      <c r="P82" s="86">
        <v>32415</v>
      </c>
      <c r="Q82" s="86">
        <v>34238</v>
      </c>
      <c r="R82" s="86">
        <v>35229</v>
      </c>
      <c r="S82" s="86">
        <v>36251</v>
      </c>
      <c r="T82" s="86">
        <v>37520</v>
      </c>
      <c r="U82" s="86">
        <v>39039</v>
      </c>
      <c r="V82" s="86">
        <v>37082</v>
      </c>
      <c r="W82" s="86">
        <v>40739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24268988</v>
      </c>
      <c r="C84" s="54">
        <f t="shared" si="146"/>
        <v>25119674</v>
      </c>
      <c r="D84" s="54">
        <f t="shared" ref="D84:V84" si="147">D85+D100</f>
        <v>25915058</v>
      </c>
      <c r="E84" s="54">
        <f t="shared" si="147"/>
        <v>26082891</v>
      </c>
      <c r="F84" s="54">
        <f t="shared" si="147"/>
        <v>27359383</v>
      </c>
      <c r="G84" s="54">
        <f t="shared" si="147"/>
        <v>28422663</v>
      </c>
      <c r="H84" s="54">
        <f t="shared" si="147"/>
        <v>29578978</v>
      </c>
      <c r="I84" s="54">
        <f t="shared" si="147"/>
        <v>31272239</v>
      </c>
      <c r="J84" s="54">
        <f t="shared" si="147"/>
        <v>31503792</v>
      </c>
      <c r="K84" s="54">
        <f t="shared" si="147"/>
        <v>30837014</v>
      </c>
      <c r="L84" s="54">
        <f t="shared" si="147"/>
        <v>30854047</v>
      </c>
      <c r="M84" s="54">
        <f t="shared" si="147"/>
        <v>30863612</v>
      </c>
      <c r="N84" s="54">
        <f t="shared" si="147"/>
        <v>30582788</v>
      </c>
      <c r="O84" s="54">
        <f t="shared" si="147"/>
        <v>30067647</v>
      </c>
      <c r="P84" s="54">
        <f t="shared" si="147"/>
        <v>30202043</v>
      </c>
      <c r="Q84" s="54">
        <f t="shared" si="147"/>
        <v>30863003</v>
      </c>
      <c r="R84" s="54">
        <f t="shared" si="147"/>
        <v>31429237</v>
      </c>
      <c r="S84" s="54">
        <f t="shared" si="147"/>
        <v>32186775</v>
      </c>
      <c r="T84" s="54">
        <f t="shared" si="147"/>
        <v>32938151</v>
      </c>
      <c r="U84" s="54">
        <f t="shared" si="147"/>
        <v>33593505</v>
      </c>
      <c r="V84" s="54">
        <f t="shared" si="147"/>
        <v>33883234</v>
      </c>
      <c r="W84" s="54">
        <f t="shared" ref="W84" si="148">W85+W100</f>
        <v>34201310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20763863</v>
      </c>
      <c r="C85" s="28">
        <f t="shared" si="149"/>
        <v>21497462</v>
      </c>
      <c r="D85" s="28">
        <f t="shared" ref="D85:V85" si="150">D86+D87+D94</f>
        <v>22351411</v>
      </c>
      <c r="E85" s="28">
        <f t="shared" si="150"/>
        <v>22401300</v>
      </c>
      <c r="F85" s="28">
        <f t="shared" si="150"/>
        <v>23453329</v>
      </c>
      <c r="G85" s="28">
        <f t="shared" si="150"/>
        <v>24426225</v>
      </c>
      <c r="H85" s="28">
        <f t="shared" si="150"/>
        <v>25514653</v>
      </c>
      <c r="I85" s="28">
        <f t="shared" si="150"/>
        <v>26562958</v>
      </c>
      <c r="J85" s="28">
        <f t="shared" si="150"/>
        <v>27118729</v>
      </c>
      <c r="K85" s="28">
        <f t="shared" si="150"/>
        <v>27005542</v>
      </c>
      <c r="L85" s="28">
        <f t="shared" si="150"/>
        <v>27208134</v>
      </c>
      <c r="M85" s="28">
        <f t="shared" si="150"/>
        <v>27366819</v>
      </c>
      <c r="N85" s="28">
        <f t="shared" si="150"/>
        <v>27332323</v>
      </c>
      <c r="O85" s="28">
        <f t="shared" si="150"/>
        <v>27082750</v>
      </c>
      <c r="P85" s="28">
        <f t="shared" si="150"/>
        <v>27122520</v>
      </c>
      <c r="Q85" s="28">
        <f t="shared" si="150"/>
        <v>27518475</v>
      </c>
      <c r="R85" s="28">
        <f t="shared" si="150"/>
        <v>28137680</v>
      </c>
      <c r="S85" s="28">
        <f t="shared" si="150"/>
        <v>28830696</v>
      </c>
      <c r="T85" s="28">
        <f t="shared" si="150"/>
        <v>29513929</v>
      </c>
      <c r="U85" s="28">
        <f t="shared" si="150"/>
        <v>30121255</v>
      </c>
      <c r="V85" s="28">
        <f t="shared" si="150"/>
        <v>30390939</v>
      </c>
      <c r="W85" s="28">
        <f t="shared" ref="W85" si="151">W86+W87+W94</f>
        <v>30684894</v>
      </c>
      <c r="DA85" s="173"/>
    </row>
    <row r="86" spans="1:105" ht="11.45" hidden="1" customHeight="1" x14ac:dyDescent="0.25">
      <c r="A86" s="136" t="s">
        <v>180</v>
      </c>
      <c r="B86" s="137">
        <v>3242201</v>
      </c>
      <c r="C86" s="137">
        <v>3290200</v>
      </c>
      <c r="D86" s="137">
        <v>3561450</v>
      </c>
      <c r="E86" s="137">
        <v>3657119</v>
      </c>
      <c r="F86" s="137">
        <v>3854128</v>
      </c>
      <c r="G86" s="137">
        <v>4117600.0000000005</v>
      </c>
      <c r="H86" s="137">
        <v>4401146</v>
      </c>
      <c r="I86" s="137">
        <v>4741760</v>
      </c>
      <c r="J86" s="137">
        <v>4911504</v>
      </c>
      <c r="K86" s="137">
        <v>4958879</v>
      </c>
      <c r="L86" s="137">
        <v>4997689</v>
      </c>
      <c r="M86" s="137">
        <v>5027461</v>
      </c>
      <c r="N86" s="137">
        <v>5021965</v>
      </c>
      <c r="O86" s="137">
        <v>4998320</v>
      </c>
      <c r="P86" s="137">
        <v>5033209</v>
      </c>
      <c r="Q86" s="137">
        <v>5102674</v>
      </c>
      <c r="R86" s="137">
        <v>5199012</v>
      </c>
      <c r="S86" s="137">
        <v>5284804</v>
      </c>
      <c r="T86" s="137">
        <v>5393201</v>
      </c>
      <c r="U86" s="137">
        <v>5515718</v>
      </c>
      <c r="V86" s="137">
        <v>5627674</v>
      </c>
      <c r="W86" s="137">
        <v>5724606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17466814</v>
      </c>
      <c r="C87" s="110">
        <f t="shared" si="152"/>
        <v>18151000</v>
      </c>
      <c r="D87" s="110">
        <f t="shared" ref="D87:V87" si="153">SUM(D88:D93)</f>
        <v>18733000</v>
      </c>
      <c r="E87" s="110">
        <f t="shared" si="153"/>
        <v>18688000</v>
      </c>
      <c r="F87" s="110">
        <f t="shared" si="153"/>
        <v>19542000</v>
      </c>
      <c r="G87" s="110">
        <f t="shared" si="153"/>
        <v>20250377</v>
      </c>
      <c r="H87" s="110">
        <f t="shared" si="153"/>
        <v>21053000</v>
      </c>
      <c r="I87" s="110">
        <f t="shared" si="153"/>
        <v>21760000</v>
      </c>
      <c r="J87" s="110">
        <f t="shared" si="153"/>
        <v>22145000</v>
      </c>
      <c r="K87" s="110">
        <f t="shared" si="153"/>
        <v>21984000</v>
      </c>
      <c r="L87" s="110">
        <f t="shared" si="153"/>
        <v>22148000</v>
      </c>
      <c r="M87" s="110">
        <f t="shared" si="153"/>
        <v>22277000</v>
      </c>
      <c r="N87" s="110">
        <f t="shared" si="153"/>
        <v>22248000</v>
      </c>
      <c r="O87" s="110">
        <f t="shared" si="153"/>
        <v>22024538</v>
      </c>
      <c r="P87" s="110">
        <f t="shared" si="153"/>
        <v>22029512</v>
      </c>
      <c r="Q87" s="110">
        <f t="shared" si="153"/>
        <v>22355549</v>
      </c>
      <c r="R87" s="110">
        <f t="shared" si="153"/>
        <v>22876830</v>
      </c>
      <c r="S87" s="110">
        <f t="shared" si="153"/>
        <v>23500401</v>
      </c>
      <c r="T87" s="110">
        <f t="shared" si="153"/>
        <v>24074151</v>
      </c>
      <c r="U87" s="110">
        <f t="shared" si="153"/>
        <v>24558126</v>
      </c>
      <c r="V87" s="110">
        <f t="shared" si="153"/>
        <v>24716898</v>
      </c>
      <c r="W87" s="110">
        <f t="shared" ref="W87" si="154">SUM(W88:W93)</f>
        <v>24913132</v>
      </c>
      <c r="DA87" s="176"/>
    </row>
    <row r="88" spans="1:105" ht="11.45" hidden="1" customHeight="1" x14ac:dyDescent="0.25">
      <c r="A88" s="111" t="s">
        <v>110</v>
      </c>
      <c r="B88" s="84">
        <v>12747000</v>
      </c>
      <c r="C88" s="84">
        <v>12783451</v>
      </c>
      <c r="D88" s="84">
        <v>12716658</v>
      </c>
      <c r="E88" s="84">
        <v>12085193</v>
      </c>
      <c r="F88" s="84">
        <v>12024101</v>
      </c>
      <c r="G88" s="84">
        <v>11840477</v>
      </c>
      <c r="H88" s="84">
        <v>11662923</v>
      </c>
      <c r="I88" s="84">
        <v>11497796</v>
      </c>
      <c r="J88" s="84">
        <v>11345358</v>
      </c>
      <c r="K88" s="84">
        <v>10903549</v>
      </c>
      <c r="L88" s="84">
        <v>10682509</v>
      </c>
      <c r="M88" s="84">
        <v>10520117</v>
      </c>
      <c r="N88" s="84">
        <v>10316522</v>
      </c>
      <c r="O88" s="84">
        <v>9960178</v>
      </c>
      <c r="P88" s="84">
        <v>9707492</v>
      </c>
      <c r="Q88" s="84">
        <v>9686021</v>
      </c>
      <c r="R88" s="84">
        <v>9811541</v>
      </c>
      <c r="S88" s="84">
        <v>10083874</v>
      </c>
      <c r="T88" s="84">
        <v>10489252</v>
      </c>
      <c r="U88" s="84">
        <v>10921401</v>
      </c>
      <c r="V88" s="84">
        <v>11090744</v>
      </c>
      <c r="W88" s="84">
        <v>11318414</v>
      </c>
      <c r="DA88" s="171"/>
    </row>
    <row r="89" spans="1:105" ht="11.45" hidden="1" customHeight="1" x14ac:dyDescent="0.25">
      <c r="A89" s="111" t="s">
        <v>111</v>
      </c>
      <c r="B89" s="84">
        <v>4702000</v>
      </c>
      <c r="C89" s="84">
        <v>5349749</v>
      </c>
      <c r="D89" s="84">
        <v>5998179</v>
      </c>
      <c r="E89" s="84">
        <v>6586110</v>
      </c>
      <c r="F89" s="84">
        <v>7500202</v>
      </c>
      <c r="G89" s="84">
        <v>8395305</v>
      </c>
      <c r="H89" s="84">
        <v>9374085</v>
      </c>
      <c r="I89" s="84">
        <v>10248239</v>
      </c>
      <c r="J89" s="84">
        <v>10787869</v>
      </c>
      <c r="K89" s="84">
        <v>11066792</v>
      </c>
      <c r="L89" s="84">
        <v>11450215</v>
      </c>
      <c r="M89" s="84">
        <v>11740176</v>
      </c>
      <c r="N89" s="84">
        <v>11905367</v>
      </c>
      <c r="O89" s="84">
        <v>12034952</v>
      </c>
      <c r="P89" s="84">
        <v>12289257</v>
      </c>
      <c r="Q89" s="84">
        <v>12631929</v>
      </c>
      <c r="R89" s="84">
        <v>13022580</v>
      </c>
      <c r="S89" s="84">
        <v>13362142</v>
      </c>
      <c r="T89" s="84">
        <v>13497031</v>
      </c>
      <c r="U89" s="84">
        <v>13518565</v>
      </c>
      <c r="V89" s="84">
        <v>13462996</v>
      </c>
      <c r="W89" s="84">
        <v>13358414</v>
      </c>
      <c r="DA89" s="171"/>
    </row>
    <row r="90" spans="1:105" ht="11.45" hidden="1" customHeight="1" x14ac:dyDescent="0.25">
      <c r="A90" s="111" t="s">
        <v>112</v>
      </c>
      <c r="B90" s="84">
        <v>17814</v>
      </c>
      <c r="C90" s="84">
        <v>17800</v>
      </c>
      <c r="D90" s="84">
        <v>18163</v>
      </c>
      <c r="E90" s="84">
        <v>16697</v>
      </c>
      <c r="F90" s="84">
        <v>16012</v>
      </c>
      <c r="G90" s="84">
        <v>10909</v>
      </c>
      <c r="H90" s="84">
        <v>9880</v>
      </c>
      <c r="I90" s="84">
        <v>7951</v>
      </c>
      <c r="J90" s="84">
        <v>5564</v>
      </c>
      <c r="K90" s="84">
        <v>7330</v>
      </c>
      <c r="L90" s="84">
        <v>8678</v>
      </c>
      <c r="M90" s="84">
        <v>9671</v>
      </c>
      <c r="N90" s="84">
        <v>14184</v>
      </c>
      <c r="O90" s="84">
        <v>15027</v>
      </c>
      <c r="P90" s="84">
        <v>17852</v>
      </c>
      <c r="Q90" s="84">
        <v>20517</v>
      </c>
      <c r="R90" s="84">
        <v>21938</v>
      </c>
      <c r="S90" s="84">
        <v>25580</v>
      </c>
      <c r="T90" s="84">
        <v>43500</v>
      </c>
      <c r="U90" s="84">
        <v>55994</v>
      </c>
      <c r="V90" s="84">
        <v>58837</v>
      </c>
      <c r="W90" s="84">
        <v>60784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1685</v>
      </c>
      <c r="G91" s="84">
        <v>3686</v>
      </c>
      <c r="H91" s="84">
        <v>6112</v>
      </c>
      <c r="I91" s="84">
        <v>6014</v>
      </c>
      <c r="J91" s="84">
        <v>6209</v>
      </c>
      <c r="K91" s="84">
        <v>6328</v>
      </c>
      <c r="L91" s="84">
        <v>6522</v>
      </c>
      <c r="M91" s="84">
        <v>6460</v>
      </c>
      <c r="N91" s="84">
        <v>10795</v>
      </c>
      <c r="O91" s="84">
        <v>12170</v>
      </c>
      <c r="P91" s="84">
        <v>11467</v>
      </c>
      <c r="Q91" s="84">
        <v>11234</v>
      </c>
      <c r="R91" s="84">
        <v>11156</v>
      </c>
      <c r="S91" s="84">
        <v>12077</v>
      </c>
      <c r="T91" s="84">
        <v>15666</v>
      </c>
      <c r="U91" s="84">
        <v>15645</v>
      </c>
      <c r="V91" s="84">
        <v>15783</v>
      </c>
      <c r="W91" s="84">
        <v>16286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8</v>
      </c>
      <c r="N92" s="84">
        <v>109</v>
      </c>
      <c r="O92" s="84">
        <v>190</v>
      </c>
      <c r="P92" s="84">
        <v>612</v>
      </c>
      <c r="Q92" s="84">
        <v>1368</v>
      </c>
      <c r="R92" s="84">
        <v>3131</v>
      </c>
      <c r="S92" s="84">
        <v>6583</v>
      </c>
      <c r="T92" s="84">
        <v>12295</v>
      </c>
      <c r="U92" s="84">
        <v>19722</v>
      </c>
      <c r="V92" s="84">
        <v>43481</v>
      </c>
      <c r="W92" s="84">
        <v>86496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1</v>
      </c>
      <c r="L93" s="84">
        <v>76</v>
      </c>
      <c r="M93" s="84">
        <v>568</v>
      </c>
      <c r="N93" s="84">
        <v>1023</v>
      </c>
      <c r="O93" s="84">
        <v>2021</v>
      </c>
      <c r="P93" s="84">
        <v>2832</v>
      </c>
      <c r="Q93" s="84">
        <v>4480</v>
      </c>
      <c r="R93" s="84">
        <v>6484</v>
      </c>
      <c r="S93" s="84">
        <v>10145</v>
      </c>
      <c r="T93" s="84">
        <v>16407</v>
      </c>
      <c r="U93" s="84">
        <v>26799</v>
      </c>
      <c r="V93" s="84">
        <v>45057</v>
      </c>
      <c r="W93" s="84">
        <v>72738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54848</v>
      </c>
      <c r="C94" s="110">
        <f t="shared" si="155"/>
        <v>56262</v>
      </c>
      <c r="D94" s="110">
        <f t="shared" ref="D94:V94" si="156">SUM(D95:D99)</f>
        <v>56961</v>
      </c>
      <c r="E94" s="110">
        <f t="shared" si="156"/>
        <v>56181</v>
      </c>
      <c r="F94" s="110">
        <f t="shared" si="156"/>
        <v>57201</v>
      </c>
      <c r="G94" s="110">
        <f t="shared" si="156"/>
        <v>58248</v>
      </c>
      <c r="H94" s="110">
        <f t="shared" si="156"/>
        <v>60507</v>
      </c>
      <c r="I94" s="110">
        <f t="shared" si="156"/>
        <v>61198</v>
      </c>
      <c r="J94" s="110">
        <f t="shared" si="156"/>
        <v>62225</v>
      </c>
      <c r="K94" s="110">
        <f t="shared" si="156"/>
        <v>62663</v>
      </c>
      <c r="L94" s="110">
        <f t="shared" si="156"/>
        <v>62445</v>
      </c>
      <c r="M94" s="110">
        <f t="shared" si="156"/>
        <v>62358</v>
      </c>
      <c r="N94" s="110">
        <f t="shared" si="156"/>
        <v>62358</v>
      </c>
      <c r="O94" s="110">
        <f t="shared" si="156"/>
        <v>59892</v>
      </c>
      <c r="P94" s="110">
        <f t="shared" si="156"/>
        <v>59799</v>
      </c>
      <c r="Q94" s="110">
        <f t="shared" si="156"/>
        <v>60252</v>
      </c>
      <c r="R94" s="110">
        <f t="shared" si="156"/>
        <v>61838</v>
      </c>
      <c r="S94" s="110">
        <f t="shared" si="156"/>
        <v>45491</v>
      </c>
      <c r="T94" s="110">
        <f t="shared" si="156"/>
        <v>46577</v>
      </c>
      <c r="U94" s="110">
        <f t="shared" si="156"/>
        <v>47411</v>
      </c>
      <c r="V94" s="110">
        <f t="shared" si="156"/>
        <v>46367</v>
      </c>
      <c r="W94" s="110">
        <f t="shared" ref="W94" si="157">SUM(W95:W99)</f>
        <v>47156</v>
      </c>
      <c r="DA94" s="176"/>
    </row>
    <row r="95" spans="1:105" ht="11.45" hidden="1" customHeight="1" x14ac:dyDescent="0.25">
      <c r="A95" s="111" t="s">
        <v>110</v>
      </c>
      <c r="B95" s="102">
        <v>964</v>
      </c>
      <c r="C95" s="102">
        <v>988</v>
      </c>
      <c r="D95" s="102">
        <v>1036</v>
      </c>
      <c r="E95" s="102">
        <v>1018</v>
      </c>
      <c r="F95" s="102">
        <v>1006</v>
      </c>
      <c r="G95" s="102">
        <v>920</v>
      </c>
      <c r="H95" s="102">
        <v>900</v>
      </c>
      <c r="I95" s="102">
        <v>1000</v>
      </c>
      <c r="J95" s="102">
        <v>930</v>
      </c>
      <c r="K95" s="102">
        <v>864</v>
      </c>
      <c r="L95" s="102">
        <v>817</v>
      </c>
      <c r="M95" s="102">
        <v>783</v>
      </c>
      <c r="N95" s="102">
        <v>743</v>
      </c>
      <c r="O95" s="102">
        <v>710</v>
      </c>
      <c r="P95" s="102">
        <v>682</v>
      </c>
      <c r="Q95" s="102">
        <v>649</v>
      </c>
      <c r="R95" s="102">
        <v>627</v>
      </c>
      <c r="S95" s="102">
        <v>601</v>
      </c>
      <c r="T95" s="102">
        <v>562</v>
      </c>
      <c r="U95" s="102">
        <v>522</v>
      </c>
      <c r="V95" s="102">
        <v>481</v>
      </c>
      <c r="W95" s="102">
        <v>448</v>
      </c>
      <c r="DA95" s="175"/>
    </row>
    <row r="96" spans="1:105" ht="11.45" hidden="1" customHeight="1" x14ac:dyDescent="0.25">
      <c r="A96" s="111" t="s">
        <v>111</v>
      </c>
      <c r="B96" s="102">
        <v>53768</v>
      </c>
      <c r="C96" s="102">
        <v>55158</v>
      </c>
      <c r="D96" s="102">
        <v>55917</v>
      </c>
      <c r="E96" s="102">
        <v>54975</v>
      </c>
      <c r="F96" s="102">
        <v>55951</v>
      </c>
      <c r="G96" s="102">
        <v>57049</v>
      </c>
      <c r="H96" s="102">
        <v>59300</v>
      </c>
      <c r="I96" s="102">
        <v>59800</v>
      </c>
      <c r="J96" s="102">
        <v>60924</v>
      </c>
      <c r="K96" s="102">
        <v>61425</v>
      </c>
      <c r="L96" s="102">
        <v>61254</v>
      </c>
      <c r="M96" s="102">
        <v>61202</v>
      </c>
      <c r="N96" s="102">
        <v>61240</v>
      </c>
      <c r="O96" s="102">
        <v>58821</v>
      </c>
      <c r="P96" s="102">
        <v>58717</v>
      </c>
      <c r="Q96" s="102">
        <v>57959</v>
      </c>
      <c r="R96" s="102">
        <v>59216</v>
      </c>
      <c r="S96" s="102">
        <v>42555</v>
      </c>
      <c r="T96" s="102">
        <v>43263</v>
      </c>
      <c r="U96" s="102">
        <v>43315</v>
      </c>
      <c r="V96" s="102">
        <v>41701</v>
      </c>
      <c r="W96" s="102">
        <v>42106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4</v>
      </c>
      <c r="Q97" s="102">
        <v>103</v>
      </c>
      <c r="R97" s="102">
        <v>105</v>
      </c>
      <c r="S97" s="102">
        <v>105</v>
      </c>
      <c r="T97" s="102">
        <v>96</v>
      </c>
      <c r="U97" s="102">
        <v>122</v>
      </c>
      <c r="V97" s="102">
        <v>156</v>
      </c>
      <c r="W97" s="102">
        <v>334</v>
      </c>
      <c r="DA97" s="175"/>
    </row>
    <row r="98" spans="1:105" ht="11.45" hidden="1" customHeight="1" x14ac:dyDescent="0.25">
      <c r="A98" s="111" t="s">
        <v>113</v>
      </c>
      <c r="B98" s="102">
        <v>116</v>
      </c>
      <c r="C98" s="102">
        <v>116</v>
      </c>
      <c r="D98" s="102">
        <v>8</v>
      </c>
      <c r="E98" s="102">
        <v>188</v>
      </c>
      <c r="F98" s="102">
        <v>244</v>
      </c>
      <c r="G98" s="102">
        <v>279</v>
      </c>
      <c r="H98" s="102">
        <v>307</v>
      </c>
      <c r="I98" s="102">
        <v>398</v>
      </c>
      <c r="J98" s="102">
        <v>371</v>
      </c>
      <c r="K98" s="102">
        <v>374</v>
      </c>
      <c r="L98" s="102">
        <v>374</v>
      </c>
      <c r="M98" s="102">
        <v>373</v>
      </c>
      <c r="N98" s="102">
        <v>375</v>
      </c>
      <c r="O98" s="102">
        <v>361</v>
      </c>
      <c r="P98" s="102">
        <v>325</v>
      </c>
      <c r="Q98" s="102">
        <v>1426</v>
      </c>
      <c r="R98" s="102">
        <v>1731</v>
      </c>
      <c r="S98" s="102">
        <v>2033</v>
      </c>
      <c r="T98" s="102">
        <v>2398</v>
      </c>
      <c r="U98" s="102">
        <v>3029</v>
      </c>
      <c r="V98" s="102">
        <v>3557</v>
      </c>
      <c r="W98" s="102">
        <v>3675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0</v>
      </c>
      <c r="P99" s="102">
        <v>71</v>
      </c>
      <c r="Q99" s="102">
        <v>115</v>
      </c>
      <c r="R99" s="102">
        <v>159</v>
      </c>
      <c r="S99" s="102">
        <v>197</v>
      </c>
      <c r="T99" s="102">
        <v>258</v>
      </c>
      <c r="U99" s="102">
        <v>423</v>
      </c>
      <c r="V99" s="102">
        <v>472</v>
      </c>
      <c r="W99" s="102">
        <v>593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3505125</v>
      </c>
      <c r="C100" s="28">
        <f t="shared" si="158"/>
        <v>3622212</v>
      </c>
      <c r="D100" s="28">
        <f t="shared" ref="D100:V100" si="159">D101+D107</f>
        <v>3563647</v>
      </c>
      <c r="E100" s="28">
        <f t="shared" si="159"/>
        <v>3681591</v>
      </c>
      <c r="F100" s="28">
        <f t="shared" si="159"/>
        <v>3906054</v>
      </c>
      <c r="G100" s="28">
        <f t="shared" si="159"/>
        <v>3996438</v>
      </c>
      <c r="H100" s="28">
        <f t="shared" si="159"/>
        <v>4064325</v>
      </c>
      <c r="I100" s="28">
        <f t="shared" si="159"/>
        <v>4709281</v>
      </c>
      <c r="J100" s="28">
        <f t="shared" si="159"/>
        <v>4385063</v>
      </c>
      <c r="K100" s="28">
        <f t="shared" si="159"/>
        <v>3831472</v>
      </c>
      <c r="L100" s="28">
        <f t="shared" si="159"/>
        <v>3645913</v>
      </c>
      <c r="M100" s="28">
        <f t="shared" si="159"/>
        <v>3496793</v>
      </c>
      <c r="N100" s="28">
        <f t="shared" si="159"/>
        <v>3250465</v>
      </c>
      <c r="O100" s="28">
        <f t="shared" si="159"/>
        <v>2984897</v>
      </c>
      <c r="P100" s="28">
        <f t="shared" si="159"/>
        <v>3079523</v>
      </c>
      <c r="Q100" s="28">
        <f t="shared" si="159"/>
        <v>3344528</v>
      </c>
      <c r="R100" s="28">
        <f t="shared" si="159"/>
        <v>3291557</v>
      </c>
      <c r="S100" s="28">
        <f t="shared" si="159"/>
        <v>3356079</v>
      </c>
      <c r="T100" s="28">
        <f t="shared" si="159"/>
        <v>3424222</v>
      </c>
      <c r="U100" s="28">
        <f t="shared" si="159"/>
        <v>3472250</v>
      </c>
      <c r="V100" s="28">
        <f t="shared" si="159"/>
        <v>3492295</v>
      </c>
      <c r="W100" s="28">
        <f t="shared" ref="W100" si="160">W101+W107</f>
        <v>3516416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2891834</v>
      </c>
      <c r="C101" s="137">
        <f t="shared" si="161"/>
        <v>2982968</v>
      </c>
      <c r="D101" s="137">
        <f t="shared" ref="D101:V101" si="162">SUM(D102:D106)</f>
        <v>2906938</v>
      </c>
      <c r="E101" s="137">
        <f t="shared" si="162"/>
        <v>2996438</v>
      </c>
      <c r="F101" s="137">
        <f t="shared" si="162"/>
        <v>3206773</v>
      </c>
      <c r="G101" s="137">
        <f t="shared" si="162"/>
        <v>3279859</v>
      </c>
      <c r="H101" s="137">
        <f t="shared" si="162"/>
        <v>3328697</v>
      </c>
      <c r="I101" s="137">
        <f t="shared" si="162"/>
        <v>3949516</v>
      </c>
      <c r="J101" s="137">
        <f t="shared" si="162"/>
        <v>3626082</v>
      </c>
      <c r="K101" s="137">
        <f t="shared" si="162"/>
        <v>3088449</v>
      </c>
      <c r="L101" s="137">
        <f t="shared" si="162"/>
        <v>2923723</v>
      </c>
      <c r="M101" s="137">
        <f t="shared" si="162"/>
        <v>2791808</v>
      </c>
      <c r="N101" s="137">
        <f t="shared" si="162"/>
        <v>2571941</v>
      </c>
      <c r="O101" s="137">
        <f t="shared" si="162"/>
        <v>2483314</v>
      </c>
      <c r="P101" s="137">
        <f t="shared" si="162"/>
        <v>2576691</v>
      </c>
      <c r="Q101" s="137">
        <f t="shared" si="162"/>
        <v>2834711</v>
      </c>
      <c r="R101" s="137">
        <f t="shared" si="162"/>
        <v>2766056</v>
      </c>
      <c r="S101" s="137">
        <f t="shared" si="162"/>
        <v>2819356</v>
      </c>
      <c r="T101" s="137">
        <f t="shared" si="162"/>
        <v>2876732</v>
      </c>
      <c r="U101" s="137">
        <f t="shared" si="162"/>
        <v>2913005</v>
      </c>
      <c r="V101" s="137">
        <f t="shared" si="162"/>
        <v>2926539</v>
      </c>
      <c r="W101" s="137">
        <f t="shared" ref="W101" si="163">SUM(W102:W106)</f>
        <v>2949771</v>
      </c>
      <c r="DA101" s="174"/>
    </row>
    <row r="102" spans="1:105" ht="11.45" hidden="1" customHeight="1" x14ac:dyDescent="0.25">
      <c r="A102" s="111" t="s">
        <v>110</v>
      </c>
      <c r="B102" s="84">
        <v>291921</v>
      </c>
      <c r="C102" s="84">
        <v>276921</v>
      </c>
      <c r="D102" s="84">
        <v>201920</v>
      </c>
      <c r="E102" s="84">
        <v>171916</v>
      </c>
      <c r="F102" s="84">
        <v>149872</v>
      </c>
      <c r="G102" s="84">
        <v>126437</v>
      </c>
      <c r="H102" s="84">
        <v>107182</v>
      </c>
      <c r="I102" s="84">
        <v>99851</v>
      </c>
      <c r="J102" s="84">
        <v>84046</v>
      </c>
      <c r="K102" s="84">
        <v>74117</v>
      </c>
      <c r="L102" s="84">
        <v>68911</v>
      </c>
      <c r="M102" s="84">
        <v>71065</v>
      </c>
      <c r="N102" s="84">
        <v>71610</v>
      </c>
      <c r="O102" s="84">
        <v>68431</v>
      </c>
      <c r="P102" s="84">
        <v>48644</v>
      </c>
      <c r="Q102" s="84">
        <v>51208</v>
      </c>
      <c r="R102" s="84">
        <v>47594</v>
      </c>
      <c r="S102" s="84">
        <v>53676</v>
      </c>
      <c r="T102" s="84">
        <v>58847</v>
      </c>
      <c r="U102" s="84">
        <v>63368</v>
      </c>
      <c r="V102" s="84">
        <v>62820</v>
      </c>
      <c r="W102" s="84">
        <v>71584</v>
      </c>
      <c r="DA102" s="171"/>
    </row>
    <row r="103" spans="1:105" ht="11.45" hidden="1" customHeight="1" x14ac:dyDescent="0.25">
      <c r="A103" s="111" t="s">
        <v>111</v>
      </c>
      <c r="B103" s="84">
        <v>2599913</v>
      </c>
      <c r="C103" s="84">
        <v>2706047</v>
      </c>
      <c r="D103" s="84">
        <v>2705018</v>
      </c>
      <c r="E103" s="84">
        <v>2824522</v>
      </c>
      <c r="F103" s="84">
        <v>3056901</v>
      </c>
      <c r="G103" s="84">
        <v>3153422</v>
      </c>
      <c r="H103" s="84">
        <v>3221515</v>
      </c>
      <c r="I103" s="84">
        <v>3849665</v>
      </c>
      <c r="J103" s="84">
        <v>3542036</v>
      </c>
      <c r="K103" s="84">
        <v>3014332</v>
      </c>
      <c r="L103" s="84">
        <v>2854812</v>
      </c>
      <c r="M103" s="84">
        <v>2720719</v>
      </c>
      <c r="N103" s="84">
        <v>2500095</v>
      </c>
      <c r="O103" s="84">
        <v>2414667</v>
      </c>
      <c r="P103" s="84">
        <v>2527258</v>
      </c>
      <c r="Q103" s="84">
        <v>2781289</v>
      </c>
      <c r="R103" s="84">
        <v>2713798</v>
      </c>
      <c r="S103" s="84">
        <v>2759006</v>
      </c>
      <c r="T103" s="84">
        <v>2806220</v>
      </c>
      <c r="U103" s="84">
        <v>2828824</v>
      </c>
      <c r="V103" s="84">
        <v>2837776</v>
      </c>
      <c r="W103" s="84">
        <v>2846196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2</v>
      </c>
      <c r="P104" s="84">
        <v>240</v>
      </c>
      <c r="Q104" s="84">
        <v>567</v>
      </c>
      <c r="R104" s="84">
        <v>1838</v>
      </c>
      <c r="S104" s="84">
        <v>2633</v>
      </c>
      <c r="T104" s="84">
        <v>4885</v>
      </c>
      <c r="U104" s="84">
        <v>10822</v>
      </c>
      <c r="V104" s="84">
        <v>12900</v>
      </c>
      <c r="W104" s="84">
        <v>15818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15</v>
      </c>
      <c r="O105" s="84">
        <v>99</v>
      </c>
      <c r="P105" s="84">
        <v>172</v>
      </c>
      <c r="Q105" s="84">
        <v>542</v>
      </c>
      <c r="R105" s="84">
        <v>736</v>
      </c>
      <c r="S105" s="84">
        <v>1083</v>
      </c>
      <c r="T105" s="84">
        <v>2021</v>
      </c>
      <c r="U105" s="84">
        <v>3688</v>
      </c>
      <c r="V105" s="84">
        <v>5106</v>
      </c>
      <c r="W105" s="84">
        <v>5677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24</v>
      </c>
      <c r="N106" s="84">
        <v>221</v>
      </c>
      <c r="O106" s="84">
        <v>115</v>
      </c>
      <c r="P106" s="84">
        <v>377</v>
      </c>
      <c r="Q106" s="84">
        <v>1105</v>
      </c>
      <c r="R106" s="84">
        <v>2090</v>
      </c>
      <c r="S106" s="84">
        <v>2958</v>
      </c>
      <c r="T106" s="84">
        <v>4759</v>
      </c>
      <c r="U106" s="84">
        <v>6303</v>
      </c>
      <c r="V106" s="84">
        <v>7937</v>
      </c>
      <c r="W106" s="84">
        <v>10496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613291</v>
      </c>
      <c r="C107" s="110">
        <f t="shared" si="164"/>
        <v>639244</v>
      </c>
      <c r="D107" s="110">
        <f t="shared" ref="D107:V107" si="165">SUM(D108:D109)</f>
        <v>656709</v>
      </c>
      <c r="E107" s="110">
        <f t="shared" si="165"/>
        <v>685153</v>
      </c>
      <c r="F107" s="110">
        <f t="shared" si="165"/>
        <v>699281</v>
      </c>
      <c r="G107" s="110">
        <f t="shared" si="165"/>
        <v>716579</v>
      </c>
      <c r="H107" s="110">
        <f t="shared" si="165"/>
        <v>735628</v>
      </c>
      <c r="I107" s="110">
        <f t="shared" si="165"/>
        <v>759765</v>
      </c>
      <c r="J107" s="110">
        <f t="shared" si="165"/>
        <v>758981</v>
      </c>
      <c r="K107" s="110">
        <f t="shared" si="165"/>
        <v>743023</v>
      </c>
      <c r="L107" s="110">
        <f t="shared" si="165"/>
        <v>722190</v>
      </c>
      <c r="M107" s="110">
        <f t="shared" si="165"/>
        <v>704985</v>
      </c>
      <c r="N107" s="110">
        <f t="shared" si="165"/>
        <v>678524</v>
      </c>
      <c r="O107" s="110">
        <f t="shared" si="165"/>
        <v>501583</v>
      </c>
      <c r="P107" s="110">
        <f t="shared" si="165"/>
        <v>502832</v>
      </c>
      <c r="Q107" s="110">
        <f t="shared" si="165"/>
        <v>509817</v>
      </c>
      <c r="R107" s="110">
        <f t="shared" si="165"/>
        <v>525501</v>
      </c>
      <c r="S107" s="110">
        <f t="shared" si="165"/>
        <v>536723</v>
      </c>
      <c r="T107" s="110">
        <f t="shared" si="165"/>
        <v>547490</v>
      </c>
      <c r="U107" s="110">
        <f t="shared" si="165"/>
        <v>559245</v>
      </c>
      <c r="V107" s="110">
        <f t="shared" si="165"/>
        <v>565756</v>
      </c>
      <c r="W107" s="110">
        <f t="shared" ref="W107" si="166">SUM(W108:W109)</f>
        <v>566645</v>
      </c>
      <c r="DA107" s="176"/>
    </row>
    <row r="108" spans="1:105" ht="11.45" hidden="1" customHeight="1" x14ac:dyDescent="0.25">
      <c r="A108" s="128" t="s">
        <v>27</v>
      </c>
      <c r="B108" s="102">
        <v>586880</v>
      </c>
      <c r="C108" s="102">
        <v>610928</v>
      </c>
      <c r="D108" s="102">
        <v>626919</v>
      </c>
      <c r="E108" s="102">
        <v>654703</v>
      </c>
      <c r="F108" s="102">
        <v>663279</v>
      </c>
      <c r="G108" s="102">
        <v>679321</v>
      </c>
      <c r="H108" s="102">
        <v>697599</v>
      </c>
      <c r="I108" s="102">
        <v>720879</v>
      </c>
      <c r="J108" s="102">
        <v>723358</v>
      </c>
      <c r="K108" s="102">
        <v>710145</v>
      </c>
      <c r="L108" s="102">
        <v>690488</v>
      </c>
      <c r="M108" s="102">
        <v>673731</v>
      </c>
      <c r="N108" s="102">
        <v>648122</v>
      </c>
      <c r="O108" s="102">
        <v>468955</v>
      </c>
      <c r="P108" s="102">
        <v>470417</v>
      </c>
      <c r="Q108" s="102">
        <v>475579</v>
      </c>
      <c r="R108" s="102">
        <v>490272</v>
      </c>
      <c r="S108" s="102">
        <v>500472</v>
      </c>
      <c r="T108" s="102">
        <v>509970</v>
      </c>
      <c r="U108" s="102">
        <v>520206</v>
      </c>
      <c r="V108" s="102">
        <v>528674</v>
      </c>
      <c r="W108" s="102">
        <v>525906</v>
      </c>
      <c r="DA108" s="175"/>
    </row>
    <row r="109" spans="1:105" ht="11.45" hidden="1" customHeight="1" x14ac:dyDescent="0.25">
      <c r="A109" s="138" t="s">
        <v>116</v>
      </c>
      <c r="B109" s="86">
        <v>26411</v>
      </c>
      <c r="C109" s="86">
        <v>28316</v>
      </c>
      <c r="D109" s="86">
        <v>29790</v>
      </c>
      <c r="E109" s="86">
        <v>30450</v>
      </c>
      <c r="F109" s="86">
        <v>36002</v>
      </c>
      <c r="G109" s="86">
        <v>37258</v>
      </c>
      <c r="H109" s="86">
        <v>38029</v>
      </c>
      <c r="I109" s="86">
        <v>38886</v>
      </c>
      <c r="J109" s="86">
        <v>35623</v>
      </c>
      <c r="K109" s="86">
        <v>32878</v>
      </c>
      <c r="L109" s="86">
        <v>31702</v>
      </c>
      <c r="M109" s="86">
        <v>31254</v>
      </c>
      <c r="N109" s="86">
        <v>30402</v>
      </c>
      <c r="O109" s="86">
        <v>32628</v>
      </c>
      <c r="P109" s="86">
        <v>32415</v>
      </c>
      <c r="Q109" s="86">
        <v>34238</v>
      </c>
      <c r="R109" s="86">
        <v>35229</v>
      </c>
      <c r="S109" s="86">
        <v>36251</v>
      </c>
      <c r="T109" s="86">
        <v>37520</v>
      </c>
      <c r="U109" s="86">
        <v>39039</v>
      </c>
      <c r="V109" s="86">
        <v>37082</v>
      </c>
      <c r="W109" s="86">
        <v>40739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1624712</v>
      </c>
      <c r="C111" s="54">
        <f t="shared" si="167"/>
        <v>2003920</v>
      </c>
      <c r="D111" s="54">
        <f t="shared" si="167"/>
        <v>2292543</v>
      </c>
      <c r="E111" s="54">
        <f t="shared" si="167"/>
        <v>2051444</v>
      </c>
      <c r="F111" s="54">
        <f t="shared" si="167"/>
        <v>2355665</v>
      </c>
      <c r="G111" s="54">
        <f t="shared" si="167"/>
        <v>2344612</v>
      </c>
      <c r="H111" s="54">
        <f t="shared" si="167"/>
        <v>2507438</v>
      </c>
      <c r="I111" s="54">
        <f t="shared" si="167"/>
        <v>3138193</v>
      </c>
      <c r="J111" s="54">
        <f t="shared" si="167"/>
        <v>1875828</v>
      </c>
      <c r="K111" s="54">
        <f t="shared" si="167"/>
        <v>1381110</v>
      </c>
      <c r="L111" s="54">
        <f t="shared" ref="L111" si="168">L112+L127</f>
        <v>1438948</v>
      </c>
      <c r="M111" s="54">
        <f t="shared" ref="M111:V111" si="169">M112+M127</f>
        <v>1330301</v>
      </c>
      <c r="N111" s="54">
        <f t="shared" si="169"/>
        <v>1175153</v>
      </c>
      <c r="O111" s="54">
        <f t="shared" si="169"/>
        <v>1006207</v>
      </c>
      <c r="P111" s="54">
        <f t="shared" si="169"/>
        <v>1483988</v>
      </c>
      <c r="Q111" s="54">
        <f t="shared" si="169"/>
        <v>2216284</v>
      </c>
      <c r="R111" s="54">
        <f t="shared" si="169"/>
        <v>1930936</v>
      </c>
      <c r="S111" s="54">
        <f t="shared" si="169"/>
        <v>2044621</v>
      </c>
      <c r="T111" s="54">
        <f t="shared" si="169"/>
        <v>2206787</v>
      </c>
      <c r="U111" s="54">
        <f t="shared" si="169"/>
        <v>2208039</v>
      </c>
      <c r="V111" s="54">
        <f t="shared" si="169"/>
        <v>1774705</v>
      </c>
      <c r="W111" s="54">
        <f t="shared" ref="W111" si="170">W112+W127</f>
        <v>2025942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1622071</v>
      </c>
      <c r="C112" s="28">
        <f t="shared" si="171"/>
        <v>1708331</v>
      </c>
      <c r="D112" s="28">
        <f t="shared" si="171"/>
        <v>2087786</v>
      </c>
      <c r="E112" s="28">
        <f t="shared" si="171"/>
        <v>1698952</v>
      </c>
      <c r="F112" s="28">
        <f t="shared" si="171"/>
        <v>1875520</v>
      </c>
      <c r="G112" s="28">
        <f t="shared" si="171"/>
        <v>1984340</v>
      </c>
      <c r="H112" s="28">
        <f t="shared" si="171"/>
        <v>2157657</v>
      </c>
      <c r="I112" s="28">
        <f t="shared" si="171"/>
        <v>2207744</v>
      </c>
      <c r="J112" s="28">
        <f t="shared" si="171"/>
        <v>1721629</v>
      </c>
      <c r="K112" s="28">
        <f t="shared" si="171"/>
        <v>1251868</v>
      </c>
      <c r="L112" s="28">
        <f t="shared" ref="L112" si="172">L113+L114+L121</f>
        <v>1295883</v>
      </c>
      <c r="M112" s="28">
        <f t="shared" ref="M112:V112" si="173">M113+M114+M121</f>
        <v>1196725</v>
      </c>
      <c r="N112" s="28">
        <f t="shared" si="173"/>
        <v>1061546</v>
      </c>
      <c r="O112" s="28">
        <f t="shared" si="173"/>
        <v>909787</v>
      </c>
      <c r="P112" s="28">
        <f t="shared" si="173"/>
        <v>1134540</v>
      </c>
      <c r="Q112" s="28">
        <f t="shared" si="173"/>
        <v>1738103</v>
      </c>
      <c r="R112" s="28">
        <f t="shared" si="173"/>
        <v>1730175</v>
      </c>
      <c r="S112" s="28">
        <f t="shared" si="173"/>
        <v>1816005</v>
      </c>
      <c r="T112" s="28">
        <f t="shared" si="173"/>
        <v>1956737</v>
      </c>
      <c r="U112" s="28">
        <f t="shared" si="173"/>
        <v>1969440</v>
      </c>
      <c r="V112" s="28">
        <f t="shared" si="173"/>
        <v>1602155</v>
      </c>
      <c r="W112" s="28">
        <f t="shared" ref="W112" si="174">W113+W114+W121</f>
        <v>1837289</v>
      </c>
      <c r="DA112" s="173" t="s">
        <v>526</v>
      </c>
    </row>
    <row r="113" spans="1:105" ht="11.45" customHeight="1" x14ac:dyDescent="0.25">
      <c r="A113" s="136" t="s">
        <v>180</v>
      </c>
      <c r="B113" s="137">
        <v>151246</v>
      </c>
      <c r="C113" s="137">
        <v>202927</v>
      </c>
      <c r="D113" s="137">
        <v>673266</v>
      </c>
      <c r="E113" s="137">
        <v>313091</v>
      </c>
      <c r="F113" s="137">
        <v>352612</v>
      </c>
      <c r="G113" s="137">
        <v>449798</v>
      </c>
      <c r="H113" s="137">
        <v>483434</v>
      </c>
      <c r="I113" s="137">
        <v>569283</v>
      </c>
      <c r="J113" s="137">
        <v>481740</v>
      </c>
      <c r="K113" s="137">
        <v>269280</v>
      </c>
      <c r="L113" s="137">
        <v>270518</v>
      </c>
      <c r="M113" s="137">
        <v>238846</v>
      </c>
      <c r="N113" s="137">
        <v>195862</v>
      </c>
      <c r="O113" s="137">
        <v>185356</v>
      </c>
      <c r="P113" s="137">
        <v>222920</v>
      </c>
      <c r="Q113" s="137">
        <v>289926</v>
      </c>
      <c r="R113" s="137">
        <v>345756</v>
      </c>
      <c r="S113" s="137">
        <v>327554</v>
      </c>
      <c r="T113" s="137">
        <v>375338</v>
      </c>
      <c r="U113" s="137">
        <v>406830</v>
      </c>
      <c r="V113" s="137">
        <v>389384</v>
      </c>
      <c r="W113" s="137">
        <v>362694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1467160</v>
      </c>
      <c r="C114" s="110">
        <f t="shared" si="175"/>
        <v>1499734</v>
      </c>
      <c r="D114" s="110">
        <f t="shared" si="175"/>
        <v>1409301</v>
      </c>
      <c r="E114" s="110">
        <f t="shared" si="175"/>
        <v>1382109</v>
      </c>
      <c r="F114" s="110">
        <f t="shared" si="175"/>
        <v>1517286</v>
      </c>
      <c r="G114" s="110">
        <f t="shared" si="175"/>
        <v>1528877</v>
      </c>
      <c r="H114" s="110">
        <f t="shared" si="175"/>
        <v>1667373</v>
      </c>
      <c r="I114" s="110">
        <f t="shared" si="175"/>
        <v>1633239</v>
      </c>
      <c r="J114" s="110">
        <f t="shared" si="175"/>
        <v>1234389</v>
      </c>
      <c r="K114" s="110">
        <f t="shared" si="175"/>
        <v>977808</v>
      </c>
      <c r="L114" s="110">
        <f t="shared" ref="L114" si="176">SUM(L115:L120)</f>
        <v>1021352</v>
      </c>
      <c r="M114" s="110">
        <f t="shared" ref="M114:V114" si="177">SUM(M115:M120)</f>
        <v>953844</v>
      </c>
      <c r="N114" s="110">
        <f t="shared" si="177"/>
        <v>861642</v>
      </c>
      <c r="O114" s="110">
        <f t="shared" si="177"/>
        <v>722689</v>
      </c>
      <c r="P114" s="110">
        <f t="shared" si="177"/>
        <v>908047</v>
      </c>
      <c r="Q114" s="110">
        <f t="shared" si="177"/>
        <v>1443879</v>
      </c>
      <c r="R114" s="110">
        <f t="shared" si="177"/>
        <v>1379834</v>
      </c>
      <c r="S114" s="110">
        <f t="shared" si="177"/>
        <v>1484617</v>
      </c>
      <c r="T114" s="110">
        <f t="shared" si="177"/>
        <v>1577694</v>
      </c>
      <c r="U114" s="110">
        <f t="shared" si="177"/>
        <v>1559080</v>
      </c>
      <c r="V114" s="110">
        <f t="shared" si="177"/>
        <v>1210168</v>
      </c>
      <c r="W114" s="110">
        <f t="shared" ref="W114" si="178">SUM(W115:W120)</f>
        <v>1471824</v>
      </c>
      <c r="DA114" s="176" t="s">
        <v>528</v>
      </c>
    </row>
    <row r="115" spans="1:105" ht="11.45" customHeight="1" x14ac:dyDescent="0.25">
      <c r="A115" s="111" t="s">
        <v>110</v>
      </c>
      <c r="B115" s="84">
        <v>681967</v>
      </c>
      <c r="C115" s="84">
        <v>718980</v>
      </c>
      <c r="D115" s="84">
        <v>603178</v>
      </c>
      <c r="E115" s="84">
        <v>552217</v>
      </c>
      <c r="F115" s="84">
        <v>562019</v>
      </c>
      <c r="G115" s="84">
        <v>523425</v>
      </c>
      <c r="H115" s="84">
        <v>522869</v>
      </c>
      <c r="I115" s="84">
        <v>499132</v>
      </c>
      <c r="J115" s="84">
        <v>381310</v>
      </c>
      <c r="K115" s="84">
        <v>303568</v>
      </c>
      <c r="L115" s="84">
        <v>306410</v>
      </c>
      <c r="M115" s="84">
        <v>258895</v>
      </c>
      <c r="N115" s="84">
        <v>234071</v>
      </c>
      <c r="O115" s="84">
        <v>225106</v>
      </c>
      <c r="P115" s="84">
        <v>313336</v>
      </c>
      <c r="Q115" s="84">
        <v>398531</v>
      </c>
      <c r="R115" s="84">
        <v>539336</v>
      </c>
      <c r="S115" s="84">
        <v>685760</v>
      </c>
      <c r="T115" s="84">
        <v>898081</v>
      </c>
      <c r="U115" s="84">
        <v>955983</v>
      </c>
      <c r="V115" s="84">
        <v>650224</v>
      </c>
      <c r="W115" s="84">
        <v>766821</v>
      </c>
      <c r="DA115" s="171" t="s">
        <v>529</v>
      </c>
    </row>
    <row r="116" spans="1:105" ht="11.45" customHeight="1" x14ac:dyDescent="0.25">
      <c r="A116" s="111" t="s">
        <v>111</v>
      </c>
      <c r="B116" s="84">
        <v>785193</v>
      </c>
      <c r="C116" s="84">
        <v>779869</v>
      </c>
      <c r="D116" s="84">
        <v>805226</v>
      </c>
      <c r="E116" s="84">
        <v>829892</v>
      </c>
      <c r="F116" s="84">
        <v>953582</v>
      </c>
      <c r="G116" s="84">
        <v>1003448</v>
      </c>
      <c r="H116" s="84">
        <v>1142066</v>
      </c>
      <c r="I116" s="84">
        <v>1134107</v>
      </c>
      <c r="J116" s="84">
        <v>852884</v>
      </c>
      <c r="K116" s="84">
        <v>672292</v>
      </c>
      <c r="L116" s="84">
        <v>713222</v>
      </c>
      <c r="M116" s="84">
        <v>693314</v>
      </c>
      <c r="N116" s="84">
        <v>618004</v>
      </c>
      <c r="O116" s="84">
        <v>494006</v>
      </c>
      <c r="P116" s="84">
        <v>590360</v>
      </c>
      <c r="Q116" s="84">
        <v>1038981</v>
      </c>
      <c r="R116" s="84">
        <v>833450</v>
      </c>
      <c r="S116" s="84">
        <v>783152</v>
      </c>
      <c r="T116" s="84">
        <v>640783</v>
      </c>
      <c r="U116" s="84">
        <v>553563</v>
      </c>
      <c r="V116" s="84">
        <v>502848</v>
      </c>
      <c r="W116" s="84">
        <v>615838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885</v>
      </c>
      <c r="D117" s="84">
        <v>897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1766</v>
      </c>
      <c r="L117" s="84">
        <v>1348</v>
      </c>
      <c r="M117" s="84">
        <v>993</v>
      </c>
      <c r="N117" s="84">
        <v>4513</v>
      </c>
      <c r="O117" s="84">
        <v>933</v>
      </c>
      <c r="P117" s="84">
        <v>2844</v>
      </c>
      <c r="Q117" s="84">
        <v>2722</v>
      </c>
      <c r="R117" s="84">
        <v>1537</v>
      </c>
      <c r="S117" s="84">
        <v>4024</v>
      </c>
      <c r="T117" s="84">
        <v>18495</v>
      </c>
      <c r="U117" s="84">
        <v>22988</v>
      </c>
      <c r="V117" s="84">
        <v>10563</v>
      </c>
      <c r="W117" s="84">
        <v>13947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1685</v>
      </c>
      <c r="G118" s="84">
        <v>2004</v>
      </c>
      <c r="H118" s="84">
        <v>2438</v>
      </c>
      <c r="I118" s="84">
        <v>0</v>
      </c>
      <c r="J118" s="84">
        <v>195</v>
      </c>
      <c r="K118" s="84">
        <v>181</v>
      </c>
      <c r="L118" s="84">
        <v>296</v>
      </c>
      <c r="M118" s="84">
        <v>66</v>
      </c>
      <c r="N118" s="84">
        <v>4489</v>
      </c>
      <c r="O118" s="84">
        <v>1564</v>
      </c>
      <c r="P118" s="84">
        <v>0</v>
      </c>
      <c r="Q118" s="84">
        <v>0</v>
      </c>
      <c r="R118" s="84">
        <v>392</v>
      </c>
      <c r="S118" s="84">
        <v>1293</v>
      </c>
      <c r="T118" s="84">
        <v>4048</v>
      </c>
      <c r="U118" s="84">
        <v>6126</v>
      </c>
      <c r="V118" s="84">
        <v>3571</v>
      </c>
      <c r="W118" s="84">
        <v>4337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8</v>
      </c>
      <c r="N119" s="84">
        <v>109</v>
      </c>
      <c r="O119" s="84">
        <v>81</v>
      </c>
      <c r="P119" s="84">
        <v>422</v>
      </c>
      <c r="Q119" s="84">
        <v>1025</v>
      </c>
      <c r="R119" s="84">
        <v>1765</v>
      </c>
      <c r="S119" s="84">
        <v>3508</v>
      </c>
      <c r="T119" s="84">
        <v>5721</v>
      </c>
      <c r="U119" s="84">
        <v>7445</v>
      </c>
      <c r="V119" s="84">
        <v>24555</v>
      </c>
      <c r="W119" s="84">
        <v>43077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1</v>
      </c>
      <c r="L120" s="84">
        <v>76</v>
      </c>
      <c r="M120" s="84">
        <v>568</v>
      </c>
      <c r="N120" s="84">
        <v>456</v>
      </c>
      <c r="O120" s="84">
        <v>999</v>
      </c>
      <c r="P120" s="84">
        <v>1085</v>
      </c>
      <c r="Q120" s="84">
        <v>2620</v>
      </c>
      <c r="R120" s="84">
        <v>3354</v>
      </c>
      <c r="S120" s="84">
        <v>6880</v>
      </c>
      <c r="T120" s="84">
        <v>10566</v>
      </c>
      <c r="U120" s="84">
        <v>12975</v>
      </c>
      <c r="V120" s="84">
        <v>18407</v>
      </c>
      <c r="W120" s="84">
        <v>27804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3665</v>
      </c>
      <c r="C121" s="110">
        <f t="shared" si="179"/>
        <v>5670</v>
      </c>
      <c r="D121" s="110">
        <f t="shared" si="179"/>
        <v>5219</v>
      </c>
      <c r="E121" s="110">
        <f t="shared" si="179"/>
        <v>3752</v>
      </c>
      <c r="F121" s="110">
        <f t="shared" si="179"/>
        <v>5622</v>
      </c>
      <c r="G121" s="110">
        <f t="shared" si="179"/>
        <v>5665</v>
      </c>
      <c r="H121" s="110">
        <f t="shared" si="179"/>
        <v>6850</v>
      </c>
      <c r="I121" s="110">
        <f t="shared" si="179"/>
        <v>5222</v>
      </c>
      <c r="J121" s="110">
        <f t="shared" si="179"/>
        <v>5500</v>
      </c>
      <c r="K121" s="110">
        <f t="shared" si="179"/>
        <v>4780</v>
      </c>
      <c r="L121" s="110">
        <f t="shared" ref="L121" si="180">SUM(L122:L126)</f>
        <v>4013</v>
      </c>
      <c r="M121" s="110">
        <f t="shared" ref="M121:V121" si="181">SUM(M122:M126)</f>
        <v>4035</v>
      </c>
      <c r="N121" s="110">
        <f t="shared" si="181"/>
        <v>4042</v>
      </c>
      <c r="O121" s="110">
        <f t="shared" si="181"/>
        <v>1742</v>
      </c>
      <c r="P121" s="110">
        <f t="shared" si="181"/>
        <v>3573</v>
      </c>
      <c r="Q121" s="110">
        <f t="shared" si="181"/>
        <v>4298</v>
      </c>
      <c r="R121" s="110">
        <f t="shared" si="181"/>
        <v>4585</v>
      </c>
      <c r="S121" s="110">
        <f t="shared" si="181"/>
        <v>3834</v>
      </c>
      <c r="T121" s="110">
        <f t="shared" si="181"/>
        <v>3705</v>
      </c>
      <c r="U121" s="110">
        <f t="shared" si="181"/>
        <v>3530</v>
      </c>
      <c r="V121" s="110">
        <f t="shared" si="181"/>
        <v>2603</v>
      </c>
      <c r="W121" s="110">
        <f t="shared" ref="W121" si="182">SUM(W122:W126)</f>
        <v>2771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104</v>
      </c>
      <c r="D122" s="102">
        <v>131</v>
      </c>
      <c r="E122" s="102">
        <v>66</v>
      </c>
      <c r="F122" s="102">
        <v>74</v>
      </c>
      <c r="G122" s="102">
        <v>0</v>
      </c>
      <c r="H122" s="102">
        <v>65</v>
      </c>
      <c r="I122" s="102">
        <v>182</v>
      </c>
      <c r="J122" s="102">
        <v>10</v>
      </c>
      <c r="K122" s="102">
        <v>10</v>
      </c>
      <c r="L122" s="102">
        <v>26</v>
      </c>
      <c r="M122" s="102">
        <v>35</v>
      </c>
      <c r="N122" s="102">
        <v>26</v>
      </c>
      <c r="O122" s="102">
        <v>28</v>
      </c>
      <c r="P122" s="102">
        <v>30</v>
      </c>
      <c r="Q122" s="102">
        <v>22</v>
      </c>
      <c r="R122" s="102">
        <v>15</v>
      </c>
      <c r="S122" s="102">
        <v>13</v>
      </c>
      <c r="T122" s="102">
        <v>2</v>
      </c>
      <c r="U122" s="102">
        <v>1</v>
      </c>
      <c r="V122" s="102">
        <v>1</v>
      </c>
      <c r="W122" s="102">
        <v>9</v>
      </c>
      <c r="DA122" s="175" t="s">
        <v>536</v>
      </c>
    </row>
    <row r="123" spans="1:105" ht="11.45" customHeight="1" x14ac:dyDescent="0.25">
      <c r="A123" s="111" t="s">
        <v>111</v>
      </c>
      <c r="B123" s="102">
        <v>3665</v>
      </c>
      <c r="C123" s="102">
        <v>5556</v>
      </c>
      <c r="D123" s="102">
        <v>5088</v>
      </c>
      <c r="E123" s="102">
        <v>3506</v>
      </c>
      <c r="F123" s="102">
        <v>5492</v>
      </c>
      <c r="G123" s="102">
        <v>5630</v>
      </c>
      <c r="H123" s="102">
        <v>6757</v>
      </c>
      <c r="I123" s="102">
        <v>4949</v>
      </c>
      <c r="J123" s="102">
        <v>5490</v>
      </c>
      <c r="K123" s="102">
        <v>4767</v>
      </c>
      <c r="L123" s="102">
        <v>3987</v>
      </c>
      <c r="M123" s="102">
        <v>4000</v>
      </c>
      <c r="N123" s="102">
        <v>3994</v>
      </c>
      <c r="O123" s="102">
        <v>1706</v>
      </c>
      <c r="P123" s="102">
        <v>3468</v>
      </c>
      <c r="Q123" s="102">
        <v>3026</v>
      </c>
      <c r="R123" s="102">
        <v>4212</v>
      </c>
      <c r="S123" s="102">
        <v>3462</v>
      </c>
      <c r="T123" s="102">
        <v>3232</v>
      </c>
      <c r="U123" s="102">
        <v>2691</v>
      </c>
      <c r="V123" s="102">
        <v>1967</v>
      </c>
      <c r="W123" s="102">
        <v>2106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4</v>
      </c>
      <c r="Q124" s="102">
        <v>99</v>
      </c>
      <c r="R124" s="102">
        <v>2</v>
      </c>
      <c r="S124" s="102">
        <v>0</v>
      </c>
      <c r="T124" s="102">
        <v>0</v>
      </c>
      <c r="U124" s="102">
        <v>26</v>
      </c>
      <c r="V124" s="102">
        <v>35</v>
      </c>
      <c r="W124" s="102">
        <v>179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10</v>
      </c>
      <c r="D125" s="102">
        <v>0</v>
      </c>
      <c r="E125" s="102">
        <v>180</v>
      </c>
      <c r="F125" s="102">
        <v>56</v>
      </c>
      <c r="G125" s="102">
        <v>35</v>
      </c>
      <c r="H125" s="102">
        <v>28</v>
      </c>
      <c r="I125" s="102">
        <v>91</v>
      </c>
      <c r="J125" s="102">
        <v>0</v>
      </c>
      <c r="K125" s="102">
        <v>3</v>
      </c>
      <c r="L125" s="102">
        <v>0</v>
      </c>
      <c r="M125" s="102">
        <v>0</v>
      </c>
      <c r="N125" s="102">
        <v>22</v>
      </c>
      <c r="O125" s="102">
        <v>8</v>
      </c>
      <c r="P125" s="102">
        <v>0</v>
      </c>
      <c r="Q125" s="102">
        <v>1107</v>
      </c>
      <c r="R125" s="102">
        <v>311</v>
      </c>
      <c r="S125" s="102">
        <v>320</v>
      </c>
      <c r="T125" s="102">
        <v>407</v>
      </c>
      <c r="U125" s="102">
        <v>644</v>
      </c>
      <c r="V125" s="102">
        <v>545</v>
      </c>
      <c r="W125" s="102">
        <v>348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71</v>
      </c>
      <c r="Q126" s="102">
        <v>44</v>
      </c>
      <c r="R126" s="102">
        <v>45</v>
      </c>
      <c r="S126" s="102">
        <v>39</v>
      </c>
      <c r="T126" s="102">
        <v>64</v>
      </c>
      <c r="U126" s="102">
        <v>168</v>
      </c>
      <c r="V126" s="102">
        <v>55</v>
      </c>
      <c r="W126" s="102">
        <v>129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2641</v>
      </c>
      <c r="C127" s="28">
        <f t="shared" si="183"/>
        <v>295589</v>
      </c>
      <c r="D127" s="28">
        <f t="shared" si="183"/>
        <v>204757</v>
      </c>
      <c r="E127" s="28">
        <f t="shared" si="183"/>
        <v>352492</v>
      </c>
      <c r="F127" s="28">
        <f t="shared" si="183"/>
        <v>480145</v>
      </c>
      <c r="G127" s="28">
        <f t="shared" si="183"/>
        <v>360272</v>
      </c>
      <c r="H127" s="28">
        <f t="shared" si="183"/>
        <v>349781</v>
      </c>
      <c r="I127" s="28">
        <f t="shared" si="183"/>
        <v>930449</v>
      </c>
      <c r="J127" s="28">
        <f t="shared" si="183"/>
        <v>154199</v>
      </c>
      <c r="K127" s="28">
        <f t="shared" si="183"/>
        <v>129242</v>
      </c>
      <c r="L127" s="28">
        <f t="shared" ref="L127" si="184">L128+L134</f>
        <v>143065</v>
      </c>
      <c r="M127" s="28">
        <f t="shared" ref="M127:V127" si="185">M128+M134</f>
        <v>133576</v>
      </c>
      <c r="N127" s="28">
        <f t="shared" si="185"/>
        <v>113607</v>
      </c>
      <c r="O127" s="28">
        <f t="shared" si="185"/>
        <v>96420</v>
      </c>
      <c r="P127" s="28">
        <f t="shared" si="185"/>
        <v>349448</v>
      </c>
      <c r="Q127" s="28">
        <f t="shared" si="185"/>
        <v>478181</v>
      </c>
      <c r="R127" s="28">
        <f t="shared" si="185"/>
        <v>200761</v>
      </c>
      <c r="S127" s="28">
        <f t="shared" si="185"/>
        <v>228616</v>
      </c>
      <c r="T127" s="28">
        <f t="shared" si="185"/>
        <v>250050</v>
      </c>
      <c r="U127" s="28">
        <f t="shared" si="185"/>
        <v>238599</v>
      </c>
      <c r="V127" s="28">
        <f t="shared" si="185"/>
        <v>172550</v>
      </c>
      <c r="W127" s="28">
        <f t="shared" ref="W127" si="186">W128+W134</f>
        <v>188653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244790</v>
      </c>
      <c r="D128" s="137">
        <f t="shared" si="187"/>
        <v>156562</v>
      </c>
      <c r="E128" s="137">
        <f t="shared" si="187"/>
        <v>295348</v>
      </c>
      <c r="F128" s="137">
        <f t="shared" si="187"/>
        <v>424839</v>
      </c>
      <c r="G128" s="137">
        <f t="shared" si="187"/>
        <v>304317</v>
      </c>
      <c r="H128" s="137">
        <f t="shared" si="187"/>
        <v>289598</v>
      </c>
      <c r="I128" s="137">
        <f t="shared" si="187"/>
        <v>861025</v>
      </c>
      <c r="J128" s="137">
        <f t="shared" si="187"/>
        <v>107206</v>
      </c>
      <c r="K128" s="137">
        <f t="shared" si="187"/>
        <v>97460</v>
      </c>
      <c r="L128" s="137">
        <f t="shared" ref="L128" si="188">SUM(L129:L133)</f>
        <v>107765</v>
      </c>
      <c r="M128" s="137">
        <f t="shared" ref="M128:V128" si="189">SUM(M129:M133)</f>
        <v>95031</v>
      </c>
      <c r="N128" s="137">
        <f t="shared" si="189"/>
        <v>82795</v>
      </c>
      <c r="O128" s="137">
        <f t="shared" si="189"/>
        <v>84074</v>
      </c>
      <c r="P128" s="137">
        <f t="shared" si="189"/>
        <v>341310</v>
      </c>
      <c r="Q128" s="137">
        <f t="shared" si="189"/>
        <v>463237</v>
      </c>
      <c r="R128" s="137">
        <f t="shared" si="189"/>
        <v>152378</v>
      </c>
      <c r="S128" s="137">
        <f t="shared" si="189"/>
        <v>166669</v>
      </c>
      <c r="T128" s="137">
        <f t="shared" si="189"/>
        <v>190749</v>
      </c>
      <c r="U128" s="137">
        <f t="shared" si="189"/>
        <v>180614</v>
      </c>
      <c r="V128" s="137">
        <f t="shared" si="189"/>
        <v>135170</v>
      </c>
      <c r="W128" s="137">
        <f t="shared" ref="W128" si="190">SUM(W129:W133)</f>
        <v>146263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511</v>
      </c>
      <c r="D129" s="84">
        <v>0</v>
      </c>
      <c r="E129" s="84">
        <v>0</v>
      </c>
      <c r="F129" s="84">
        <v>0</v>
      </c>
      <c r="G129" s="84">
        <v>0</v>
      </c>
      <c r="H129" s="84">
        <v>0</v>
      </c>
      <c r="I129" s="84">
        <v>0</v>
      </c>
      <c r="J129" s="84">
        <v>0</v>
      </c>
      <c r="K129" s="84">
        <v>0</v>
      </c>
      <c r="L129" s="84">
        <v>0</v>
      </c>
      <c r="M129" s="84">
        <v>2154</v>
      </c>
      <c r="N129" s="84">
        <v>12797</v>
      </c>
      <c r="O129" s="84">
        <v>10322</v>
      </c>
      <c r="P129" s="84">
        <v>173</v>
      </c>
      <c r="Q129" s="84">
        <v>3410</v>
      </c>
      <c r="R129" s="84">
        <v>3998</v>
      </c>
      <c r="S129" s="84">
        <v>12164</v>
      </c>
      <c r="T129" s="84">
        <v>10056</v>
      </c>
      <c r="U129" s="84">
        <v>8572</v>
      </c>
      <c r="V129" s="84">
        <v>5064</v>
      </c>
      <c r="W129" s="84">
        <v>8849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244279</v>
      </c>
      <c r="D130" s="84">
        <v>156562</v>
      </c>
      <c r="E130" s="84">
        <v>295348</v>
      </c>
      <c r="F130" s="84">
        <v>424839</v>
      </c>
      <c r="G130" s="84">
        <v>304317</v>
      </c>
      <c r="H130" s="84">
        <v>289598</v>
      </c>
      <c r="I130" s="84">
        <v>861025</v>
      </c>
      <c r="J130" s="84">
        <v>107206</v>
      </c>
      <c r="K130" s="84">
        <v>97460</v>
      </c>
      <c r="L130" s="84">
        <v>107765</v>
      </c>
      <c r="M130" s="84">
        <v>92853</v>
      </c>
      <c r="N130" s="84">
        <v>69762</v>
      </c>
      <c r="O130" s="84">
        <v>73551</v>
      </c>
      <c r="P130" s="84">
        <v>340448</v>
      </c>
      <c r="Q130" s="84">
        <v>458398</v>
      </c>
      <c r="R130" s="84">
        <v>145922</v>
      </c>
      <c r="S130" s="84">
        <v>152474</v>
      </c>
      <c r="T130" s="84">
        <v>174580</v>
      </c>
      <c r="U130" s="84">
        <v>162813</v>
      </c>
      <c r="V130" s="84">
        <v>124705</v>
      </c>
      <c r="W130" s="84">
        <v>130983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2</v>
      </c>
      <c r="P131" s="84">
        <v>238</v>
      </c>
      <c r="Q131" s="84">
        <v>328</v>
      </c>
      <c r="R131" s="84">
        <v>1274</v>
      </c>
      <c r="S131" s="84">
        <v>807</v>
      </c>
      <c r="T131" s="84">
        <v>2279</v>
      </c>
      <c r="U131" s="84">
        <v>5991</v>
      </c>
      <c r="V131" s="84">
        <v>2186</v>
      </c>
      <c r="W131" s="84">
        <v>3111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15</v>
      </c>
      <c r="O132" s="84">
        <v>84</v>
      </c>
      <c r="P132" s="84">
        <v>74</v>
      </c>
      <c r="Q132" s="84">
        <v>371</v>
      </c>
      <c r="R132" s="84">
        <v>195</v>
      </c>
      <c r="S132" s="84">
        <v>349</v>
      </c>
      <c r="T132" s="84">
        <v>2021</v>
      </c>
      <c r="U132" s="84">
        <v>1674</v>
      </c>
      <c r="V132" s="84">
        <v>1432</v>
      </c>
      <c r="W132" s="84">
        <v>718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24</v>
      </c>
      <c r="N133" s="84">
        <v>221</v>
      </c>
      <c r="O133" s="84">
        <v>115</v>
      </c>
      <c r="P133" s="84">
        <v>377</v>
      </c>
      <c r="Q133" s="84">
        <v>730</v>
      </c>
      <c r="R133" s="84">
        <v>989</v>
      </c>
      <c r="S133" s="84">
        <v>875</v>
      </c>
      <c r="T133" s="84">
        <v>1813</v>
      </c>
      <c r="U133" s="84">
        <v>1564</v>
      </c>
      <c r="V133" s="84">
        <v>1783</v>
      </c>
      <c r="W133" s="84">
        <v>2602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2641</v>
      </c>
      <c r="C134" s="110">
        <f t="shared" si="191"/>
        <v>50799</v>
      </c>
      <c r="D134" s="110">
        <f t="shared" si="191"/>
        <v>48195</v>
      </c>
      <c r="E134" s="110">
        <f t="shared" si="191"/>
        <v>57144</v>
      </c>
      <c r="F134" s="110">
        <f t="shared" si="191"/>
        <v>55306</v>
      </c>
      <c r="G134" s="110">
        <f t="shared" si="191"/>
        <v>55955</v>
      </c>
      <c r="H134" s="110">
        <f t="shared" si="191"/>
        <v>60183</v>
      </c>
      <c r="I134" s="110">
        <f t="shared" si="191"/>
        <v>69424</v>
      </c>
      <c r="J134" s="110">
        <f t="shared" si="191"/>
        <v>46993</v>
      </c>
      <c r="K134" s="110">
        <f t="shared" si="191"/>
        <v>31782</v>
      </c>
      <c r="L134" s="110">
        <f t="shared" ref="L134" si="192">SUM(L135:L136)</f>
        <v>35300</v>
      </c>
      <c r="M134" s="110">
        <f t="shared" ref="M134:V134" si="193">SUM(M135:M136)</f>
        <v>38545</v>
      </c>
      <c r="N134" s="110">
        <f t="shared" si="193"/>
        <v>30812</v>
      </c>
      <c r="O134" s="110">
        <f t="shared" si="193"/>
        <v>12346</v>
      </c>
      <c r="P134" s="110">
        <f t="shared" si="193"/>
        <v>8138</v>
      </c>
      <c r="Q134" s="110">
        <f t="shared" si="193"/>
        <v>14944</v>
      </c>
      <c r="R134" s="110">
        <f t="shared" si="193"/>
        <v>48383</v>
      </c>
      <c r="S134" s="110">
        <f t="shared" si="193"/>
        <v>61947</v>
      </c>
      <c r="T134" s="110">
        <f t="shared" si="193"/>
        <v>59301</v>
      </c>
      <c r="U134" s="110">
        <f t="shared" si="193"/>
        <v>57985</v>
      </c>
      <c r="V134" s="110">
        <f t="shared" si="193"/>
        <v>37380</v>
      </c>
      <c r="W134" s="110">
        <f t="shared" ref="W134" si="194">SUM(W135:W136)</f>
        <v>42390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46903</v>
      </c>
      <c r="D135" s="102">
        <v>44352</v>
      </c>
      <c r="E135" s="102">
        <v>53755</v>
      </c>
      <c r="F135" s="102">
        <v>46711</v>
      </c>
      <c r="G135" s="102">
        <v>51315</v>
      </c>
      <c r="H135" s="102">
        <v>55745</v>
      </c>
      <c r="I135" s="102">
        <v>64693</v>
      </c>
      <c r="J135" s="102">
        <v>46254</v>
      </c>
      <c r="K135" s="102">
        <v>30517</v>
      </c>
      <c r="L135" s="102">
        <v>32588</v>
      </c>
      <c r="M135" s="102">
        <v>35324</v>
      </c>
      <c r="N135" s="102">
        <v>28040</v>
      </c>
      <c r="O135" s="102">
        <v>6481</v>
      </c>
      <c r="P135" s="102">
        <v>4690</v>
      </c>
      <c r="Q135" s="102">
        <v>9430</v>
      </c>
      <c r="R135" s="102">
        <v>43653</v>
      </c>
      <c r="S135" s="102">
        <v>57177</v>
      </c>
      <c r="T135" s="102">
        <v>54292</v>
      </c>
      <c r="U135" s="102">
        <v>52724</v>
      </c>
      <c r="V135" s="102">
        <v>35577</v>
      </c>
      <c r="W135" s="102">
        <v>34979</v>
      </c>
      <c r="DA135" s="175" t="s">
        <v>549</v>
      </c>
    </row>
    <row r="136" spans="1:105" ht="11.45" customHeight="1" x14ac:dyDescent="0.25">
      <c r="A136" s="138" t="s">
        <v>116</v>
      </c>
      <c r="B136" s="86">
        <v>2641</v>
      </c>
      <c r="C136" s="86">
        <v>3896</v>
      </c>
      <c r="D136" s="86">
        <v>3843</v>
      </c>
      <c r="E136" s="86">
        <v>3389</v>
      </c>
      <c r="F136" s="86">
        <v>8595</v>
      </c>
      <c r="G136" s="86">
        <v>4640</v>
      </c>
      <c r="H136" s="86">
        <v>4438</v>
      </c>
      <c r="I136" s="86">
        <v>4731</v>
      </c>
      <c r="J136" s="86">
        <v>739</v>
      </c>
      <c r="K136" s="86">
        <v>1265</v>
      </c>
      <c r="L136" s="86">
        <v>2712</v>
      </c>
      <c r="M136" s="86">
        <v>3221</v>
      </c>
      <c r="N136" s="86">
        <v>2772</v>
      </c>
      <c r="O136" s="86">
        <v>5865</v>
      </c>
      <c r="P136" s="86">
        <v>3448</v>
      </c>
      <c r="Q136" s="86">
        <v>5514</v>
      </c>
      <c r="R136" s="86">
        <v>4730</v>
      </c>
      <c r="S136" s="86">
        <v>4770</v>
      </c>
      <c r="T136" s="86">
        <v>5009</v>
      </c>
      <c r="U136" s="86">
        <v>5261</v>
      </c>
      <c r="V136" s="86">
        <v>1803</v>
      </c>
      <c r="W136" s="86">
        <v>7411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1.9563486728396695</v>
      </c>
      <c r="C141" s="32">
        <f t="shared" si="195"/>
        <v>1.8764477114862093</v>
      </c>
      <c r="D141" s="32">
        <f t="shared" si="195"/>
        <v>1.7991690977791375</v>
      </c>
      <c r="E141" s="32">
        <f t="shared" si="195"/>
        <v>1.7496579872664006</v>
      </c>
      <c r="F141" s="32">
        <f t="shared" si="195"/>
        <v>1.6901245412044672</v>
      </c>
      <c r="G141" s="32">
        <f t="shared" si="195"/>
        <v>1.6222349110926655</v>
      </c>
      <c r="H141" s="32">
        <f t="shared" si="195"/>
        <v>1.55081188457726</v>
      </c>
      <c r="I141" s="32">
        <f t="shared" si="195"/>
        <v>1.5350470839797958</v>
      </c>
      <c r="J141" s="32">
        <f t="shared" si="195"/>
        <v>1.5275386336143175</v>
      </c>
      <c r="K141" s="32">
        <f t="shared" si="195"/>
        <v>1.5208210297747902</v>
      </c>
      <c r="L141" s="32">
        <f t="shared" ref="L141" si="196">IF(L4=0,0,L4/L31)</f>
        <v>1.4948013163352689</v>
      </c>
      <c r="M141" s="32">
        <f t="shared" ref="M141:V141" si="197">IF(M4=0,0,M4/M31)</f>
        <v>1.509366239404679</v>
      </c>
      <c r="N141" s="32">
        <f t="shared" si="197"/>
        <v>1.5092268454216351</v>
      </c>
      <c r="O141" s="32">
        <f t="shared" si="197"/>
        <v>1.4989494007023012</v>
      </c>
      <c r="P141" s="32">
        <f t="shared" si="197"/>
        <v>1.385789311477357</v>
      </c>
      <c r="Q141" s="32">
        <f t="shared" si="197"/>
        <v>1.3888659883178771</v>
      </c>
      <c r="R141" s="32">
        <f t="shared" si="197"/>
        <v>1.4902476110627498</v>
      </c>
      <c r="S141" s="32">
        <f t="shared" si="197"/>
        <v>1.430331170973953</v>
      </c>
      <c r="T141" s="32">
        <f t="shared" si="197"/>
        <v>1.4415621717880334</v>
      </c>
      <c r="U141" s="32">
        <f t="shared" si="197"/>
        <v>1.3489142119776412</v>
      </c>
      <c r="V141" s="32">
        <f t="shared" si="197"/>
        <v>1.2619865690853354</v>
      </c>
      <c r="W141" s="32">
        <f t="shared" ref="W141" si="198">IF(W4=0,0,W4/W31)</f>
        <v>1.2956369071528562</v>
      </c>
      <c r="DA141" s="173" t="s">
        <v>551</v>
      </c>
    </row>
    <row r="142" spans="1:105" ht="11.45" customHeight="1" x14ac:dyDescent="0.25">
      <c r="A142" s="136" t="s">
        <v>180</v>
      </c>
      <c r="B142" s="141">
        <v>1.2062610731451844</v>
      </c>
      <c r="C142" s="141">
        <v>1.2060440097520275</v>
      </c>
      <c r="D142" s="141">
        <v>1.2056189746713786</v>
      </c>
      <c r="E142" s="141">
        <v>1.214533754020612</v>
      </c>
      <c r="F142" s="141">
        <v>1.2006658943848609</v>
      </c>
      <c r="G142" s="141">
        <v>1.210777322073908</v>
      </c>
      <c r="H142" s="141">
        <v>1.2002065381611629</v>
      </c>
      <c r="I142" s="141">
        <v>1.2116361012929213</v>
      </c>
      <c r="J142" s="141">
        <v>1.2016271512193102</v>
      </c>
      <c r="K142" s="141">
        <v>1.2057627920498371</v>
      </c>
      <c r="L142" s="141">
        <v>1.1967734759270947</v>
      </c>
      <c r="M142" s="141">
        <v>1.2116968619511246</v>
      </c>
      <c r="N142" s="141">
        <v>1.2056631615732578</v>
      </c>
      <c r="O142" s="141">
        <v>1.2011950557829156</v>
      </c>
      <c r="P142" s="141">
        <v>1.189821918755674</v>
      </c>
      <c r="Q142" s="141">
        <v>1.1762746388706651</v>
      </c>
      <c r="R142" s="141">
        <v>1.170650048084491</v>
      </c>
      <c r="S142" s="141">
        <v>1.1691100114682658</v>
      </c>
      <c r="T142" s="141">
        <v>1.1678069182976125</v>
      </c>
      <c r="U142" s="141">
        <v>1.1688416699733892</v>
      </c>
      <c r="V142" s="141">
        <v>1.1674435178566884</v>
      </c>
      <c r="W142" s="141">
        <v>1.1674595202281655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1.7287757643279666</v>
      </c>
      <c r="C143" s="130">
        <f t="shared" si="199"/>
        <v>1.6528445619248719</v>
      </c>
      <c r="D143" s="130">
        <f t="shared" si="199"/>
        <v>1.5906453680698476</v>
      </c>
      <c r="E143" s="130">
        <f t="shared" si="199"/>
        <v>1.5544752512496314</v>
      </c>
      <c r="F143" s="130">
        <f t="shared" si="199"/>
        <v>1.4864600102840773</v>
      </c>
      <c r="G143" s="130">
        <f t="shared" si="199"/>
        <v>1.4305534752973821</v>
      </c>
      <c r="H143" s="130">
        <f t="shared" si="199"/>
        <v>1.3806416028512347</v>
      </c>
      <c r="I143" s="130">
        <f t="shared" si="199"/>
        <v>1.3346433531841377</v>
      </c>
      <c r="J143" s="130">
        <f t="shared" si="199"/>
        <v>1.3221936240194976</v>
      </c>
      <c r="K143" s="130">
        <f t="shared" si="199"/>
        <v>1.3327976913985109</v>
      </c>
      <c r="L143" s="130">
        <f t="shared" ref="L143" si="200">IF(L6=0,0,L6/L33)</f>
        <v>1.325751068894117</v>
      </c>
      <c r="M143" s="130">
        <f t="shared" ref="M143:V143" si="201">IF(M6=0,0,M6/M33)</f>
        <v>1.3172356030741534</v>
      </c>
      <c r="N143" s="130">
        <f t="shared" si="201"/>
        <v>1.3140529930425833</v>
      </c>
      <c r="O143" s="130">
        <f t="shared" si="201"/>
        <v>1.3040625264745955</v>
      </c>
      <c r="P143" s="130">
        <f t="shared" si="201"/>
        <v>1.2477602530300311</v>
      </c>
      <c r="Q143" s="130">
        <f t="shared" si="201"/>
        <v>1.2318472972362144</v>
      </c>
      <c r="R143" s="130">
        <f t="shared" si="201"/>
        <v>1.329250924357593</v>
      </c>
      <c r="S143" s="130">
        <f t="shared" si="201"/>
        <v>1.330524699499587</v>
      </c>
      <c r="T143" s="130">
        <f t="shared" si="201"/>
        <v>1.3372308918640576</v>
      </c>
      <c r="U143" s="130">
        <f t="shared" si="201"/>
        <v>1.2440767917198197</v>
      </c>
      <c r="V143" s="130">
        <f t="shared" si="201"/>
        <v>1.1878404490928021</v>
      </c>
      <c r="W143" s="130">
        <f t="shared" ref="W143" si="202">IF(W6=0,0,W6/W33)</f>
        <v>1.2078156674254292</v>
      </c>
      <c r="DA143" s="176" t="s">
        <v>553</v>
      </c>
    </row>
    <row r="144" spans="1:105" ht="11.45" customHeight="1" x14ac:dyDescent="0.25">
      <c r="A144" s="111" t="s">
        <v>110</v>
      </c>
      <c r="B144" s="96">
        <v>1.6910821217008785</v>
      </c>
      <c r="C144" s="96">
        <v>1.614514779964026</v>
      </c>
      <c r="D144" s="96">
        <v>1.5516849961897066</v>
      </c>
      <c r="E144" s="96">
        <v>1.5139890556899591</v>
      </c>
      <c r="F144" s="96">
        <v>1.4456488881023462</v>
      </c>
      <c r="G144" s="96">
        <v>1.3894097380113981</v>
      </c>
      <c r="H144" s="96">
        <v>1.3392539808136728</v>
      </c>
      <c r="I144" s="96">
        <v>1.2933435523889023</v>
      </c>
      <c r="J144" s="96">
        <v>1.2805034030398559</v>
      </c>
      <c r="K144" s="96">
        <v>1.2900196324807585</v>
      </c>
      <c r="L144" s="96">
        <v>1.2825893112839533</v>
      </c>
      <c r="M144" s="96">
        <v>1.2739139323242474</v>
      </c>
      <c r="N144" s="96">
        <v>1.2704987159701215</v>
      </c>
      <c r="O144" s="96">
        <v>1.2603689184394911</v>
      </c>
      <c r="P144" s="96">
        <v>1.2055071801230537</v>
      </c>
      <c r="Q144" s="96">
        <v>1.1898613752710903</v>
      </c>
      <c r="R144" s="96">
        <v>1.2837809458030369</v>
      </c>
      <c r="S144" s="96">
        <v>1.2850521363871041</v>
      </c>
      <c r="T144" s="96">
        <v>1.2918993378818939</v>
      </c>
      <c r="U144" s="96">
        <v>1.2023274217070139</v>
      </c>
      <c r="V144" s="96">
        <v>1.1465253949365235</v>
      </c>
      <c r="W144" s="96">
        <v>1.167908941032781</v>
      </c>
      <c r="DA144" s="171" t="s">
        <v>554</v>
      </c>
    </row>
    <row r="145" spans="1:105" ht="11.45" customHeight="1" x14ac:dyDescent="0.25">
      <c r="A145" s="111" t="s">
        <v>111</v>
      </c>
      <c r="B145" s="96">
        <v>1.7686537591465805</v>
      </c>
      <c r="C145" s="96">
        <v>1.6885741964494498</v>
      </c>
      <c r="D145" s="96">
        <v>1.6228623473128441</v>
      </c>
      <c r="E145" s="96">
        <v>1.5834372561159802</v>
      </c>
      <c r="F145" s="96">
        <v>1.5119622563194191</v>
      </c>
      <c r="G145" s="96">
        <v>1.4531433598606704</v>
      </c>
      <c r="H145" s="96">
        <v>1.4006869076445132</v>
      </c>
      <c r="I145" s="96">
        <v>1.3526705217011561</v>
      </c>
      <c r="J145" s="96">
        <v>1.3392413817896343</v>
      </c>
      <c r="K145" s="96">
        <v>1.3491941302443486</v>
      </c>
      <c r="L145" s="96">
        <v>1.3414229727424423</v>
      </c>
      <c r="M145" s="96">
        <v>1.3323496454260417</v>
      </c>
      <c r="N145" s="96">
        <v>1.3287777696634691</v>
      </c>
      <c r="O145" s="96">
        <v>1.3181833081337573</v>
      </c>
      <c r="P145" s="96">
        <v>1.2608050067127179</v>
      </c>
      <c r="Q145" s="96">
        <v>1.2444415130590414</v>
      </c>
      <c r="R145" s="96">
        <v>1.3426692687352035</v>
      </c>
      <c r="S145" s="96">
        <v>1.3439987701096492</v>
      </c>
      <c r="T145" s="96">
        <v>1.351160059622434</v>
      </c>
      <c r="U145" s="96">
        <v>1.2574793895806242</v>
      </c>
      <c r="V145" s="96">
        <v>1.1991176677286066</v>
      </c>
      <c r="W145" s="96">
        <v>1.2214820985872279</v>
      </c>
      <c r="DA145" s="171" t="s">
        <v>555</v>
      </c>
    </row>
    <row r="146" spans="1:105" ht="11.45" customHeight="1" x14ac:dyDescent="0.25">
      <c r="A146" s="111" t="s">
        <v>112</v>
      </c>
      <c r="B146" s="96">
        <v>1.6769124913981279</v>
      </c>
      <c r="C146" s="96">
        <v>1.6032592250671263</v>
      </c>
      <c r="D146" s="96">
        <v>1.5429260070277522</v>
      </c>
      <c r="E146" s="96">
        <v>1.5078409937121426</v>
      </c>
      <c r="F146" s="96">
        <v>1.4418662099755548</v>
      </c>
      <c r="G146" s="96">
        <v>1.3876368710384601</v>
      </c>
      <c r="H146" s="96">
        <v>1.3392223547656976</v>
      </c>
      <c r="I146" s="96">
        <v>1.2946040525886138</v>
      </c>
      <c r="J146" s="96">
        <v>1.2825278152989128</v>
      </c>
      <c r="K146" s="96">
        <v>1.2928137606565555</v>
      </c>
      <c r="L146" s="96">
        <v>1.2859785368272934</v>
      </c>
      <c r="M146" s="96">
        <v>1.2777185349819289</v>
      </c>
      <c r="N146" s="96">
        <v>1.2746314032513058</v>
      </c>
      <c r="O146" s="96">
        <v>1.2649406506803573</v>
      </c>
      <c r="P146" s="96">
        <v>1.2103274454391302</v>
      </c>
      <c r="Q146" s="96">
        <v>1.194891878319128</v>
      </c>
      <c r="R146" s="96">
        <v>1.2893733966268652</v>
      </c>
      <c r="S146" s="96">
        <v>1.2906089585145988</v>
      </c>
      <c r="T146" s="96">
        <v>1.2971139651081356</v>
      </c>
      <c r="U146" s="96">
        <v>1.206754487968225</v>
      </c>
      <c r="V146" s="96">
        <v>1.1522052356200179</v>
      </c>
      <c r="W146" s="96">
        <v>1.1715811974026664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1.4418662099755548</v>
      </c>
      <c r="G147" s="96">
        <v>1.3876368710384601</v>
      </c>
      <c r="H147" s="96">
        <v>1.3392223547656976</v>
      </c>
      <c r="I147" s="96">
        <v>1.2946040525886138</v>
      </c>
      <c r="J147" s="96">
        <v>1.2825278152989128</v>
      </c>
      <c r="K147" s="96">
        <v>1.2928137606565555</v>
      </c>
      <c r="L147" s="96">
        <v>1.2859785368272934</v>
      </c>
      <c r="M147" s="96">
        <v>1.2777185349819289</v>
      </c>
      <c r="N147" s="96">
        <v>1.2746314032513058</v>
      </c>
      <c r="O147" s="96">
        <v>1.2649406506803573</v>
      </c>
      <c r="P147" s="96">
        <v>1.2103274454391302</v>
      </c>
      <c r="Q147" s="96">
        <v>1.194891878319128</v>
      </c>
      <c r="R147" s="96">
        <v>1.2893733966268652</v>
      </c>
      <c r="S147" s="96">
        <v>1.2906089585145988</v>
      </c>
      <c r="T147" s="96">
        <v>1.2971139651081358</v>
      </c>
      <c r="U147" s="96">
        <v>1.206754487968225</v>
      </c>
      <c r="V147" s="96">
        <v>1.1522052356200179</v>
      </c>
      <c r="W147" s="96">
        <v>1.1715811974026664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1.2777185349819289</v>
      </c>
      <c r="N148" s="96">
        <v>1.2746314032513058</v>
      </c>
      <c r="O148" s="96">
        <v>1.2649406506803573</v>
      </c>
      <c r="P148" s="96">
        <v>1.2103274454391302</v>
      </c>
      <c r="Q148" s="96">
        <v>1.194891878319128</v>
      </c>
      <c r="R148" s="96">
        <v>1.289373396626865</v>
      </c>
      <c r="S148" s="96">
        <v>1.2906089585145986</v>
      </c>
      <c r="T148" s="96">
        <v>1.2971139651081356</v>
      </c>
      <c r="U148" s="96">
        <v>1.206754487968225</v>
      </c>
      <c r="V148" s="96">
        <v>1.1522052356200179</v>
      </c>
      <c r="W148" s="96">
        <v>1.1715811974026664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1.2846263316710809</v>
      </c>
      <c r="L149" s="96">
        <v>1.2778343955228484</v>
      </c>
      <c r="M149" s="96">
        <v>1.2696267045211542</v>
      </c>
      <c r="N149" s="96">
        <v>1.2665591236899589</v>
      </c>
      <c r="O149" s="96">
        <v>1.2569297429506734</v>
      </c>
      <c r="P149" s="96">
        <v>1.2026624048042971</v>
      </c>
      <c r="Q149" s="96">
        <v>1.1873245916017512</v>
      </c>
      <c r="R149" s="96">
        <v>1.281207755571744</v>
      </c>
      <c r="S149" s="96">
        <v>1.2824354926083501</v>
      </c>
      <c r="T149" s="96">
        <v>1.2888993027966851</v>
      </c>
      <c r="U149" s="96">
        <v>1.1991120749820539</v>
      </c>
      <c r="V149" s="96">
        <v>1.1449082847130752</v>
      </c>
      <c r="W149" s="96">
        <v>1.1641615379386612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25.556425931209294</v>
      </c>
      <c r="C150" s="130">
        <f t="shared" si="203"/>
        <v>25.637420453425577</v>
      </c>
      <c r="D150" s="130">
        <f t="shared" si="203"/>
        <v>24.985193365655565</v>
      </c>
      <c r="E150" s="130">
        <f t="shared" si="203"/>
        <v>24.423661061383449</v>
      </c>
      <c r="F150" s="130">
        <f t="shared" si="203"/>
        <v>25.515268526900353</v>
      </c>
      <c r="G150" s="130">
        <f t="shared" si="203"/>
        <v>25.399900044235192</v>
      </c>
      <c r="H150" s="130">
        <f t="shared" si="203"/>
        <v>22.455760486603946</v>
      </c>
      <c r="I150" s="130">
        <f t="shared" si="203"/>
        <v>26.059825995180173</v>
      </c>
      <c r="J150" s="130">
        <f t="shared" si="203"/>
        <v>26.87156290480506</v>
      </c>
      <c r="K150" s="130">
        <f t="shared" si="203"/>
        <v>25.499776486365668</v>
      </c>
      <c r="L150" s="130">
        <f t="shared" ref="L150" si="204">IF(L13=0,0,L13/L40)</f>
        <v>23.200546946216956</v>
      </c>
      <c r="M150" s="130">
        <f t="shared" ref="M150:V150" si="205">IF(M13=0,0,M13/M40)</f>
        <v>25.556026362188053</v>
      </c>
      <c r="N150" s="130">
        <f t="shared" si="205"/>
        <v>25.500835761680705</v>
      </c>
      <c r="O150" s="130">
        <f t="shared" si="205"/>
        <v>26.790661575003298</v>
      </c>
      <c r="P150" s="130">
        <f t="shared" si="205"/>
        <v>20.066682900495607</v>
      </c>
      <c r="Q150" s="130">
        <f t="shared" si="205"/>
        <v>22.930795847750865</v>
      </c>
      <c r="R150" s="130">
        <f t="shared" si="205"/>
        <v>23.551775147928996</v>
      </c>
      <c r="S150" s="130">
        <f t="shared" si="205"/>
        <v>23.61455108359133</v>
      </c>
      <c r="T150" s="130">
        <f t="shared" si="205"/>
        <v>24.128935532233889</v>
      </c>
      <c r="U150" s="130">
        <f t="shared" si="205"/>
        <v>24.287801314828343</v>
      </c>
      <c r="V150" s="130">
        <f t="shared" si="205"/>
        <v>20.96996472694401</v>
      </c>
      <c r="W150" s="130">
        <f t="shared" ref="W150" si="206">IF(W13=0,0,W13/W40)</f>
        <v>20.457949598563566</v>
      </c>
      <c r="DA150" s="176" t="s">
        <v>560</v>
      </c>
    </row>
    <row r="151" spans="1:105" ht="11.45" customHeight="1" x14ac:dyDescent="0.25">
      <c r="A151" s="111" t="s">
        <v>110</v>
      </c>
      <c r="B151" s="97">
        <v>9.8293945889266521</v>
      </c>
      <c r="C151" s="97">
        <v>9.8605463282406056</v>
      </c>
      <c r="D151" s="97">
        <v>9.6096897560213712</v>
      </c>
      <c r="E151" s="97">
        <v>9.3937157928397905</v>
      </c>
      <c r="F151" s="97">
        <v>9.8135648180385946</v>
      </c>
      <c r="G151" s="97">
        <v>9.769192324705843</v>
      </c>
      <c r="H151" s="97">
        <v>8.6368309563861345</v>
      </c>
      <c r="I151" s="97">
        <v>10.023009998146222</v>
      </c>
      <c r="J151" s="97">
        <v>10.3352165018481</v>
      </c>
      <c r="K151" s="97">
        <v>9.8076063409098726</v>
      </c>
      <c r="L151" s="97">
        <v>8.9232872870065219</v>
      </c>
      <c r="M151" s="97">
        <v>9.8292409085338637</v>
      </c>
      <c r="N151" s="97">
        <v>9.8080137544925794</v>
      </c>
      <c r="O151" s="97">
        <v>10.304100605770499</v>
      </c>
      <c r="P151" s="97">
        <v>7.7179549617290801</v>
      </c>
      <c r="Q151" s="97">
        <v>8.8195368645195646</v>
      </c>
      <c r="R151" s="97">
        <v>9.0583750568957679</v>
      </c>
      <c r="S151" s="97">
        <v>9.0825196475351273</v>
      </c>
      <c r="T151" s="97">
        <v>9.2803598200899557</v>
      </c>
      <c r="U151" s="97">
        <v>9.3414620441647482</v>
      </c>
      <c r="V151" s="97">
        <v>8.065371048824618</v>
      </c>
      <c r="W151" s="97">
        <v>7.868442153293679</v>
      </c>
      <c r="DA151" s="175" t="s">
        <v>561</v>
      </c>
    </row>
    <row r="152" spans="1:105" ht="11.45" customHeight="1" x14ac:dyDescent="0.25">
      <c r="A152" s="111" t="s">
        <v>111</v>
      </c>
      <c r="B152" s="97">
        <v>25.714195869532002</v>
      </c>
      <c r="C152" s="97">
        <v>25.795548672467572</v>
      </c>
      <c r="D152" s="97">
        <v>25.144705124862334</v>
      </c>
      <c r="E152" s="97">
        <v>24.579153118638104</v>
      </c>
      <c r="F152" s="97">
        <v>25.673053032245001</v>
      </c>
      <c r="G152" s="97">
        <v>25.540682994558125</v>
      </c>
      <c r="H152" s="97">
        <v>22.57297623873151</v>
      </c>
      <c r="I152" s="97">
        <v>26.209544018644106</v>
      </c>
      <c r="J152" s="97">
        <v>27.012520800237905</v>
      </c>
      <c r="K152" s="97">
        <v>25.622974865295898</v>
      </c>
      <c r="L152" s="97">
        <v>23.306781578053172</v>
      </c>
      <c r="M152" s="97">
        <v>25.668274330570174</v>
      </c>
      <c r="N152" s="97">
        <v>25.606974858341566</v>
      </c>
      <c r="O152" s="97">
        <v>26.901478326398919</v>
      </c>
      <c r="P152" s="97">
        <v>20.146437043368469</v>
      </c>
      <c r="Q152" s="97">
        <v>23.017805014010431</v>
      </c>
      <c r="R152" s="97">
        <v>23.636611950433068</v>
      </c>
      <c r="S152" s="97">
        <v>23.724781274366578</v>
      </c>
      <c r="T152" s="97">
        <v>24.231778113280118</v>
      </c>
      <c r="U152" s="97">
        <v>24.382243179332832</v>
      </c>
      <c r="V152" s="97">
        <v>21.04525685218643</v>
      </c>
      <c r="W152" s="97">
        <v>20.525971455599784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20.146437043368469</v>
      </c>
      <c r="Q153" s="97">
        <v>23.017805014010431</v>
      </c>
      <c r="R153" s="97">
        <v>23.636611950433064</v>
      </c>
      <c r="S153" s="97">
        <v>23.724781274366581</v>
      </c>
      <c r="T153" s="97">
        <v>24.231778113280114</v>
      </c>
      <c r="U153" s="97">
        <v>24.382243179332828</v>
      </c>
      <c r="V153" s="97">
        <v>21.045256852186426</v>
      </c>
      <c r="W153" s="97">
        <v>20.525971455599784</v>
      </c>
      <c r="DA153" s="175" t="s">
        <v>563</v>
      </c>
    </row>
    <row r="154" spans="1:105" ht="11.45" customHeight="1" x14ac:dyDescent="0.25">
      <c r="A154" s="111" t="s">
        <v>113</v>
      </c>
      <c r="B154" s="97">
        <v>25.714195869531999</v>
      </c>
      <c r="C154" s="97">
        <v>25.795548672467572</v>
      </c>
      <c r="D154" s="97">
        <v>25.144705124862334</v>
      </c>
      <c r="E154" s="97">
        <v>24.579153118638104</v>
      </c>
      <c r="F154" s="97">
        <v>25.673053032244994</v>
      </c>
      <c r="G154" s="97">
        <v>25.540682994558125</v>
      </c>
      <c r="H154" s="97">
        <v>22.57297623873151</v>
      </c>
      <c r="I154" s="97">
        <v>26.209544018644102</v>
      </c>
      <c r="J154" s="97">
        <v>27.012520800237908</v>
      </c>
      <c r="K154" s="97">
        <v>25.622974865295898</v>
      </c>
      <c r="L154" s="97">
        <v>23.306781578053172</v>
      </c>
      <c r="M154" s="97">
        <v>25.668274330570167</v>
      </c>
      <c r="N154" s="97">
        <v>25.606974858341573</v>
      </c>
      <c r="O154" s="97">
        <v>26.901478326398916</v>
      </c>
      <c r="P154" s="97">
        <v>20.146437043368469</v>
      </c>
      <c r="Q154" s="97">
        <v>23.017805014010431</v>
      </c>
      <c r="R154" s="97">
        <v>23.636611950433061</v>
      </c>
      <c r="S154" s="97">
        <v>23.724781274366578</v>
      </c>
      <c r="T154" s="97">
        <v>24.231778113280114</v>
      </c>
      <c r="U154" s="97">
        <v>24.382243179332828</v>
      </c>
      <c r="V154" s="97">
        <v>21.045256852186426</v>
      </c>
      <c r="W154" s="97">
        <v>20.525971455599784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20.146437043368469</v>
      </c>
      <c r="Q155" s="97">
        <v>23.017805014010431</v>
      </c>
      <c r="R155" s="97">
        <v>23.636611950433064</v>
      </c>
      <c r="S155" s="97">
        <v>23.724781274366578</v>
      </c>
      <c r="T155" s="97">
        <v>24.231778113280114</v>
      </c>
      <c r="U155" s="97">
        <v>24.382243179332828</v>
      </c>
      <c r="V155" s="97">
        <v>21.045256852186426</v>
      </c>
      <c r="W155" s="97">
        <v>20.525971455599784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4.2886986031143568</v>
      </c>
      <c r="C156" s="32">
        <f t="shared" si="207"/>
        <v>3.8990782481831014</v>
      </c>
      <c r="D156" s="32">
        <f t="shared" si="207"/>
        <v>4.3658921626750056</v>
      </c>
      <c r="E156" s="32">
        <f t="shared" si="207"/>
        <v>4.2739359551237843</v>
      </c>
      <c r="F156" s="32">
        <f t="shared" si="207"/>
        <v>4.4346816988819597</v>
      </c>
      <c r="G156" s="32">
        <f t="shared" si="207"/>
        <v>4.7693139532161464</v>
      </c>
      <c r="H156" s="32">
        <f t="shared" si="207"/>
        <v>4.708514338760037</v>
      </c>
      <c r="I156" s="32">
        <f t="shared" si="207"/>
        <v>4.5173081325147475</v>
      </c>
      <c r="J156" s="32">
        <f t="shared" si="207"/>
        <v>4.4965420658135065</v>
      </c>
      <c r="K156" s="32">
        <f t="shared" si="207"/>
        <v>4.4325228289103222</v>
      </c>
      <c r="L156" s="32">
        <f t="shared" ref="L156" si="208">IF(L19=0,0,L19/L46)</f>
        <v>4.3885186397746283</v>
      </c>
      <c r="M156" s="32">
        <f t="shared" ref="M156:V156" si="209">IF(M19=0,0,M19/M46)</f>
        <v>4.370007266858158</v>
      </c>
      <c r="N156" s="32">
        <f t="shared" si="209"/>
        <v>4.4245500055059006</v>
      </c>
      <c r="O156" s="32">
        <f t="shared" si="209"/>
        <v>4.3846890675143744</v>
      </c>
      <c r="P156" s="32">
        <f t="shared" si="209"/>
        <v>4.4420375760011552</v>
      </c>
      <c r="Q156" s="32">
        <f t="shared" si="209"/>
        <v>4.5148008314727806</v>
      </c>
      <c r="R156" s="32">
        <f t="shared" si="209"/>
        <v>4.7418373764080437</v>
      </c>
      <c r="S156" s="32">
        <f t="shared" si="209"/>
        <v>4.7024904092846578</v>
      </c>
      <c r="T156" s="32">
        <f t="shared" si="209"/>
        <v>4.7199408941019767</v>
      </c>
      <c r="U156" s="32">
        <f t="shared" si="209"/>
        <v>4.8079866512123166</v>
      </c>
      <c r="V156" s="32">
        <f t="shared" si="209"/>
        <v>5.8931144360387364</v>
      </c>
      <c r="W156" s="32">
        <f t="shared" ref="W156" si="210">IF(W19=0,0,W19/W46)</f>
        <v>5.1612774908522105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0.36549825851279111</v>
      </c>
      <c r="C157" s="141">
        <f t="shared" si="211"/>
        <v>0.35284579170955965</v>
      </c>
      <c r="D157" s="141">
        <f t="shared" si="211"/>
        <v>0.35785929666736654</v>
      </c>
      <c r="E157" s="141">
        <f t="shared" si="211"/>
        <v>0.35405353397218831</v>
      </c>
      <c r="F157" s="141">
        <f t="shared" si="211"/>
        <v>0.35523745449176164</v>
      </c>
      <c r="G157" s="141">
        <f t="shared" si="211"/>
        <v>0.36178977640620047</v>
      </c>
      <c r="H157" s="141">
        <f t="shared" si="211"/>
        <v>0.35828345360220709</v>
      </c>
      <c r="I157" s="141">
        <f t="shared" si="211"/>
        <v>0.35964877449672433</v>
      </c>
      <c r="J157" s="141">
        <f t="shared" si="211"/>
        <v>0.35926626352172741</v>
      </c>
      <c r="K157" s="141">
        <f t="shared" si="211"/>
        <v>0.35652881871217018</v>
      </c>
      <c r="L157" s="141">
        <f t="shared" ref="L157" si="212">IF(L20=0,0,L20/L47)</f>
        <v>0.35222548984093627</v>
      </c>
      <c r="M157" s="141">
        <f t="shared" ref="M157:V157" si="213">IF(M20=0,0,M20/M47)</f>
        <v>0.35000275377452705</v>
      </c>
      <c r="N157" s="141">
        <f t="shared" si="213"/>
        <v>0.34970487668964517</v>
      </c>
      <c r="O157" s="141">
        <f t="shared" si="213"/>
        <v>0.34710814582718441</v>
      </c>
      <c r="P157" s="141">
        <f t="shared" si="213"/>
        <v>0.35158122934971575</v>
      </c>
      <c r="Q157" s="141">
        <f t="shared" si="213"/>
        <v>0.35553766141646376</v>
      </c>
      <c r="R157" s="141">
        <f t="shared" si="213"/>
        <v>0.35630275622608615</v>
      </c>
      <c r="S157" s="141">
        <f t="shared" si="213"/>
        <v>0.3520802357726221</v>
      </c>
      <c r="T157" s="141">
        <f t="shared" si="213"/>
        <v>0.351675466109723</v>
      </c>
      <c r="U157" s="141">
        <f t="shared" si="213"/>
        <v>0.35171476130268398</v>
      </c>
      <c r="V157" s="141">
        <f t="shared" si="213"/>
        <v>0.36181030420392918</v>
      </c>
      <c r="W157" s="141">
        <f t="shared" ref="W157" si="214">IF(W20=0,0,W20/W47)</f>
        <v>0.35483745676298661</v>
      </c>
      <c r="DA157" s="174" t="s">
        <v>567</v>
      </c>
    </row>
    <row r="158" spans="1:105" ht="11.45" customHeight="1" x14ac:dyDescent="0.25">
      <c r="A158" s="111" t="s">
        <v>110</v>
      </c>
      <c r="B158" s="96">
        <v>0.32565096070397875</v>
      </c>
      <c r="C158" s="96">
        <v>0.31643953277479031</v>
      </c>
      <c r="D158" s="96">
        <v>0.31702354116405973</v>
      </c>
      <c r="E158" s="96">
        <v>0.31416267326437769</v>
      </c>
      <c r="F158" s="96">
        <v>0.31603327967401962</v>
      </c>
      <c r="G158" s="96">
        <v>0.32346183617960428</v>
      </c>
      <c r="H158" s="96">
        <v>0.32172558483744601</v>
      </c>
      <c r="I158" s="96">
        <v>0.3240056443497038</v>
      </c>
      <c r="J158" s="96">
        <v>0.3267032190826375</v>
      </c>
      <c r="K158" s="96">
        <v>0.32728475004026847</v>
      </c>
      <c r="L158" s="96">
        <v>0.32627331860405789</v>
      </c>
      <c r="M158" s="96">
        <v>0.32735445895261567</v>
      </c>
      <c r="N158" s="96">
        <v>0.32527420300056537</v>
      </c>
      <c r="O158" s="96">
        <v>0.31987006503022702</v>
      </c>
      <c r="P158" s="96">
        <v>0.32055062386298872</v>
      </c>
      <c r="Q158" s="96">
        <v>0.32102047084847501</v>
      </c>
      <c r="R158" s="96">
        <v>0.3196057713171897</v>
      </c>
      <c r="S158" s="96">
        <v>0.31577044072642813</v>
      </c>
      <c r="T158" s="96">
        <v>0.31640751675197043</v>
      </c>
      <c r="U158" s="96">
        <v>0.31353546028223794</v>
      </c>
      <c r="V158" s="96">
        <v>0.32543849882920617</v>
      </c>
      <c r="W158" s="96">
        <v>0.31228576153939291</v>
      </c>
      <c r="DA158" s="171" t="s">
        <v>568</v>
      </c>
    </row>
    <row r="159" spans="1:105" ht="11.45" customHeight="1" x14ac:dyDescent="0.25">
      <c r="A159" s="111" t="s">
        <v>111</v>
      </c>
      <c r="B159" s="96">
        <v>0.36909483419202604</v>
      </c>
      <c r="C159" s="96">
        <v>0.35572015108471061</v>
      </c>
      <c r="D159" s="96">
        <v>0.36034494786743854</v>
      </c>
      <c r="E159" s="96">
        <v>0.35600337031458645</v>
      </c>
      <c r="F159" s="96">
        <v>0.35675168969427284</v>
      </c>
      <c r="G159" s="96">
        <v>0.36296486623076546</v>
      </c>
      <c r="H159" s="96">
        <v>0.35919021462986239</v>
      </c>
      <c r="I159" s="96">
        <v>0.36032465217946513</v>
      </c>
      <c r="J159" s="96">
        <v>0.35980429728583713</v>
      </c>
      <c r="K159" s="96">
        <v>0.35700609475593637</v>
      </c>
      <c r="L159" s="96">
        <v>0.35262248272174895</v>
      </c>
      <c r="M159" s="96">
        <v>0.3503597682674981</v>
      </c>
      <c r="N159" s="96">
        <v>0.35013928034070707</v>
      </c>
      <c r="O159" s="96">
        <v>0.34761217619338802</v>
      </c>
      <c r="P159" s="96">
        <v>0.35199639224136636</v>
      </c>
      <c r="Q159" s="96">
        <v>0.35601005103216987</v>
      </c>
      <c r="R159" s="96">
        <v>0.35681665937964585</v>
      </c>
      <c r="S159" s="96">
        <v>0.35265217095256163</v>
      </c>
      <c r="T159" s="96">
        <v>0.35230082037064409</v>
      </c>
      <c r="U159" s="96">
        <v>0.35254920439779674</v>
      </c>
      <c r="V159" s="96">
        <v>0.36267420588305493</v>
      </c>
      <c r="W159" s="96">
        <v>0.35598420438782247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0.31337405746983449</v>
      </c>
      <c r="P160" s="96">
        <v>0.317279014215471</v>
      </c>
      <c r="Q160" s="96">
        <v>0.32102047084847501</v>
      </c>
      <c r="R160" s="96">
        <v>0.32174179052628693</v>
      </c>
      <c r="S160" s="96">
        <v>0.31783507974995856</v>
      </c>
      <c r="T160" s="96">
        <v>0.31754767629263364</v>
      </c>
      <c r="U160" s="96">
        <v>0.31775081448050374</v>
      </c>
      <c r="V160" s="96">
        <v>0.32732441061297535</v>
      </c>
      <c r="W160" s="96">
        <v>0.32095601928082285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0.31583048179760936</v>
      </c>
      <c r="O161" s="96">
        <v>0.3133740574698346</v>
      </c>
      <c r="P161" s="96">
        <v>0.317279014215471</v>
      </c>
      <c r="Q161" s="96">
        <v>0.32102047084847501</v>
      </c>
      <c r="R161" s="96">
        <v>0.32174179052628699</v>
      </c>
      <c r="S161" s="96">
        <v>0.31783507974995856</v>
      </c>
      <c r="T161" s="96">
        <v>0.31754767629263364</v>
      </c>
      <c r="U161" s="96">
        <v>0.31775081448050374</v>
      </c>
      <c r="V161" s="96">
        <v>0.32732441061297535</v>
      </c>
      <c r="W161" s="96">
        <v>0.32095601928082285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0.35708993990901372</v>
      </c>
      <c r="N162" s="96">
        <v>0.35708041629696491</v>
      </c>
      <c r="O162" s="96">
        <v>0.35694767387207627</v>
      </c>
      <c r="P162" s="96">
        <v>0.35673723863135165</v>
      </c>
      <c r="Q162" s="96">
        <v>0.35653814419446067</v>
      </c>
      <c r="R162" s="96">
        <v>0.35657625231246254</v>
      </c>
      <c r="S162" s="96">
        <v>0.35678375004750873</v>
      </c>
      <c r="T162" s="96">
        <v>0.35679912032524319</v>
      </c>
      <c r="U162" s="96">
        <v>0.35680998595377994</v>
      </c>
      <c r="V162" s="96">
        <v>0.36225576662897835</v>
      </c>
      <c r="W162" s="96">
        <v>0.35698055858738814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11.097736094656021</v>
      </c>
      <c r="C163" s="130">
        <f t="shared" si="215"/>
        <v>10.944007555148273</v>
      </c>
      <c r="D163" s="130">
        <f t="shared" si="215"/>
        <v>10.901055620294583</v>
      </c>
      <c r="E163" s="130">
        <f t="shared" si="215"/>
        <v>10.911464971296256</v>
      </c>
      <c r="F163" s="130">
        <f t="shared" si="215"/>
        <v>10.947563987802438</v>
      </c>
      <c r="G163" s="130">
        <f t="shared" si="215"/>
        <v>11.005479483859695</v>
      </c>
      <c r="H163" s="130">
        <f t="shared" si="215"/>
        <v>11.027176386305261</v>
      </c>
      <c r="I163" s="130">
        <f t="shared" si="215"/>
        <v>11.13335054997393</v>
      </c>
      <c r="J163" s="130">
        <f t="shared" si="215"/>
        <v>11.15490906266677</v>
      </c>
      <c r="K163" s="130">
        <f t="shared" si="215"/>
        <v>10.994734254486689</v>
      </c>
      <c r="L163" s="130">
        <f t="shared" ref="L163" si="216">IF(L26=0,0,L26/L53)</f>
        <v>11.283409328562973</v>
      </c>
      <c r="M163" s="130">
        <f t="shared" ref="M163:V163" si="217">IF(M26=0,0,M26/M53)</f>
        <v>11.332051893444204</v>
      </c>
      <c r="N163" s="130">
        <f t="shared" si="217"/>
        <v>11.329180175447322</v>
      </c>
      <c r="O163" s="130">
        <f t="shared" si="217"/>
        <v>11.492427973306844</v>
      </c>
      <c r="P163" s="130">
        <f t="shared" si="217"/>
        <v>11.367924717452984</v>
      </c>
      <c r="Q163" s="130">
        <f t="shared" si="217"/>
        <v>11.433241523984716</v>
      </c>
      <c r="R163" s="130">
        <f t="shared" si="217"/>
        <v>11.488203021884026</v>
      </c>
      <c r="S163" s="130">
        <f t="shared" si="217"/>
        <v>11.569482316508225</v>
      </c>
      <c r="T163" s="130">
        <f t="shared" si="217"/>
        <v>11.618159343490612</v>
      </c>
      <c r="U163" s="130">
        <f t="shared" si="217"/>
        <v>11.595776863496347</v>
      </c>
      <c r="V163" s="130">
        <f t="shared" si="217"/>
        <v>11.604471440892718</v>
      </c>
      <c r="W163" s="130">
        <f t="shared" ref="W163" si="218">IF(W26=0,0,W26/W53)</f>
        <v>11.757254870596633</v>
      </c>
      <c r="DA163" s="176" t="s">
        <v>573</v>
      </c>
    </row>
    <row r="164" spans="1:105" ht="11.45" customHeight="1" x14ac:dyDescent="0.25">
      <c r="A164" s="128" t="s">
        <v>27</v>
      </c>
      <c r="B164" s="97">
        <v>10.407396593673965</v>
      </c>
      <c r="C164" s="97">
        <v>10.230997038499506</v>
      </c>
      <c r="D164" s="97">
        <v>10.214527959618266</v>
      </c>
      <c r="E164" s="97">
        <v>10.26955037839442</v>
      </c>
      <c r="F164" s="97">
        <v>10.326693757910865</v>
      </c>
      <c r="G164" s="97">
        <v>10.412140175219024</v>
      </c>
      <c r="H164" s="97">
        <v>10.435624626419605</v>
      </c>
      <c r="I164" s="97">
        <v>10.585971342885705</v>
      </c>
      <c r="J164" s="97">
        <v>10.646894372189132</v>
      </c>
      <c r="K164" s="97">
        <v>10.464842396951854</v>
      </c>
      <c r="L164" s="97">
        <v>10.71175263774912</v>
      </c>
      <c r="M164" s="97">
        <v>10.768992130750606</v>
      </c>
      <c r="N164" s="97">
        <v>10.754616563180388</v>
      </c>
      <c r="O164" s="97">
        <v>10.872099991439089</v>
      </c>
      <c r="P164" s="97">
        <v>10.728924236082044</v>
      </c>
      <c r="Q164" s="97">
        <v>10.841839153104756</v>
      </c>
      <c r="R164" s="97">
        <v>10.936410952704232</v>
      </c>
      <c r="S164" s="97">
        <v>11.024734478580084</v>
      </c>
      <c r="T164" s="97">
        <v>11.05363744158471</v>
      </c>
      <c r="U164" s="97">
        <v>11.042262895174709</v>
      </c>
      <c r="V164" s="97">
        <v>11.115925297113753</v>
      </c>
      <c r="W164" s="97">
        <v>11.268898221343873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14.24505838780375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13.915448013039788</v>
      </c>
      <c r="K165" s="98">
        <v>13.731801555818866</v>
      </c>
      <c r="L165" s="98">
        <v>14.178700182725072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9067.1750119093231</v>
      </c>
      <c r="C167" s="54">
        <f t="shared" si="219"/>
        <v>9480.5918584750216</v>
      </c>
      <c r="D167" s="54">
        <f t="shared" si="219"/>
        <v>9598.0112136041644</v>
      </c>
      <c r="E167" s="54">
        <f t="shared" si="219"/>
        <v>10053.203850111497</v>
      </c>
      <c r="F167" s="54">
        <f t="shared" si="219"/>
        <v>10259.889837682036</v>
      </c>
      <c r="G167" s="54">
        <f t="shared" si="219"/>
        <v>10394.592842204665</v>
      </c>
      <c r="H167" s="54">
        <f t="shared" si="219"/>
        <v>10457.689877724384</v>
      </c>
      <c r="I167" s="54">
        <f t="shared" si="219"/>
        <v>10472.021737352901</v>
      </c>
      <c r="J167" s="54">
        <f t="shared" si="219"/>
        <v>10319.192160574259</v>
      </c>
      <c r="K167" s="54">
        <f t="shared" si="219"/>
        <v>10489.651107706395</v>
      </c>
      <c r="L167" s="54">
        <f t="shared" si="219"/>
        <v>10298.968268768818</v>
      </c>
      <c r="M167" s="54">
        <f>IF(M30=0,0,M30*1000000/M57)</f>
        <v>10097.653359384614</v>
      </c>
      <c r="N167" s="54">
        <f t="shared" ref="N167:V167" si="220">IF(N30=0,0,N30*1000000/N57)</f>
        <v>9768.7309203693039</v>
      </c>
      <c r="O167" s="54">
        <f t="shared" si="220"/>
        <v>9859.7210416593352</v>
      </c>
      <c r="P167" s="54">
        <f t="shared" si="220"/>
        <v>10005.97360514411</v>
      </c>
      <c r="Q167" s="54">
        <f t="shared" si="220"/>
        <v>10234.420160126836</v>
      </c>
      <c r="R167" s="54">
        <f t="shared" si="220"/>
        <v>9749.6891297714446</v>
      </c>
      <c r="S167" s="54">
        <f t="shared" si="220"/>
        <v>9622.5815705682435</v>
      </c>
      <c r="T167" s="54">
        <f t="shared" si="220"/>
        <v>9554.4419049675798</v>
      </c>
      <c r="U167" s="54">
        <f t="shared" si="220"/>
        <v>10028.80725011968</v>
      </c>
      <c r="V167" s="54">
        <f t="shared" si="220"/>
        <v>8075.7825532631659</v>
      </c>
      <c r="W167" s="54">
        <f t="shared" ref="W167:W191" si="221">IF(W30=0,0,W30*1000000/W57)</f>
        <v>8596.76596111258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8948.3296939869233</v>
      </c>
      <c r="C168" s="28">
        <f t="shared" si="219"/>
        <v>9195.5742853804477</v>
      </c>
      <c r="D168" s="28">
        <f t="shared" si="219"/>
        <v>9338.1023282790284</v>
      </c>
      <c r="E168" s="28">
        <f t="shared" si="219"/>
        <v>9773.7814423913369</v>
      </c>
      <c r="F168" s="28">
        <f t="shared" si="219"/>
        <v>9967.9802684217502</v>
      </c>
      <c r="G168" s="28">
        <f t="shared" si="219"/>
        <v>10202.323637776622</v>
      </c>
      <c r="H168" s="28">
        <f t="shared" si="219"/>
        <v>10204.729268857458</v>
      </c>
      <c r="I168" s="28">
        <f t="shared" si="219"/>
        <v>10249.60422454633</v>
      </c>
      <c r="J168" s="28">
        <f t="shared" si="219"/>
        <v>10113.238132359727</v>
      </c>
      <c r="K168" s="28">
        <f t="shared" si="219"/>
        <v>10312.730170593382</v>
      </c>
      <c r="L168" s="28">
        <f t="shared" si="219"/>
        <v>10052.329903366142</v>
      </c>
      <c r="M168" s="28">
        <f t="shared" ref="M168:M192" si="222">IF(M31=0,0,M31*1000000/M58)</f>
        <v>9803.4277314651881</v>
      </c>
      <c r="N168" s="28">
        <f t="shared" si="219"/>
        <v>9453.211545104743</v>
      </c>
      <c r="O168" s="28">
        <f t="shared" si="219"/>
        <v>9473.1471620311186</v>
      </c>
      <c r="P168" s="28">
        <f t="shared" si="219"/>
        <v>9682.3735023586905</v>
      </c>
      <c r="Q168" s="28">
        <f t="shared" si="219"/>
        <v>9971.5142461414525</v>
      </c>
      <c r="R168" s="28">
        <f t="shared" si="219"/>
        <v>9424.1503744585389</v>
      </c>
      <c r="S168" s="28">
        <f t="shared" si="219"/>
        <v>9212.451077624457</v>
      </c>
      <c r="T168" s="28">
        <f t="shared" si="219"/>
        <v>9131.3732947868284</v>
      </c>
      <c r="U168" s="28">
        <f t="shared" si="219"/>
        <v>9648.3013173654672</v>
      </c>
      <c r="V168" s="28">
        <f t="shared" si="219"/>
        <v>7808.1736338105766</v>
      </c>
      <c r="W168" s="28">
        <f t="shared" si="221"/>
        <v>8062.3731505925916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2711.4407779876424</v>
      </c>
      <c r="C169" s="137">
        <f t="shared" si="219"/>
        <v>2840.639316545502</v>
      </c>
      <c r="D169" s="137">
        <f t="shared" si="219"/>
        <v>2438.2285241922341</v>
      </c>
      <c r="E169" s="137">
        <f t="shared" si="219"/>
        <v>2688.745446671734</v>
      </c>
      <c r="F169" s="137">
        <f t="shared" si="219"/>
        <v>2478.9168737394134</v>
      </c>
      <c r="G169" s="137">
        <f t="shared" si="219"/>
        <v>2666.7029420885383</v>
      </c>
      <c r="H169" s="137">
        <f t="shared" si="219"/>
        <v>2551.7533061921799</v>
      </c>
      <c r="I169" s="137">
        <f t="shared" si="219"/>
        <v>2693.6200904305574</v>
      </c>
      <c r="J169" s="137">
        <f t="shared" si="219"/>
        <v>2620.378605005717</v>
      </c>
      <c r="K169" s="137">
        <f t="shared" si="219"/>
        <v>2693.6531421718496</v>
      </c>
      <c r="L169" s="137">
        <f t="shared" si="219"/>
        <v>2726.0599849250325</v>
      </c>
      <c r="M169" s="137">
        <f t="shared" si="222"/>
        <v>2492.3515070529634</v>
      </c>
      <c r="N169" s="137">
        <f t="shared" si="219"/>
        <v>2374.2100950524341</v>
      </c>
      <c r="O169" s="137">
        <f t="shared" si="219"/>
        <v>2364.0697688708678</v>
      </c>
      <c r="P169" s="137">
        <f t="shared" si="219"/>
        <v>2629.9274473724772</v>
      </c>
      <c r="Q169" s="137">
        <f t="shared" si="219"/>
        <v>2859.6487327832551</v>
      </c>
      <c r="R169" s="137">
        <f t="shared" si="219"/>
        <v>2880.5241066601625</v>
      </c>
      <c r="S169" s="137">
        <f t="shared" si="219"/>
        <v>2675.3874850285624</v>
      </c>
      <c r="T169" s="137">
        <f t="shared" si="219"/>
        <v>2502.4385276244448</v>
      </c>
      <c r="U169" s="137">
        <f t="shared" si="219"/>
        <v>2600.4376504732095</v>
      </c>
      <c r="V169" s="137">
        <f t="shared" si="219"/>
        <v>2283.0389206841874</v>
      </c>
      <c r="W169" s="137">
        <f t="shared" si="221"/>
        <v>2328.5519576063443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10021.491203073496</v>
      </c>
      <c r="C170" s="110">
        <f t="shared" si="219"/>
        <v>10264.899216942193</v>
      </c>
      <c r="D170" s="110">
        <f t="shared" si="219"/>
        <v>10571.335484592459</v>
      </c>
      <c r="E170" s="110">
        <f t="shared" si="219"/>
        <v>11081.84608639078</v>
      </c>
      <c r="F170" s="110">
        <f t="shared" si="219"/>
        <v>11366.959375083636</v>
      </c>
      <c r="G170" s="110">
        <f t="shared" si="219"/>
        <v>11660.53773315119</v>
      </c>
      <c r="H170" s="110">
        <f t="shared" si="219"/>
        <v>11729.491612910038</v>
      </c>
      <c r="I170" s="110">
        <f t="shared" si="219"/>
        <v>11820.635589987167</v>
      </c>
      <c r="J170" s="110">
        <f t="shared" si="219"/>
        <v>11701.204225442667</v>
      </c>
      <c r="K170" s="110">
        <f t="shared" si="219"/>
        <v>11958.986888492847</v>
      </c>
      <c r="L170" s="110">
        <f t="shared" si="219"/>
        <v>11634.78142599752</v>
      </c>
      <c r="M170" s="110">
        <f t="shared" si="222"/>
        <v>11382.917977928641</v>
      </c>
      <c r="N170" s="110">
        <f t="shared" si="219"/>
        <v>10981.509836205698</v>
      </c>
      <c r="O170" s="110">
        <f t="shared" si="219"/>
        <v>11021.025408814596</v>
      </c>
      <c r="P170" s="110">
        <f t="shared" si="219"/>
        <v>11230.684654804394</v>
      </c>
      <c r="Q170" s="110">
        <f t="shared" si="219"/>
        <v>11531.186742793987</v>
      </c>
      <c r="R170" s="110">
        <f t="shared" si="219"/>
        <v>10848.087261721974</v>
      </c>
      <c r="S170" s="110">
        <f t="shared" si="219"/>
        <v>10645.370602460538</v>
      </c>
      <c r="T170" s="110">
        <f t="shared" si="219"/>
        <v>10578.672083813541</v>
      </c>
      <c r="U170" s="110">
        <f t="shared" si="219"/>
        <v>11194.122203811819</v>
      </c>
      <c r="V170" s="110">
        <f t="shared" si="219"/>
        <v>9044.2926062818678</v>
      </c>
      <c r="W170" s="110">
        <f t="shared" si="221"/>
        <v>9348.741991488896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7023.5058412407925</v>
      </c>
      <c r="C171" s="84">
        <f t="shared" si="219"/>
        <v>6996.9068745034765</v>
      </c>
      <c r="D171" s="84">
        <f t="shared" si="219"/>
        <v>7013.8724236381722</v>
      </c>
      <c r="E171" s="84">
        <f t="shared" si="219"/>
        <v>7113.3388951214483</v>
      </c>
      <c r="F171" s="84">
        <f t="shared" si="219"/>
        <v>7072.1149293418939</v>
      </c>
      <c r="G171" s="84">
        <f t="shared" si="219"/>
        <v>7044.2873888301274</v>
      </c>
      <c r="H171" s="84">
        <f t="shared" si="219"/>
        <v>6884.9141947951393</v>
      </c>
      <c r="I171" s="84">
        <f t="shared" si="219"/>
        <v>6777.9589079696716</v>
      </c>
      <c r="J171" s="84">
        <f t="shared" si="219"/>
        <v>6613.5675116811535</v>
      </c>
      <c r="K171" s="84">
        <f t="shared" si="219"/>
        <v>6662.0349845081682</v>
      </c>
      <c r="L171" s="84">
        <f t="shared" si="219"/>
        <v>6404.5046216177479</v>
      </c>
      <c r="M171" s="84">
        <f t="shared" si="222"/>
        <v>6211.4140306342642</v>
      </c>
      <c r="N171" s="84">
        <f t="shared" si="219"/>
        <v>5948.8410282602872</v>
      </c>
      <c r="O171" s="84">
        <f t="shared" si="219"/>
        <v>5912.3251247554745</v>
      </c>
      <c r="P171" s="84">
        <f t="shared" si="219"/>
        <v>5966.4255130211504</v>
      </c>
      <c r="Q171" s="84">
        <f t="shared" si="219"/>
        <v>6088.7456418969141</v>
      </c>
      <c r="R171" s="84">
        <f t="shared" si="219"/>
        <v>5706.9710754206135</v>
      </c>
      <c r="S171" s="84">
        <f t="shared" si="219"/>
        <v>5601.3103313256361</v>
      </c>
      <c r="T171" s="84">
        <f t="shared" si="219"/>
        <v>5597.0112648693466</v>
      </c>
      <c r="U171" s="84">
        <f t="shared" si="219"/>
        <v>5969.0430232529916</v>
      </c>
      <c r="V171" s="84">
        <f t="shared" si="219"/>
        <v>4192.5180139487757</v>
      </c>
      <c r="W171" s="84">
        <f t="shared" si="221"/>
        <v>5036.3261950449632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18104.617281478244</v>
      </c>
      <c r="C172" s="84">
        <f t="shared" si="219"/>
        <v>18036.052646700802</v>
      </c>
      <c r="D172" s="84">
        <f t="shared" si="219"/>
        <v>18079.785047726258</v>
      </c>
      <c r="E172" s="84">
        <f t="shared" si="219"/>
        <v>18336.181559560817</v>
      </c>
      <c r="F172" s="84">
        <f t="shared" si="219"/>
        <v>18229.917801811633</v>
      </c>
      <c r="G172" s="84">
        <f t="shared" si="219"/>
        <v>18158.186250327457</v>
      </c>
      <c r="H172" s="84">
        <f t="shared" si="219"/>
        <v>17747.367102717766</v>
      </c>
      <c r="I172" s="84">
        <f t="shared" si="219"/>
        <v>17471.666536935401</v>
      </c>
      <c r="J172" s="84">
        <f t="shared" si="219"/>
        <v>17047.911879155312</v>
      </c>
      <c r="K172" s="84">
        <f t="shared" si="219"/>
        <v>17172.847355250615</v>
      </c>
      <c r="L172" s="84">
        <f t="shared" si="219"/>
        <v>16509.006708729903</v>
      </c>
      <c r="M172" s="84">
        <f t="shared" si="222"/>
        <v>16011.273620806274</v>
      </c>
      <c r="N172" s="84">
        <f t="shared" si="219"/>
        <v>15334.434471827975</v>
      </c>
      <c r="O172" s="84">
        <f t="shared" si="219"/>
        <v>15240.306770849907</v>
      </c>
      <c r="P172" s="84">
        <f t="shared" si="219"/>
        <v>15379.762314344753</v>
      </c>
      <c r="Q172" s="84">
        <f t="shared" si="219"/>
        <v>15695.069109722253</v>
      </c>
      <c r="R172" s="84">
        <f t="shared" si="219"/>
        <v>14710.961945851139</v>
      </c>
      <c r="S172" s="84">
        <f t="shared" si="219"/>
        <v>14438.598346139541</v>
      </c>
      <c r="T172" s="84">
        <f t="shared" si="219"/>
        <v>14427.51656524292</v>
      </c>
      <c r="U172" s="84">
        <f t="shared" si="219"/>
        <v>15386.509517529177</v>
      </c>
      <c r="V172" s="84">
        <f t="shared" si="219"/>
        <v>13035.459218895972</v>
      </c>
      <c r="W172" s="84">
        <f t="shared" si="221"/>
        <v>12982.228580287521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21723.556243062631</v>
      </c>
      <c r="C173" s="84">
        <f t="shared" si="219"/>
        <v>21641.286196879628</v>
      </c>
      <c r="D173" s="84">
        <f t="shared" si="219"/>
        <v>21693.760284486696</v>
      </c>
      <c r="E173" s="84">
        <f t="shared" si="219"/>
        <v>22001.407994392237</v>
      </c>
      <c r="F173" s="84">
        <f t="shared" si="219"/>
        <v>21873.903132943156</v>
      </c>
      <c r="G173" s="84">
        <f t="shared" si="219"/>
        <v>21787.833133846139</v>
      </c>
      <c r="H173" s="84">
        <f t="shared" si="219"/>
        <v>21294.895187681635</v>
      </c>
      <c r="I173" s="84">
        <f t="shared" si="219"/>
        <v>20964.084729006845</v>
      </c>
      <c r="J173" s="84">
        <f t="shared" si="219"/>
        <v>20455.625588533159</v>
      </c>
      <c r="K173" s="84">
        <f t="shared" si="219"/>
        <v>20605.534465341432</v>
      </c>
      <c r="L173" s="84">
        <f t="shared" si="219"/>
        <v>19808.998454835593</v>
      </c>
      <c r="M173" s="84">
        <f t="shared" si="222"/>
        <v>19211.773307159932</v>
      </c>
      <c r="N173" s="84">
        <f t="shared" si="219"/>
        <v>18399.640518505028</v>
      </c>
      <c r="O173" s="84">
        <f t="shared" si="219"/>
        <v>18286.697594916186</v>
      </c>
      <c r="P173" s="84">
        <f t="shared" si="219"/>
        <v>17615.2094627929</v>
      </c>
      <c r="Q173" s="84">
        <f t="shared" si="219"/>
        <v>17120.329594424646</v>
      </c>
      <c r="R173" s="84">
        <f t="shared" si="219"/>
        <v>16849.199017441621</v>
      </c>
      <c r="S173" s="84">
        <f t="shared" si="219"/>
        <v>17324.735362632488</v>
      </c>
      <c r="T173" s="84">
        <f t="shared" si="219"/>
        <v>17311.438440259688</v>
      </c>
      <c r="U173" s="84">
        <f t="shared" si="219"/>
        <v>18462.124865263762</v>
      </c>
      <c r="V173" s="84">
        <f t="shared" si="219"/>
        <v>12967.370275580153</v>
      </c>
      <c r="W173" s="84">
        <f t="shared" si="221"/>
        <v>15577.251280130025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11267.074137508964</v>
      </c>
      <c r="G174" s="84">
        <f t="shared" si="219"/>
        <v>11222.740163140168</v>
      </c>
      <c r="H174" s="84">
        <f t="shared" si="219"/>
        <v>10968.831733955334</v>
      </c>
      <c r="I174" s="84">
        <f t="shared" si="219"/>
        <v>10798.433888600575</v>
      </c>
      <c r="J174" s="84">
        <f t="shared" si="219"/>
        <v>10536.530615243602</v>
      </c>
      <c r="K174" s="84">
        <f t="shared" si="219"/>
        <v>10613.74748955287</v>
      </c>
      <c r="L174" s="84">
        <f t="shared" si="219"/>
        <v>10203.458103656823</v>
      </c>
      <c r="M174" s="84">
        <f t="shared" si="222"/>
        <v>10075.271432676625</v>
      </c>
      <c r="N174" s="84">
        <f t="shared" si="219"/>
        <v>10157.224099471405</v>
      </c>
      <c r="O174" s="84">
        <f t="shared" si="219"/>
        <v>10626.185036147996</v>
      </c>
      <c r="P174" s="84">
        <f t="shared" si="219"/>
        <v>11287.80981708402</v>
      </c>
      <c r="Q174" s="84">
        <f t="shared" si="219"/>
        <v>12125.500864504298</v>
      </c>
      <c r="R174" s="84">
        <f t="shared" si="219"/>
        <v>11933.472198965534</v>
      </c>
      <c r="S174" s="84">
        <f t="shared" si="219"/>
        <v>12298.158558182771</v>
      </c>
      <c r="T174" s="84">
        <f t="shared" si="219"/>
        <v>12903.155567450654</v>
      </c>
      <c r="U174" s="84">
        <f t="shared" si="219"/>
        <v>14264.541288902061</v>
      </c>
      <c r="V174" s="84">
        <f t="shared" si="219"/>
        <v>10019.084479951691</v>
      </c>
      <c r="W174" s="84">
        <f t="shared" si="221"/>
        <v>12035.578010366937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8818.8930261041623</v>
      </c>
      <c r="N175" s="84">
        <f t="shared" si="219"/>
        <v>8446.0949469455827</v>
      </c>
      <c r="O175" s="84">
        <f t="shared" si="219"/>
        <v>8394.2500940389418</v>
      </c>
      <c r="P175" s="84">
        <f t="shared" si="219"/>
        <v>8471.0611928374838</v>
      </c>
      <c r="Q175" s="84">
        <f t="shared" si="219"/>
        <v>8644.7298818307499</v>
      </c>
      <c r="R175" s="84">
        <f t="shared" si="219"/>
        <v>8102.6908154866269</v>
      </c>
      <c r="S175" s="84">
        <f t="shared" si="219"/>
        <v>7952.6749262484363</v>
      </c>
      <c r="T175" s="84">
        <f t="shared" si="219"/>
        <v>7946.5711619520707</v>
      </c>
      <c r="U175" s="84">
        <f t="shared" si="219"/>
        <v>8474.7775032646259</v>
      </c>
      <c r="V175" s="84">
        <f t="shared" si="219"/>
        <v>5952.4880635357486</v>
      </c>
      <c r="W175" s="84">
        <f t="shared" si="221"/>
        <v>7150.5170545091514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10773.274128440948</v>
      </c>
      <c r="L176" s="84">
        <f t="shared" si="219"/>
        <v>10987.7404866498</v>
      </c>
      <c r="M176" s="84">
        <f t="shared" si="222"/>
        <v>11157.218180610893</v>
      </c>
      <c r="N176" s="84">
        <f t="shared" si="219"/>
        <v>11400.790981230593</v>
      </c>
      <c r="O176" s="84">
        <f t="shared" si="219"/>
        <v>11435.94376332008</v>
      </c>
      <c r="P176" s="84">
        <f t="shared" si="219"/>
        <v>11488.146585721241</v>
      </c>
      <c r="Q176" s="84">
        <f t="shared" si="219"/>
        <v>11605.31072002628</v>
      </c>
      <c r="R176" s="84">
        <f t="shared" si="219"/>
        <v>11235.585076180139</v>
      </c>
      <c r="S176" s="84">
        <f t="shared" si="219"/>
        <v>11131.089486822349</v>
      </c>
      <c r="T176" s="84">
        <f t="shared" si="219"/>
        <v>11126.817050900267</v>
      </c>
      <c r="U176" s="84">
        <f t="shared" si="219"/>
        <v>10774.489028824315</v>
      </c>
      <c r="V176" s="84">
        <f t="shared" si="219"/>
        <v>8266.5510936637038</v>
      </c>
      <c r="W176" s="84">
        <f t="shared" si="221"/>
        <v>9896.9472187042247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35868.819213519389</v>
      </c>
      <c r="C177" s="110">
        <f t="shared" si="219"/>
        <v>35851.046925590323</v>
      </c>
      <c r="D177" s="110">
        <f t="shared" si="219"/>
        <v>35169.791419858113</v>
      </c>
      <c r="E177" s="110">
        <f t="shared" si="219"/>
        <v>35862.809558096968</v>
      </c>
      <c r="F177" s="110">
        <f t="shared" si="219"/>
        <v>36627.640428798062</v>
      </c>
      <c r="G177" s="110">
        <f t="shared" si="219"/>
        <v>35942.033130228068</v>
      </c>
      <c r="H177" s="110">
        <f t="shared" si="219"/>
        <v>36334.646746859638</v>
      </c>
      <c r="I177" s="110">
        <f t="shared" si="219"/>
        <v>37097.226953919642</v>
      </c>
      <c r="J177" s="110">
        <f t="shared" si="219"/>
        <v>36400.106894361947</v>
      </c>
      <c r="K177" s="110">
        <f t="shared" si="219"/>
        <v>35698.897275904441</v>
      </c>
      <c r="L177" s="110">
        <f t="shared" si="219"/>
        <v>35134.918728481061</v>
      </c>
      <c r="M177" s="110">
        <f t="shared" si="222"/>
        <v>34978.166590847832</v>
      </c>
      <c r="N177" s="110">
        <f t="shared" si="219"/>
        <v>34292.320187105724</v>
      </c>
      <c r="O177" s="110">
        <f t="shared" si="219"/>
        <v>33552.1635602928</v>
      </c>
      <c r="P177" s="110">
        <f t="shared" si="219"/>
        <v>32891.722211110005</v>
      </c>
      <c r="Q177" s="110">
        <f t="shared" si="219"/>
        <v>33575.648941113985</v>
      </c>
      <c r="R177" s="110">
        <f t="shared" si="219"/>
        <v>32795.368543613957</v>
      </c>
      <c r="S177" s="110">
        <f t="shared" si="219"/>
        <v>28401.222219779738</v>
      </c>
      <c r="T177" s="110">
        <f t="shared" si="219"/>
        <v>28640.745432294905</v>
      </c>
      <c r="U177" s="110">
        <f t="shared" si="219"/>
        <v>28875.155554618126</v>
      </c>
      <c r="V177" s="110">
        <f t="shared" si="219"/>
        <v>19467.983695300536</v>
      </c>
      <c r="W177" s="110">
        <f t="shared" si="221"/>
        <v>24526.671868880905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20269.512876760888</v>
      </c>
      <c r="C178" s="102">
        <f t="shared" si="219"/>
        <v>20258.967709058543</v>
      </c>
      <c r="D178" s="102">
        <f t="shared" si="219"/>
        <v>19854.943698471488</v>
      </c>
      <c r="E178" s="102">
        <f t="shared" si="219"/>
        <v>20265.947025015459</v>
      </c>
      <c r="F178" s="102">
        <f t="shared" si="219"/>
        <v>20720.000749961022</v>
      </c>
      <c r="G178" s="102">
        <f t="shared" si="219"/>
        <v>20312.957028130793</v>
      </c>
      <c r="H178" s="102">
        <f t="shared" si="219"/>
        <v>20546.003934881686</v>
      </c>
      <c r="I178" s="102">
        <f t="shared" si="219"/>
        <v>20999.013701712538</v>
      </c>
      <c r="J178" s="102">
        <f t="shared" si="219"/>
        <v>20584.87194009234</v>
      </c>
      <c r="K178" s="102">
        <f t="shared" si="219"/>
        <v>20168.700589748056</v>
      </c>
      <c r="L178" s="102">
        <f t="shared" si="219"/>
        <v>19834.272632956156</v>
      </c>
      <c r="M178" s="102">
        <f t="shared" si="222"/>
        <v>19741.369237784675</v>
      </c>
      <c r="N178" s="102">
        <f t="shared" si="219"/>
        <v>19335.129767206505</v>
      </c>
      <c r="O178" s="102">
        <f t="shared" si="219"/>
        <v>18897.177149421128</v>
      </c>
      <c r="P178" s="102">
        <f t="shared" si="219"/>
        <v>18506.799590311057</v>
      </c>
      <c r="Q178" s="102">
        <f t="shared" si="219"/>
        <v>19102.087017358226</v>
      </c>
      <c r="R178" s="102">
        <f t="shared" si="219"/>
        <v>18822.603691194152</v>
      </c>
      <c r="S178" s="102">
        <f t="shared" si="219"/>
        <v>16183.797592967343</v>
      </c>
      <c r="T178" s="102">
        <f t="shared" si="219"/>
        <v>16327.138988455807</v>
      </c>
      <c r="U178" s="102">
        <f t="shared" si="219"/>
        <v>16467.478531088927</v>
      </c>
      <c r="V178" s="102">
        <f t="shared" si="219"/>
        <v>10885.880920726046</v>
      </c>
      <c r="W178" s="102">
        <f t="shared" si="221"/>
        <v>13873.853641488502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36102.659256024017</v>
      </c>
      <c r="C179" s="102">
        <f t="shared" si="219"/>
        <v>36085.629644665154</v>
      </c>
      <c r="D179" s="102">
        <f t="shared" si="219"/>
        <v>35450.436999458572</v>
      </c>
      <c r="E179" s="102">
        <f t="shared" si="219"/>
        <v>36078.954024755614</v>
      </c>
      <c r="F179" s="102">
        <f t="shared" si="219"/>
        <v>36823.006166782929</v>
      </c>
      <c r="G179" s="102">
        <f t="shared" si="219"/>
        <v>36090.383066757851</v>
      </c>
      <c r="H179" s="102">
        <f t="shared" si="219"/>
        <v>36465.732560650038</v>
      </c>
      <c r="I179" s="102">
        <f t="shared" si="219"/>
        <v>37229.981929053065</v>
      </c>
      <c r="J179" s="102">
        <f t="shared" si="219"/>
        <v>36514.096588306471</v>
      </c>
      <c r="K179" s="102">
        <f t="shared" si="219"/>
        <v>35787.356508936544</v>
      </c>
      <c r="L179" s="102">
        <f t="shared" si="219"/>
        <v>35206.587343245039</v>
      </c>
      <c r="M179" s="102">
        <f t="shared" si="222"/>
        <v>35040.36505364623</v>
      </c>
      <c r="N179" s="102">
        <f t="shared" si="219"/>
        <v>34337.940844845194</v>
      </c>
      <c r="O179" s="102">
        <f t="shared" si="219"/>
        <v>33590.244630202775</v>
      </c>
      <c r="P179" s="102">
        <f t="shared" si="219"/>
        <v>32913.096706393277</v>
      </c>
      <c r="Q179" s="102">
        <f t="shared" si="219"/>
        <v>33175.959108251482</v>
      </c>
      <c r="R179" s="102">
        <f t="shared" si="219"/>
        <v>32250.786774515229</v>
      </c>
      <c r="S179" s="102">
        <f t="shared" si="219"/>
        <v>26490.297342587903</v>
      </c>
      <c r="T179" s="102">
        <f t="shared" si="219"/>
        <v>26343.974675199173</v>
      </c>
      <c r="U179" s="102">
        <f t="shared" si="219"/>
        <v>25857.146093761741</v>
      </c>
      <c r="V179" s="102">
        <f t="shared" si="219"/>
        <v>16973.353563872661</v>
      </c>
      <c r="W179" s="102">
        <f t="shared" si="221"/>
        <v>21243.593361495074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18963.539097382243</v>
      </c>
      <c r="Q180" s="102">
        <f t="shared" si="223"/>
        <v>19573.517950932863</v>
      </c>
      <c r="R180" s="102">
        <f t="shared" si="223"/>
        <v>18905.213594760899</v>
      </c>
      <c r="S180" s="102">
        <f t="shared" si="223"/>
        <v>16254.826127618169</v>
      </c>
      <c r="T180" s="102">
        <f t="shared" si="223"/>
        <v>16398.79662942225</v>
      </c>
      <c r="U180" s="102">
        <f t="shared" si="223"/>
        <v>16539.752103638151</v>
      </c>
      <c r="V180" s="102">
        <f t="shared" si="223"/>
        <v>10933.657603901975</v>
      </c>
      <c r="W180" s="102">
        <f t="shared" si="221"/>
        <v>13934.744139435854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57115.542517366965</v>
      </c>
      <c r="C181" s="102">
        <f t="shared" si="223"/>
        <v>57108.466298038496</v>
      </c>
      <c r="D181" s="102">
        <f t="shared" si="223"/>
        <v>56835.212024537279</v>
      </c>
      <c r="E181" s="102">
        <f t="shared" si="223"/>
        <v>57113.150005532654</v>
      </c>
      <c r="F181" s="102">
        <f t="shared" si="223"/>
        <v>57415.251539122692</v>
      </c>
      <c r="G181" s="102">
        <f t="shared" si="223"/>
        <v>57144.665692386152</v>
      </c>
      <c r="H181" s="102">
        <f t="shared" si="223"/>
        <v>57300.085746889767</v>
      </c>
      <c r="I181" s="102">
        <f t="shared" si="223"/>
        <v>57598.397152985883</v>
      </c>
      <c r="J181" s="102">
        <f t="shared" si="223"/>
        <v>57325.876149334719</v>
      </c>
      <c r="K181" s="102">
        <f t="shared" si="223"/>
        <v>57047.778419867835</v>
      </c>
      <c r="L181" s="102">
        <f t="shared" si="223"/>
        <v>56821.118010008511</v>
      </c>
      <c r="M181" s="102">
        <f t="shared" si="222"/>
        <v>56757.635779215118</v>
      </c>
      <c r="N181" s="102">
        <f t="shared" si="223"/>
        <v>56477.34259249219</v>
      </c>
      <c r="O181" s="102">
        <f t="shared" si="223"/>
        <v>56170.096354044159</v>
      </c>
      <c r="P181" s="102">
        <f t="shared" si="223"/>
        <v>55891.61897870223</v>
      </c>
      <c r="Q181" s="102">
        <f t="shared" si="223"/>
        <v>56179.923067421172</v>
      </c>
      <c r="R181" s="102">
        <f t="shared" si="223"/>
        <v>55850.6414299916</v>
      </c>
      <c r="S181" s="102">
        <f t="shared" si="223"/>
        <v>70688.805739213916</v>
      </c>
      <c r="T181" s="102">
        <f t="shared" si="223"/>
        <v>71314.903044365288</v>
      </c>
      <c r="U181" s="102">
        <f t="shared" si="223"/>
        <v>71927.888631322567</v>
      </c>
      <c r="V181" s="102">
        <f t="shared" si="223"/>
        <v>47548.167683449567</v>
      </c>
      <c r="W181" s="102">
        <f t="shared" si="221"/>
        <v>60599.259183990303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0</v>
      </c>
      <c r="P182" s="102">
        <f t="shared" si="223"/>
        <v>48894.782363568513</v>
      </c>
      <c r="Q182" s="102">
        <f t="shared" si="223"/>
        <v>48945.121108678984</v>
      </c>
      <c r="R182" s="102">
        <f t="shared" si="223"/>
        <v>48887.610711709924</v>
      </c>
      <c r="S182" s="102">
        <f t="shared" si="223"/>
        <v>48537.235642521824</v>
      </c>
      <c r="T182" s="102">
        <f t="shared" si="223"/>
        <v>48516.858676486205</v>
      </c>
      <c r="U182" s="102">
        <f t="shared" si="223"/>
        <v>48497.089207001758</v>
      </c>
      <c r="V182" s="102">
        <f t="shared" si="223"/>
        <v>39821.167953046614</v>
      </c>
      <c r="W182" s="102">
        <f t="shared" si="221"/>
        <v>48102.914156346844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9771.1978069685993</v>
      </c>
      <c r="C183" s="28">
        <f t="shared" si="223"/>
        <v>11172.142338384219</v>
      </c>
      <c r="D183" s="28">
        <f t="shared" si="223"/>
        <v>11228.175570077743</v>
      </c>
      <c r="E183" s="28">
        <f t="shared" si="223"/>
        <v>11753.399548672689</v>
      </c>
      <c r="F183" s="28">
        <f t="shared" si="223"/>
        <v>12012.618081098484</v>
      </c>
      <c r="G183" s="28">
        <f t="shared" si="223"/>
        <v>11569.74202453412</v>
      </c>
      <c r="H183" s="28">
        <f t="shared" si="223"/>
        <v>12045.703178311391</v>
      </c>
      <c r="I183" s="28">
        <f t="shared" si="223"/>
        <v>11726.579928113939</v>
      </c>
      <c r="J183" s="28">
        <f t="shared" si="223"/>
        <v>11592.88229401322</v>
      </c>
      <c r="K183" s="28">
        <f t="shared" si="223"/>
        <v>11736.65116352955</v>
      </c>
      <c r="L183" s="28">
        <f t="shared" si="223"/>
        <v>12139.541451786887</v>
      </c>
      <c r="M183" s="28">
        <f t="shared" si="222"/>
        <v>12400.340279780614</v>
      </c>
      <c r="N183" s="28">
        <f t="shared" si="223"/>
        <v>12421.852082261257</v>
      </c>
      <c r="O183" s="28">
        <f t="shared" si="223"/>
        <v>13367.206806997667</v>
      </c>
      <c r="P183" s="28">
        <f t="shared" si="223"/>
        <v>12856.041703287738</v>
      </c>
      <c r="Q183" s="28">
        <f t="shared" si="223"/>
        <v>12397.586329272046</v>
      </c>
      <c r="R183" s="28">
        <f t="shared" si="223"/>
        <v>12532.537892406506</v>
      </c>
      <c r="S183" s="28">
        <f t="shared" si="223"/>
        <v>13145.844152406289</v>
      </c>
      <c r="T183" s="28">
        <f t="shared" si="223"/>
        <v>13200.939393449167</v>
      </c>
      <c r="U183" s="28">
        <f t="shared" si="223"/>
        <v>13329.639917555047</v>
      </c>
      <c r="V183" s="28">
        <f t="shared" si="223"/>
        <v>10404.591072285628</v>
      </c>
      <c r="W183" s="28">
        <f t="shared" si="221"/>
        <v>13259.976100404387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7514.0381043575817</v>
      </c>
      <c r="C184" s="137">
        <f t="shared" si="223"/>
        <v>9023.9102856155187</v>
      </c>
      <c r="D184" s="137">
        <f t="shared" si="223"/>
        <v>8532.027861276425</v>
      </c>
      <c r="E184" s="137">
        <f t="shared" si="223"/>
        <v>9079.0985292799542</v>
      </c>
      <c r="F184" s="137">
        <f t="shared" si="223"/>
        <v>8996.8310064487796</v>
      </c>
      <c r="G184" s="137">
        <f t="shared" si="223"/>
        <v>8259.7520517905523</v>
      </c>
      <c r="H184" s="137">
        <f t="shared" si="223"/>
        <v>8710.680659155496</v>
      </c>
      <c r="I184" s="137">
        <f t="shared" si="223"/>
        <v>8586.4852257081511</v>
      </c>
      <c r="J184" s="137">
        <f t="shared" si="223"/>
        <v>8646.6696168550952</v>
      </c>
      <c r="K184" s="137">
        <f t="shared" si="223"/>
        <v>8981.5494328406203</v>
      </c>
      <c r="L184" s="137">
        <f t="shared" si="223"/>
        <v>9548.4427028772461</v>
      </c>
      <c r="M184" s="137">
        <f t="shared" si="222"/>
        <v>9846.2622704591122</v>
      </c>
      <c r="N184" s="137">
        <f t="shared" si="223"/>
        <v>9872.5577164516089</v>
      </c>
      <c r="O184" s="137">
        <f t="shared" si="223"/>
        <v>10246.541664407143</v>
      </c>
      <c r="P184" s="137">
        <f t="shared" si="223"/>
        <v>9659.7597635427537</v>
      </c>
      <c r="Q184" s="137">
        <f t="shared" si="223"/>
        <v>9135.2757174507606</v>
      </c>
      <c r="R184" s="137">
        <f t="shared" si="223"/>
        <v>9038.1596263702486</v>
      </c>
      <c r="S184" s="137">
        <f t="shared" si="223"/>
        <v>9579.5472818607304</v>
      </c>
      <c r="T184" s="137">
        <f t="shared" si="223"/>
        <v>9620.9041904488786</v>
      </c>
      <c r="U184" s="137">
        <f t="shared" si="223"/>
        <v>9591.6505948328231</v>
      </c>
      <c r="V184" s="137">
        <f t="shared" si="223"/>
        <v>6307.4208455788212</v>
      </c>
      <c r="W184" s="137">
        <f t="shared" si="221"/>
        <v>9144.0145690535155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6162.2892171542653</v>
      </c>
      <c r="C185" s="84">
        <f t="shared" si="223"/>
        <v>7112.9576506321746</v>
      </c>
      <c r="D185" s="84">
        <f t="shared" si="223"/>
        <v>7047.6825243636977</v>
      </c>
      <c r="E185" s="84">
        <f t="shared" si="223"/>
        <v>7374.4727841751683</v>
      </c>
      <c r="F185" s="84">
        <f t="shared" si="223"/>
        <v>7158.7930107344146</v>
      </c>
      <c r="G185" s="84">
        <f t="shared" si="223"/>
        <v>6373.6565614831734</v>
      </c>
      <c r="H185" s="84">
        <f t="shared" si="223"/>
        <v>6547.5059372232427</v>
      </c>
      <c r="I185" s="84">
        <f t="shared" si="223"/>
        <v>6320.3483657731294</v>
      </c>
      <c r="J185" s="84">
        <f t="shared" si="223"/>
        <v>6063.6877265520961</v>
      </c>
      <c r="K185" s="84">
        <f t="shared" si="223"/>
        <v>6010.0079668497328</v>
      </c>
      <c r="L185" s="84">
        <f t="shared" si="223"/>
        <v>6103.7409671998976</v>
      </c>
      <c r="M185" s="84">
        <f t="shared" si="222"/>
        <v>6003.6116475550607</v>
      </c>
      <c r="N185" s="84">
        <f t="shared" si="223"/>
        <v>6198.0601830982405</v>
      </c>
      <c r="O185" s="84">
        <f t="shared" si="223"/>
        <v>6739.627641984579</v>
      </c>
      <c r="P185" s="84">
        <f t="shared" si="223"/>
        <v>6668.3865017644239</v>
      </c>
      <c r="Q185" s="84">
        <f t="shared" si="223"/>
        <v>6619.7297385285747</v>
      </c>
      <c r="R185" s="84">
        <f t="shared" si="223"/>
        <v>6767.5399914846621</v>
      </c>
      <c r="S185" s="84">
        <f t="shared" si="223"/>
        <v>7188.6365994665457</v>
      </c>
      <c r="T185" s="84">
        <f t="shared" si="223"/>
        <v>7116.5570389680252</v>
      </c>
      <c r="U185" s="84">
        <f t="shared" si="223"/>
        <v>7448.5299222570002</v>
      </c>
      <c r="V185" s="84">
        <f t="shared" si="223"/>
        <v>5036.3539928544815</v>
      </c>
      <c r="W185" s="84">
        <f t="shared" si="221"/>
        <v>7598.76440045855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7665.813908740759</v>
      </c>
      <c r="C186" s="84">
        <f t="shared" si="223"/>
        <v>9219.4659853621324</v>
      </c>
      <c r="D186" s="84">
        <f t="shared" si="223"/>
        <v>8642.8289762521526</v>
      </c>
      <c r="E186" s="84">
        <f t="shared" si="223"/>
        <v>9182.851461491291</v>
      </c>
      <c r="F186" s="84">
        <f t="shared" si="223"/>
        <v>9086.9452857446104</v>
      </c>
      <c r="G186" s="84">
        <f t="shared" si="223"/>
        <v>8335.3753763909372</v>
      </c>
      <c r="H186" s="84">
        <f t="shared" si="223"/>
        <v>8782.6509566851182</v>
      </c>
      <c r="I186" s="84">
        <f t="shared" si="223"/>
        <v>8645.2633353881811</v>
      </c>
      <c r="J186" s="84">
        <f t="shared" si="223"/>
        <v>8707.9590266613213</v>
      </c>
      <c r="K186" s="84">
        <f t="shared" si="223"/>
        <v>9054.6142906050773</v>
      </c>
      <c r="L186" s="84">
        <f t="shared" si="223"/>
        <v>9631.5927811686579</v>
      </c>
      <c r="M186" s="84">
        <f t="shared" si="222"/>
        <v>9946.6527110880361</v>
      </c>
      <c r="N186" s="84">
        <f t="shared" si="223"/>
        <v>9978.0099562572741</v>
      </c>
      <c r="O186" s="84">
        <f t="shared" si="223"/>
        <v>10346.017391031233</v>
      </c>
      <c r="P186" s="84">
        <f t="shared" si="223"/>
        <v>9717.5558576692147</v>
      </c>
      <c r="Q186" s="84">
        <f t="shared" si="223"/>
        <v>9181.9898884172508</v>
      </c>
      <c r="R186" s="84">
        <f t="shared" si="223"/>
        <v>9078.6754781718864</v>
      </c>
      <c r="S186" s="84">
        <f t="shared" si="223"/>
        <v>9627.5392571541452</v>
      </c>
      <c r="T186" s="84">
        <f t="shared" si="223"/>
        <v>9675.6429669970294</v>
      </c>
      <c r="U186" s="84">
        <f t="shared" si="223"/>
        <v>9641.6067086958337</v>
      </c>
      <c r="V186" s="84">
        <f t="shared" si="223"/>
        <v>6336.4880658551401</v>
      </c>
      <c r="W186" s="84">
        <f t="shared" si="221"/>
        <v>9185.3237174037149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10708.603273725434</v>
      </c>
      <c r="P187" s="84">
        <f t="shared" si="223"/>
        <v>10065.637725220364</v>
      </c>
      <c r="Q187" s="84">
        <f t="shared" si="223"/>
        <v>9492.582846060679</v>
      </c>
      <c r="R187" s="84">
        <f t="shared" si="223"/>
        <v>9386.6507904386071</v>
      </c>
      <c r="S187" s="84">
        <f t="shared" si="223"/>
        <v>9977.8940507656425</v>
      </c>
      <c r="T187" s="84">
        <f t="shared" si="223"/>
        <v>10023.129413465722</v>
      </c>
      <c r="U187" s="84">
        <f t="shared" si="223"/>
        <v>9991.131404594651</v>
      </c>
      <c r="V187" s="84">
        <f t="shared" si="223"/>
        <v>6433.8518016128019</v>
      </c>
      <c r="W187" s="84">
        <f t="shared" si="221"/>
        <v>9502.1177601210802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10763.656722863492</v>
      </c>
      <c r="O188" s="84">
        <f t="shared" si="223"/>
        <v>11192.184199084057</v>
      </c>
      <c r="P188" s="84">
        <f t="shared" si="223"/>
        <v>10520.183503139857</v>
      </c>
      <c r="Q188" s="84">
        <f t="shared" si="223"/>
        <v>9921.2505144207989</v>
      </c>
      <c r="R188" s="84">
        <f t="shared" si="223"/>
        <v>9810.5347610396966</v>
      </c>
      <c r="S188" s="84">
        <f t="shared" si="223"/>
        <v>10428.477484931931</v>
      </c>
      <c r="T188" s="84">
        <f t="shared" si="223"/>
        <v>10475.755593823487</v>
      </c>
      <c r="U188" s="84">
        <f t="shared" si="223"/>
        <v>10442.312613433351</v>
      </c>
      <c r="V188" s="84">
        <f t="shared" si="223"/>
        <v>6724.3927739801338</v>
      </c>
      <c r="W188" s="84">
        <f t="shared" si="221"/>
        <v>9931.2160077497283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7504.06557038347</v>
      </c>
      <c r="N189" s="84">
        <f t="shared" si="223"/>
        <v>7505.066320049631</v>
      </c>
      <c r="O189" s="84">
        <f t="shared" si="223"/>
        <v>7519.0316995559333</v>
      </c>
      <c r="P189" s="84">
        <f t="shared" si="223"/>
        <v>7541.2348353786383</v>
      </c>
      <c r="Q189" s="84">
        <f t="shared" si="223"/>
        <v>7562.31386545443</v>
      </c>
      <c r="R189" s="84">
        <f t="shared" si="223"/>
        <v>7558.2737203834795</v>
      </c>
      <c r="S189" s="84">
        <f t="shared" si="223"/>
        <v>7536.3206251175425</v>
      </c>
      <c r="T189" s="84">
        <f t="shared" si="223"/>
        <v>7534.6975078651394</v>
      </c>
      <c r="U189" s="84">
        <f t="shared" si="223"/>
        <v>7533.5503393238141</v>
      </c>
      <c r="V189" s="84">
        <f t="shared" si="223"/>
        <v>5501.3406644066445</v>
      </c>
      <c r="W189" s="84">
        <f t="shared" si="221"/>
        <v>7515.5691067036669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20414.320193307918</v>
      </c>
      <c r="C190" s="110">
        <f t="shared" si="223"/>
        <v>21196.651711930699</v>
      </c>
      <c r="D190" s="110">
        <f t="shared" si="223"/>
        <v>23162.737496787275</v>
      </c>
      <c r="E190" s="110">
        <f t="shared" si="223"/>
        <v>23449.14808651332</v>
      </c>
      <c r="F190" s="110">
        <f t="shared" si="223"/>
        <v>25842.458395272119</v>
      </c>
      <c r="G190" s="110">
        <f t="shared" si="223"/>
        <v>26719.921421380444</v>
      </c>
      <c r="H190" s="110">
        <f t="shared" si="223"/>
        <v>27136.590766122998</v>
      </c>
      <c r="I190" s="110">
        <f t="shared" si="223"/>
        <v>28049.856557949348</v>
      </c>
      <c r="J190" s="110">
        <f t="shared" si="223"/>
        <v>25668.608506941982</v>
      </c>
      <c r="K190" s="110">
        <f t="shared" si="223"/>
        <v>23188.505527451656</v>
      </c>
      <c r="L190" s="110">
        <f t="shared" si="223"/>
        <v>22629.377931741376</v>
      </c>
      <c r="M190" s="110">
        <f t="shared" si="222"/>
        <v>22514.733378992431</v>
      </c>
      <c r="N190" s="110">
        <f t="shared" si="223"/>
        <v>22084.936513312827</v>
      </c>
      <c r="O190" s="110">
        <f t="shared" si="223"/>
        <v>28817.474136446723</v>
      </c>
      <c r="P190" s="110">
        <f t="shared" si="223"/>
        <v>29234.933475496844</v>
      </c>
      <c r="Q190" s="110">
        <f t="shared" si="223"/>
        <v>30536.85547240877</v>
      </c>
      <c r="R190" s="110">
        <f t="shared" si="223"/>
        <v>30925.739749375738</v>
      </c>
      <c r="S190" s="110">
        <f t="shared" si="223"/>
        <v>31879.2699227829</v>
      </c>
      <c r="T190" s="110">
        <f t="shared" si="223"/>
        <v>32011.879921307991</v>
      </c>
      <c r="U190" s="110">
        <f t="shared" si="223"/>
        <v>32800.143162173161</v>
      </c>
      <c r="V190" s="110">
        <f t="shared" si="223"/>
        <v>31598.406883512223</v>
      </c>
      <c r="W190" s="110">
        <f t="shared" si="221"/>
        <v>34686.343512619074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17507.838058887679</v>
      </c>
      <c r="C191" s="102">
        <f t="shared" si="223"/>
        <v>18239.465207029305</v>
      </c>
      <c r="D191" s="102">
        <f t="shared" si="223"/>
        <v>20224.303299150288</v>
      </c>
      <c r="E191" s="102">
        <f t="shared" si="223"/>
        <v>20586.433848630601</v>
      </c>
      <c r="F191" s="102">
        <f t="shared" si="223"/>
        <v>22631.501977297637</v>
      </c>
      <c r="G191" s="102">
        <f t="shared" si="223"/>
        <v>23523.488895529506</v>
      </c>
      <c r="H191" s="102">
        <f t="shared" si="223"/>
        <v>23982.259148880661</v>
      </c>
      <c r="I191" s="102">
        <f t="shared" si="223"/>
        <v>24977.839554210899</v>
      </c>
      <c r="J191" s="102">
        <f t="shared" si="223"/>
        <v>22746.689744220705</v>
      </c>
      <c r="K191" s="102">
        <f t="shared" si="223"/>
        <v>20326.834660527074</v>
      </c>
      <c r="L191" s="102">
        <f t="shared" si="223"/>
        <v>19765.730903361102</v>
      </c>
      <c r="M191" s="102">
        <f t="shared" si="222"/>
        <v>19616.137597943394</v>
      </c>
      <c r="N191" s="102">
        <f t="shared" si="223"/>
        <v>19133.74333844554</v>
      </c>
      <c r="O191" s="102">
        <f t="shared" si="223"/>
        <v>24908.573317269249</v>
      </c>
      <c r="P191" s="102">
        <f t="shared" si="223"/>
        <v>25392.364646685812</v>
      </c>
      <c r="Q191" s="102">
        <f t="shared" si="223"/>
        <v>26615.977576806377</v>
      </c>
      <c r="R191" s="102">
        <f t="shared" si="223"/>
        <v>27040.092030546308</v>
      </c>
      <c r="S191" s="102">
        <f t="shared" si="223"/>
        <v>28031.53822791285</v>
      </c>
      <c r="T191" s="102">
        <f t="shared" si="223"/>
        <v>28113.418436378612</v>
      </c>
      <c r="U191" s="102">
        <f t="shared" si="223"/>
        <v>28882.788741383221</v>
      </c>
      <c r="V191" s="102">
        <f t="shared" si="223"/>
        <v>27852.703178140026</v>
      </c>
      <c r="W191" s="102">
        <f t="shared" si="221"/>
        <v>30788.772137986638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84999.388348567154</v>
      </c>
      <c r="C192" s="86">
        <f t="shared" si="223"/>
        <v>84999.026237513346</v>
      </c>
      <c r="D192" s="86">
        <f t="shared" si="223"/>
        <v>85000.945913987045</v>
      </c>
      <c r="E192" s="86">
        <f t="shared" si="223"/>
        <v>85000.136581900078</v>
      </c>
      <c r="F192" s="86">
        <f t="shared" si="223"/>
        <v>84999.170854515862</v>
      </c>
      <c r="G192" s="86">
        <f t="shared" si="223"/>
        <v>85000.122717574137</v>
      </c>
      <c r="H192" s="86">
        <f t="shared" si="223"/>
        <v>84999.237216375099</v>
      </c>
      <c r="I192" s="86">
        <f t="shared" si="223"/>
        <v>84999.724007364712</v>
      </c>
      <c r="J192" s="86">
        <f t="shared" si="223"/>
        <v>85000.874525091524</v>
      </c>
      <c r="K192" s="86">
        <f t="shared" si="223"/>
        <v>84998.872879241855</v>
      </c>
      <c r="L192" s="86">
        <f t="shared" si="223"/>
        <v>85001.275898186344</v>
      </c>
      <c r="M192" s="86">
        <f t="shared" si="222"/>
        <v>84998.698124687275</v>
      </c>
      <c r="N192" s="86">
        <f t="shared" si="223"/>
        <v>84999.653403035045</v>
      </c>
      <c r="O192" s="86">
        <f t="shared" si="223"/>
        <v>84999.237764538368</v>
      </c>
      <c r="P192" s="86">
        <f t="shared" si="223"/>
        <v>84999.539390745893</v>
      </c>
      <c r="Q192" s="86">
        <f t="shared" si="223"/>
        <v>84999.358793650958</v>
      </c>
      <c r="R192" s="86">
        <f t="shared" si="223"/>
        <v>85001.196855905582</v>
      </c>
      <c r="S192" s="86">
        <f t="shared" si="223"/>
        <v>85000.065950340824</v>
      </c>
      <c r="T192" s="86">
        <f t="shared" si="223"/>
        <v>84999.577241922074</v>
      </c>
      <c r="U192" s="86">
        <f t="shared" si="223"/>
        <v>85000.027222252844</v>
      </c>
      <c r="V192" s="86">
        <f t="shared" ref="V192:W192" si="224">IF(V55=0,0,V55*1000000/V82)</f>
        <v>85000.493090673146</v>
      </c>
      <c r="W192" s="86">
        <f t="shared" si="224"/>
        <v>85000.690240507553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17506.052920963124</v>
      </c>
      <c r="C195" s="28">
        <f t="shared" si="225"/>
        <v>17255.014323603573</v>
      </c>
      <c r="D195" s="28">
        <f t="shared" si="225"/>
        <v>16800.825140939043</v>
      </c>
      <c r="E195" s="28">
        <f t="shared" si="225"/>
        <v>17100.774766476126</v>
      </c>
      <c r="F195" s="28">
        <f t="shared" si="225"/>
        <v>16847.128077901492</v>
      </c>
      <c r="G195" s="28">
        <f t="shared" si="225"/>
        <v>16550.565579467158</v>
      </c>
      <c r="H195" s="28">
        <f t="shared" si="225"/>
        <v>15825.61542903756</v>
      </c>
      <c r="I195" s="28">
        <f t="shared" si="225"/>
        <v>15733.625076836841</v>
      </c>
      <c r="J195" s="28">
        <f t="shared" si="225"/>
        <v>15448.361958120991</v>
      </c>
      <c r="K195" s="28">
        <f t="shared" si="225"/>
        <v>15683.816917831375</v>
      </c>
      <c r="L195" s="28">
        <f t="shared" si="225"/>
        <v>15026.235971788095</v>
      </c>
      <c r="M195" s="28">
        <f>IF(M4=0,0,M4*1000000/M58)</f>
        <v>14796.962848317153</v>
      </c>
      <c r="N195" s="28">
        <f t="shared" ref="N195:V195" si="226">IF(N4=0,0,N4*1000000/N58)</f>
        <v>14267.040639321811</v>
      </c>
      <c r="O195" s="28">
        <f t="shared" si="226"/>
        <v>14199.768261291252</v>
      </c>
      <c r="P195" s="28">
        <f t="shared" si="226"/>
        <v>13417.729709300256</v>
      </c>
      <c r="Q195" s="28">
        <f t="shared" si="226"/>
        <v>13849.096988493038</v>
      </c>
      <c r="R195" s="28">
        <f t="shared" si="226"/>
        <v>14044.317581832956</v>
      </c>
      <c r="S195" s="28">
        <f t="shared" si="226"/>
        <v>13176.855937398846</v>
      </c>
      <c r="T195" s="28">
        <f t="shared" si="226"/>
        <v>13163.44231824015</v>
      </c>
      <c r="U195" s="28">
        <f t="shared" si="226"/>
        <v>13014.730768436877</v>
      </c>
      <c r="V195" s="28">
        <f t="shared" si="226"/>
        <v>9853.8102549551859</v>
      </c>
      <c r="W195" s="28">
        <f t="shared" ref="W195" si="227">IF(W4=0,0,W4*1000000/W58)</f>
        <v>10445.908213146015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3270.7054626249869</v>
      </c>
      <c r="C196" s="137">
        <f t="shared" si="228"/>
        <v>3425.9360315857957</v>
      </c>
      <c r="D196" s="137">
        <f t="shared" si="228"/>
        <v>2939.5745733511503</v>
      </c>
      <c r="E196" s="137">
        <f t="shared" si="228"/>
        <v>3265.5721009520489</v>
      </c>
      <c r="F196" s="137">
        <f t="shared" si="228"/>
        <v>2976.3509453140564</v>
      </c>
      <c r="G196" s="137">
        <f t="shared" si="228"/>
        <v>3228.7834469885725</v>
      </c>
      <c r="H196" s="137">
        <f t="shared" si="228"/>
        <v>3062.6310018662175</v>
      </c>
      <c r="I196" s="137">
        <f t="shared" si="228"/>
        <v>3263.687344733567</v>
      </c>
      <c r="J196" s="137">
        <f t="shared" si="228"/>
        <v>3148.71807824905</v>
      </c>
      <c r="K196" s="137">
        <f t="shared" si="228"/>
        <v>3247.9067335189461</v>
      </c>
      <c r="L196" s="137">
        <f t="shared" si="228"/>
        <v>3262.4762837444946</v>
      </c>
      <c r="M196" s="137">
        <f>IF(M5=0,0,M5*1000000/M59)</f>
        <v>3019.974499975232</v>
      </c>
      <c r="N196" s="137">
        <f t="shared" ref="N196:V196" si="229">IF(N5=0,0,N5*1000000/N59)</f>
        <v>2862.497649440063</v>
      </c>
      <c r="O196" s="137">
        <f t="shared" si="229"/>
        <v>2839.7089178935471</v>
      </c>
      <c r="P196" s="137">
        <f t="shared" si="229"/>
        <v>3129.1453216209329</v>
      </c>
      <c r="Q196" s="137">
        <f t="shared" si="229"/>
        <v>3363.7322804515788</v>
      </c>
      <c r="R196" s="137">
        <f t="shared" si="229"/>
        <v>3372.0856839702551</v>
      </c>
      <c r="S196" s="137">
        <f t="shared" si="229"/>
        <v>3127.8222933037969</v>
      </c>
      <c r="T196" s="137">
        <f t="shared" si="229"/>
        <v>2922.3650251743175</v>
      </c>
      <c r="U196" s="137">
        <f t="shared" si="229"/>
        <v>3039.4998860407827</v>
      </c>
      <c r="V196" s="137">
        <f t="shared" si="229"/>
        <v>2665.3189889672844</v>
      </c>
      <c r="W196" s="137">
        <f t="shared" ref="W196" si="230">IF(W5=0,0,W5*1000000/W59)</f>
        <v>2718.4901512534584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17324.911114299375</v>
      </c>
      <c r="C197" s="110">
        <f t="shared" si="231"/>
        <v>16966.282849429779</v>
      </c>
      <c r="D197" s="110">
        <f t="shared" si="231"/>
        <v>16815.245822879409</v>
      </c>
      <c r="E197" s="110">
        <f t="shared" si="231"/>
        <v>17226.455479452055</v>
      </c>
      <c r="F197" s="110">
        <f t="shared" si="231"/>
        <v>16896.530549585506</v>
      </c>
      <c r="G197" s="110">
        <f t="shared" si="231"/>
        <v>16681.022777995691</v>
      </c>
      <c r="H197" s="110">
        <f t="shared" si="231"/>
        <v>16194.224101078231</v>
      </c>
      <c r="I197" s="110">
        <f t="shared" si="231"/>
        <v>15776.332720588232</v>
      </c>
      <c r="J197" s="110">
        <f t="shared" si="231"/>
        <v>15471.257620230297</v>
      </c>
      <c r="K197" s="110">
        <f t="shared" si="231"/>
        <v>15938.910116448325</v>
      </c>
      <c r="L197" s="110">
        <f t="shared" si="231"/>
        <v>15424.823911865631</v>
      </c>
      <c r="M197" s="110">
        <f>IF(M6=0,0,M6*1000000/M60)</f>
        <v>14993.984827400458</v>
      </c>
      <c r="N197" s="110">
        <f t="shared" ref="N197:V197" si="232">IF(N6=0,0,N6*1000000/N60)</f>
        <v>14430.285868392664</v>
      </c>
      <c r="O197" s="110">
        <f t="shared" si="232"/>
        <v>14372.106238959474</v>
      </c>
      <c r="P197" s="110">
        <f t="shared" si="232"/>
        <v>14013.201926579219</v>
      </c>
      <c r="Q197" s="110">
        <f t="shared" si="232"/>
        <v>14204.661223036839</v>
      </c>
      <c r="R197" s="110">
        <f t="shared" si="232"/>
        <v>14419.830020155765</v>
      </c>
      <c r="S197" s="110">
        <f t="shared" si="232"/>
        <v>14163.928521900543</v>
      </c>
      <c r="T197" s="110">
        <f t="shared" si="232"/>
        <v>14146.12710537539</v>
      </c>
      <c r="U197" s="110">
        <f t="shared" si="232"/>
        <v>13926.347637437808</v>
      </c>
      <c r="V197" s="110">
        <f t="shared" si="232"/>
        <v>10743.176591172565</v>
      </c>
      <c r="W197" s="110">
        <f t="shared" ref="W197:W209" si="233">IF(W6=0,0,W6*1000000/W60)</f>
        <v>11291.557048038296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11877.325159783992</v>
      </c>
      <c r="C198" s="84">
        <f t="shared" si="231"/>
        <v>11296.609562917762</v>
      </c>
      <c r="D198" s="84">
        <f t="shared" si="231"/>
        <v>10883.320604948085</v>
      </c>
      <c r="E198" s="84">
        <f t="shared" si="231"/>
        <v>10769.517236627578</v>
      </c>
      <c r="F198" s="84">
        <f t="shared" si="231"/>
        <v>10223.795084135112</v>
      </c>
      <c r="G198" s="84">
        <f t="shared" si="231"/>
        <v>9787.4014953914611</v>
      </c>
      <c r="H198" s="84">
        <f t="shared" si="231"/>
        <v>9220.6487429399531</v>
      </c>
      <c r="I198" s="84">
        <f t="shared" si="231"/>
        <v>8766.2294519795014</v>
      </c>
      <c r="J198" s="84">
        <f t="shared" si="231"/>
        <v>8468.6957049415505</v>
      </c>
      <c r="K198" s="84">
        <f t="shared" si="231"/>
        <v>8594.155922289181</v>
      </c>
      <c r="L198" s="84">
        <f t="shared" si="231"/>
        <v>8214.3491717556044</v>
      </c>
      <c r="M198" s="84">
        <f t="shared" ref="M198:M219" si="234">IF(M7=0,0,M7*1000000/M61)</f>
        <v>7912.8068730592995</v>
      </c>
      <c r="N198" s="84">
        <f t="shared" si="231"/>
        <v>7557.9948879150716</v>
      </c>
      <c r="O198" s="84">
        <f t="shared" si="231"/>
        <v>7451.7108229506866</v>
      </c>
      <c r="P198" s="84">
        <f t="shared" si="231"/>
        <v>7192.5687956163711</v>
      </c>
      <c r="Q198" s="84">
        <f t="shared" si="231"/>
        <v>7244.7632631433189</v>
      </c>
      <c r="R198" s="84">
        <f t="shared" si="231"/>
        <v>7326.5007248740512</v>
      </c>
      <c r="S198" s="84">
        <f t="shared" si="231"/>
        <v>7197.975807837166</v>
      </c>
      <c r="T198" s="84">
        <f t="shared" si="231"/>
        <v>7230.7751472022101</v>
      </c>
      <c r="U198" s="84">
        <f t="shared" si="231"/>
        <v>7176.7441082060086</v>
      </c>
      <c r="V198" s="84">
        <f t="shared" si="231"/>
        <v>4806.8283717211089</v>
      </c>
      <c r="W198" s="84">
        <f t="shared" si="233"/>
        <v>5881.9703931506183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32020.799412796638</v>
      </c>
      <c r="C199" s="84">
        <f t="shared" si="231"/>
        <v>30455.21310502278</v>
      </c>
      <c r="D199" s="84">
        <f t="shared" si="231"/>
        <v>29341.002401464695</v>
      </c>
      <c r="E199" s="84">
        <f t="shared" si="231"/>
        <v>29034.19301631541</v>
      </c>
      <c r="F199" s="84">
        <f t="shared" si="231"/>
        <v>27562.94765214466</v>
      </c>
      <c r="G199" s="84">
        <f t="shared" si="231"/>
        <v>26386.447776776669</v>
      </c>
      <c r="H199" s="84">
        <f t="shared" si="231"/>
        <v>24858.504745937713</v>
      </c>
      <c r="I199" s="84">
        <f t="shared" si="231"/>
        <v>23633.408289505038</v>
      </c>
      <c r="J199" s="84">
        <f t="shared" si="231"/>
        <v>22831.269061667881</v>
      </c>
      <c r="K199" s="84">
        <f t="shared" si="231"/>
        <v>23169.504851286318</v>
      </c>
      <c r="L199" s="84">
        <f t="shared" si="231"/>
        <v>22145.560856249387</v>
      </c>
      <c r="M199" s="84">
        <f t="shared" si="234"/>
        <v>21332.614731500573</v>
      </c>
      <c r="N199" s="84">
        <f t="shared" si="231"/>
        <v>20376.055636526191</v>
      </c>
      <c r="O199" s="84">
        <f t="shared" si="231"/>
        <v>20089.517996172232</v>
      </c>
      <c r="P199" s="84">
        <f t="shared" si="231"/>
        <v>19390.881327977444</v>
      </c>
      <c r="Q199" s="84">
        <f t="shared" si="231"/>
        <v>19531.595550468981</v>
      </c>
      <c r="R199" s="84">
        <f t="shared" si="231"/>
        <v>19751.956518227358</v>
      </c>
      <c r="S199" s="84">
        <f t="shared" si="231"/>
        <v>19405.458419318758</v>
      </c>
      <c r="T199" s="84">
        <f t="shared" si="231"/>
        <v>19493.884142497282</v>
      </c>
      <c r="U199" s="84">
        <f t="shared" si="231"/>
        <v>19348.218595879058</v>
      </c>
      <c r="V199" s="84">
        <f t="shared" si="231"/>
        <v>15631.049456333905</v>
      </c>
      <c r="W199" s="84">
        <f t="shared" si="233"/>
        <v>15857.559810588691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36428.502821581518</v>
      </c>
      <c r="C200" s="84">
        <f t="shared" si="231"/>
        <v>34696.591737465125</v>
      </c>
      <c r="D200" s="84">
        <f t="shared" si="231"/>
        <v>33471.866933160287</v>
      </c>
      <c r="E200" s="84">
        <f t="shared" si="231"/>
        <v>33174.624893330671</v>
      </c>
      <c r="F200" s="84">
        <f t="shared" si="231"/>
        <v>31539.241807669157</v>
      </c>
      <c r="G200" s="84">
        <f t="shared" si="231"/>
        <v>30233.600596558343</v>
      </c>
      <c r="H200" s="84">
        <f t="shared" si="231"/>
        <v>28518.599677735725</v>
      </c>
      <c r="I200" s="84">
        <f t="shared" si="231"/>
        <v>27140.189048983331</v>
      </c>
      <c r="J200" s="84">
        <f t="shared" si="231"/>
        <v>26234.908796633972</v>
      </c>
      <c r="K200" s="84">
        <f t="shared" si="231"/>
        <v>26639.118502476318</v>
      </c>
      <c r="L200" s="84">
        <f t="shared" si="231"/>
        <v>25473.946848963595</v>
      </c>
      <c r="M200" s="84">
        <f t="shared" si="234"/>
        <v>24547.238844429314</v>
      </c>
      <c r="N200" s="84">
        <f t="shared" si="231"/>
        <v>23452.759613421647</v>
      </c>
      <c r="O200" s="84">
        <f t="shared" si="231"/>
        <v>23131.587154508205</v>
      </c>
      <c r="P200" s="84">
        <f t="shared" si="231"/>
        <v>21320.171469977322</v>
      </c>
      <c r="Q200" s="84">
        <f t="shared" si="231"/>
        <v>20456.942786524618</v>
      </c>
      <c r="R200" s="84">
        <f t="shared" si="231"/>
        <v>21724.908967560743</v>
      </c>
      <c r="S200" s="84">
        <f t="shared" si="231"/>
        <v>22359.458662908157</v>
      </c>
      <c r="T200" s="84">
        <f t="shared" si="231"/>
        <v>22454.908556970637</v>
      </c>
      <c r="U200" s="84">
        <f t="shared" si="231"/>
        <v>22279.252038586808</v>
      </c>
      <c r="V200" s="84">
        <f t="shared" si="231"/>
        <v>14941.071923746847</v>
      </c>
      <c r="W200" s="84">
        <f t="shared" si="233"/>
        <v>18250.014707016955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16245.613484163645</v>
      </c>
      <c r="G201" s="84">
        <f t="shared" si="231"/>
        <v>15573.088044457483</v>
      </c>
      <c r="H201" s="84">
        <f t="shared" si="231"/>
        <v>14689.704663776371</v>
      </c>
      <c r="I201" s="84">
        <f t="shared" si="231"/>
        <v>13979.69627379253</v>
      </c>
      <c r="J201" s="84">
        <f t="shared" si="231"/>
        <v>13513.393590798487</v>
      </c>
      <c r="K201" s="84">
        <f t="shared" si="231"/>
        <v>13721.598806627921</v>
      </c>
      <c r="L201" s="84">
        <f t="shared" si="231"/>
        <v>13121.428122719191</v>
      </c>
      <c r="M201" s="84">
        <f t="shared" si="234"/>
        <v>12873.361054504856</v>
      </c>
      <c r="N201" s="84">
        <f t="shared" si="231"/>
        <v>12946.716807047218</v>
      </c>
      <c r="O201" s="84">
        <f t="shared" si="231"/>
        <v>13441.493413874921</v>
      </c>
      <c r="P201" s="84">
        <f t="shared" si="231"/>
        <v>13661.946020514035</v>
      </c>
      <c r="Q201" s="84">
        <f t="shared" si="231"/>
        <v>14488.662503547754</v>
      </c>
      <c r="R201" s="84">
        <f t="shared" si="231"/>
        <v>15386.701582732456</v>
      </c>
      <c r="S201" s="84">
        <f t="shared" si="231"/>
        <v>15872.113608423668</v>
      </c>
      <c r="T201" s="84">
        <f t="shared" si="231"/>
        <v>16736.863280503036</v>
      </c>
      <c r="U201" s="84">
        <f t="shared" si="231"/>
        <v>17213.799219190609</v>
      </c>
      <c r="V201" s="84">
        <f t="shared" si="231"/>
        <v>11544.041593919601</v>
      </c>
      <c r="W201" s="84">
        <f t="shared" si="233"/>
        <v>14100.656896818899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11268.063077476159</v>
      </c>
      <c r="N202" s="84">
        <f t="shared" si="231"/>
        <v>10765.657854219009</v>
      </c>
      <c r="O202" s="84">
        <f t="shared" si="231"/>
        <v>10618.228175927268</v>
      </c>
      <c r="P202" s="84">
        <f t="shared" si="231"/>
        <v>10252.757853685544</v>
      </c>
      <c r="Q202" s="84">
        <f t="shared" si="231"/>
        <v>10329.51752606224</v>
      </c>
      <c r="R202" s="84">
        <f t="shared" si="231"/>
        <v>10447.393978581295</v>
      </c>
      <c r="S202" s="84">
        <f t="shared" si="231"/>
        <v>10263.793503970657</v>
      </c>
      <c r="T202" s="84">
        <f t="shared" si="231"/>
        <v>10307.608428893614</v>
      </c>
      <c r="U202" s="84">
        <f t="shared" si="231"/>
        <v>10226.975786596737</v>
      </c>
      <c r="V202" s="84">
        <f t="shared" si="231"/>
        <v>6858.48791177155</v>
      </c>
      <c r="W202" s="84">
        <f t="shared" si="233"/>
        <v>8377.4113327700197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13839.631623706055</v>
      </c>
      <c r="L203" s="84">
        <f t="shared" si="231"/>
        <v>14040.512722920075</v>
      </c>
      <c r="M203" s="84">
        <f t="shared" si="234"/>
        <v>14165.502150272518</v>
      </c>
      <c r="N203" s="84">
        <f t="shared" si="231"/>
        <v>14439.775834559807</v>
      </c>
      <c r="O203" s="84">
        <f t="shared" si="231"/>
        <v>14374.177854828265</v>
      </c>
      <c r="P203" s="84">
        <f t="shared" si="231"/>
        <v>13816.361999527782</v>
      </c>
      <c r="Q203" s="84">
        <f t="shared" si="231"/>
        <v>13779.270811066628</v>
      </c>
      <c r="R203" s="84">
        <f t="shared" si="231"/>
        <v>14395.118737988138</v>
      </c>
      <c r="S203" s="84">
        <f t="shared" si="231"/>
        <v>14274.904229300648</v>
      </c>
      <c r="T203" s="84">
        <f t="shared" si="231"/>
        <v>14341.346739251621</v>
      </c>
      <c r="U203" s="84">
        <f t="shared" si="231"/>
        <v>12919.819896224897</v>
      </c>
      <c r="V203" s="84">
        <f t="shared" si="231"/>
        <v>9464.4428331395065</v>
      </c>
      <c r="W203" s="84">
        <f t="shared" si="233"/>
        <v>11521.645295024466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916678.82147024502</v>
      </c>
      <c r="C204" s="110">
        <f t="shared" si="231"/>
        <v>919128.36372684955</v>
      </c>
      <c r="D204" s="110">
        <f t="shared" si="231"/>
        <v>878724.03925492882</v>
      </c>
      <c r="E204" s="110">
        <f t="shared" si="231"/>
        <v>875901.10535590316</v>
      </c>
      <c r="F204" s="110">
        <f t="shared" si="231"/>
        <v>934564.08104753413</v>
      </c>
      <c r="G204" s="110">
        <f t="shared" si="231"/>
        <v>912924.04889438266</v>
      </c>
      <c r="H204" s="110">
        <f t="shared" si="231"/>
        <v>815922.1247128431</v>
      </c>
      <c r="I204" s="110">
        <f t="shared" si="231"/>
        <v>966747.27932285366</v>
      </c>
      <c r="J204" s="110">
        <f t="shared" si="231"/>
        <v>978127.76215347543</v>
      </c>
      <c r="K204" s="110">
        <f t="shared" si="231"/>
        <v>910313.90134529152</v>
      </c>
      <c r="L204" s="110">
        <f t="shared" si="231"/>
        <v>815149.33141164226</v>
      </c>
      <c r="M204" s="110">
        <f t="shared" si="234"/>
        <v>893902.94749671267</v>
      </c>
      <c r="N204" s="110">
        <f t="shared" si="231"/>
        <v>874482.82497835078</v>
      </c>
      <c r="O204" s="110">
        <f t="shared" si="231"/>
        <v>898884.65905296209</v>
      </c>
      <c r="P204" s="110">
        <f t="shared" si="231"/>
        <v>660027.75966153271</v>
      </c>
      <c r="Q204" s="110">
        <f t="shared" si="231"/>
        <v>769916.35132443742</v>
      </c>
      <c r="R204" s="110">
        <f t="shared" si="231"/>
        <v>772389.14583265956</v>
      </c>
      <c r="S204" s="110">
        <f t="shared" si="231"/>
        <v>670682.11294541776</v>
      </c>
      <c r="T204" s="110">
        <f t="shared" si="231"/>
        <v>691070.70013096603</v>
      </c>
      <c r="U204" s="110">
        <f t="shared" si="231"/>
        <v>701314.04104532709</v>
      </c>
      <c r="V204" s="110">
        <f t="shared" si="231"/>
        <v>408242.93139517331</v>
      </c>
      <c r="W204" s="110">
        <f t="shared" si="233"/>
        <v>501765.41691407241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199237.04019101258</v>
      </c>
      <c r="C205" s="102">
        <f t="shared" si="231"/>
        <v>199764.48965750221</v>
      </c>
      <c r="D205" s="102">
        <f t="shared" si="231"/>
        <v>190799.84906558253</v>
      </c>
      <c r="E205" s="102">
        <f t="shared" si="231"/>
        <v>190372.54662574228</v>
      </c>
      <c r="F205" s="102">
        <f t="shared" si="231"/>
        <v>203337.07038955076</v>
      </c>
      <c r="G205" s="102">
        <f t="shared" si="231"/>
        <v>198441.18389129499</v>
      </c>
      <c r="H205" s="102">
        <f t="shared" si="231"/>
        <v>177452.36281481746</v>
      </c>
      <c r="I205" s="102">
        <f t="shared" si="231"/>
        <v>210473.3242834743</v>
      </c>
      <c r="J205" s="102">
        <f t="shared" si="231"/>
        <v>212749.10816367227</v>
      </c>
      <c r="K205" s="102">
        <f t="shared" si="231"/>
        <v>197806.67579192572</v>
      </c>
      <c r="L205" s="102">
        <f t="shared" si="231"/>
        <v>176986.91283267905</v>
      </c>
      <c r="M205" s="102">
        <f t="shared" si="234"/>
        <v>194042.67410250509</v>
      </c>
      <c r="N205" s="102">
        <f t="shared" si="231"/>
        <v>189639.21870166031</v>
      </c>
      <c r="O205" s="102">
        <f t="shared" si="231"/>
        <v>194718.4145127027</v>
      </c>
      <c r="P205" s="102">
        <f t="shared" si="231"/>
        <v>142834.64572376694</v>
      </c>
      <c r="Q205" s="102">
        <f t="shared" si="231"/>
        <v>168471.56063885143</v>
      </c>
      <c r="R205" s="102">
        <f t="shared" si="231"/>
        <v>170502.20378214732</v>
      </c>
      <c r="S205" s="102">
        <f t="shared" si="231"/>
        <v>146989.6596098576</v>
      </c>
      <c r="T205" s="102">
        <f t="shared" si="231"/>
        <v>151521.72464548945</v>
      </c>
      <c r="U205" s="102">
        <f t="shared" si="231"/>
        <v>153830.32566126509</v>
      </c>
      <c r="V205" s="102">
        <f t="shared" si="231"/>
        <v>87798.668818976119</v>
      </c>
      <c r="W205" s="102">
        <f t="shared" si="233"/>
        <v>109165.61482131515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928350.85152037407</v>
      </c>
      <c r="C206" s="102">
        <f t="shared" si="231"/>
        <v>930848.61587559863</v>
      </c>
      <c r="D206" s="102">
        <f t="shared" si="231"/>
        <v>891390.7848988953</v>
      </c>
      <c r="E206" s="102">
        <f t="shared" si="231"/>
        <v>886790.13533477264</v>
      </c>
      <c r="F206" s="102">
        <f t="shared" si="231"/>
        <v>945358.99012650293</v>
      </c>
      <c r="G206" s="102">
        <f t="shared" si="231"/>
        <v>921773.03306023066</v>
      </c>
      <c r="H206" s="102">
        <f t="shared" si="231"/>
        <v>823140.11461949127</v>
      </c>
      <c r="I206" s="102">
        <f t="shared" si="231"/>
        <v>975780.85018284083</v>
      </c>
      <c r="J206" s="102">
        <f t="shared" si="231"/>
        <v>986337.79359352449</v>
      </c>
      <c r="K206" s="102">
        <f t="shared" si="231"/>
        <v>916978.5363238646</v>
      </c>
      <c r="L206" s="102">
        <f t="shared" si="231"/>
        <v>820552.24131766346</v>
      </c>
      <c r="M206" s="102">
        <f t="shared" si="234"/>
        <v>899425.70284031588</v>
      </c>
      <c r="N206" s="102">
        <f t="shared" si="231"/>
        <v>879290.7879011709</v>
      </c>
      <c r="O206" s="102">
        <f t="shared" si="231"/>
        <v>903627.23789783753</v>
      </c>
      <c r="P206" s="102">
        <f t="shared" si="231"/>
        <v>663081.63069765025</v>
      </c>
      <c r="Q206" s="102">
        <f t="shared" si="231"/>
        <v>763637.75790651585</v>
      </c>
      <c r="R206" s="102">
        <f t="shared" si="231"/>
        <v>762299.33208537532</v>
      </c>
      <c r="S206" s="102">
        <f t="shared" si="231"/>
        <v>628476.51034583221</v>
      </c>
      <c r="T206" s="102">
        <f t="shared" si="231"/>
        <v>638361.348951297</v>
      </c>
      <c r="U206" s="102">
        <f t="shared" si="231"/>
        <v>630455.22398163483</v>
      </c>
      <c r="V206" s="102">
        <f t="shared" si="231"/>
        <v>357208.58539467416</v>
      </c>
      <c r="W206" s="102">
        <f t="shared" si="233"/>
        <v>436045.39095241693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382047.74654486781</v>
      </c>
      <c r="Q207" s="102">
        <f t="shared" si="231"/>
        <v>450539.41963280557</v>
      </c>
      <c r="R207" s="102">
        <f t="shared" si="231"/>
        <v>446855.19757941505</v>
      </c>
      <c r="S207" s="102">
        <f t="shared" si="231"/>
        <v>385642.19453060016</v>
      </c>
      <c r="T207" s="102">
        <f t="shared" si="231"/>
        <v>397372.0012489658</v>
      </c>
      <c r="U207" s="102">
        <f t="shared" si="231"/>
        <v>403276.25791678706</v>
      </c>
      <c r="V207" s="102">
        <f t="shared" si="231"/>
        <v>230101.63260797827</v>
      </c>
      <c r="W207" s="102">
        <f t="shared" si="233"/>
        <v>286024.16044714674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1468680.2474861569</v>
      </c>
      <c r="C208" s="102">
        <f t="shared" si="231"/>
        <v>1473144.2220010259</v>
      </c>
      <c r="D208" s="102">
        <f t="shared" si="231"/>
        <v>1429104.6470660197</v>
      </c>
      <c r="E208" s="102">
        <f t="shared" si="231"/>
        <v>1403792.8590737339</v>
      </c>
      <c r="F208" s="102">
        <f t="shared" si="231"/>
        <v>1474024.7976235829</v>
      </c>
      <c r="G208" s="102">
        <f t="shared" si="231"/>
        <v>1459513.7912792363</v>
      </c>
      <c r="H208" s="102">
        <f t="shared" si="231"/>
        <v>1293433.474041821</v>
      </c>
      <c r="I208" s="102">
        <f t="shared" si="231"/>
        <v>1509627.7255845289</v>
      </c>
      <c r="J208" s="102">
        <f t="shared" si="231"/>
        <v>1548516.4218757662</v>
      </c>
      <c r="K208" s="102">
        <f t="shared" si="231"/>
        <v>1461733.7925732431</v>
      </c>
      <c r="L208" s="102">
        <f t="shared" si="231"/>
        <v>1324317.3864800516</v>
      </c>
      <c r="M208" s="102">
        <f t="shared" si="234"/>
        <v>1456870.5655354785</v>
      </c>
      <c r="N208" s="102">
        <f t="shared" si="231"/>
        <v>1446213.8918318911</v>
      </c>
      <c r="O208" s="102">
        <f t="shared" si="231"/>
        <v>1511058.6296600578</v>
      </c>
      <c r="P208" s="102">
        <f t="shared" si="231"/>
        <v>1126016.9830063628</v>
      </c>
      <c r="Q208" s="102">
        <f t="shared" si="231"/>
        <v>1293138.5148680073</v>
      </c>
      <c r="R208" s="102">
        <f t="shared" si="231"/>
        <v>1320119.9386634913</v>
      </c>
      <c r="S208" s="102">
        <f t="shared" si="231"/>
        <v>1677076.4547090393</v>
      </c>
      <c r="T208" s="102">
        <f t="shared" si="231"/>
        <v>1728086.9067411444</v>
      </c>
      <c r="U208" s="102">
        <f t="shared" si="231"/>
        <v>1753763.2719848759</v>
      </c>
      <c r="V208" s="102">
        <f t="shared" si="231"/>
        <v>1000663.4017490263</v>
      </c>
      <c r="W208" s="102">
        <f t="shared" si="233"/>
        <v>1243858.6642410781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0</v>
      </c>
      <c r="M209" s="102">
        <f t="shared" si="234"/>
        <v>0</v>
      </c>
      <c r="N209" s="102">
        <f t="shared" si="231"/>
        <v>0</v>
      </c>
      <c r="O209" s="102">
        <f t="shared" si="231"/>
        <v>0</v>
      </c>
      <c r="P209" s="102">
        <f t="shared" si="231"/>
        <v>985055.65463683591</v>
      </c>
      <c r="Q209" s="102">
        <f t="shared" si="231"/>
        <v>1126609.254066699</v>
      </c>
      <c r="R209" s="102">
        <f t="shared" si="231"/>
        <v>1155537.4835765222</v>
      </c>
      <c r="S209" s="102">
        <f t="shared" si="231"/>
        <v>1151535.29928122</v>
      </c>
      <c r="T209" s="102">
        <f t="shared" si="231"/>
        <v>1175649.7542019829</v>
      </c>
      <c r="U209" s="102">
        <f t="shared" si="231"/>
        <v>1182467.8225349144</v>
      </c>
      <c r="V209" s="102">
        <f t="shared" si="231"/>
        <v>838046.70772592083</v>
      </c>
      <c r="W209" s="102">
        <f t="shared" si="233"/>
        <v>987359.04290434206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41905.722385500303</v>
      </c>
      <c r="C210" s="28">
        <f t="shared" si="231"/>
        <v>43561.0571771994</v>
      </c>
      <c r="D210" s="28">
        <f t="shared" si="231"/>
        <v>49021.003722541383</v>
      </c>
      <c r="E210" s="28">
        <f t="shared" si="231"/>
        <v>50233.276926007864</v>
      </c>
      <c r="F210" s="28">
        <f t="shared" ref="B210:V219" si="235">IF(F19=0,0,F19*1000000/F73)</f>
        <v>53272.137559905968</v>
      </c>
      <c r="G210" s="28">
        <f t="shared" si="235"/>
        <v>55179.732072721803</v>
      </c>
      <c r="H210" s="28">
        <f t="shared" si="235"/>
        <v>56717.366135526529</v>
      </c>
      <c r="I210" s="28">
        <f t="shared" si="235"/>
        <v>52972.574875853301</v>
      </c>
      <c r="J210" s="28">
        <f t="shared" si="235"/>
        <v>52127.882899055032</v>
      </c>
      <c r="K210" s="28">
        <f t="shared" si="235"/>
        <v>52022.974217301635</v>
      </c>
      <c r="L210" s="28">
        <f t="shared" si="235"/>
        <v>53274.603939483502</v>
      </c>
      <c r="M210" s="28">
        <f t="shared" si="234"/>
        <v>54189.57713415521</v>
      </c>
      <c r="N210" s="28">
        <f t="shared" si="235"/>
        <v>54961.105698962536</v>
      </c>
      <c r="O210" s="28">
        <f t="shared" si="235"/>
        <v>58611.045549846407</v>
      </c>
      <c r="P210" s="28">
        <f t="shared" si="235"/>
        <v>57107.020324642021</v>
      </c>
      <c r="Q210" s="28">
        <f t="shared" si="235"/>
        <v>55972.633067653012</v>
      </c>
      <c r="R210" s="28">
        <f t="shared" si="235"/>
        <v>59427.25659946326</v>
      </c>
      <c r="S210" s="28">
        <f t="shared" si="235"/>
        <v>61818.206048641376</v>
      </c>
      <c r="T210" s="28">
        <f t="shared" si="235"/>
        <v>62307.653683702461</v>
      </c>
      <c r="U210" s="28">
        <f t="shared" si="235"/>
        <v>64088.730789071509</v>
      </c>
      <c r="V210" s="28">
        <f t="shared" si="235"/>
        <v>61315.445849166179</v>
      </c>
      <c r="W210" s="28">
        <f t="shared" ref="W210" si="236">IF(W19=0,0,W19*1000000/W73)</f>
        <v>68438.416176255429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2746.3678415414502</v>
      </c>
      <c r="C211" s="137">
        <f t="shared" si="235"/>
        <v>3184.0487690440468</v>
      </c>
      <c r="D211" s="137">
        <f t="shared" si="235"/>
        <v>3053.2654895827573</v>
      </c>
      <c r="E211" s="137">
        <f t="shared" si="235"/>
        <v>3214.4869195732649</v>
      </c>
      <c r="F211" s="137">
        <f t="shared" si="235"/>
        <v>3196.0113452234182</v>
      </c>
      <c r="G211" s="137">
        <f t="shared" si="235"/>
        <v>2988.2938479879595</v>
      </c>
      <c r="H211" s="137">
        <f t="shared" si="235"/>
        <v>3120.8927497881809</v>
      </c>
      <c r="I211" s="137">
        <f t="shared" si="235"/>
        <v>3088.1188886601662</v>
      </c>
      <c r="J211" s="137">
        <f t="shared" si="235"/>
        <v>3106.4566851543768</v>
      </c>
      <c r="K211" s="137">
        <f t="shared" si="235"/>
        <v>3202.181209495629</v>
      </c>
      <c r="L211" s="137">
        <f t="shared" si="235"/>
        <v>3363.2049082390513</v>
      </c>
      <c r="M211" s="137">
        <f t="shared" si="234"/>
        <v>3446.2189090469165</v>
      </c>
      <c r="N211" s="137">
        <f t="shared" si="235"/>
        <v>3452.4815788431151</v>
      </c>
      <c r="O211" s="137">
        <f t="shared" si="235"/>
        <v>3556.6580782733558</v>
      </c>
      <c r="P211" s="137">
        <f t="shared" si="235"/>
        <v>3396.1902128892812</v>
      </c>
      <c r="Q211" s="137">
        <f t="shared" si="235"/>
        <v>3247.9345649770517</v>
      </c>
      <c r="R211" s="137">
        <f t="shared" si="235"/>
        <v>3220.321186087052</v>
      </c>
      <c r="S211" s="137">
        <f t="shared" si="235"/>
        <v>3372.7692655925075</v>
      </c>
      <c r="T211" s="137">
        <f t="shared" si="235"/>
        <v>3383.4359655730964</v>
      </c>
      <c r="U211" s="137">
        <f t="shared" si="235"/>
        <v>3373.5250994603734</v>
      </c>
      <c r="V211" s="137">
        <f t="shared" si="235"/>
        <v>2282.0898548810769</v>
      </c>
      <c r="W211" s="137">
        <f t="shared" ref="W211" si="237">IF(W20=0,0,W20*1000000/W74)</f>
        <v>3244.638874286647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2006.7554037020557</v>
      </c>
      <c r="C212" s="84">
        <f t="shared" si="235"/>
        <v>2250.8209956129153</v>
      </c>
      <c r="D212" s="84">
        <f t="shared" si="235"/>
        <v>2234.2812708738393</v>
      </c>
      <c r="E212" s="84">
        <f t="shared" si="235"/>
        <v>2316.7840837918693</v>
      </c>
      <c r="F212" s="84">
        <f t="shared" si="235"/>
        <v>2262.416833689846</v>
      </c>
      <c r="G212" s="84">
        <f t="shared" si="235"/>
        <v>2061.6346545555302</v>
      </c>
      <c r="H212" s="84">
        <f t="shared" si="235"/>
        <v>2106.5001768797979</v>
      </c>
      <c r="I212" s="84">
        <f t="shared" si="235"/>
        <v>2047.8285447669202</v>
      </c>
      <c r="J212" s="84">
        <f t="shared" si="235"/>
        <v>1981.0262997764496</v>
      </c>
      <c r="K212" s="84">
        <f t="shared" si="235"/>
        <v>1966.9839551704367</v>
      </c>
      <c r="L212" s="84">
        <f t="shared" si="235"/>
        <v>1991.4878212678523</v>
      </c>
      <c r="M212" s="84">
        <f t="shared" si="234"/>
        <v>1965.3090426470085</v>
      </c>
      <c r="N212" s="84">
        <f t="shared" si="235"/>
        <v>2016.0690862068184</v>
      </c>
      <c r="O212" s="84">
        <f t="shared" si="235"/>
        <v>2155.8051321211228</v>
      </c>
      <c r="P212" s="84">
        <f t="shared" si="235"/>
        <v>2137.5554533001186</v>
      </c>
      <c r="Q212" s="84">
        <f t="shared" si="235"/>
        <v>2125.0687575520951</v>
      </c>
      <c r="R212" s="84">
        <f t="shared" si="235"/>
        <v>2162.9448388983828</v>
      </c>
      <c r="S212" s="84">
        <f t="shared" si="235"/>
        <v>2269.9589472356829</v>
      </c>
      <c r="T212" s="84">
        <f t="shared" si="235"/>
        <v>2251.7321405236285</v>
      </c>
      <c r="U212" s="84">
        <f t="shared" si="235"/>
        <v>2335.3782576008707</v>
      </c>
      <c r="V212" s="84">
        <f t="shared" si="235"/>
        <v>1639.023483007041</v>
      </c>
      <c r="W212" s="84">
        <f t="shared" ref="W212" si="238">IF(W21=0,0,W21*1000000/W75)</f>
        <v>2372.9859275556269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2829.4123135935974</v>
      </c>
      <c r="C213" s="84">
        <f t="shared" si="235"/>
        <v>3279.5498332333686</v>
      </c>
      <c r="D213" s="84">
        <f t="shared" si="235"/>
        <v>3114.3997568747695</v>
      </c>
      <c r="E213" s="84">
        <f t="shared" si="235"/>
        <v>3269.1260693891254</v>
      </c>
      <c r="F213" s="84">
        <f t="shared" si="235"/>
        <v>3241.783084848797</v>
      </c>
      <c r="G213" s="84">
        <f t="shared" si="235"/>
        <v>3025.4484084749529</v>
      </c>
      <c r="H213" s="84">
        <f t="shared" si="235"/>
        <v>3154.6422821508936</v>
      </c>
      <c r="I213" s="84">
        <f t="shared" si="235"/>
        <v>3115.1015043236289</v>
      </c>
      <c r="J213" s="84">
        <f t="shared" si="235"/>
        <v>3133.1610783817391</v>
      </c>
      <c r="K213" s="84">
        <f t="shared" si="235"/>
        <v>3232.5524874102116</v>
      </c>
      <c r="L213" s="84">
        <f t="shared" si="235"/>
        <v>3396.3161590605664</v>
      </c>
      <c r="M213" s="84">
        <f t="shared" si="234"/>
        <v>3484.9069388940857</v>
      </c>
      <c r="N213" s="84">
        <f t="shared" si="235"/>
        <v>3493.6932253163322</v>
      </c>
      <c r="O213" s="84">
        <f t="shared" si="235"/>
        <v>3596.4016202310054</v>
      </c>
      <c r="P213" s="84">
        <f t="shared" si="235"/>
        <v>3420.54460330352</v>
      </c>
      <c r="Q213" s="84">
        <f t="shared" si="235"/>
        <v>3268.8806887522933</v>
      </c>
      <c r="R213" s="84">
        <f t="shared" si="235"/>
        <v>3239.4226557132019</v>
      </c>
      <c r="S213" s="84">
        <f t="shared" si="235"/>
        <v>3395.1726199664217</v>
      </c>
      <c r="T213" s="84">
        <f t="shared" si="235"/>
        <v>3408.7369548865067</v>
      </c>
      <c r="U213" s="84">
        <f t="shared" si="235"/>
        <v>3399.1407742671763</v>
      </c>
      <c r="V213" s="84">
        <f t="shared" si="235"/>
        <v>2298.0807773714678</v>
      </c>
      <c r="W213" s="84">
        <f t="shared" ref="W213" si="239">IF(W22=0,0,W22*1000000/W76)</f>
        <v>3269.8301555845574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3355.7984577220918</v>
      </c>
      <c r="P214" s="84">
        <f t="shared" si="235"/>
        <v>3193.6156149079734</v>
      </c>
      <c r="Q214" s="84">
        <f t="shared" si="235"/>
        <v>3047.3134148105569</v>
      </c>
      <c r="R214" s="84">
        <f t="shared" si="235"/>
        <v>3020.0778323607042</v>
      </c>
      <c r="S214" s="84">
        <f t="shared" si="235"/>
        <v>3171.3247513617353</v>
      </c>
      <c r="T214" s="84">
        <f t="shared" si="235"/>
        <v>3182.8214544263883</v>
      </c>
      <c r="U214" s="84">
        <f t="shared" si="235"/>
        <v>3174.6901413916898</v>
      </c>
      <c r="V214" s="84">
        <f t="shared" si="235"/>
        <v>2105.9567489341403</v>
      </c>
      <c r="W214" s="84">
        <f t="shared" ref="W214" si="240">IF(W23=0,0,W23*1000000/W77)</f>
        <v>3049.7618910260708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3399.4908886860535</v>
      </c>
      <c r="O215" s="84">
        <f t="shared" si="235"/>
        <v>3507.3401744167427</v>
      </c>
      <c r="P215" s="84">
        <f t="shared" si="235"/>
        <v>3337.8334512420738</v>
      </c>
      <c r="Q215" s="84">
        <f t="shared" si="235"/>
        <v>3184.9245115450399</v>
      </c>
      <c r="R215" s="84">
        <f t="shared" si="235"/>
        <v>3156.4590200372909</v>
      </c>
      <c r="S215" s="84">
        <f t="shared" si="235"/>
        <v>3314.5359730939872</v>
      </c>
      <c r="T215" s="84">
        <f t="shared" si="235"/>
        <v>3326.5518462282071</v>
      </c>
      <c r="U215" s="84">
        <f t="shared" si="235"/>
        <v>3318.0533379784847</v>
      </c>
      <c r="V215" s="84">
        <f t="shared" si="235"/>
        <v>2201.0579014731975</v>
      </c>
      <c r="W215" s="84">
        <f t="shared" ref="W215" si="241">IF(W24=0,0,W24*1000000/W78)</f>
        <v>3187.483556465339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2679.626323601532</v>
      </c>
      <c r="N216" s="84">
        <f t="shared" si="235"/>
        <v>2679.9122058996531</v>
      </c>
      <c r="O216" s="84">
        <f t="shared" si="235"/>
        <v>2683.9008749268942</v>
      </c>
      <c r="P216" s="84">
        <f t="shared" si="235"/>
        <v>2690.239291043531</v>
      </c>
      <c r="Q216" s="84">
        <f t="shared" si="235"/>
        <v>2696.2533514051611</v>
      </c>
      <c r="R216" s="84">
        <f t="shared" si="235"/>
        <v>2695.100917166114</v>
      </c>
      <c r="S216" s="84">
        <f t="shared" si="235"/>
        <v>2688.836734189822</v>
      </c>
      <c r="T216" s="84">
        <f t="shared" si="235"/>
        <v>2688.3734427230843</v>
      </c>
      <c r="U216" s="84">
        <f t="shared" si="235"/>
        <v>2688.0459907562245</v>
      </c>
      <c r="V216" s="84">
        <f t="shared" si="235"/>
        <v>1992.8923798718019</v>
      </c>
      <c r="W216" s="84">
        <f t="shared" ref="W216" si="242">IF(W25=0,0,W25*1000000/W79)</f>
        <v>2682.9120578131933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226552.73805713857</v>
      </c>
      <c r="C217" s="110">
        <f t="shared" si="235"/>
        <v>231976.31647921613</v>
      </c>
      <c r="D217" s="110">
        <f t="shared" si="235"/>
        <v>252498.28977076104</v>
      </c>
      <c r="E217" s="110">
        <f t="shared" si="235"/>
        <v>255864.5579527287</v>
      </c>
      <c r="F217" s="110">
        <f t="shared" si="235"/>
        <v>282911.96688436379</v>
      </c>
      <c r="G217" s="110">
        <f t="shared" si="235"/>
        <v>294065.54701334564</v>
      </c>
      <c r="H217" s="110">
        <f t="shared" si="235"/>
        <v>299239.9729010209</v>
      </c>
      <c r="I217" s="110">
        <f t="shared" si="235"/>
        <v>312288.88593613525</v>
      </c>
      <c r="J217" s="110">
        <f t="shared" si="235"/>
        <v>286330.99366013246</v>
      </c>
      <c r="K217" s="110">
        <f t="shared" si="235"/>
        <v>254951.45603302665</v>
      </c>
      <c r="L217" s="110">
        <f t="shared" si="235"/>
        <v>255336.53405458771</v>
      </c>
      <c r="M217" s="110">
        <f t="shared" si="234"/>
        <v>255138.12701780262</v>
      </c>
      <c r="N217" s="110">
        <f t="shared" si="235"/>
        <v>250204.22492263638</v>
      </c>
      <c r="O217" s="110">
        <f t="shared" si="235"/>
        <v>331182.74588574679</v>
      </c>
      <c r="P217" s="110">
        <f t="shared" si="235"/>
        <v>332340.52286919422</v>
      </c>
      <c r="Q217" s="110">
        <f t="shared" si="235"/>
        <v>349135.24399906385</v>
      </c>
      <c r="R217" s="110">
        <f t="shared" si="235"/>
        <v>355281.17684277729</v>
      </c>
      <c r="S217" s="110">
        <f t="shared" si="235"/>
        <v>368826.64963482926</v>
      </c>
      <c r="T217" s="110">
        <f t="shared" si="235"/>
        <v>371919.12181044405</v>
      </c>
      <c r="U217" s="110">
        <f t="shared" si="235"/>
        <v>380343.14119929547</v>
      </c>
      <c r="V217" s="110">
        <f t="shared" si="235"/>
        <v>366682.81025742547</v>
      </c>
      <c r="W217" s="110">
        <f t="shared" ref="W217" si="243">IF(W26=0,0,W26*1000000/W80)</f>
        <v>407816.18120692851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182211.01417666304</v>
      </c>
      <c r="C218" s="163">
        <f t="shared" si="235"/>
        <v>186607.91451693163</v>
      </c>
      <c r="D218" s="163">
        <f t="shared" si="235"/>
        <v>206581.71151297056</v>
      </c>
      <c r="E218" s="163">
        <f t="shared" si="235"/>
        <v>211413.4195199961</v>
      </c>
      <c r="F218" s="163">
        <f t="shared" si="235"/>
        <v>233708.59020110691</v>
      </c>
      <c r="G218" s="163">
        <f t="shared" si="235"/>
        <v>244929.86379046136</v>
      </c>
      <c r="H218" s="163">
        <f t="shared" si="235"/>
        <v>250269.8541712359</v>
      </c>
      <c r="I218" s="163">
        <f t="shared" si="235"/>
        <v>264414.69372807362</v>
      </c>
      <c r="J218" s="163">
        <f t="shared" si="235"/>
        <v>242181.60302367568</v>
      </c>
      <c r="K218" s="163">
        <f t="shared" si="235"/>
        <v>212717.12115131418</v>
      </c>
      <c r="L218" s="163">
        <f t="shared" si="235"/>
        <v>211725.6201411176</v>
      </c>
      <c r="M218" s="163">
        <f t="shared" si="234"/>
        <v>211246.03142797347</v>
      </c>
      <c r="N218" s="163">
        <f t="shared" si="235"/>
        <v>205776.07302328883</v>
      </c>
      <c r="O218" s="163">
        <f t="shared" si="235"/>
        <v>270808.49974944291</v>
      </c>
      <c r="P218" s="163">
        <f t="shared" si="235"/>
        <v>272432.75646926026</v>
      </c>
      <c r="Q218" s="163">
        <f t="shared" si="235"/>
        <v>288566.14779037761</v>
      </c>
      <c r="R218" s="163">
        <f t="shared" si="235"/>
        <v>295721.55864499707</v>
      </c>
      <c r="S218" s="163">
        <f t="shared" si="235"/>
        <v>309040.2659889065</v>
      </c>
      <c r="T218" s="163">
        <f t="shared" si="235"/>
        <v>310755.53463929251</v>
      </c>
      <c r="U218" s="163">
        <f t="shared" si="235"/>
        <v>318931.34642814577</v>
      </c>
      <c r="V218" s="163">
        <f t="shared" si="235"/>
        <v>309608.56785088731</v>
      </c>
      <c r="W218" s="163">
        <f t="shared" ref="W218" si="244">IF(W27=0,0,W27*1000000/W81)</f>
        <v>346955.53958311939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1211872.1470523858</v>
      </c>
      <c r="C219" s="86">
        <f t="shared" si="235"/>
        <v>1210816.0916598404</v>
      </c>
      <c r="D219" s="86">
        <f t="shared" si="235"/>
        <v>1218794.8767058311</v>
      </c>
      <c r="E219" s="86">
        <f t="shared" si="235"/>
        <v>1211604.9088665331</v>
      </c>
      <c r="F219" s="86">
        <f t="shared" si="235"/>
        <v>1189405.1195729349</v>
      </c>
      <c r="G219" s="86">
        <f t="shared" si="235"/>
        <v>1189951.0336914547</v>
      </c>
      <c r="H219" s="86">
        <f t="shared" si="235"/>
        <v>1197541.4232620422</v>
      </c>
      <c r="I219" s="86">
        <f t="shared" si="235"/>
        <v>1199793.381249493</v>
      </c>
      <c r="J219" s="86">
        <f t="shared" si="235"/>
        <v>1182825.2505168291</v>
      </c>
      <c r="K219" s="86">
        <f t="shared" si="235"/>
        <v>1167187.6548460233</v>
      </c>
      <c r="L219" s="86">
        <f t="shared" si="235"/>
        <v>1205207.606109479</v>
      </c>
      <c r="M219" s="86">
        <f t="shared" si="234"/>
        <v>1201303.9123198807</v>
      </c>
      <c r="N219" s="86">
        <f t="shared" si="235"/>
        <v>1197341.3430500268</v>
      </c>
      <c r="O219" s="86">
        <f t="shared" si="235"/>
        <v>1198928.381439578</v>
      </c>
      <c r="P219" s="86">
        <f t="shared" si="235"/>
        <v>1201741.4713978921</v>
      </c>
      <c r="Q219" s="86">
        <f t="shared" si="235"/>
        <v>1190463.3065561869</v>
      </c>
      <c r="R219" s="86">
        <f t="shared" si="235"/>
        <v>1184155.4887182806</v>
      </c>
      <c r="S219" s="86">
        <f t="shared" si="235"/>
        <v>1194222.114478345</v>
      </c>
      <c r="T219" s="86">
        <f t="shared" si="235"/>
        <v>1203251.5991471214</v>
      </c>
      <c r="U219" s="86">
        <f t="shared" si="235"/>
        <v>1198673.1217500449</v>
      </c>
      <c r="V219" s="86">
        <f t="shared" si="235"/>
        <v>1180384.0138072381</v>
      </c>
      <c r="W219" s="86">
        <f t="shared" ref="W219" si="245">IF(W28=0,0,W28*1000000/W82)</f>
        <v>1193475.5394094111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2.9173261166527086E-2</v>
      </c>
      <c r="C223" s="154">
        <f t="shared" si="250"/>
        <v>3.0387784200306203E-2</v>
      </c>
      <c r="D223" s="154">
        <f t="shared" si="250"/>
        <v>2.7878909203634228E-2</v>
      </c>
      <c r="E223" s="154">
        <f t="shared" si="250"/>
        <v>3.117520802384063E-2</v>
      </c>
      <c r="F223" s="154">
        <f t="shared" si="250"/>
        <v>2.9032196771483772E-2</v>
      </c>
      <c r="G223" s="154">
        <f t="shared" si="250"/>
        <v>3.288621415784912E-2</v>
      </c>
      <c r="H223" s="154">
        <f t="shared" si="250"/>
        <v>3.338183267427388E-2</v>
      </c>
      <c r="I223" s="154">
        <f t="shared" si="250"/>
        <v>3.7029076732369291E-2</v>
      </c>
      <c r="J223" s="154">
        <f t="shared" si="250"/>
        <v>3.6914459345118188E-2</v>
      </c>
      <c r="K223" s="154">
        <f t="shared" si="250"/>
        <v>3.8026153673988497E-2</v>
      </c>
      <c r="L223" s="154">
        <f t="shared" ref="L223" si="251">IF(L5=0,0,L5/L$4)</f>
        <v>3.9881145847701929E-2</v>
      </c>
      <c r="M223" s="154">
        <f t="shared" ref="M223:V223" si="252">IF(M5=0,0,M5/M$4)</f>
        <v>3.7493422252831539E-2</v>
      </c>
      <c r="N223" s="154">
        <f t="shared" si="252"/>
        <v>3.6864502529698195E-2</v>
      </c>
      <c r="O223" s="154">
        <f t="shared" si="252"/>
        <v>3.6908284922193293E-2</v>
      </c>
      <c r="P223" s="154">
        <f t="shared" si="252"/>
        <v>4.327744569955027E-2</v>
      </c>
      <c r="Q223" s="154">
        <f t="shared" si="252"/>
        <v>4.5037411987892392E-2</v>
      </c>
      <c r="R223" s="154">
        <f t="shared" si="252"/>
        <v>4.4363979248999139E-2</v>
      </c>
      <c r="S223" s="154">
        <f t="shared" si="252"/>
        <v>4.3511497585956356E-2</v>
      </c>
      <c r="T223" s="154">
        <f t="shared" si="252"/>
        <v>4.0568090379213037E-2</v>
      </c>
      <c r="U223" s="154">
        <f t="shared" si="252"/>
        <v>4.2765734391396602E-2</v>
      </c>
      <c r="V223" s="154">
        <f t="shared" si="252"/>
        <v>5.008755254113989E-2</v>
      </c>
      <c r="W223" s="154">
        <f t="shared" ref="W223" si="253">IF(W5=0,0,W5/W$4)</f>
        <v>4.8551486649645821E-2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0.83250781482317693</v>
      </c>
      <c r="C224" s="156">
        <f t="shared" si="254"/>
        <v>0.83020385500086102</v>
      </c>
      <c r="D224" s="156">
        <f t="shared" si="254"/>
        <v>0.83883201507960548</v>
      </c>
      <c r="E224" s="156">
        <f t="shared" si="254"/>
        <v>0.8403684559375677</v>
      </c>
      <c r="F224" s="156">
        <f t="shared" si="254"/>
        <v>0.83567262057508207</v>
      </c>
      <c r="G224" s="156">
        <f t="shared" si="254"/>
        <v>0.83557722788049571</v>
      </c>
      <c r="H224" s="156">
        <f t="shared" si="254"/>
        <v>0.84435263130346727</v>
      </c>
      <c r="I224" s="156">
        <f t="shared" si="254"/>
        <v>0.82140948864301866</v>
      </c>
      <c r="J224" s="156">
        <f t="shared" si="254"/>
        <v>0.81780457319365429</v>
      </c>
      <c r="K224" s="156">
        <f t="shared" si="254"/>
        <v>0.82729552460333378</v>
      </c>
      <c r="L224" s="156">
        <f t="shared" ref="L224" si="255">IF(L6=0,0,L6/L$4)</f>
        <v>0.8356141146181969</v>
      </c>
      <c r="M224" s="156">
        <f t="shared" ref="M224:V224" si="256">IF(M6=0,0,M6/M$4)</f>
        <v>0.82485358950358789</v>
      </c>
      <c r="N224" s="156">
        <f t="shared" si="256"/>
        <v>0.82329498100345344</v>
      </c>
      <c r="O224" s="156">
        <f t="shared" si="256"/>
        <v>0.82310114991296357</v>
      </c>
      <c r="P224" s="156">
        <f t="shared" si="256"/>
        <v>0.8482681868001426</v>
      </c>
      <c r="Q224" s="156">
        <f t="shared" si="256"/>
        <v>0.83324055676731135</v>
      </c>
      <c r="R224" s="156">
        <f t="shared" si="256"/>
        <v>0.83477043272439888</v>
      </c>
      <c r="S224" s="156">
        <f t="shared" si="256"/>
        <v>0.87617745628820853</v>
      </c>
      <c r="T224" s="156">
        <f t="shared" si="256"/>
        <v>0.87658096015715004</v>
      </c>
      <c r="U224" s="156">
        <f t="shared" si="256"/>
        <v>0.87241716968320315</v>
      </c>
      <c r="V224" s="156">
        <f t="shared" si="256"/>
        <v>0.88670338377854296</v>
      </c>
      <c r="W224" s="156">
        <f t="shared" ref="W224" si="257">IF(W6=0,0,W6/W$4)</f>
        <v>0.87762973537431554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0.41651461047214511</v>
      </c>
      <c r="C225" s="103">
        <f t="shared" si="258"/>
        <v>0.38930834740682768</v>
      </c>
      <c r="D225" s="103">
        <f t="shared" si="258"/>
        <v>0.36855207295923492</v>
      </c>
      <c r="E225" s="103">
        <f t="shared" si="258"/>
        <v>0.33975105736249361</v>
      </c>
      <c r="F225" s="103">
        <f t="shared" si="258"/>
        <v>0.31112461954140314</v>
      </c>
      <c r="G225" s="103">
        <f t="shared" si="258"/>
        <v>0.28666020691256278</v>
      </c>
      <c r="H225" s="103">
        <f t="shared" si="258"/>
        <v>0.26632909430965668</v>
      </c>
      <c r="I225" s="103">
        <f t="shared" si="258"/>
        <v>0.24116939852669833</v>
      </c>
      <c r="J225" s="103">
        <f t="shared" si="258"/>
        <v>0.22934166705672768</v>
      </c>
      <c r="K225" s="103">
        <f t="shared" si="258"/>
        <v>0.22124142465504182</v>
      </c>
      <c r="L225" s="103">
        <f t="shared" ref="L225" si="259">IF(L7=0,0,L7/L$4)</f>
        <v>0.2146334787144594</v>
      </c>
      <c r="M225" s="103">
        <f t="shared" ref="M225:V225" si="260">IF(M7=0,0,M7/M$4)</f>
        <v>0.20556739513457148</v>
      </c>
      <c r="N225" s="103">
        <f t="shared" si="260"/>
        <v>0.19995370688177258</v>
      </c>
      <c r="O225" s="103">
        <f t="shared" si="260"/>
        <v>0.19299634094724274</v>
      </c>
      <c r="P225" s="103">
        <f t="shared" si="260"/>
        <v>0.19185891700328431</v>
      </c>
      <c r="Q225" s="103">
        <f t="shared" si="260"/>
        <v>0.18412967447629855</v>
      </c>
      <c r="R225" s="103">
        <f t="shared" si="260"/>
        <v>0.1819051070188076</v>
      </c>
      <c r="S225" s="103">
        <f t="shared" si="260"/>
        <v>0.19106048176658269</v>
      </c>
      <c r="T225" s="103">
        <f t="shared" si="260"/>
        <v>0.19522384991425426</v>
      </c>
      <c r="U225" s="103">
        <f t="shared" si="260"/>
        <v>0.19993902207820066</v>
      </c>
      <c r="V225" s="103">
        <f t="shared" si="260"/>
        <v>0.17802089604951896</v>
      </c>
      <c r="W225" s="103">
        <f t="shared" ref="W225" si="261">IF(W7=0,0,W7/W$4)</f>
        <v>0.20770051658073307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0.41420792419071845</v>
      </c>
      <c r="C226" s="103">
        <f t="shared" si="262"/>
        <v>0.43923054567738384</v>
      </c>
      <c r="D226" s="103">
        <f t="shared" si="262"/>
        <v>0.46866099761186514</v>
      </c>
      <c r="E226" s="103">
        <f t="shared" si="262"/>
        <v>0.49917144130559049</v>
      </c>
      <c r="F226" s="103">
        <f t="shared" si="262"/>
        <v>0.52320061661594452</v>
      </c>
      <c r="G226" s="103">
        <f t="shared" si="262"/>
        <v>0.54795918877266225</v>
      </c>
      <c r="H226" s="103">
        <f t="shared" si="262"/>
        <v>0.57710337611507945</v>
      </c>
      <c r="I226" s="103">
        <f t="shared" si="262"/>
        <v>0.57952259107901472</v>
      </c>
      <c r="J226" s="103">
        <f t="shared" si="262"/>
        <v>0.58791419814656021</v>
      </c>
      <c r="K226" s="103">
        <f t="shared" si="262"/>
        <v>0.6053880419358757</v>
      </c>
      <c r="L226" s="103">
        <f t="shared" ref="L226" si="263">IF(L8=0,0,L8/L$4)</f>
        <v>0.62022799165768339</v>
      </c>
      <c r="M226" s="103">
        <f t="shared" ref="M226:V226" si="264">IF(M8=0,0,M8/M$4)</f>
        <v>0.61847449461625981</v>
      </c>
      <c r="N226" s="103">
        <f t="shared" si="264"/>
        <v>0.6220889151251473</v>
      </c>
      <c r="O226" s="103">
        <f t="shared" si="264"/>
        <v>0.62869479065781986</v>
      </c>
      <c r="P226" s="103">
        <f t="shared" si="264"/>
        <v>0.65480818266126917</v>
      </c>
      <c r="Q226" s="103">
        <f t="shared" si="264"/>
        <v>0.64738342958127726</v>
      </c>
      <c r="R226" s="103">
        <f t="shared" si="264"/>
        <v>0.65090592850530327</v>
      </c>
      <c r="S226" s="103">
        <f t="shared" si="264"/>
        <v>0.68254778987135356</v>
      </c>
      <c r="T226" s="103">
        <f t="shared" si="264"/>
        <v>0.67723613587211906</v>
      </c>
      <c r="U226" s="103">
        <f t="shared" si="264"/>
        <v>0.66721119982258303</v>
      </c>
      <c r="V226" s="103">
        <f t="shared" si="264"/>
        <v>0.70271874722948602</v>
      </c>
      <c r="W226" s="103">
        <f t="shared" ref="W226" si="265">IF(W8=0,0,W8/W$4)</f>
        <v>0.66087667507334746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1.7852801603135005E-3</v>
      </c>
      <c r="C227" s="103">
        <f t="shared" si="266"/>
        <v>1.6649619166496906E-3</v>
      </c>
      <c r="D227" s="103">
        <f t="shared" si="266"/>
        <v>1.6189445085053771E-3</v>
      </c>
      <c r="E227" s="103">
        <f t="shared" si="266"/>
        <v>1.4459572694835749E-3</v>
      </c>
      <c r="F227" s="103">
        <f t="shared" si="266"/>
        <v>1.2781047736107648E-3</v>
      </c>
      <c r="G227" s="103">
        <f t="shared" si="266"/>
        <v>8.1584117586759955E-4</v>
      </c>
      <c r="H227" s="103">
        <f t="shared" si="266"/>
        <v>6.9780626986330415E-4</v>
      </c>
      <c r="I227" s="103">
        <f t="shared" si="266"/>
        <v>5.1633241352311418E-4</v>
      </c>
      <c r="J227" s="103">
        <f t="shared" si="266"/>
        <v>3.4842949575077413E-4</v>
      </c>
      <c r="K227" s="103">
        <f t="shared" si="266"/>
        <v>4.6101935889387568E-4</v>
      </c>
      <c r="L227" s="103">
        <f t="shared" ref="L227" si="267">IF(L9=0,0,L9/L$4)</f>
        <v>5.4071313748457121E-4</v>
      </c>
      <c r="M227" s="103">
        <f t="shared" ref="M227:V227" si="268">IF(M9=0,0,M9/M$4)</f>
        <v>5.8624226873819842E-4</v>
      </c>
      <c r="N227" s="103">
        <f t="shared" si="268"/>
        <v>8.5306521251956278E-4</v>
      </c>
      <c r="O227" s="103">
        <f t="shared" si="268"/>
        <v>9.0386527399290964E-4</v>
      </c>
      <c r="P227" s="103">
        <f t="shared" si="268"/>
        <v>1.0458478169347615E-3</v>
      </c>
      <c r="Q227" s="103">
        <f t="shared" si="268"/>
        <v>1.1013079377847758E-3</v>
      </c>
      <c r="R227" s="103">
        <f t="shared" si="268"/>
        <v>1.2060521013446417E-3</v>
      </c>
      <c r="S227" s="103">
        <f t="shared" si="268"/>
        <v>1.5055490193357206E-3</v>
      </c>
      <c r="T227" s="103">
        <f t="shared" si="268"/>
        <v>2.5142244467438513E-3</v>
      </c>
      <c r="U227" s="103">
        <f t="shared" si="268"/>
        <v>3.1822467260217559E-3</v>
      </c>
      <c r="V227" s="103">
        <f t="shared" si="268"/>
        <v>2.9355126955449063E-3</v>
      </c>
      <c r="W227" s="103">
        <f t="shared" ref="W227" si="269">IF(W9=0,0,W9/W$4)</f>
        <v>3.4608411199508657E-3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6.9279644123649734E-5</v>
      </c>
      <c r="G228" s="103">
        <f t="shared" si="270"/>
        <v>1.4199101940295654E-4</v>
      </c>
      <c r="H228" s="103">
        <f t="shared" si="270"/>
        <v>2.223546088679333E-4</v>
      </c>
      <c r="I228" s="103">
        <f t="shared" si="270"/>
        <v>2.0116662378257287E-4</v>
      </c>
      <c r="J228" s="103">
        <f t="shared" si="270"/>
        <v>2.0027849461578989E-4</v>
      </c>
      <c r="K228" s="103">
        <f t="shared" si="270"/>
        <v>2.0500597820103137E-4</v>
      </c>
      <c r="L228" s="103">
        <f t="shared" ref="L228" si="271">IF(L10=0,0,L10/L$4)</f>
        <v>2.0932106596147407E-4</v>
      </c>
      <c r="M228" s="103">
        <f t="shared" ref="M228:V228" si="272">IF(M10=0,0,M10/M$4)</f>
        <v>2.0536553678692299E-4</v>
      </c>
      <c r="N228" s="103">
        <f t="shared" si="272"/>
        <v>3.5840317842197747E-4</v>
      </c>
      <c r="O228" s="103">
        <f t="shared" si="272"/>
        <v>4.2536728397648323E-4</v>
      </c>
      <c r="P228" s="103">
        <f t="shared" si="272"/>
        <v>4.304803185264736E-4</v>
      </c>
      <c r="Q228" s="103">
        <f t="shared" si="272"/>
        <v>4.2708753489151377E-4</v>
      </c>
      <c r="R228" s="103">
        <f t="shared" si="272"/>
        <v>4.3437528687583285E-4</v>
      </c>
      <c r="S228" s="103">
        <f t="shared" si="272"/>
        <v>5.045763665405636E-4</v>
      </c>
      <c r="T228" s="103">
        <f t="shared" si="272"/>
        <v>6.7489418748303658E-4</v>
      </c>
      <c r="U228" s="103">
        <f t="shared" si="272"/>
        <v>6.8697992994500761E-4</v>
      </c>
      <c r="V228" s="103">
        <f t="shared" si="272"/>
        <v>6.0841389691695198E-4</v>
      </c>
      <c r="W228" s="103">
        <f t="shared" ref="W228" si="273">IF(W10=0,0,W10/W$4)</f>
        <v>7.1644514322383569E-4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2.2260881264852343E-7</v>
      </c>
      <c r="N229" s="103">
        <f t="shared" si="276"/>
        <v>3.0092386318587808E-6</v>
      </c>
      <c r="O229" s="103">
        <f t="shared" si="276"/>
        <v>5.2460404756202337E-6</v>
      </c>
      <c r="P229" s="103">
        <f t="shared" si="276"/>
        <v>1.7241817560896573E-5</v>
      </c>
      <c r="Q229" s="103">
        <f t="shared" si="276"/>
        <v>3.7078342747414129E-5</v>
      </c>
      <c r="R229" s="103">
        <f t="shared" si="276"/>
        <v>8.2775557110539104E-5</v>
      </c>
      <c r="S229" s="103">
        <f t="shared" si="276"/>
        <v>1.7785449116239824E-4</v>
      </c>
      <c r="T229" s="103">
        <f t="shared" si="276"/>
        <v>3.2620449571838807E-4</v>
      </c>
      <c r="U229" s="103">
        <f t="shared" si="276"/>
        <v>5.1450539257064261E-4</v>
      </c>
      <c r="V229" s="103">
        <f t="shared" si="276"/>
        <v>9.9581711713933379E-4</v>
      </c>
      <c r="W229" s="103">
        <f t="shared" ref="W229" si="277">IF(W11=0,0,W11/W$4)</f>
        <v>2.2606588608238081E-3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3.2675321430163697E-8</v>
      </c>
      <c r="L230" s="103">
        <f t="shared" ref="L230" si="279">IF(L12=0,0,L12/L$4)</f>
        <v>2.6100426081769329E-6</v>
      </c>
      <c r="M230" s="103">
        <f t="shared" ref="M230:V230" si="280">IF(M12=0,0,M12/M$4)</f>
        <v>1.986933841883926E-5</v>
      </c>
      <c r="N230" s="103">
        <f t="shared" si="280"/>
        <v>3.7881366960240547E-5</v>
      </c>
      <c r="O230" s="103">
        <f t="shared" si="280"/>
        <v>7.5539709455940077E-5</v>
      </c>
      <c r="P230" s="103">
        <f t="shared" si="280"/>
        <v>1.0751718256701291E-4</v>
      </c>
      <c r="Q230" s="103">
        <f t="shared" si="280"/>
        <v>1.6197889431189132E-4</v>
      </c>
      <c r="R230" s="103">
        <f t="shared" si="280"/>
        <v>2.3619425495702382E-4</v>
      </c>
      <c r="S230" s="103">
        <f t="shared" si="280"/>
        <v>3.8120477323345183E-4</v>
      </c>
      <c r="T230" s="103">
        <f t="shared" si="280"/>
        <v>6.0565124083133211E-4</v>
      </c>
      <c r="U230" s="103">
        <f t="shared" si="280"/>
        <v>8.8321573388211016E-4</v>
      </c>
      <c r="V230" s="103">
        <f t="shared" si="280"/>
        <v>1.4239967899368012E-3</v>
      </c>
      <c r="W230" s="103">
        <f t="shared" ref="W230" si="281">IF(W12=0,0,W12/W$4)</f>
        <v>2.6145985962365693E-3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0.13831892401029605</v>
      </c>
      <c r="C231" s="156">
        <f t="shared" si="282"/>
        <v>0.13940836079883276</v>
      </c>
      <c r="D231" s="156">
        <f t="shared" si="282"/>
        <v>0.1332890757167603</v>
      </c>
      <c r="E231" s="156">
        <f t="shared" si="282"/>
        <v>0.12845633603859175</v>
      </c>
      <c r="F231" s="156">
        <f t="shared" si="282"/>
        <v>0.13529518265343418</v>
      </c>
      <c r="G231" s="156">
        <f t="shared" si="282"/>
        <v>0.13153655796165517</v>
      </c>
      <c r="H231" s="156">
        <f t="shared" si="282"/>
        <v>0.12226553602225888</v>
      </c>
      <c r="I231" s="156">
        <f t="shared" si="282"/>
        <v>0.14156143462461199</v>
      </c>
      <c r="J231" s="156">
        <f t="shared" si="282"/>
        <v>0.14528096746122743</v>
      </c>
      <c r="K231" s="156">
        <f t="shared" si="282"/>
        <v>0.13467832172267766</v>
      </c>
      <c r="L231" s="156">
        <f t="shared" ref="L231" si="283">IF(L13=0,0,L13/L$4)</f>
        <v>0.12450473953410121</v>
      </c>
      <c r="M231" s="156">
        <f t="shared" ref="M231:V231" si="284">IF(M13=0,0,M13/M$4)</f>
        <v>0.13765298824358049</v>
      </c>
      <c r="N231" s="156">
        <f t="shared" si="284"/>
        <v>0.13984051646684834</v>
      </c>
      <c r="O231" s="156">
        <f t="shared" si="284"/>
        <v>0.13999056516484323</v>
      </c>
      <c r="P231" s="156">
        <f t="shared" si="284"/>
        <v>0.10845436750030715</v>
      </c>
      <c r="Q231" s="156">
        <f t="shared" si="284"/>
        <v>0.12172203124479632</v>
      </c>
      <c r="R231" s="156">
        <f t="shared" si="284"/>
        <v>0.12086558802660198</v>
      </c>
      <c r="S231" s="156">
        <f t="shared" si="284"/>
        <v>8.0311046125835145E-2</v>
      </c>
      <c r="T231" s="156">
        <f t="shared" si="284"/>
        <v>8.2850949463636941E-2</v>
      </c>
      <c r="U231" s="156">
        <f t="shared" si="284"/>
        <v>8.4817095925400224E-2</v>
      </c>
      <c r="V231" s="156">
        <f t="shared" si="284"/>
        <v>6.320906368031709E-2</v>
      </c>
      <c r="W231" s="156">
        <f t="shared" ref="W231" si="285">IF(W13=0,0,W13/W$4)</f>
        <v>7.3818777976038683E-2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5.283852960224582E-4</v>
      </c>
      <c r="C232" s="103">
        <f t="shared" si="286"/>
        <v>5.3207483695042054E-4</v>
      </c>
      <c r="D232" s="103">
        <f t="shared" si="286"/>
        <v>5.2638344970106529E-4</v>
      </c>
      <c r="E232" s="103">
        <f t="shared" si="286"/>
        <v>5.0589814665351156E-4</v>
      </c>
      <c r="F232" s="103">
        <f t="shared" si="286"/>
        <v>5.1770715767593043E-4</v>
      </c>
      <c r="G232" s="103">
        <f t="shared" si="286"/>
        <v>4.5159637174561928E-4</v>
      </c>
      <c r="H232" s="103">
        <f t="shared" si="286"/>
        <v>3.9552507509111012E-4</v>
      </c>
      <c r="I232" s="103">
        <f t="shared" si="286"/>
        <v>5.0360708104355435E-4</v>
      </c>
      <c r="J232" s="103">
        <f t="shared" si="286"/>
        <v>4.7227931983264998E-4</v>
      </c>
      <c r="K232" s="103">
        <f t="shared" si="286"/>
        <v>4.0350602613318701E-4</v>
      </c>
      <c r="L232" s="103">
        <f t="shared" ref="L232" si="287">IF(L14=0,0,L14/L$4)</f>
        <v>3.536830507201273E-4</v>
      </c>
      <c r="M232" s="103">
        <f t="shared" ref="M232:V232" si="288">IF(M14=0,0,M14/M$4)</f>
        <v>3.751993780750475E-4</v>
      </c>
      <c r="N232" s="103">
        <f t="shared" si="288"/>
        <v>3.6133208615664607E-4</v>
      </c>
      <c r="O232" s="103">
        <f t="shared" si="288"/>
        <v>3.5949375948995423E-4</v>
      </c>
      <c r="P232" s="103">
        <f t="shared" si="288"/>
        <v>2.6767564596283892E-4</v>
      </c>
      <c r="Q232" s="103">
        <f t="shared" si="288"/>
        <v>2.8689664939089601E-4</v>
      </c>
      <c r="R232" s="103">
        <f t="shared" si="288"/>
        <v>2.7052575002021215E-4</v>
      </c>
      <c r="S232" s="103">
        <f t="shared" si="288"/>
        <v>2.3253821347432962E-4</v>
      </c>
      <c r="T232" s="103">
        <f t="shared" si="288"/>
        <v>2.1918696216604216E-4</v>
      </c>
      <c r="U232" s="103">
        <f t="shared" si="288"/>
        <v>2.0483502125281721E-4</v>
      </c>
      <c r="V232" s="103">
        <f t="shared" si="288"/>
        <v>1.4102129340656013E-4</v>
      </c>
      <c r="W232" s="103">
        <f t="shared" ref="W232" si="289">IF(W14=0,0,W14/W$4)</f>
        <v>1.5257839644289143E-4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0.1373218452996687</v>
      </c>
      <c r="C233" s="103">
        <f t="shared" si="290"/>
        <v>0.13841560449413221</v>
      </c>
      <c r="D233" s="103">
        <f t="shared" si="290"/>
        <v>0.13273224709294218</v>
      </c>
      <c r="E233" s="103">
        <f t="shared" si="290"/>
        <v>0.12726151301234415</v>
      </c>
      <c r="F233" s="103">
        <f t="shared" si="290"/>
        <v>0.13386721804444765</v>
      </c>
      <c r="G233" s="103">
        <f t="shared" si="290"/>
        <v>0.13007769781880454</v>
      </c>
      <c r="H233" s="103">
        <f t="shared" si="290"/>
        <v>0.12088660643293928</v>
      </c>
      <c r="I233" s="103">
        <f t="shared" si="290"/>
        <v>0.13962019563680289</v>
      </c>
      <c r="J233" s="103">
        <f t="shared" si="290"/>
        <v>0.14343737083384364</v>
      </c>
      <c r="K233" s="103">
        <f t="shared" si="290"/>
        <v>0.13298408622242985</v>
      </c>
      <c r="L233" s="103">
        <f t="shared" ref="L233" si="291">IF(L15=0,0,L15/L$4)</f>
        <v>0.12293958074700916</v>
      </c>
      <c r="M233" s="103">
        <f t="shared" ref="M233:V233" si="292">IF(M15=0,0,M15/M$4)</f>
        <v>0.13593584948608567</v>
      </c>
      <c r="N233" s="103">
        <f t="shared" si="292"/>
        <v>0.13808842065761237</v>
      </c>
      <c r="O233" s="103">
        <f t="shared" si="292"/>
        <v>0.13821261987636968</v>
      </c>
      <c r="P233" s="103">
        <f t="shared" si="292"/>
        <v>0.10698472580171391</v>
      </c>
      <c r="Q233" s="103">
        <f t="shared" si="292"/>
        <v>0.11613482184355882</v>
      </c>
      <c r="R233" s="103">
        <f t="shared" si="292"/>
        <v>0.11422881703368</v>
      </c>
      <c r="S233" s="103">
        <f t="shared" si="292"/>
        <v>7.0400009957870144E-2</v>
      </c>
      <c r="T233" s="103">
        <f t="shared" si="292"/>
        <v>7.1086431340257383E-2</v>
      </c>
      <c r="U233" s="103">
        <f t="shared" si="292"/>
        <v>6.9660135551068661E-2</v>
      </c>
      <c r="V233" s="103">
        <f t="shared" si="292"/>
        <v>4.9741633580815917E-2</v>
      </c>
      <c r="W233" s="103">
        <f t="shared" ref="W233" si="293">IF(W15=0,0,W15/W$4)</f>
        <v>5.7280243254674769E-2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4.1992193069438098E-6</v>
      </c>
      <c r="Q234" s="103">
        <f t="shared" si="296"/>
        <v>1.2176548430223429E-4</v>
      </c>
      <c r="R234" s="103">
        <f t="shared" si="296"/>
        <v>1.1873183641958919E-4</v>
      </c>
      <c r="S234" s="103">
        <f t="shared" si="296"/>
        <v>1.0658765806839099E-4</v>
      </c>
      <c r="T234" s="103">
        <f t="shared" si="296"/>
        <v>9.8191070243546178E-5</v>
      </c>
      <c r="U234" s="103">
        <f t="shared" si="296"/>
        <v>1.2550303664252865E-4</v>
      </c>
      <c r="V234" s="103">
        <f t="shared" si="296"/>
        <v>1.198659921158101E-4</v>
      </c>
      <c r="W234" s="103">
        <f t="shared" ref="W234" si="297">IF(W16=0,0,W16/W$4)</f>
        <v>2.9804260698853543E-4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4.6869341460490516E-4</v>
      </c>
      <c r="C235" s="103">
        <f t="shared" si="298"/>
        <v>4.6068146775012439E-4</v>
      </c>
      <c r="D235" s="103">
        <f t="shared" si="298"/>
        <v>3.0445174117029023E-5</v>
      </c>
      <c r="E235" s="103">
        <f t="shared" si="298"/>
        <v>6.889248795940823E-4</v>
      </c>
      <c r="F235" s="103">
        <f t="shared" si="298"/>
        <v>9.1025745131060752E-4</v>
      </c>
      <c r="G235" s="103">
        <f t="shared" si="298"/>
        <v>1.0072637711050049E-3</v>
      </c>
      <c r="H235" s="103">
        <f t="shared" si="298"/>
        <v>9.8340451422849768E-4</v>
      </c>
      <c r="I235" s="103">
        <f t="shared" si="298"/>
        <v>1.4376319067655242E-3</v>
      </c>
      <c r="J235" s="103">
        <f t="shared" si="298"/>
        <v>1.371317307551134E-3</v>
      </c>
      <c r="K235" s="103">
        <f t="shared" si="298"/>
        <v>1.2907294741146028E-3</v>
      </c>
      <c r="L235" s="103">
        <f t="shared" ref="L235" si="299">IF(L17=0,0,L17/L$4)</f>
        <v>1.2114757363719205E-3</v>
      </c>
      <c r="M235" s="103">
        <f t="shared" ref="M235:V235" si="300">IF(M17=0,0,M17/M$4)</f>
        <v>1.3419393794197817E-3</v>
      </c>
      <c r="N235" s="103">
        <f t="shared" si="300"/>
        <v>1.3907637230793199E-3</v>
      </c>
      <c r="O235" s="103">
        <f t="shared" si="300"/>
        <v>1.4184515289835857E-3</v>
      </c>
      <c r="P235" s="103">
        <f t="shared" si="300"/>
        <v>1.0055860142930337E-3</v>
      </c>
      <c r="Q235" s="103">
        <f t="shared" si="300"/>
        <v>4.8385892131611857E-3</v>
      </c>
      <c r="R235" s="103">
        <f t="shared" si="300"/>
        <v>5.7825784134364717E-3</v>
      </c>
      <c r="S235" s="103">
        <f t="shared" si="300"/>
        <v>8.974769755825375E-3</v>
      </c>
      <c r="T235" s="103">
        <f t="shared" si="300"/>
        <v>1.0666409564685017E-2</v>
      </c>
      <c r="U235" s="103">
        <f t="shared" si="300"/>
        <v>1.3550708184469056E-2</v>
      </c>
      <c r="V235" s="103">
        <f t="shared" si="300"/>
        <v>1.1885667240952037E-2</v>
      </c>
      <c r="W235" s="103">
        <f t="shared" ref="W235" si="301">IF(W17=0,0,W17/W$4)</f>
        <v>1.4261248460742858E-2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0</v>
      </c>
      <c r="M236" s="103">
        <f t="shared" ref="M236:V236" si="304">IF(M18=0,0,M18/M$4)</f>
        <v>0</v>
      </c>
      <c r="N236" s="103">
        <f t="shared" si="304"/>
        <v>0</v>
      </c>
      <c r="O236" s="103">
        <f t="shared" si="304"/>
        <v>0</v>
      </c>
      <c r="P236" s="103">
        <f t="shared" si="304"/>
        <v>1.9218081903045361E-4</v>
      </c>
      <c r="Q236" s="103">
        <f t="shared" si="304"/>
        <v>3.3995805438317468E-4</v>
      </c>
      <c r="R236" s="103">
        <f t="shared" si="304"/>
        <v>4.6493499304569962E-4</v>
      </c>
      <c r="S236" s="103">
        <f t="shared" si="304"/>
        <v>5.9714054059691849E-4</v>
      </c>
      <c r="T236" s="103">
        <f t="shared" si="304"/>
        <v>7.807305262849517E-4</v>
      </c>
      <c r="U236" s="103">
        <f t="shared" si="304"/>
        <v>1.2759141319671572E-3</v>
      </c>
      <c r="V236" s="103">
        <f t="shared" si="304"/>
        <v>1.3208755730267593E-3</v>
      </c>
      <c r="W236" s="103">
        <f t="shared" ref="W236" si="305">IF(W18=0,0,W18/W$4)</f>
        <v>1.8266652571896362E-3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5.4069857204308361E-2</v>
      </c>
      <c r="C238" s="154">
        <f t="shared" si="310"/>
        <v>6.0194391625719254E-2</v>
      </c>
      <c r="D238" s="154">
        <f t="shared" si="310"/>
        <v>5.0806989329676748E-2</v>
      </c>
      <c r="E238" s="154">
        <f t="shared" si="310"/>
        <v>5.208227056096057E-2</v>
      </c>
      <c r="F238" s="154">
        <f t="shared" si="310"/>
        <v>4.9253621010726556E-2</v>
      </c>
      <c r="G238" s="154">
        <f t="shared" si="310"/>
        <v>4.4445296468638838E-2</v>
      </c>
      <c r="H238" s="154">
        <f t="shared" si="310"/>
        <v>4.5065959863383083E-2</v>
      </c>
      <c r="I238" s="154">
        <f t="shared" si="310"/>
        <v>4.8891369275806555E-2</v>
      </c>
      <c r="J238" s="154">
        <f t="shared" si="310"/>
        <v>4.9278445463625108E-2</v>
      </c>
      <c r="K238" s="154">
        <f t="shared" si="310"/>
        <v>4.9616429125688359E-2</v>
      </c>
      <c r="L238" s="154">
        <f t="shared" ref="L238" si="311">IF(L20=0,0,L20/L$19)</f>
        <v>5.0624765146700931E-2</v>
      </c>
      <c r="M238" s="154">
        <f t="shared" ref="M238:V238" si="312">IF(M20=0,0,M20/M$19)</f>
        <v>5.0774157085724247E-2</v>
      </c>
      <c r="N238" s="154">
        <f t="shared" si="312"/>
        <v>4.9704008682444976E-2</v>
      </c>
      <c r="O238" s="154">
        <f t="shared" si="312"/>
        <v>5.0485299229343555E-2</v>
      </c>
      <c r="P238" s="154">
        <f t="shared" si="312"/>
        <v>4.9760117137569476E-2</v>
      </c>
      <c r="Q238" s="154">
        <f t="shared" si="312"/>
        <v>4.9181920832659098E-2</v>
      </c>
      <c r="R238" s="154">
        <f t="shared" si="312"/>
        <v>4.5537910103465709E-2</v>
      </c>
      <c r="S238" s="154">
        <f t="shared" si="312"/>
        <v>4.5834022785521344E-2</v>
      </c>
      <c r="T238" s="154">
        <f t="shared" si="312"/>
        <v>4.5619871253183876E-2</v>
      </c>
      <c r="U238" s="154">
        <f t="shared" si="312"/>
        <v>4.4160351166660533E-2</v>
      </c>
      <c r="V238" s="154">
        <f t="shared" si="312"/>
        <v>3.1189344231637033E-2</v>
      </c>
      <c r="W238" s="154">
        <f t="shared" ref="W238" si="313">IF(W20=0,0,W20/W$19)</f>
        <v>3.9769897435966185E-2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3.988255173044109E-3</v>
      </c>
      <c r="C239" s="103">
        <f t="shared" si="314"/>
        <v>3.9502499183861227E-3</v>
      </c>
      <c r="D239" s="103">
        <f t="shared" si="314"/>
        <v>2.5824998510101233E-3</v>
      </c>
      <c r="E239" s="103">
        <f t="shared" si="314"/>
        <v>2.1536484317156231E-3</v>
      </c>
      <c r="F239" s="103">
        <f t="shared" si="314"/>
        <v>1.6295014832221079E-3</v>
      </c>
      <c r="G239" s="103">
        <f t="shared" si="314"/>
        <v>1.1820428524368413E-3</v>
      </c>
      <c r="H239" s="103">
        <f t="shared" si="314"/>
        <v>9.7944233819261374E-4</v>
      </c>
      <c r="I239" s="103">
        <f t="shared" si="314"/>
        <v>8.196724196520178E-4</v>
      </c>
      <c r="J239" s="103">
        <f t="shared" si="314"/>
        <v>7.2838562435382256E-4</v>
      </c>
      <c r="K239" s="103">
        <f t="shared" si="314"/>
        <v>7.3140481620175945E-4</v>
      </c>
      <c r="L239" s="103">
        <f t="shared" ref="L239" si="315">IF(L21=0,0,L21/L$19)</f>
        <v>7.0654475407440495E-4</v>
      </c>
      <c r="M239" s="103">
        <f t="shared" ref="M239:V239" si="316">IF(M21=0,0,M21/M$19)</f>
        <v>7.3705674798666483E-4</v>
      </c>
      <c r="N239" s="103">
        <f t="shared" si="316"/>
        <v>8.0812423071202567E-4</v>
      </c>
      <c r="O239" s="103">
        <f t="shared" si="316"/>
        <v>8.4324460197434444E-4</v>
      </c>
      <c r="P239" s="103">
        <f t="shared" si="316"/>
        <v>5.91253490154765E-4</v>
      </c>
      <c r="Q239" s="103">
        <f t="shared" si="316"/>
        <v>5.8129987147637627E-4</v>
      </c>
      <c r="R239" s="103">
        <f t="shared" si="316"/>
        <v>5.2627239232691959E-4</v>
      </c>
      <c r="S239" s="103">
        <f t="shared" si="316"/>
        <v>5.8728589998457699E-4</v>
      </c>
      <c r="T239" s="103">
        <f t="shared" si="316"/>
        <v>6.2106598458734218E-4</v>
      </c>
      <c r="U239" s="103">
        <f t="shared" si="316"/>
        <v>6.6501979908505917E-4</v>
      </c>
      <c r="V239" s="103">
        <f t="shared" si="316"/>
        <v>4.8084188975292105E-4</v>
      </c>
      <c r="W239" s="103">
        <f t="shared" ref="W239" si="317">IF(W21=0,0,W21/W$19)</f>
        <v>7.0584757547855306E-4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5.0081602031264251E-2</v>
      </c>
      <c r="C240" s="103">
        <f t="shared" si="318"/>
        <v>5.6244141707333134E-2</v>
      </c>
      <c r="D240" s="103">
        <f t="shared" si="318"/>
        <v>4.8224489478666629E-2</v>
      </c>
      <c r="E240" s="103">
        <f t="shared" si="318"/>
        <v>4.992862212924494E-2</v>
      </c>
      <c r="F240" s="103">
        <f t="shared" si="318"/>
        <v>4.7624119527504442E-2</v>
      </c>
      <c r="G240" s="103">
        <f t="shared" si="318"/>
        <v>4.3263253616201994E-2</v>
      </c>
      <c r="H240" s="103">
        <f t="shared" si="318"/>
        <v>4.4086517525190473E-2</v>
      </c>
      <c r="I240" s="103">
        <f t="shared" si="318"/>
        <v>4.807169685615454E-2</v>
      </c>
      <c r="J240" s="103">
        <f t="shared" si="318"/>
        <v>4.8550059839271284E-2</v>
      </c>
      <c r="K240" s="103">
        <f t="shared" si="318"/>
        <v>4.8885024309486602E-2</v>
      </c>
      <c r="L240" s="103">
        <f t="shared" ref="L240" si="319">IF(L22=0,0,L22/L$19)</f>
        <v>4.9918220392626521E-2</v>
      </c>
      <c r="M240" s="103">
        <f t="shared" ref="M240:V240" si="320">IF(M22=0,0,M22/M$19)</f>
        <v>5.0036760947152085E-2</v>
      </c>
      <c r="N240" s="103">
        <f t="shared" si="320"/>
        <v>4.8892283802307715E-2</v>
      </c>
      <c r="O240" s="103">
        <f t="shared" si="320"/>
        <v>4.9638267289848034E-2</v>
      </c>
      <c r="P240" s="103">
        <f t="shared" si="320"/>
        <v>4.9155473658721534E-2</v>
      </c>
      <c r="Q240" s="103">
        <f t="shared" si="320"/>
        <v>4.8566254798317582E-2</v>
      </c>
      <c r="R240" s="103">
        <f t="shared" si="320"/>
        <v>4.4942587345958407E-2</v>
      </c>
      <c r="S240" s="103">
        <f t="shared" si="320"/>
        <v>4.5150850116155744E-2</v>
      </c>
      <c r="T240" s="103">
        <f t="shared" si="320"/>
        <v>4.4834454894335497E-2</v>
      </c>
      <c r="U240" s="103">
        <f t="shared" si="320"/>
        <v>4.3209816457186377E-2</v>
      </c>
      <c r="V240" s="103">
        <f t="shared" si="320"/>
        <v>3.0455279444356085E-2</v>
      </c>
      <c r="W240" s="103">
        <f t="shared" ref="W240" si="321">IF(W22=0,0,W22/W$19)</f>
        <v>3.8671391625107833E-2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3.8363396245348028E-8</v>
      </c>
      <c r="P241" s="103">
        <f t="shared" si="324"/>
        <v>4.3583382441367497E-6</v>
      </c>
      <c r="Q241" s="103">
        <f t="shared" si="324"/>
        <v>9.2297430080314936E-6</v>
      </c>
      <c r="R241" s="103">
        <f t="shared" si="324"/>
        <v>2.8377659966873343E-5</v>
      </c>
      <c r="S241" s="103">
        <f t="shared" si="324"/>
        <v>4.0247879414993527E-5</v>
      </c>
      <c r="T241" s="103">
        <f t="shared" si="324"/>
        <v>7.2874155391267949E-5</v>
      </c>
      <c r="U241" s="103">
        <f t="shared" si="324"/>
        <v>1.5438895066201936E-4</v>
      </c>
      <c r="V241" s="103">
        <f t="shared" si="324"/>
        <v>1.2686982628602891E-4</v>
      </c>
      <c r="W241" s="103">
        <f t="shared" ref="W241" si="325">IF(W23=0,0,W23/W$19)</f>
        <v>2.004551907164481E-4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2.8543300209323871E-7</v>
      </c>
      <c r="O242" s="103">
        <f t="shared" si="328"/>
        <v>1.9847429419229047E-6</v>
      </c>
      <c r="P242" s="103">
        <f t="shared" si="328"/>
        <v>3.2645261896556224E-6</v>
      </c>
      <c r="Q242" s="103">
        <f t="shared" si="328"/>
        <v>9.2212088010712905E-6</v>
      </c>
      <c r="R242" s="103">
        <f t="shared" si="328"/>
        <v>1.1876566573593733E-5</v>
      </c>
      <c r="S242" s="103">
        <f t="shared" si="328"/>
        <v>1.7302251495755887E-5</v>
      </c>
      <c r="T242" s="103">
        <f t="shared" si="328"/>
        <v>3.1510645476114962E-5</v>
      </c>
      <c r="U242" s="103">
        <f t="shared" si="328"/>
        <v>5.4989733880589936E-5</v>
      </c>
      <c r="V242" s="103">
        <f t="shared" si="328"/>
        <v>5.248454844970392E-5</v>
      </c>
      <c r="W242" s="103">
        <f t="shared" ref="W242" si="329">IF(W24=0,0,W24/W$19)</f>
        <v>7.5191136537916788E-5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3.3939058549686373E-7</v>
      </c>
      <c r="N243" s="103">
        <f t="shared" si="332"/>
        <v>3.3152164231350895E-6</v>
      </c>
      <c r="O243" s="103">
        <f t="shared" si="332"/>
        <v>1.7642311830109184E-6</v>
      </c>
      <c r="P243" s="103">
        <f t="shared" si="332"/>
        <v>5.7671242593800275E-6</v>
      </c>
      <c r="Q243" s="103">
        <f t="shared" si="332"/>
        <v>1.5915211056044436E-5</v>
      </c>
      <c r="R243" s="103">
        <f t="shared" si="332"/>
        <v>2.8796138639917797E-5</v>
      </c>
      <c r="S243" s="103">
        <f t="shared" si="332"/>
        <v>3.833663847027263E-5</v>
      </c>
      <c r="T243" s="103">
        <f t="shared" si="332"/>
        <v>5.9965573393655737E-5</v>
      </c>
      <c r="U243" s="103">
        <f t="shared" si="332"/>
        <v>7.613622584648701E-5</v>
      </c>
      <c r="V243" s="103">
        <f t="shared" si="332"/>
        <v>7.3868522792293049E-5</v>
      </c>
      <c r="W243" s="103">
        <f t="shared" ref="W243" si="333">IF(W25=0,0,W25/W$19)</f>
        <v>1.1701190812543673E-4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0.94593014279569165</v>
      </c>
      <c r="C244" s="156">
        <f t="shared" si="334"/>
        <v>0.93980560837428084</v>
      </c>
      <c r="D244" s="156">
        <f t="shared" si="334"/>
        <v>0.94919301067032325</v>
      </c>
      <c r="E244" s="156">
        <f t="shared" si="334"/>
        <v>0.9479177294390394</v>
      </c>
      <c r="F244" s="156">
        <f t="shared" si="334"/>
        <v>0.95074637898927339</v>
      </c>
      <c r="G244" s="156">
        <f t="shared" si="334"/>
        <v>0.95555470353136118</v>
      </c>
      <c r="H244" s="156">
        <f t="shared" si="334"/>
        <v>0.95493404013661687</v>
      </c>
      <c r="I244" s="156">
        <f t="shared" si="334"/>
        <v>0.95110863072419349</v>
      </c>
      <c r="J244" s="156">
        <f t="shared" si="334"/>
        <v>0.95072155453637497</v>
      </c>
      <c r="K244" s="156">
        <f t="shared" si="334"/>
        <v>0.95038357087431158</v>
      </c>
      <c r="L244" s="156">
        <f t="shared" ref="L244" si="335">IF(L26=0,0,L26/L$19)</f>
        <v>0.949375234853299</v>
      </c>
      <c r="M244" s="156">
        <f t="shared" ref="M244:V244" si="336">IF(M26=0,0,M26/M$19)</f>
        <v>0.94922584291427581</v>
      </c>
      <c r="N244" s="156">
        <f t="shared" si="336"/>
        <v>0.95029599131755504</v>
      </c>
      <c r="O244" s="156">
        <f t="shared" si="336"/>
        <v>0.94951470077065636</v>
      </c>
      <c r="P244" s="156">
        <f t="shared" si="336"/>
        <v>0.95023988286243055</v>
      </c>
      <c r="Q244" s="156">
        <f t="shared" si="336"/>
        <v>0.95081807916734085</v>
      </c>
      <c r="R244" s="156">
        <f t="shared" si="336"/>
        <v>0.95446208989653436</v>
      </c>
      <c r="S244" s="156">
        <f t="shared" si="336"/>
        <v>0.95416597721447871</v>
      </c>
      <c r="T244" s="156">
        <f t="shared" si="336"/>
        <v>0.9543801287468161</v>
      </c>
      <c r="U244" s="156">
        <f t="shared" si="336"/>
        <v>0.95583964883333949</v>
      </c>
      <c r="V244" s="156">
        <f t="shared" si="336"/>
        <v>0.96881065576836289</v>
      </c>
      <c r="W244" s="156">
        <f t="shared" ref="W244" si="337">IF(W26=0,0,W26/W$19)</f>
        <v>0.96023010256403374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0.72802634113027342</v>
      </c>
      <c r="C245" s="103">
        <f t="shared" si="338"/>
        <v>0.72251657313200823</v>
      </c>
      <c r="D245" s="103">
        <f t="shared" si="338"/>
        <v>0.74135534989725771</v>
      </c>
      <c r="E245" s="103">
        <f t="shared" si="338"/>
        <v>0.74842766453826415</v>
      </c>
      <c r="F245" s="103">
        <f t="shared" si="338"/>
        <v>0.7449593179698657</v>
      </c>
      <c r="G245" s="103">
        <f t="shared" si="338"/>
        <v>0.7545084605231428</v>
      </c>
      <c r="H245" s="103">
        <f t="shared" si="338"/>
        <v>0.75737315336900435</v>
      </c>
      <c r="I245" s="103">
        <f t="shared" si="338"/>
        <v>0.76408605031213039</v>
      </c>
      <c r="J245" s="103">
        <f t="shared" si="338"/>
        <v>0.76638767912258776</v>
      </c>
      <c r="K245" s="103">
        <f t="shared" si="338"/>
        <v>0.75785940842401889</v>
      </c>
      <c r="L245" s="103">
        <f t="shared" ref="L245" si="339">IF(L27=0,0,L27/L$19)</f>
        <v>0.75266724760956794</v>
      </c>
      <c r="M245" s="103">
        <f t="shared" ref="M245:V245" si="340">IF(M27=0,0,M27/M$19)</f>
        <v>0.75108554431370511</v>
      </c>
      <c r="N245" s="103">
        <f t="shared" si="340"/>
        <v>0.74653587590355674</v>
      </c>
      <c r="O245" s="103">
        <f t="shared" si="340"/>
        <v>0.72591311640890244</v>
      </c>
      <c r="P245" s="103">
        <f t="shared" si="340"/>
        <v>0.72873458292131876</v>
      </c>
      <c r="Q245" s="103">
        <f t="shared" si="340"/>
        <v>0.73309030755620341</v>
      </c>
      <c r="R245" s="103">
        <f t="shared" si="340"/>
        <v>0.7411959119480015</v>
      </c>
      <c r="S245" s="103">
        <f t="shared" si="340"/>
        <v>0.74549765346041164</v>
      </c>
      <c r="T245" s="103">
        <f t="shared" si="340"/>
        <v>0.74277998096119491</v>
      </c>
      <c r="U245" s="103">
        <f t="shared" si="340"/>
        <v>0.74555537546338524</v>
      </c>
      <c r="V245" s="103">
        <f t="shared" si="340"/>
        <v>0.76439900005050387</v>
      </c>
      <c r="W245" s="103">
        <f t="shared" ref="W245" si="341">IF(W27=0,0,W27/W$19)</f>
        <v>0.75819646234729332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0.2179038016654182</v>
      </c>
      <c r="C246" s="105">
        <f t="shared" si="342"/>
        <v>0.21728903524227258</v>
      </c>
      <c r="D246" s="105">
        <f t="shared" si="342"/>
        <v>0.20783766077306556</v>
      </c>
      <c r="E246" s="105">
        <f t="shared" si="342"/>
        <v>0.19949006490077523</v>
      </c>
      <c r="F246" s="105">
        <f t="shared" si="342"/>
        <v>0.20578706101940766</v>
      </c>
      <c r="G246" s="105">
        <f t="shared" si="342"/>
        <v>0.20104624300821841</v>
      </c>
      <c r="H246" s="105">
        <f t="shared" si="342"/>
        <v>0.19756088676761249</v>
      </c>
      <c r="I246" s="105">
        <f t="shared" si="342"/>
        <v>0.18702258041206307</v>
      </c>
      <c r="J246" s="105">
        <f t="shared" si="342"/>
        <v>0.18433387541378723</v>
      </c>
      <c r="K246" s="105">
        <f t="shared" si="342"/>
        <v>0.19252416245029272</v>
      </c>
      <c r="L246" s="105">
        <f t="shared" ref="L246" si="343">IF(L28=0,0,L28/L$19)</f>
        <v>0.19670798724373112</v>
      </c>
      <c r="M246" s="105">
        <f t="shared" ref="M246:V246" si="344">IF(M28=0,0,M28/M$19)</f>
        <v>0.19814029860057067</v>
      </c>
      <c r="N246" s="105">
        <f t="shared" si="344"/>
        <v>0.20376011541399827</v>
      </c>
      <c r="O246" s="105">
        <f t="shared" si="344"/>
        <v>0.22360158436175398</v>
      </c>
      <c r="P246" s="105">
        <f t="shared" si="344"/>
        <v>0.22150529994111179</v>
      </c>
      <c r="Q246" s="105">
        <f t="shared" si="344"/>
        <v>0.21772777161113746</v>
      </c>
      <c r="R246" s="105">
        <f t="shared" si="344"/>
        <v>0.21326617794853281</v>
      </c>
      <c r="S246" s="105">
        <f t="shared" si="344"/>
        <v>0.20866832375406702</v>
      </c>
      <c r="T246" s="105">
        <f t="shared" si="344"/>
        <v>0.2116001477856212</v>
      </c>
      <c r="U246" s="105">
        <f t="shared" si="344"/>
        <v>0.21028427336995426</v>
      </c>
      <c r="V246" s="105">
        <f t="shared" si="344"/>
        <v>0.20441165571785905</v>
      </c>
      <c r="W246" s="105">
        <f t="shared" ref="W246" si="345">IF(W28=0,0,W28/W$19)</f>
        <v>0.20203364021674039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4.7314028477043524E-2</v>
      </c>
      <c r="C250" s="154">
        <f t="shared" si="350"/>
        <v>4.7279442258102475E-2</v>
      </c>
      <c r="D250" s="154">
        <f t="shared" si="350"/>
        <v>4.160424891507794E-2</v>
      </c>
      <c r="E250" s="154">
        <f t="shared" si="350"/>
        <v>4.4911021651752814E-2</v>
      </c>
      <c r="F250" s="154">
        <f t="shared" si="350"/>
        <v>4.0867345760413162E-2</v>
      </c>
      <c r="G250" s="154">
        <f t="shared" si="350"/>
        <v>4.4061912729875363E-2</v>
      </c>
      <c r="H250" s="154">
        <f t="shared" si="350"/>
        <v>4.3133361795836128E-2</v>
      </c>
      <c r="I250" s="154">
        <f t="shared" si="350"/>
        <v>4.6912910732713302E-2</v>
      </c>
      <c r="J250" s="154">
        <f t="shared" si="350"/>
        <v>4.6926588444206711E-2</v>
      </c>
      <c r="K250" s="154">
        <f t="shared" si="350"/>
        <v>4.7962148583582526E-2</v>
      </c>
      <c r="L250" s="154">
        <f t="shared" ref="L250" si="351">IF(L32=0,0,L32/L$31)</f>
        <v>4.981259236542044E-2</v>
      </c>
      <c r="M250" s="154">
        <f t="shared" ref="M250:V250" si="352">IF(M32=0,0,M32/M$31)</f>
        <v>4.6704177856037671E-2</v>
      </c>
      <c r="N250" s="154">
        <f t="shared" si="352"/>
        <v>4.6146302411972401E-2</v>
      </c>
      <c r="O250" s="154">
        <f t="shared" si="352"/>
        <v>4.6057175559228829E-2</v>
      </c>
      <c r="P250" s="154">
        <f t="shared" si="352"/>
        <v>5.04053764122947E-2</v>
      </c>
      <c r="Q250" s="154">
        <f t="shared" si="352"/>
        <v>5.3177147279055835E-2</v>
      </c>
      <c r="R250" s="154">
        <f t="shared" si="352"/>
        <v>5.6475728336780176E-2</v>
      </c>
      <c r="S250" s="154">
        <f t="shared" si="352"/>
        <v>5.3233528652098627E-2</v>
      </c>
      <c r="T250" s="154">
        <f t="shared" si="352"/>
        <v>5.0077991109697927E-2</v>
      </c>
      <c r="U250" s="154">
        <f t="shared" si="352"/>
        <v>4.9354252494719163E-2</v>
      </c>
      <c r="V250" s="154">
        <f t="shared" si="352"/>
        <v>5.4143791642546978E-2</v>
      </c>
      <c r="W250" s="154">
        <f t="shared" ref="W250" si="353">IF(W32=0,0,W32/W$31)</f>
        <v>5.388203780129891E-2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0.94209763479134412</v>
      </c>
      <c r="C251" s="156">
        <f t="shared" si="354"/>
        <v>0.9425170156165017</v>
      </c>
      <c r="D251" s="156">
        <f t="shared" si="354"/>
        <v>0.94879768303751688</v>
      </c>
      <c r="E251" s="156">
        <f t="shared" si="354"/>
        <v>0.94588664566765401</v>
      </c>
      <c r="F251" s="156">
        <f t="shared" si="354"/>
        <v>0.95017073764175708</v>
      </c>
      <c r="G251" s="156">
        <f t="shared" si="354"/>
        <v>0.94753714096566111</v>
      </c>
      <c r="H251" s="156">
        <f t="shared" si="354"/>
        <v>0.94842288737013436</v>
      </c>
      <c r="I251" s="156">
        <f t="shared" si="354"/>
        <v>0.94474845080267456</v>
      </c>
      <c r="J251" s="156">
        <f t="shared" si="354"/>
        <v>0.94481478174285416</v>
      </c>
      <c r="K251" s="156">
        <f t="shared" si="354"/>
        <v>0.94400556046515605</v>
      </c>
      <c r="L251" s="156">
        <f t="shared" ref="L251" si="355">IF(L33=0,0,L33/L$31)</f>
        <v>0.94216562051994868</v>
      </c>
      <c r="M251" s="156">
        <f t="shared" ref="M251:V251" si="356">IF(M33=0,0,M33/M$31)</f>
        <v>0.94516588949076108</v>
      </c>
      <c r="N251" s="156">
        <f t="shared" si="356"/>
        <v>0.94557745662472026</v>
      </c>
      <c r="O251" s="156">
        <f t="shared" si="356"/>
        <v>0.94611029021348625</v>
      </c>
      <c r="P251" s="156">
        <f t="shared" si="356"/>
        <v>0.94210485041441949</v>
      </c>
      <c r="Q251" s="156">
        <f t="shared" si="356"/>
        <v>0.93945042699497694</v>
      </c>
      <c r="R251" s="156">
        <f t="shared" si="356"/>
        <v>0.93587645519567098</v>
      </c>
      <c r="S251" s="156">
        <f t="shared" si="356"/>
        <v>0.94190203872579958</v>
      </c>
      <c r="T251" s="156">
        <f t="shared" si="356"/>
        <v>0.94497215130193279</v>
      </c>
      <c r="U251" s="156">
        <f t="shared" si="356"/>
        <v>0.94593511171616995</v>
      </c>
      <c r="V251" s="156">
        <f t="shared" si="356"/>
        <v>0.94205224442867608</v>
      </c>
      <c r="W251" s="156">
        <f t="shared" ref="W251" si="357">IF(W33=0,0,W33/W$31)</f>
        <v>0.94144289284603278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0.48184993203993243</v>
      </c>
      <c r="C252" s="103">
        <f t="shared" si="358"/>
        <v>0.45246829983823189</v>
      </c>
      <c r="D252" s="103">
        <f t="shared" si="358"/>
        <v>0.42733383529451202</v>
      </c>
      <c r="E252" s="103">
        <f t="shared" si="358"/>
        <v>0.39263702003815909</v>
      </c>
      <c r="F252" s="103">
        <f t="shared" si="358"/>
        <v>0.36373932784611324</v>
      </c>
      <c r="G252" s="103">
        <f t="shared" si="358"/>
        <v>0.3346962257081802</v>
      </c>
      <c r="H252" s="103">
        <f t="shared" si="358"/>
        <v>0.30840029641963546</v>
      </c>
      <c r="I252" s="103">
        <f t="shared" si="358"/>
        <v>0.2862397862267691</v>
      </c>
      <c r="J252" s="103">
        <f t="shared" si="358"/>
        <v>0.27358635353486793</v>
      </c>
      <c r="K252" s="103">
        <f t="shared" si="358"/>
        <v>0.26082441135076367</v>
      </c>
      <c r="L252" s="103">
        <f t="shared" ref="L252" si="359">IF(L34=0,0,L34/L$31)</f>
        <v>0.25014586016689644</v>
      </c>
      <c r="M252" s="103">
        <f t="shared" ref="M252:V252" si="360">IF(M34=0,0,M34/M$31)</f>
        <v>0.24356157685816851</v>
      </c>
      <c r="N252" s="103">
        <f t="shared" si="360"/>
        <v>0.23752523200081441</v>
      </c>
      <c r="O252" s="103">
        <f t="shared" si="360"/>
        <v>0.2295294221939313</v>
      </c>
      <c r="P252" s="103">
        <f t="shared" si="360"/>
        <v>0.22055118449616626</v>
      </c>
      <c r="Q252" s="103">
        <f t="shared" si="360"/>
        <v>0.21492540865267531</v>
      </c>
      <c r="R252" s="103">
        <f t="shared" si="360"/>
        <v>0.21116036350369907</v>
      </c>
      <c r="S252" s="103">
        <f t="shared" si="360"/>
        <v>0.21266044767674863</v>
      </c>
      <c r="T252" s="103">
        <f t="shared" si="360"/>
        <v>0.2178399731426611</v>
      </c>
      <c r="U252" s="103">
        <f t="shared" si="360"/>
        <v>0.22431542651442377</v>
      </c>
      <c r="V252" s="103">
        <f t="shared" si="360"/>
        <v>0.19594854228542205</v>
      </c>
      <c r="W252" s="103">
        <f t="shared" ref="W252" si="361">IF(W34=0,0,W34/W$31)</f>
        <v>0.23041561329151458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0.45816492831315569</v>
      </c>
      <c r="C253" s="103">
        <f t="shared" si="362"/>
        <v>0.48810005150155056</v>
      </c>
      <c r="D253" s="103">
        <f t="shared" si="362"/>
        <v>0.5195760352896176</v>
      </c>
      <c r="E253" s="103">
        <f t="shared" si="362"/>
        <v>0.55157177584536787</v>
      </c>
      <c r="F253" s="103">
        <f t="shared" si="362"/>
        <v>0.58485203477797976</v>
      </c>
      <c r="G253" s="103">
        <f t="shared" si="362"/>
        <v>0.61172114908625363</v>
      </c>
      <c r="H253" s="103">
        <f t="shared" si="362"/>
        <v>0.6389570498763214</v>
      </c>
      <c r="I253" s="103">
        <f t="shared" si="362"/>
        <v>0.65765790653697287</v>
      </c>
      <c r="J253" s="103">
        <f t="shared" si="362"/>
        <v>0.67057489645307256</v>
      </c>
      <c r="K253" s="103">
        <f t="shared" si="362"/>
        <v>0.68239762144793747</v>
      </c>
      <c r="L253" s="103">
        <f t="shared" ref="L253" si="363">IF(L35=0,0,L35/L$31)</f>
        <v>0.69114487912970535</v>
      </c>
      <c r="M253" s="103">
        <f t="shared" ref="M253:V253" si="364">IF(M35=0,0,M35/M$31)</f>
        <v>0.70064530381448731</v>
      </c>
      <c r="N253" s="103">
        <f t="shared" si="364"/>
        <v>0.70656908354500525</v>
      </c>
      <c r="O253" s="103">
        <f t="shared" si="364"/>
        <v>0.71490943169003729</v>
      </c>
      <c r="P253" s="103">
        <f t="shared" si="364"/>
        <v>0.71971968366926242</v>
      </c>
      <c r="Q253" s="103">
        <f t="shared" si="364"/>
        <v>0.72251593772037637</v>
      </c>
      <c r="R253" s="103">
        <f t="shared" si="364"/>
        <v>0.72244969596672237</v>
      </c>
      <c r="S253" s="103">
        <f t="shared" si="364"/>
        <v>0.72639157210890037</v>
      </c>
      <c r="T253" s="103">
        <f t="shared" si="364"/>
        <v>0.7225479970995865</v>
      </c>
      <c r="U253" s="103">
        <f t="shared" si="364"/>
        <v>0.7157259811085207</v>
      </c>
      <c r="V253" s="103">
        <f t="shared" si="364"/>
        <v>0.73956180007581729</v>
      </c>
      <c r="W253" s="103">
        <f t="shared" ref="W253" si="365">IF(W35=0,0,W35/W$31)</f>
        <v>0.7009977569805117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2.082774438256062E-3</v>
      </c>
      <c r="C254" s="103">
        <f t="shared" si="366"/>
        <v>1.9486642767193173E-3</v>
      </c>
      <c r="D254" s="103">
        <f t="shared" si="366"/>
        <v>1.8878124533872854E-3</v>
      </c>
      <c r="E254" s="103">
        <f t="shared" si="366"/>
        <v>1.6778497841270614E-3</v>
      </c>
      <c r="F254" s="103">
        <f t="shared" si="366"/>
        <v>1.4981669097764321E-3</v>
      </c>
      <c r="G254" s="103">
        <f t="shared" si="366"/>
        <v>9.5376972536688161E-4</v>
      </c>
      <c r="H254" s="103">
        <f t="shared" si="366"/>
        <v>8.0805569932848706E-4</v>
      </c>
      <c r="I254" s="103">
        <f t="shared" si="366"/>
        <v>6.1222932537410282E-4</v>
      </c>
      <c r="J254" s="103">
        <f t="shared" si="366"/>
        <v>4.1499257131200431E-4</v>
      </c>
      <c r="K254" s="103">
        <f t="shared" si="366"/>
        <v>5.4232709882592032E-4</v>
      </c>
      <c r="L254" s="103">
        <f t="shared" ref="L254" si="367">IF(L36=0,0,L36/L$31)</f>
        <v>6.2851648493746147E-4</v>
      </c>
      <c r="M254" s="103">
        <f t="shared" ref="M254:V254" si="368">IF(M36=0,0,M36/M$31)</f>
        <v>6.9252676886146641E-4</v>
      </c>
      <c r="N254" s="103">
        <f t="shared" si="368"/>
        <v>1.0100715519371208E-3</v>
      </c>
      <c r="O254" s="103">
        <f t="shared" si="368"/>
        <v>1.0710765837421529E-3</v>
      </c>
      <c r="P254" s="103">
        <f t="shared" si="368"/>
        <v>1.197464976607448E-3</v>
      </c>
      <c r="Q254" s="103">
        <f t="shared" si="368"/>
        <v>1.2800899940883716E-3</v>
      </c>
      <c r="R254" s="103">
        <f t="shared" si="368"/>
        <v>1.3939455145794287E-3</v>
      </c>
      <c r="S254" s="103">
        <f t="shared" si="368"/>
        <v>1.6685407904370975E-3</v>
      </c>
      <c r="T254" s="103">
        <f t="shared" si="368"/>
        <v>2.7942115737752309E-3</v>
      </c>
      <c r="U254" s="103">
        <f t="shared" si="368"/>
        <v>3.5571260579915849E-3</v>
      </c>
      <c r="V254" s="103">
        <f t="shared" si="368"/>
        <v>3.2152063544162559E-3</v>
      </c>
      <c r="W254" s="103">
        <f t="shared" ref="W254" si="369">IF(W36=0,0,W36/W$31)</f>
        <v>3.8273006555084219E-3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8.1208107887678025E-5</v>
      </c>
      <c r="G255" s="103">
        <f t="shared" si="370"/>
        <v>1.6599644586031461E-4</v>
      </c>
      <c r="H255" s="103">
        <f t="shared" si="370"/>
        <v>2.5748537484893505E-4</v>
      </c>
      <c r="I255" s="103">
        <f t="shared" si="370"/>
        <v>2.3852871355843541E-4</v>
      </c>
      <c r="J255" s="103">
        <f t="shared" si="370"/>
        <v>2.3853918360159209E-4</v>
      </c>
      <c r="K255" s="103">
        <f t="shared" si="370"/>
        <v>2.4116188453884071E-4</v>
      </c>
      <c r="L255" s="103">
        <f t="shared" ref="L255" si="371">IF(L37=0,0,L37/L$31)</f>
        <v>2.433115296837451E-4</v>
      </c>
      <c r="M255" s="103">
        <f t="shared" ref="M255:V255" si="372">IF(M37=0,0,M37/M$31)</f>
        <v>2.4259788010963244E-4</v>
      </c>
      <c r="N255" s="103">
        <f t="shared" si="372"/>
        <v>4.2436715193046483E-4</v>
      </c>
      <c r="O255" s="103">
        <f t="shared" si="372"/>
        <v>5.0405845922650626E-4</v>
      </c>
      <c r="P255" s="103">
        <f t="shared" si="372"/>
        <v>4.9288729794846019E-4</v>
      </c>
      <c r="Q255" s="103">
        <f t="shared" si="372"/>
        <v>4.9641926772467924E-4</v>
      </c>
      <c r="R255" s="103">
        <f t="shared" si="372"/>
        <v>5.0204753352665757E-4</v>
      </c>
      <c r="S255" s="103">
        <f t="shared" si="372"/>
        <v>5.592021506114342E-4</v>
      </c>
      <c r="T255" s="103">
        <f t="shared" si="372"/>
        <v>7.5005123436016599E-4</v>
      </c>
      <c r="U255" s="103">
        <f t="shared" si="372"/>
        <v>7.6790846861190664E-4</v>
      </c>
      <c r="V255" s="103">
        <f t="shared" si="372"/>
        <v>6.6638316041056145E-4</v>
      </c>
      <c r="W255" s="103">
        <f t="shared" ref="W255" si="373">IF(W37=0,0,W37/W$31)</f>
        <v>7.9230767066687567E-4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2.6296732590671438E-7</v>
      </c>
      <c r="N256" s="103">
        <f t="shared" si="376"/>
        <v>3.5630878981142755E-6</v>
      </c>
      <c r="O256" s="103">
        <f t="shared" si="376"/>
        <v>6.2165361060706671E-6</v>
      </c>
      <c r="P256" s="103">
        <f t="shared" si="376"/>
        <v>1.9741373771511916E-5</v>
      </c>
      <c r="Q256" s="103">
        <f t="shared" si="376"/>
        <v>4.3097497003258309E-5</v>
      </c>
      <c r="R256" s="103">
        <f t="shared" si="376"/>
        <v>9.5671336605114874E-5</v>
      </c>
      <c r="S256" s="103">
        <f t="shared" si="376"/>
        <v>1.971091405564671E-4</v>
      </c>
      <c r="T256" s="103">
        <f t="shared" si="376"/>
        <v>3.6253102961204901E-4</v>
      </c>
      <c r="U256" s="103">
        <f t="shared" si="376"/>
        <v>5.751158525593564E-4</v>
      </c>
      <c r="V256" s="103">
        <f t="shared" si="376"/>
        <v>1.0906978967326643E-3</v>
      </c>
      <c r="W256" s="103">
        <f t="shared" ref="W256" si="377">IF(W38=0,0,W38/W$31)</f>
        <v>2.5000341940096689E-3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3.868308998539774E-8</v>
      </c>
      <c r="L257" s="103">
        <f t="shared" ref="L257" si="379">IF(L39=0,0,L39/L$31)</f>
        <v>3.0532087256875354E-6</v>
      </c>
      <c r="M257" s="103">
        <f t="shared" ref="M257:V257" si="380">IF(M39=0,0,M39/M$31)</f>
        <v>2.3621201808300996E-5</v>
      </c>
      <c r="N257" s="103">
        <f t="shared" si="380"/>
        <v>4.5139287134974857E-5</v>
      </c>
      <c r="O257" s="103">
        <f t="shared" si="380"/>
        <v>9.0084750443088923E-5</v>
      </c>
      <c r="P257" s="103">
        <f t="shared" si="380"/>
        <v>1.2388860066326883E-4</v>
      </c>
      <c r="Q257" s="103">
        <f t="shared" si="380"/>
        <v>1.8947386310901881E-4</v>
      </c>
      <c r="R257" s="103">
        <f t="shared" si="380"/>
        <v>2.7473134053842407E-4</v>
      </c>
      <c r="S257" s="103">
        <f t="shared" si="380"/>
        <v>4.2516685854574978E-4</v>
      </c>
      <c r="T257" s="103">
        <f t="shared" si="380"/>
        <v>6.7738722193773685E-4</v>
      </c>
      <c r="U257" s="103">
        <f t="shared" si="380"/>
        <v>9.9355371406269189E-4</v>
      </c>
      <c r="V257" s="103">
        <f t="shared" si="380"/>
        <v>1.5696146558772054E-3</v>
      </c>
      <c r="W257" s="103">
        <f t="shared" ref="W257" si="381">IF(W39=0,0,W39/W$31)</f>
        <v>2.9098800538217375E-3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1.0588336731612353E-2</v>
      </c>
      <c r="C258" s="156">
        <f t="shared" si="382"/>
        <v>1.0203542125395867E-2</v>
      </c>
      <c r="D258" s="156">
        <f t="shared" si="382"/>
        <v>9.5980680474051887E-3</v>
      </c>
      <c r="E258" s="156">
        <f t="shared" si="382"/>
        <v>9.202332680593131E-3</v>
      </c>
      <c r="F258" s="156">
        <f t="shared" si="382"/>
        <v>8.961916597829701E-3</v>
      </c>
      <c r="G258" s="156">
        <f t="shared" si="382"/>
        <v>8.4009463044635389E-3</v>
      </c>
      <c r="H258" s="156">
        <f t="shared" si="382"/>
        <v>8.4437508340294738E-3</v>
      </c>
      <c r="I258" s="156">
        <f t="shared" si="382"/>
        <v>8.3386384646120786E-3</v>
      </c>
      <c r="J258" s="156">
        <f t="shared" si="382"/>
        <v>8.2586298129390268E-3</v>
      </c>
      <c r="K258" s="156">
        <f t="shared" si="382"/>
        <v>8.032290951261397E-3</v>
      </c>
      <c r="L258" s="156">
        <f t="shared" ref="L258" si="383">IF(L40=0,0,L40/L$31)</f>
        <v>8.021787114630979E-3</v>
      </c>
      <c r="M258" s="156">
        <f t="shared" ref="M258:V258" si="384">IF(M40=0,0,M40/M$31)</f>
        <v>8.1299326532014455E-3</v>
      </c>
      <c r="N258" s="156">
        <f t="shared" si="384"/>
        <v>8.2762409633073061E-3</v>
      </c>
      <c r="O258" s="156">
        <f t="shared" si="384"/>
        <v>7.8325342272848441E-3</v>
      </c>
      <c r="P258" s="156">
        <f t="shared" si="384"/>
        <v>7.4897731732857017E-3</v>
      </c>
      <c r="Q258" s="156">
        <f t="shared" si="384"/>
        <v>7.3724257259673402E-3</v>
      </c>
      <c r="R258" s="156">
        <f t="shared" si="384"/>
        <v>7.6478164675488061E-3</v>
      </c>
      <c r="S258" s="156">
        <f t="shared" si="384"/>
        <v>4.8644326221017097E-3</v>
      </c>
      <c r="T258" s="156">
        <f t="shared" si="384"/>
        <v>4.9498575883692806E-3</v>
      </c>
      <c r="U258" s="156">
        <f t="shared" si="384"/>
        <v>4.7106357891108213E-3</v>
      </c>
      <c r="V258" s="156">
        <f t="shared" si="384"/>
        <v>3.8039639287769434E-3</v>
      </c>
      <c r="W258" s="156">
        <f t="shared" ref="W258" si="385">IF(W40=0,0,W40/W$31)</f>
        <v>4.6750693526683429E-3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1.0516475488592737E-4</v>
      </c>
      <c r="C259" s="103">
        <f t="shared" si="386"/>
        <v>1.0125307228419651E-4</v>
      </c>
      <c r="D259" s="103">
        <f t="shared" si="386"/>
        <v>9.8551863830059484E-5</v>
      </c>
      <c r="E259" s="103">
        <f t="shared" si="386"/>
        <v>9.4227753165608417E-5</v>
      </c>
      <c r="F259" s="103">
        <f t="shared" si="386"/>
        <v>8.9161236367131064E-5</v>
      </c>
      <c r="G259" s="103">
        <f t="shared" si="386"/>
        <v>7.4990375418838308E-5</v>
      </c>
      <c r="H259" s="103">
        <f t="shared" si="386"/>
        <v>7.1019681894557115E-5</v>
      </c>
      <c r="I259" s="103">
        <f t="shared" si="386"/>
        <v>7.7128585262357713E-5</v>
      </c>
      <c r="J259" s="103">
        <f t="shared" si="386"/>
        <v>6.9802592599048439E-5</v>
      </c>
      <c r="K259" s="103">
        <f t="shared" si="386"/>
        <v>6.2569849242876139E-5</v>
      </c>
      <c r="L259" s="103">
        <f t="shared" ref="L259" si="387">IF(L41=0,0,L41/L$31)</f>
        <v>5.9247883966680755E-5</v>
      </c>
      <c r="M259" s="103">
        <f t="shared" ref="M259:V259" si="388">IF(M41=0,0,M41/M$31)</f>
        <v>5.7615158645712808E-5</v>
      </c>
      <c r="N259" s="103">
        <f t="shared" si="388"/>
        <v>5.5600664741117738E-5</v>
      </c>
      <c r="O259" s="103">
        <f t="shared" si="388"/>
        <v>5.2295971862106064E-5</v>
      </c>
      <c r="P259" s="103">
        <f t="shared" si="388"/>
        <v>4.8062219973747545E-5</v>
      </c>
      <c r="Q259" s="103">
        <f t="shared" si="388"/>
        <v>4.5179356311141171E-5</v>
      </c>
      <c r="R259" s="103">
        <f t="shared" si="388"/>
        <v>4.4505813699078184E-5</v>
      </c>
      <c r="S259" s="103">
        <f t="shared" si="388"/>
        <v>3.6620526911295356E-5</v>
      </c>
      <c r="T259" s="103">
        <f t="shared" si="388"/>
        <v>3.4047347229327418E-5</v>
      </c>
      <c r="U259" s="103">
        <f t="shared" si="388"/>
        <v>2.9578332596369574E-5</v>
      </c>
      <c r="V259" s="103">
        <f t="shared" si="388"/>
        <v>2.2065566129168568E-5</v>
      </c>
      <c r="W259" s="103">
        <f t="shared" ref="W259" si="389">IF(W41=0,0,W41/W$31)</f>
        <v>2.512393149930702E-5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1.0447513551151567E-2</v>
      </c>
      <c r="C260" s="103">
        <f t="shared" si="390"/>
        <v>1.0068777663342068E-2</v>
      </c>
      <c r="D260" s="103">
        <f t="shared" si="390"/>
        <v>9.4973377521250131E-3</v>
      </c>
      <c r="E260" s="103">
        <f t="shared" si="390"/>
        <v>9.0590640629034189E-3</v>
      </c>
      <c r="F260" s="103">
        <f t="shared" si="390"/>
        <v>8.8128307215943787E-3</v>
      </c>
      <c r="G260" s="103">
        <f t="shared" si="390"/>
        <v>8.2619788437602731E-3</v>
      </c>
      <c r="H260" s="103">
        <f t="shared" si="390"/>
        <v>8.3051691526943774E-3</v>
      </c>
      <c r="I260" s="103">
        <f t="shared" si="390"/>
        <v>8.1773102967569473E-3</v>
      </c>
      <c r="J260" s="103">
        <f t="shared" si="390"/>
        <v>8.1112802123535985E-3</v>
      </c>
      <c r="K260" s="103">
        <f t="shared" si="390"/>
        <v>7.8931113977081004E-3</v>
      </c>
      <c r="L260" s="103">
        <f t="shared" ref="L260" si="391">IF(L42=0,0,L42/L$31)</f>
        <v>7.8848401489883362E-3</v>
      </c>
      <c r="M260" s="103">
        <f t="shared" ref="M260:V260" si="392">IF(M42=0,0,M42/M$31)</f>
        <v>7.993407710105923E-3</v>
      </c>
      <c r="N260" s="103">
        <f t="shared" si="392"/>
        <v>8.1386713054257855E-3</v>
      </c>
      <c r="O260" s="103">
        <f t="shared" si="392"/>
        <v>7.7012021874603032E-3</v>
      </c>
      <c r="P260" s="103">
        <f t="shared" si="392"/>
        <v>7.3590327256477647E-3</v>
      </c>
      <c r="Q260" s="103">
        <f t="shared" si="392"/>
        <v>7.0074320301044234E-3</v>
      </c>
      <c r="R260" s="103">
        <f t="shared" si="392"/>
        <v>7.2019298728575459E-3</v>
      </c>
      <c r="S260" s="103">
        <f t="shared" si="392"/>
        <v>4.2443100956388808E-3</v>
      </c>
      <c r="T260" s="103">
        <f t="shared" si="392"/>
        <v>4.2289719668306604E-3</v>
      </c>
      <c r="U260" s="103">
        <f t="shared" si="392"/>
        <v>3.8538515985589729E-3</v>
      </c>
      <c r="V260" s="103">
        <f t="shared" si="392"/>
        <v>2.9827753561882599E-3</v>
      </c>
      <c r="W260" s="103">
        <f t="shared" ref="W260" si="393">IF(W42=0,0,W42/W$31)</f>
        <v>3.6156338506065353E-3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2.8884676826901181E-7</v>
      </c>
      <c r="Q261" s="103">
        <f t="shared" si="396"/>
        <v>7.3471792638564109E-6</v>
      </c>
      <c r="R261" s="103">
        <f t="shared" si="396"/>
        <v>7.4858374775723358E-6</v>
      </c>
      <c r="S261" s="103">
        <f t="shared" si="396"/>
        <v>6.4260086537047898E-6</v>
      </c>
      <c r="T261" s="103">
        <f t="shared" si="396"/>
        <v>5.8414422502863194E-6</v>
      </c>
      <c r="U261" s="103">
        <f t="shared" si="396"/>
        <v>6.9432836235902851E-6</v>
      </c>
      <c r="V261" s="103">
        <f t="shared" si="396"/>
        <v>7.1878083124713896E-6</v>
      </c>
      <c r="W261" s="103">
        <f t="shared" ref="W261" si="397">IF(W43=0,0,W43/W$31)</f>
        <v>1.8812995153661854E-5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3.5658425574856886E-5</v>
      </c>
      <c r="C262" s="103">
        <f t="shared" si="398"/>
        <v>3.3511389769603113E-5</v>
      </c>
      <c r="D262" s="103">
        <f t="shared" si="398"/>
        <v>2.1784314501148383E-6</v>
      </c>
      <c r="E262" s="103">
        <f t="shared" si="398"/>
        <v>4.9040864524103589E-5</v>
      </c>
      <c r="F262" s="103">
        <f t="shared" si="398"/>
        <v>5.992463986819248E-5</v>
      </c>
      <c r="G262" s="103">
        <f t="shared" si="398"/>
        <v>6.3977085284428216E-5</v>
      </c>
      <c r="H262" s="103">
        <f t="shared" si="398"/>
        <v>6.7561999440539131E-5</v>
      </c>
      <c r="I262" s="103">
        <f t="shared" si="398"/>
        <v>8.4199582592772539E-5</v>
      </c>
      <c r="J262" s="103">
        <f t="shared" si="398"/>
        <v>7.7547007986380716E-5</v>
      </c>
      <c r="K262" s="103">
        <f t="shared" si="398"/>
        <v>7.6609704310420042E-5</v>
      </c>
      <c r="L262" s="103">
        <f t="shared" ref="L262" si="399">IF(L44=0,0,L44/L$31)</f>
        <v>7.7699081675963115E-5</v>
      </c>
      <c r="M262" s="103">
        <f t="shared" ref="M262:V262" si="400">IF(M44=0,0,M44/M$31)</f>
        <v>7.8909784449810068E-5</v>
      </c>
      <c r="N262" s="103">
        <f t="shared" si="400"/>
        <v>8.1968993140402137E-5</v>
      </c>
      <c r="O262" s="103">
        <f t="shared" si="400"/>
        <v>7.903606796243396E-5</v>
      </c>
      <c r="P262" s="103">
        <f t="shared" si="400"/>
        <v>6.9170064531936994E-5</v>
      </c>
      <c r="Q262" s="103">
        <f t="shared" si="400"/>
        <v>2.9195451023722381E-4</v>
      </c>
      <c r="R262" s="103">
        <f t="shared" si="400"/>
        <v>3.6458159420131451E-4</v>
      </c>
      <c r="S262" s="103">
        <f t="shared" si="400"/>
        <v>5.4107529108986729E-4</v>
      </c>
      <c r="T262" s="103">
        <f t="shared" si="400"/>
        <v>6.3455073190939626E-4</v>
      </c>
      <c r="U262" s="103">
        <f t="shared" si="400"/>
        <v>7.4967437236807234E-4</v>
      </c>
      <c r="V262" s="103">
        <f t="shared" si="400"/>
        <v>7.1272840849840701E-4</v>
      </c>
      <c r="W262" s="103">
        <f t="shared" ref="W262" si="401">IF(W44=0,0,W44/W$31)</f>
        <v>9.0019611923285636E-4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0</v>
      </c>
      <c r="M263" s="103">
        <f t="shared" ref="M263:V263" si="404">IF(M45=0,0,M45/M$31)</f>
        <v>0</v>
      </c>
      <c r="N263" s="103">
        <f t="shared" si="404"/>
        <v>0</v>
      </c>
      <c r="O263" s="103">
        <f t="shared" si="404"/>
        <v>0</v>
      </c>
      <c r="P263" s="103">
        <f t="shared" si="404"/>
        <v>1.3219316363983635E-5</v>
      </c>
      <c r="Q263" s="103">
        <f t="shared" si="404"/>
        <v>2.0512650050694208E-5</v>
      </c>
      <c r="R263" s="103">
        <f t="shared" si="404"/>
        <v>2.9313349313294265E-5</v>
      </c>
      <c r="S263" s="103">
        <f t="shared" si="404"/>
        <v>3.6000699807961174E-5</v>
      </c>
      <c r="T263" s="103">
        <f t="shared" si="404"/>
        <v>4.6446100149610551E-5</v>
      </c>
      <c r="U263" s="103">
        <f t="shared" si="404"/>
        <v>7.0588201963815716E-5</v>
      </c>
      <c r="V263" s="103">
        <f t="shared" si="404"/>
        <v>7.9206789648636993E-5</v>
      </c>
      <c r="W263" s="103">
        <f t="shared" ref="W263" si="405">IF(W45=0,0,W45/W$31)</f>
        <v>1.1530245617598227E-4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0.63444712980648776</v>
      </c>
      <c r="C265" s="154">
        <f t="shared" si="410"/>
        <v>0.66517058886633784</v>
      </c>
      <c r="D265" s="154">
        <f t="shared" si="410"/>
        <v>0.61984651115471801</v>
      </c>
      <c r="E265" s="154">
        <f t="shared" si="410"/>
        <v>0.62870799869620797</v>
      </c>
      <c r="F265" s="154">
        <f t="shared" si="410"/>
        <v>0.61486796771595076</v>
      </c>
      <c r="G265" s="154">
        <f t="shared" si="410"/>
        <v>0.58590260539787509</v>
      </c>
      <c r="H265" s="154">
        <f t="shared" si="410"/>
        <v>0.59225095681453599</v>
      </c>
      <c r="I265" s="154">
        <f t="shared" si="410"/>
        <v>0.61409184654789972</v>
      </c>
      <c r="J265" s="154">
        <f t="shared" si="410"/>
        <v>0.61676429284790435</v>
      </c>
      <c r="K265" s="154">
        <f t="shared" si="410"/>
        <v>0.61685323386487145</v>
      </c>
      <c r="L265" s="154">
        <f t="shared" ref="L265" si="411">IF(L47=0,0,L47/L$46)</f>
        <v>0.63075425228548943</v>
      </c>
      <c r="M265" s="154">
        <f t="shared" ref="M265:V265" si="412">IF(M47=0,0,M47/M$46)</f>
        <v>0.63394768481207631</v>
      </c>
      <c r="N265" s="154">
        <f t="shared" si="412"/>
        <v>0.62886704346633737</v>
      </c>
      <c r="O265" s="154">
        <f t="shared" si="412"/>
        <v>0.6377330588816108</v>
      </c>
      <c r="P265" s="154">
        <f t="shared" si="412"/>
        <v>0.62869201100448713</v>
      </c>
      <c r="Q265" s="154">
        <f t="shared" si="412"/>
        <v>0.62453742926722067</v>
      </c>
      <c r="R265" s="154">
        <f t="shared" si="412"/>
        <v>0.60603899464394317</v>
      </c>
      <c r="S265" s="154">
        <f t="shared" si="412"/>
        <v>0.61217310904961797</v>
      </c>
      <c r="T265" s="154">
        <f t="shared" si="412"/>
        <v>0.61227784324422785</v>
      </c>
      <c r="U265" s="154">
        <f t="shared" si="412"/>
        <v>0.60367775903334486</v>
      </c>
      <c r="V265" s="154">
        <f t="shared" si="412"/>
        <v>0.50800757359979487</v>
      </c>
      <c r="W265" s="154">
        <f t="shared" ref="W265" si="413">IF(W47=0,0,W47/W$46)</f>
        <v>0.5784718398172346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5.2523795270010089E-2</v>
      </c>
      <c r="C266" s="103">
        <f t="shared" si="414"/>
        <v>4.8673860047152288E-2</v>
      </c>
      <c r="D266" s="103">
        <f t="shared" si="414"/>
        <v>3.5564916782630025E-2</v>
      </c>
      <c r="E266" s="103">
        <f t="shared" si="414"/>
        <v>2.9298692207331174E-2</v>
      </c>
      <c r="F266" s="103">
        <f t="shared" si="414"/>
        <v>2.2865694440154714E-2</v>
      </c>
      <c r="G266" s="103">
        <f t="shared" si="414"/>
        <v>1.7428743792501582E-2</v>
      </c>
      <c r="H266" s="103">
        <f t="shared" si="414"/>
        <v>1.4334322511834675E-2</v>
      </c>
      <c r="I266" s="103">
        <f t="shared" si="414"/>
        <v>1.1427927111342885E-2</v>
      </c>
      <c r="J266" s="103">
        <f t="shared" si="414"/>
        <v>1.0025051510779124E-2</v>
      </c>
      <c r="K266" s="103">
        <f t="shared" si="414"/>
        <v>9.9056511022599485E-3</v>
      </c>
      <c r="L266" s="103">
        <f t="shared" ref="L266" si="415">IF(L48=0,0,L48/L$46)</f>
        <v>9.5033355358526209E-3</v>
      </c>
      <c r="M266" s="103">
        <f t="shared" ref="M266:V266" si="416">IF(M48=0,0,M48/M$46)</f>
        <v>9.839314103415946E-3</v>
      </c>
      <c r="N266" s="103">
        <f t="shared" si="416"/>
        <v>1.0992528877059858E-2</v>
      </c>
      <c r="O266" s="103">
        <f t="shared" si="416"/>
        <v>1.1558960314614076E-2</v>
      </c>
      <c r="P266" s="103">
        <f t="shared" si="416"/>
        <v>8.1933087153555854E-3</v>
      </c>
      <c r="Q266" s="103">
        <f t="shared" si="416"/>
        <v>8.1753451302964825E-3</v>
      </c>
      <c r="R266" s="103">
        <f t="shared" si="416"/>
        <v>7.8080508052867171E-3</v>
      </c>
      <c r="S266" s="103">
        <f t="shared" si="416"/>
        <v>8.745930448183472E-3</v>
      </c>
      <c r="T266" s="103">
        <f t="shared" si="416"/>
        <v>9.2646178848127796E-3</v>
      </c>
      <c r="U266" s="103">
        <f t="shared" si="416"/>
        <v>1.0197909716223563E-2</v>
      </c>
      <c r="V266" s="103">
        <f t="shared" si="416"/>
        <v>8.7071944227539617E-3</v>
      </c>
      <c r="W266" s="103">
        <f t="shared" ref="W266" si="417">IF(W48=0,0,W48/W$46)</f>
        <v>1.1665838318505952E-2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0.58192333453647771</v>
      </c>
      <c r="C267" s="103">
        <f t="shared" si="418"/>
        <v>0.6164967288191856</v>
      </c>
      <c r="D267" s="103">
        <f t="shared" si="418"/>
        <v>0.58428159437208793</v>
      </c>
      <c r="E267" s="103">
        <f t="shared" si="418"/>
        <v>0.59940930648887669</v>
      </c>
      <c r="F267" s="103">
        <f t="shared" si="418"/>
        <v>0.59200227327579602</v>
      </c>
      <c r="G267" s="103">
        <f t="shared" si="418"/>
        <v>0.5684738616053735</v>
      </c>
      <c r="H267" s="103">
        <f t="shared" si="418"/>
        <v>0.57791663430270124</v>
      </c>
      <c r="I267" s="103">
        <f t="shared" si="418"/>
        <v>0.60266391943655673</v>
      </c>
      <c r="J267" s="103">
        <f t="shared" si="418"/>
        <v>0.6067392413371252</v>
      </c>
      <c r="K267" s="103">
        <f t="shared" si="418"/>
        <v>0.60694758276261163</v>
      </c>
      <c r="L267" s="103">
        <f t="shared" ref="L267" si="419">IF(L49=0,0,L49/L$46)</f>
        <v>0.62125091674963673</v>
      </c>
      <c r="M267" s="103">
        <f t="shared" ref="M267:V267" si="420">IF(M49=0,0,M49/M$46)</f>
        <v>0.6241042173031478</v>
      </c>
      <c r="N267" s="103">
        <f t="shared" si="420"/>
        <v>0.6178294373490395</v>
      </c>
      <c r="O267" s="103">
        <f t="shared" si="420"/>
        <v>0.62612411998786877</v>
      </c>
      <c r="P267" s="103">
        <f t="shared" si="420"/>
        <v>0.62032016768072895</v>
      </c>
      <c r="Q267" s="103">
        <f t="shared" si="420"/>
        <v>0.61590105927978323</v>
      </c>
      <c r="R267" s="103">
        <f t="shared" si="420"/>
        <v>0.59725473816177255</v>
      </c>
      <c r="S267" s="103">
        <f t="shared" si="420"/>
        <v>0.60207041705928632</v>
      </c>
      <c r="T267" s="103">
        <f t="shared" si="420"/>
        <v>0.60066841995403364</v>
      </c>
      <c r="U267" s="103">
        <f t="shared" si="420"/>
        <v>0.58928574546737711</v>
      </c>
      <c r="V267" s="103">
        <f t="shared" si="420"/>
        <v>0.49486962137307661</v>
      </c>
      <c r="W267" s="103">
        <f t="shared" ref="W267" si="421">IF(W49=0,0,W49/W$46)</f>
        <v>0.56068157146982522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5.3677565229180346E-7</v>
      </c>
      <c r="P268" s="103">
        <f t="shared" si="424"/>
        <v>6.1018540092382571E-5</v>
      </c>
      <c r="Q268" s="103">
        <f t="shared" si="424"/>
        <v>1.2980621234777749E-4</v>
      </c>
      <c r="R268" s="103">
        <f t="shared" si="424"/>
        <v>4.1823055831761546E-4</v>
      </c>
      <c r="S268" s="103">
        <f t="shared" si="424"/>
        <v>5.9548262291232224E-4</v>
      </c>
      <c r="T268" s="103">
        <f t="shared" si="424"/>
        <v>1.0831813042064661E-3</v>
      </c>
      <c r="U268" s="103">
        <f t="shared" si="424"/>
        <v>2.3361073522069962E-3</v>
      </c>
      <c r="V268" s="103">
        <f t="shared" si="424"/>
        <v>2.2841510762481644E-3</v>
      </c>
      <c r="W268" s="103">
        <f t="shared" ref="W268" si="425">IF(W50=0,0,W50/W$46)</f>
        <v>3.2235097696175479E-3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3.9987039369825779E-6</v>
      </c>
      <c r="O269" s="103">
        <f t="shared" si="428"/>
        <v>2.7770265188953547E-5</v>
      </c>
      <c r="P269" s="103">
        <f t="shared" si="428"/>
        <v>4.570471841053473E-5</v>
      </c>
      <c r="Q269" s="103">
        <f t="shared" si="428"/>
        <v>1.2968618808708771E-4</v>
      </c>
      <c r="R269" s="103">
        <f t="shared" si="428"/>
        <v>1.7503709166889837E-4</v>
      </c>
      <c r="S269" s="103">
        <f t="shared" si="428"/>
        <v>2.5599336543289097E-4</v>
      </c>
      <c r="T269" s="103">
        <f t="shared" si="428"/>
        <v>4.6836552519819092E-4</v>
      </c>
      <c r="U269" s="103">
        <f t="shared" si="428"/>
        <v>8.3206680959685235E-4</v>
      </c>
      <c r="V269" s="103">
        <f t="shared" si="428"/>
        <v>9.4492631807908283E-4</v>
      </c>
      <c r="W269" s="103">
        <f t="shared" ref="W269" si="429">IF(W51=0,0,W51/W$46)</f>
        <v>1.2091448585209103E-3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4.1534055126348347E-6</v>
      </c>
      <c r="N270" s="103">
        <f t="shared" si="432"/>
        <v>4.1078536301012736E-5</v>
      </c>
      <c r="O270" s="103">
        <f t="shared" si="432"/>
        <v>2.1671538286836491E-5</v>
      </c>
      <c r="P270" s="103">
        <f t="shared" si="432"/>
        <v>7.1811349899770474E-5</v>
      </c>
      <c r="Q270" s="103">
        <f t="shared" si="432"/>
        <v>2.0153245670596206E-4</v>
      </c>
      <c r="R270" s="103">
        <f t="shared" si="432"/>
        <v>3.8293802689736144E-4</v>
      </c>
      <c r="S270" s="103">
        <f t="shared" si="432"/>
        <v>5.0528555380301046E-4</v>
      </c>
      <c r="T270" s="103">
        <f t="shared" si="432"/>
        <v>7.932585759768331E-4</v>
      </c>
      <c r="U270" s="103">
        <f t="shared" si="432"/>
        <v>1.0259296879404441E-3</v>
      </c>
      <c r="V270" s="103">
        <f t="shared" si="432"/>
        <v>1.2016804096371173E-3</v>
      </c>
      <c r="W270" s="103">
        <f t="shared" ref="W270" si="433">IF(W52=0,0,W52/W$46)</f>
        <v>1.6917754007649754E-3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0.36555287019351218</v>
      </c>
      <c r="C271" s="156">
        <f t="shared" si="434"/>
        <v>0.33482941113366205</v>
      </c>
      <c r="D271" s="156">
        <f t="shared" si="434"/>
        <v>0.38015348884528211</v>
      </c>
      <c r="E271" s="156">
        <f t="shared" si="434"/>
        <v>0.37129200130379197</v>
      </c>
      <c r="F271" s="156">
        <f t="shared" si="434"/>
        <v>0.38513203228404919</v>
      </c>
      <c r="G271" s="156">
        <f t="shared" si="434"/>
        <v>0.41409739460212491</v>
      </c>
      <c r="H271" s="156">
        <f t="shared" si="434"/>
        <v>0.40774904318546401</v>
      </c>
      <c r="I271" s="156">
        <f t="shared" si="434"/>
        <v>0.38590815345210033</v>
      </c>
      <c r="J271" s="156">
        <f t="shared" si="434"/>
        <v>0.38323570715209565</v>
      </c>
      <c r="K271" s="156">
        <f t="shared" si="434"/>
        <v>0.38314676613512849</v>
      </c>
      <c r="L271" s="156">
        <f t="shared" ref="L271" si="435">IF(L53=0,0,L53/L$46)</f>
        <v>0.36924574771451052</v>
      </c>
      <c r="M271" s="156">
        <f t="shared" ref="M271:V271" si="436">IF(M53=0,0,M53/M$46)</f>
        <v>0.36605231518792375</v>
      </c>
      <c r="N271" s="156">
        <f t="shared" si="436"/>
        <v>0.37113295653366263</v>
      </c>
      <c r="O271" s="156">
        <f t="shared" si="436"/>
        <v>0.36226694111838925</v>
      </c>
      <c r="P271" s="156">
        <f t="shared" si="436"/>
        <v>0.37130798899551293</v>
      </c>
      <c r="Q271" s="156">
        <f t="shared" si="436"/>
        <v>0.3754625707327795</v>
      </c>
      <c r="R271" s="156">
        <f t="shared" si="436"/>
        <v>0.39396100535605683</v>
      </c>
      <c r="S271" s="156">
        <f t="shared" si="436"/>
        <v>0.38782689095038209</v>
      </c>
      <c r="T271" s="156">
        <f t="shared" si="436"/>
        <v>0.38772215675577221</v>
      </c>
      <c r="U271" s="156">
        <f t="shared" si="436"/>
        <v>0.39632224096665519</v>
      </c>
      <c r="V271" s="156">
        <f t="shared" si="436"/>
        <v>0.4919924264002053</v>
      </c>
      <c r="W271" s="156">
        <f t="shared" ref="W271" si="437">IF(W53=0,0,W53/W$46)</f>
        <v>0.42152816018276545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0.3000063968095259</v>
      </c>
      <c r="C272" s="104">
        <f t="shared" si="438"/>
        <v>0.27535426348476155</v>
      </c>
      <c r="D272" s="104">
        <f t="shared" si="438"/>
        <v>0.31687000365258033</v>
      </c>
      <c r="E272" s="104">
        <f t="shared" si="438"/>
        <v>0.31147730790717548</v>
      </c>
      <c r="F272" s="104">
        <f t="shared" si="438"/>
        <v>0.31991434347336489</v>
      </c>
      <c r="G272" s="104">
        <f t="shared" si="438"/>
        <v>0.34560500224123836</v>
      </c>
      <c r="H272" s="104">
        <f t="shared" si="438"/>
        <v>0.34172390058968305</v>
      </c>
      <c r="I272" s="104">
        <f t="shared" si="438"/>
        <v>0.32605530633102581</v>
      </c>
      <c r="J272" s="104">
        <f t="shared" si="438"/>
        <v>0.32367132775332869</v>
      </c>
      <c r="K272" s="104">
        <f t="shared" si="438"/>
        <v>0.32100140656895082</v>
      </c>
      <c r="L272" s="104">
        <f t="shared" ref="L272" si="439">IF(L54=0,0,L54/L$46)</f>
        <v>0.30836169928365148</v>
      </c>
      <c r="M272" s="104">
        <f t="shared" ref="M272:V272" si="440">IF(M54=0,0,M54/M$46)</f>
        <v>0.30478704477001339</v>
      </c>
      <c r="N272" s="104">
        <f t="shared" si="440"/>
        <v>0.30713185304512947</v>
      </c>
      <c r="O272" s="104">
        <f t="shared" si="440"/>
        <v>0.29275883297520133</v>
      </c>
      <c r="P272" s="104">
        <f t="shared" si="440"/>
        <v>0.30171397700634051</v>
      </c>
      <c r="Q272" s="104">
        <f t="shared" si="440"/>
        <v>0.30527631736277649</v>
      </c>
      <c r="R272" s="104">
        <f t="shared" si="440"/>
        <v>0.3213696425376939</v>
      </c>
      <c r="S272" s="104">
        <f t="shared" si="440"/>
        <v>0.31798458025025511</v>
      </c>
      <c r="T272" s="104">
        <f t="shared" si="440"/>
        <v>0.3171695856668526</v>
      </c>
      <c r="U272" s="104">
        <f t="shared" si="440"/>
        <v>0.32462732747777306</v>
      </c>
      <c r="V272" s="104">
        <f t="shared" si="440"/>
        <v>0.40524658646823053</v>
      </c>
      <c r="W272" s="104">
        <f t="shared" ref="W272" si="441">IF(W54=0,0,W54/W$46)</f>
        <v>0.34726219528231611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6.5546473383986281E-2</v>
      </c>
      <c r="C273" s="105">
        <f t="shared" si="442"/>
        <v>5.9475147648900488E-2</v>
      </c>
      <c r="D273" s="105">
        <f t="shared" si="442"/>
        <v>6.3283485192701772E-2</v>
      </c>
      <c r="E273" s="105">
        <f t="shared" si="442"/>
        <v>5.981469339661645E-2</v>
      </c>
      <c r="F273" s="105">
        <f t="shared" si="442"/>
        <v>6.5217688810684224E-2</v>
      </c>
      <c r="G273" s="105">
        <f t="shared" si="442"/>
        <v>6.8492392360886625E-2</v>
      </c>
      <c r="H273" s="105">
        <f t="shared" si="442"/>
        <v>6.6025142595781003E-2</v>
      </c>
      <c r="I273" s="105">
        <f t="shared" si="442"/>
        <v>5.9852847121074471E-2</v>
      </c>
      <c r="J273" s="105">
        <f t="shared" si="442"/>
        <v>5.9564379398767013E-2</v>
      </c>
      <c r="K273" s="105">
        <f t="shared" si="442"/>
        <v>6.2145359566177713E-2</v>
      </c>
      <c r="L273" s="105">
        <f t="shared" ref="L273" si="443">IF(L55=0,0,L55/L$46)</f>
        <v>6.0884048430859088E-2</v>
      </c>
      <c r="M273" s="105">
        <f t="shared" ref="M273:V273" si="444">IF(M55=0,0,M55/M$46)</f>
        <v>6.1265270417910321E-2</v>
      </c>
      <c r="N273" s="105">
        <f t="shared" si="444"/>
        <v>6.4001103488533162E-2</v>
      </c>
      <c r="O273" s="105">
        <f t="shared" si="444"/>
        <v>6.9508108143187933E-2</v>
      </c>
      <c r="P273" s="105">
        <f t="shared" si="444"/>
        <v>6.9594011989172394E-2</v>
      </c>
      <c r="Q273" s="105">
        <f t="shared" si="444"/>
        <v>7.0186253370002949E-2</v>
      </c>
      <c r="R273" s="105">
        <f t="shared" si="444"/>
        <v>7.2591362818362912E-2</v>
      </c>
      <c r="S273" s="105">
        <f t="shared" si="444"/>
        <v>6.9842310700126947E-2</v>
      </c>
      <c r="T273" s="105">
        <f t="shared" si="444"/>
        <v>7.055257108891963E-2</v>
      </c>
      <c r="U273" s="105">
        <f t="shared" si="444"/>
        <v>7.1694913488882087E-2</v>
      </c>
      <c r="V273" s="105">
        <f t="shared" si="444"/>
        <v>8.6745839931974753E-2</v>
      </c>
      <c r="W273" s="105">
        <f t="shared" ref="W273" si="445">IF(W55=0,0,W55/W$46)</f>
        <v>7.4265964900449413E-2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26401.607394668954</v>
      </c>
      <c r="C4" s="145">
        <f t="shared" si="0"/>
        <v>27709.408082545135</v>
      </c>
      <c r="D4" s="145">
        <f t="shared" si="0"/>
        <v>28440.030524505586</v>
      </c>
      <c r="E4" s="145">
        <f t="shared" si="0"/>
        <v>29799.21874462597</v>
      </c>
      <c r="F4" s="145">
        <f t="shared" si="0"/>
        <v>30876.684092863277</v>
      </c>
      <c r="G4" s="145">
        <f t="shared" si="0"/>
        <v>31860.725967325885</v>
      </c>
      <c r="H4" s="145">
        <f t="shared" si="0"/>
        <v>32786.498108340493</v>
      </c>
      <c r="I4" s="145">
        <f t="shared" si="0"/>
        <v>33952.13731728289</v>
      </c>
      <c r="J4" s="145">
        <f t="shared" si="0"/>
        <v>32382.830008598452</v>
      </c>
      <c r="K4" s="145">
        <f t="shared" si="0"/>
        <v>30624.303921571624</v>
      </c>
      <c r="L4" s="145">
        <f t="shared" ref="L4" si="1">L5+L9+L10+L15</f>
        <v>29811.811986632358</v>
      </c>
      <c r="M4" s="145">
        <f t="shared" ref="M4:V4" si="2">M5+M9+M10+M15</f>
        <v>28559.04547719899</v>
      </c>
      <c r="N4" s="145">
        <f t="shared" si="2"/>
        <v>26097.732758419243</v>
      </c>
      <c r="O4" s="145">
        <f t="shared" si="2"/>
        <v>25631.12389528532</v>
      </c>
      <c r="P4" s="145">
        <f t="shared" si="2"/>
        <v>25937.78319130258</v>
      </c>
      <c r="Q4" s="145">
        <f t="shared" si="2"/>
        <v>26690.265426576698</v>
      </c>
      <c r="R4" s="145">
        <f t="shared" si="2"/>
        <v>27552.669318158813</v>
      </c>
      <c r="S4" s="145">
        <f t="shared" si="2"/>
        <v>28157.485115138239</v>
      </c>
      <c r="T4" s="145">
        <f t="shared" si="2"/>
        <v>28792.847803305012</v>
      </c>
      <c r="U4" s="145">
        <f t="shared" si="2"/>
        <v>29036.005830746777</v>
      </c>
      <c r="V4" s="145">
        <f t="shared" si="2"/>
        <v>23924.156872405085</v>
      </c>
      <c r="W4" s="145">
        <f t="shared" ref="W4" si="3">W5+W9+W10+W15</f>
        <v>27376.080367590544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26324.20232158211</v>
      </c>
      <c r="C5" s="97">
        <f t="shared" si="4"/>
        <v>27628.950558899392</v>
      </c>
      <c r="D5" s="97">
        <f t="shared" si="4"/>
        <v>28286.562596732583</v>
      </c>
      <c r="E5" s="97">
        <f t="shared" si="4"/>
        <v>29590.501117798798</v>
      </c>
      <c r="F5" s="97">
        <f t="shared" si="4"/>
        <v>30679.733963886494</v>
      </c>
      <c r="G5" s="97">
        <f t="shared" si="4"/>
        <v>31576.251504729153</v>
      </c>
      <c r="H5" s="97">
        <f t="shared" si="4"/>
        <v>32586.407222699912</v>
      </c>
      <c r="I5" s="97">
        <f t="shared" si="4"/>
        <v>33523.137059329318</v>
      </c>
      <c r="J5" s="97">
        <f t="shared" si="4"/>
        <v>31714.932674118656</v>
      </c>
      <c r="K5" s="97">
        <f t="shared" si="4"/>
        <v>29490.238349097166</v>
      </c>
      <c r="L5" s="97">
        <f t="shared" ref="L5" si="5">SUM(L6:L8)</f>
        <v>28297.410920034396</v>
      </c>
      <c r="M5" s="97">
        <f t="shared" ref="M5:V5" si="6">SUM(M6:M8)</f>
        <v>26750.707050730871</v>
      </c>
      <c r="N5" s="97">
        <f t="shared" si="6"/>
        <v>23874.804127257092</v>
      </c>
      <c r="O5" s="97">
        <f t="shared" si="6"/>
        <v>24645.447635425622</v>
      </c>
      <c r="P5" s="97">
        <f t="shared" si="6"/>
        <v>24875.9505588994</v>
      </c>
      <c r="Q5" s="97">
        <f t="shared" si="6"/>
        <v>25614.961306964746</v>
      </c>
      <c r="R5" s="97">
        <f t="shared" si="6"/>
        <v>26319.81238177128</v>
      </c>
      <c r="S5" s="97">
        <f t="shared" si="6"/>
        <v>26736.134909716249</v>
      </c>
      <c r="T5" s="97">
        <f t="shared" si="6"/>
        <v>26977.42192605331</v>
      </c>
      <c r="U5" s="97">
        <f t="shared" si="6"/>
        <v>27234.071281169388</v>
      </c>
      <c r="V5" s="97">
        <f t="shared" si="6"/>
        <v>22336.954256233872</v>
      </c>
      <c r="W5" s="97">
        <f t="shared" ref="W5" si="7">SUM(W6:W8)</f>
        <v>25724.942046431646</v>
      </c>
      <c r="DA5" s="175"/>
    </row>
    <row r="6" spans="1:105" ht="11.45" customHeight="1" x14ac:dyDescent="0.25">
      <c r="A6" s="128" t="s">
        <v>52</v>
      </c>
      <c r="B6" s="97">
        <v>84.730610490111772</v>
      </c>
      <c r="C6" s="97">
        <v>81.341358555460005</v>
      </c>
      <c r="D6" s="97">
        <v>81.341358555460005</v>
      </c>
      <c r="E6" s="97">
        <v>80.211607910576092</v>
      </c>
      <c r="F6" s="97">
        <v>82.471109200343932</v>
      </c>
      <c r="G6" s="97">
        <v>50.838349097162506</v>
      </c>
      <c r="H6" s="97">
        <v>46.319346517626819</v>
      </c>
      <c r="I6" s="97">
        <v>45.18968185726569</v>
      </c>
      <c r="J6" s="97">
        <v>14.68667239896819</v>
      </c>
      <c r="K6" s="97">
        <v>18.075838349097161</v>
      </c>
      <c r="L6" s="97">
        <v>21.465090283748921</v>
      </c>
      <c r="M6" s="97">
        <v>23.724591573516761</v>
      </c>
      <c r="N6" s="97">
        <v>29.373258813413582</v>
      </c>
      <c r="O6" s="97">
        <v>35.022012037833193</v>
      </c>
      <c r="P6" s="97">
        <v>39.540928632846082</v>
      </c>
      <c r="Q6" s="97">
        <v>48.578847807394673</v>
      </c>
      <c r="R6" s="97">
        <v>53.097850386930347</v>
      </c>
      <c r="S6" s="97">
        <v>57.616766981943243</v>
      </c>
      <c r="T6" s="97">
        <v>70.043938091143588</v>
      </c>
      <c r="U6" s="97">
        <v>97.157695614789333</v>
      </c>
      <c r="V6" s="97">
        <v>74.562940670679282</v>
      </c>
      <c r="W6" s="97">
        <v>93.973000859845214</v>
      </c>
      <c r="DA6" s="175" t="s">
        <v>629</v>
      </c>
    </row>
    <row r="7" spans="1:105" ht="11.45" customHeight="1" x14ac:dyDescent="0.25">
      <c r="A7" s="128" t="s">
        <v>53</v>
      </c>
      <c r="B7" s="97">
        <v>9019.1363714531381</v>
      </c>
      <c r="C7" s="97">
        <v>8973.6386070507306</v>
      </c>
      <c r="D7" s="97">
        <v>8564.1588134135854</v>
      </c>
      <c r="E7" s="97">
        <v>8344.0766122098012</v>
      </c>
      <c r="F7" s="97">
        <v>7971.629922613929</v>
      </c>
      <c r="G7" s="97">
        <v>7681.713929492691</v>
      </c>
      <c r="H7" s="97">
        <v>7330.4289767841783</v>
      </c>
      <c r="I7" s="97">
        <v>7056.3843508168529</v>
      </c>
      <c r="J7" s="97">
        <v>6499.8304385210658</v>
      </c>
      <c r="K7" s="97">
        <v>6099.8734307824589</v>
      </c>
      <c r="L7" s="97">
        <v>5619.5018056749777</v>
      </c>
      <c r="M7" s="97">
        <v>5228.0094582975062</v>
      </c>
      <c r="N7" s="97">
        <v>4713.7790197764398</v>
      </c>
      <c r="O7" s="97">
        <v>4603.7379191745486</v>
      </c>
      <c r="P7" s="97">
        <v>4534.9622527944966</v>
      </c>
      <c r="Q7" s="97">
        <v>4561.4144453998288</v>
      </c>
      <c r="R7" s="97">
        <v>4767.7415305245058</v>
      </c>
      <c r="S7" s="97">
        <v>4871.4340498710226</v>
      </c>
      <c r="T7" s="97">
        <v>5075.6448839208933</v>
      </c>
      <c r="U7" s="97">
        <v>5407.8842648323298</v>
      </c>
      <c r="V7" s="97">
        <v>4281.021324161652</v>
      </c>
      <c r="W7" s="97">
        <v>5276.608684436801</v>
      </c>
      <c r="DA7" s="175" t="s">
        <v>630</v>
      </c>
    </row>
    <row r="8" spans="1:105" ht="11.45" customHeight="1" x14ac:dyDescent="0.25">
      <c r="A8" s="128" t="s">
        <v>54</v>
      </c>
      <c r="B8" s="97">
        <v>17220.335339638859</v>
      </c>
      <c r="C8" s="97">
        <v>18573.970593293201</v>
      </c>
      <c r="D8" s="97">
        <v>19641.062424763539</v>
      </c>
      <c r="E8" s="97">
        <v>21166.212897678419</v>
      </c>
      <c r="F8" s="97">
        <v>22625.632932072222</v>
      </c>
      <c r="G8" s="97">
        <v>23843.699226139299</v>
      </c>
      <c r="H8" s="97">
        <v>25209.658899398109</v>
      </c>
      <c r="I8" s="97">
        <v>26421.5630266552</v>
      </c>
      <c r="J8" s="97">
        <v>25200.415563198621</v>
      </c>
      <c r="K8" s="97">
        <v>23372.289079965609</v>
      </c>
      <c r="L8" s="97">
        <v>22656.44402407567</v>
      </c>
      <c r="M8" s="97">
        <v>21498.973000859849</v>
      </c>
      <c r="N8" s="97">
        <v>19131.651848667239</v>
      </c>
      <c r="O8" s="97">
        <v>20006.68770421324</v>
      </c>
      <c r="P8" s="97">
        <v>20301.447377472057</v>
      </c>
      <c r="Q8" s="97">
        <v>21004.968013757523</v>
      </c>
      <c r="R8" s="97">
        <v>21498.973000859845</v>
      </c>
      <c r="S8" s="97">
        <v>21807.084092863282</v>
      </c>
      <c r="T8" s="97">
        <v>21831.733104041272</v>
      </c>
      <c r="U8" s="97">
        <v>21729.029320722268</v>
      </c>
      <c r="V8" s="97">
        <v>17981.369991401541</v>
      </c>
      <c r="W8" s="97">
        <v>20354.360361135001</v>
      </c>
      <c r="DA8" s="175" t="s">
        <v>631</v>
      </c>
    </row>
    <row r="9" spans="1:105" ht="11.45" customHeight="1" x14ac:dyDescent="0.25">
      <c r="A9" s="92" t="s">
        <v>55</v>
      </c>
      <c r="B9" s="97">
        <v>6.7067067927772994</v>
      </c>
      <c r="C9" s="97">
        <v>9.7591573516766967</v>
      </c>
      <c r="D9" s="97">
        <v>13.11255374032674</v>
      </c>
      <c r="E9" s="97">
        <v>15.842476354256229</v>
      </c>
      <c r="F9" s="97">
        <v>19.49681857265692</v>
      </c>
      <c r="G9" s="97">
        <v>23.172656921754079</v>
      </c>
      <c r="H9" s="97">
        <v>27.42880481513328</v>
      </c>
      <c r="I9" s="97">
        <v>39.617024935511601</v>
      </c>
      <c r="J9" s="97">
        <v>40.907394668959583</v>
      </c>
      <c r="K9" s="97">
        <v>48.323043852106608</v>
      </c>
      <c r="L9" s="97">
        <v>61.371281169389512</v>
      </c>
      <c r="M9" s="97">
        <v>66.079105760963017</v>
      </c>
      <c r="N9" s="97">
        <v>70.723043852106613</v>
      </c>
      <c r="O9" s="97">
        <v>76.698624247635422</v>
      </c>
      <c r="P9" s="97">
        <v>82.567755803955279</v>
      </c>
      <c r="Q9" s="97">
        <v>87.532932072226998</v>
      </c>
      <c r="R9" s="97">
        <v>108.4273430782459</v>
      </c>
      <c r="S9" s="97">
        <v>127.150988822012</v>
      </c>
      <c r="T9" s="97">
        <v>126.3757523645744</v>
      </c>
      <c r="U9" s="97">
        <v>158.49097162510751</v>
      </c>
      <c r="V9" s="97">
        <v>169.62536543422181</v>
      </c>
      <c r="W9" s="97">
        <v>219.62596732588131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70.698366294067057</v>
      </c>
      <c r="C10" s="97">
        <f t="shared" ref="C10:W10" si="8">SUM(C11:C13)</f>
        <v>70.698366294067057</v>
      </c>
      <c r="D10" s="97">
        <f t="shared" si="8"/>
        <v>140.35537403267412</v>
      </c>
      <c r="E10" s="97">
        <f t="shared" si="8"/>
        <v>192.87515047291487</v>
      </c>
      <c r="F10" s="97">
        <f t="shared" si="8"/>
        <v>177.45331040412722</v>
      </c>
      <c r="G10" s="97">
        <f t="shared" si="8"/>
        <v>261.30180567497848</v>
      </c>
      <c r="H10" s="97">
        <f t="shared" si="8"/>
        <v>172.66208082545143</v>
      </c>
      <c r="I10" s="97">
        <f t="shared" si="8"/>
        <v>389.38323301805673</v>
      </c>
      <c r="J10" s="97">
        <f t="shared" si="8"/>
        <v>626.98993981083402</v>
      </c>
      <c r="K10" s="97">
        <f t="shared" si="8"/>
        <v>1085.7423903697334</v>
      </c>
      <c r="L10" s="97">
        <f t="shared" si="8"/>
        <v>1453.0191745485811</v>
      </c>
      <c r="M10" s="97">
        <f t="shared" si="8"/>
        <v>1742.1748065348231</v>
      </c>
      <c r="N10" s="97">
        <f t="shared" si="8"/>
        <v>2152.0199484092868</v>
      </c>
      <c r="O10" s="97">
        <f t="shared" si="8"/>
        <v>908.64333619948411</v>
      </c>
      <c r="P10" s="97">
        <f t="shared" si="8"/>
        <v>977.76861564918329</v>
      </c>
      <c r="Q10" s="97">
        <f t="shared" si="8"/>
        <v>985.21994840928619</v>
      </c>
      <c r="R10" s="97">
        <f t="shared" si="8"/>
        <v>1120.7089423903697</v>
      </c>
      <c r="S10" s="97">
        <f t="shared" si="8"/>
        <v>1288.92098022356</v>
      </c>
      <c r="T10" s="97">
        <f t="shared" si="8"/>
        <v>1680.9749785038694</v>
      </c>
      <c r="U10" s="97">
        <f t="shared" si="8"/>
        <v>1630.0858125537402</v>
      </c>
      <c r="V10" s="97">
        <f t="shared" si="8"/>
        <v>1401.5574376612203</v>
      </c>
      <c r="W10" s="97">
        <f t="shared" si="8"/>
        <v>1400.7069647463452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72.226999140154774</v>
      </c>
      <c r="E12" s="97">
        <v>99.312123817712802</v>
      </c>
      <c r="F12" s="97">
        <v>74.806534823731724</v>
      </c>
      <c r="G12" s="97">
        <v>114.1444539982803</v>
      </c>
      <c r="H12" s="97">
        <v>115.4342218400688</v>
      </c>
      <c r="I12" s="97">
        <v>114.1444539982803</v>
      </c>
      <c r="J12" s="97">
        <v>92.863284608770414</v>
      </c>
      <c r="K12" s="97">
        <v>152.83748925193461</v>
      </c>
      <c r="L12" s="97">
        <v>232.15821152192601</v>
      </c>
      <c r="M12" s="97">
        <v>226.99914015477211</v>
      </c>
      <c r="N12" s="97">
        <v>199.91401547721404</v>
      </c>
      <c r="O12" s="97">
        <v>168.3147033533964</v>
      </c>
      <c r="P12" s="97">
        <v>187.70894239036977</v>
      </c>
      <c r="Q12" s="97">
        <v>190.01891659501285</v>
      </c>
      <c r="R12" s="97">
        <v>134.22871883061049</v>
      </c>
      <c r="S12" s="97">
        <v>138.0051590713671</v>
      </c>
      <c r="T12" s="97">
        <v>153.91126397248493</v>
      </c>
      <c r="U12" s="97">
        <v>130.28985382631132</v>
      </c>
      <c r="V12" s="97">
        <v>86.166895958727423</v>
      </c>
      <c r="W12" s="97">
        <v>112.06276870163369</v>
      </c>
      <c r="DA12" s="175" t="s">
        <v>634</v>
      </c>
    </row>
    <row r="13" spans="1:105" ht="11.45" customHeight="1" x14ac:dyDescent="0.25">
      <c r="A13" s="128" t="s">
        <v>184</v>
      </c>
      <c r="B13" s="97">
        <v>70.698366294067057</v>
      </c>
      <c r="C13" s="97">
        <v>70.698366294067057</v>
      </c>
      <c r="D13" s="97">
        <v>68.128374892519346</v>
      </c>
      <c r="E13" s="97">
        <v>93.563026655202052</v>
      </c>
      <c r="F13" s="97">
        <v>102.6467755803955</v>
      </c>
      <c r="G13" s="97">
        <v>147.1573516766982</v>
      </c>
      <c r="H13" s="97">
        <v>57.227858985382618</v>
      </c>
      <c r="I13" s="97">
        <v>275.23877901977642</v>
      </c>
      <c r="J13" s="97">
        <v>534.1266552020636</v>
      </c>
      <c r="K13" s="97">
        <v>932.90490111779866</v>
      </c>
      <c r="L13" s="97">
        <v>1220.8609630266551</v>
      </c>
      <c r="M13" s="97">
        <v>1515.1756663800511</v>
      </c>
      <c r="N13" s="97">
        <v>1952.1059329320726</v>
      </c>
      <c r="O13" s="97">
        <v>740.32863284608777</v>
      </c>
      <c r="P13" s="97">
        <v>790.05967325881352</v>
      </c>
      <c r="Q13" s="97">
        <v>795.20103181427339</v>
      </c>
      <c r="R13" s="97">
        <v>986.48022355975922</v>
      </c>
      <c r="S13" s="97">
        <v>1150.9158211521928</v>
      </c>
      <c r="T13" s="97">
        <v>1527.0637145313844</v>
      </c>
      <c r="U13" s="97">
        <v>1499.7959587274288</v>
      </c>
      <c r="V13" s="97">
        <v>1315.390541702493</v>
      </c>
      <c r="W13" s="97">
        <v>1288.6441960447114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1.3825261815447181E-4</v>
      </c>
      <c r="L15" s="98">
        <v>1.0610879988494325E-2</v>
      </c>
      <c r="M15" s="98">
        <v>8.4514172332518817E-2</v>
      </c>
      <c r="N15" s="98">
        <v>0.18563890075611872</v>
      </c>
      <c r="O15" s="98">
        <v>0.33429941257983375</v>
      </c>
      <c r="P15" s="98">
        <v>1.4962609500381217</v>
      </c>
      <c r="Q15" s="98">
        <v>2.5512391304389288</v>
      </c>
      <c r="R15" s="98">
        <v>3.7206509189174808</v>
      </c>
      <c r="S15" s="98">
        <v>5.2782363764160651</v>
      </c>
      <c r="T15" s="98">
        <v>8.0751463832597015</v>
      </c>
      <c r="U15" s="98">
        <v>13.357765398540778</v>
      </c>
      <c r="V15" s="98">
        <v>16.019813075771101</v>
      </c>
      <c r="W15" s="98">
        <v>30.805389086667084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26401.607394668958</v>
      </c>
      <c r="C17" s="79">
        <f t="shared" si="9"/>
        <v>27709.408082545138</v>
      </c>
      <c r="D17" s="79">
        <f t="shared" si="9"/>
        <v>28440.030524505582</v>
      </c>
      <c r="E17" s="79">
        <f t="shared" si="9"/>
        <v>29799.21874462597</v>
      </c>
      <c r="F17" s="79">
        <f t="shared" si="9"/>
        <v>30876.684092863281</v>
      </c>
      <c r="G17" s="79">
        <f t="shared" si="9"/>
        <v>31860.725967325881</v>
      </c>
      <c r="H17" s="79">
        <f t="shared" si="9"/>
        <v>32786.4981083405</v>
      </c>
      <c r="I17" s="79">
        <f t="shared" si="9"/>
        <v>33952.137317282883</v>
      </c>
      <c r="J17" s="79">
        <f t="shared" si="9"/>
        <v>32382.830008598452</v>
      </c>
      <c r="K17" s="79">
        <f t="shared" si="9"/>
        <v>30624.303921571624</v>
      </c>
      <c r="L17" s="79">
        <f t="shared" ref="L17" si="10">L18+L42</f>
        <v>29811.811986632358</v>
      </c>
      <c r="M17" s="79">
        <f t="shared" ref="M17:V17" si="11">M18+M42</f>
        <v>28559.04547719899</v>
      </c>
      <c r="N17" s="79">
        <f t="shared" si="11"/>
        <v>26097.732758419243</v>
      </c>
      <c r="O17" s="79">
        <f t="shared" si="11"/>
        <v>25631.12389528532</v>
      </c>
      <c r="P17" s="79">
        <f t="shared" si="11"/>
        <v>25937.78319130258</v>
      </c>
      <c r="Q17" s="79">
        <f t="shared" si="11"/>
        <v>26690.265426576701</v>
      </c>
      <c r="R17" s="79">
        <f t="shared" si="11"/>
        <v>27552.669318158813</v>
      </c>
      <c r="S17" s="79">
        <f t="shared" si="11"/>
        <v>28157.485115138243</v>
      </c>
      <c r="T17" s="79">
        <f t="shared" si="11"/>
        <v>28792.847803305012</v>
      </c>
      <c r="U17" s="79">
        <f t="shared" si="11"/>
        <v>29036.00583074677</v>
      </c>
      <c r="V17" s="79">
        <f t="shared" si="11"/>
        <v>23924.156872405089</v>
      </c>
      <c r="W17" s="79">
        <f t="shared" ref="W17" si="12">W18+W42</f>
        <v>27376.080367590541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17226.911442066288</v>
      </c>
      <c r="C18" s="32">
        <f t="shared" si="13"/>
        <v>17660.637893593346</v>
      </c>
      <c r="D18" s="32">
        <f t="shared" si="13"/>
        <v>18360.88434560216</v>
      </c>
      <c r="E18" s="32">
        <f t="shared" si="13"/>
        <v>19149.875086788146</v>
      </c>
      <c r="F18" s="32">
        <f t="shared" si="13"/>
        <v>19640.981291465912</v>
      </c>
      <c r="G18" s="32">
        <f t="shared" si="13"/>
        <v>20554.470069550996</v>
      </c>
      <c r="H18" s="32">
        <f t="shared" si="13"/>
        <v>21249.006689948226</v>
      </c>
      <c r="I18" s="32">
        <f t="shared" si="13"/>
        <v>21836.851017444649</v>
      </c>
      <c r="J18" s="32">
        <f t="shared" si="13"/>
        <v>21271.060957352085</v>
      </c>
      <c r="K18" s="32">
        <f t="shared" si="13"/>
        <v>21043.838561496694</v>
      </c>
      <c r="L18" s="32">
        <f t="shared" ref="L18" si="14">L19+L21+L33</f>
        <v>20530.791156086147</v>
      </c>
      <c r="M18" s="32">
        <f t="shared" ref="M18:V18" si="15">M19+M21+M33</f>
        <v>19825.17736392139</v>
      </c>
      <c r="N18" s="32">
        <f t="shared" si="15"/>
        <v>18506.537064391738</v>
      </c>
      <c r="O18" s="32">
        <f t="shared" si="15"/>
        <v>18244.868669867777</v>
      </c>
      <c r="P18" s="32">
        <f t="shared" si="15"/>
        <v>18463.371006099049</v>
      </c>
      <c r="Q18" s="32">
        <f t="shared" si="15"/>
        <v>18836.375853373469</v>
      </c>
      <c r="R18" s="32">
        <f t="shared" si="15"/>
        <v>18999.483706612642</v>
      </c>
      <c r="S18" s="32">
        <f t="shared" si="15"/>
        <v>18740.955774119535</v>
      </c>
      <c r="T18" s="32">
        <f t="shared" si="15"/>
        <v>19138.450380367689</v>
      </c>
      <c r="U18" s="32">
        <f t="shared" si="15"/>
        <v>19718.125446684204</v>
      </c>
      <c r="V18" s="32">
        <f t="shared" si="15"/>
        <v>15858.117121017131</v>
      </c>
      <c r="W18" s="32">
        <f t="shared" ref="W18" si="16">W19+W21+W33</f>
        <v>17566.964985540613</v>
      </c>
      <c r="DA18" s="173" t="s">
        <v>390</v>
      </c>
    </row>
    <row r="19" spans="1:105" ht="11.45" customHeight="1" x14ac:dyDescent="0.25">
      <c r="A19" s="107" t="s">
        <v>181</v>
      </c>
      <c r="B19" s="129">
        <v>376.50521239735724</v>
      </c>
      <c r="C19" s="129">
        <v>397.94173419415108</v>
      </c>
      <c r="D19" s="129">
        <v>363.9059791781898</v>
      </c>
      <c r="E19" s="129">
        <v>409.2505584830559</v>
      </c>
      <c r="F19" s="129">
        <v>395.0361973530371</v>
      </c>
      <c r="G19" s="129">
        <v>450.99094763830504</v>
      </c>
      <c r="H19" s="129">
        <v>458.02725194351808</v>
      </c>
      <c r="I19" s="129">
        <v>517.37196063861188</v>
      </c>
      <c r="J19" s="129">
        <v>517.3861059307319</v>
      </c>
      <c r="K19" s="129">
        <v>533.805869159743</v>
      </c>
      <c r="L19" s="129">
        <v>540.16087522011571</v>
      </c>
      <c r="M19" s="129">
        <v>495.08161881735691</v>
      </c>
      <c r="N19" s="129">
        <v>467.82219407636342</v>
      </c>
      <c r="O19" s="129">
        <v>461.77085934985564</v>
      </c>
      <c r="P19" s="129">
        <v>512.92429466211797</v>
      </c>
      <c r="Q19" s="129">
        <v>549.07002983369364</v>
      </c>
      <c r="R19" s="129">
        <v>566.74381436891542</v>
      </c>
      <c r="S19" s="129">
        <v>536.00466962196526</v>
      </c>
      <c r="T19" s="129">
        <v>508.24217154470983</v>
      </c>
      <c r="U19" s="129">
        <v>534.93494206124763</v>
      </c>
      <c r="V19" s="129">
        <v>453.80713407467601</v>
      </c>
      <c r="W19" s="129">
        <v>461.36050405543972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3.0433838199996162</v>
      </c>
      <c r="E20" s="97">
        <v>4.8136528362259829</v>
      </c>
      <c r="F20" s="97">
        <v>3.6725933536216551</v>
      </c>
      <c r="G20" s="97">
        <v>6.6032645725523738</v>
      </c>
      <c r="H20" s="97">
        <v>7.1008582885882428</v>
      </c>
      <c r="I20" s="97">
        <v>8.2358137828632074</v>
      </c>
      <c r="J20" s="97">
        <v>7.2877908826711586</v>
      </c>
      <c r="K20" s="97">
        <v>13.048028260656109</v>
      </c>
      <c r="L20" s="97">
        <v>21.430291978119993</v>
      </c>
      <c r="M20" s="97">
        <v>20.601819364658482</v>
      </c>
      <c r="N20" s="97">
        <v>19.033385414223062</v>
      </c>
      <c r="O20" s="97">
        <v>16.28708469009737</v>
      </c>
      <c r="P20" s="97">
        <v>20.386868553440276</v>
      </c>
      <c r="Q20" s="97">
        <v>21.95836166793811</v>
      </c>
      <c r="R20" s="97">
        <v>15.518922441016599</v>
      </c>
      <c r="S20" s="97">
        <v>14.76640530184056</v>
      </c>
      <c r="T20" s="97">
        <v>14.958094494898546</v>
      </c>
      <c r="U20" s="97">
        <v>12.584760593375302</v>
      </c>
      <c r="V20" s="97">
        <v>8.9538508844171147</v>
      </c>
      <c r="W20" s="97">
        <v>9.5944493747011261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15667.213092231557</v>
      </c>
      <c r="C21" s="130">
        <f t="shared" si="17"/>
        <v>16086.009905567775</v>
      </c>
      <c r="D21" s="130">
        <f t="shared" si="17"/>
        <v>16839.498097488824</v>
      </c>
      <c r="E21" s="130">
        <f t="shared" si="17"/>
        <v>17592.003636277223</v>
      </c>
      <c r="F21" s="130">
        <f t="shared" si="17"/>
        <v>18067.202581304868</v>
      </c>
      <c r="G21" s="130">
        <f t="shared" si="17"/>
        <v>18937.14581109471</v>
      </c>
      <c r="H21" s="130">
        <f t="shared" si="17"/>
        <v>19577.138160587769</v>
      </c>
      <c r="I21" s="130">
        <f t="shared" si="17"/>
        <v>20066.739295096122</v>
      </c>
      <c r="J21" s="130">
        <f t="shared" si="17"/>
        <v>19509.169549131173</v>
      </c>
      <c r="K21" s="130">
        <f t="shared" si="17"/>
        <v>19279.39572873892</v>
      </c>
      <c r="L21" s="130">
        <f t="shared" ref="L21" si="18">L22+L24+L26+L27+L29+L32</f>
        <v>18775.244705796325</v>
      </c>
      <c r="M21" s="130">
        <f t="shared" ref="M21:V21" si="19">M22+M24+M26+M27+M29+M32</f>
        <v>18120.88321920664</v>
      </c>
      <c r="N21" s="130">
        <f t="shared" si="19"/>
        <v>16851.783571620097</v>
      </c>
      <c r="O21" s="130">
        <f t="shared" si="19"/>
        <v>16661.707446348973</v>
      </c>
      <c r="P21" s="130">
        <f t="shared" si="19"/>
        <v>16842.226429905935</v>
      </c>
      <c r="Q21" s="130">
        <f t="shared" si="19"/>
        <v>17175.75004441768</v>
      </c>
      <c r="R21" s="130">
        <f t="shared" si="19"/>
        <v>17301.918254196637</v>
      </c>
      <c r="S21" s="130">
        <f t="shared" si="19"/>
        <v>17468.941359799803</v>
      </c>
      <c r="T21" s="130">
        <f t="shared" si="19"/>
        <v>17888.96568458499</v>
      </c>
      <c r="U21" s="130">
        <f t="shared" si="19"/>
        <v>18417.655750644441</v>
      </c>
      <c r="V21" s="130">
        <f t="shared" si="19"/>
        <v>14849.757070387457</v>
      </c>
      <c r="W21" s="130">
        <f t="shared" ref="W21" si="20">W22+W24+W26+W27+W29+W32</f>
        <v>16397.367747936205</v>
      </c>
      <c r="DA21" s="176" t="s">
        <v>392</v>
      </c>
    </row>
    <row r="22" spans="1:105" ht="11.45" customHeight="1" x14ac:dyDescent="0.25">
      <c r="A22" s="111" t="s">
        <v>110</v>
      </c>
      <c r="B22" s="96">
        <v>8411.1450461389559</v>
      </c>
      <c r="C22" s="96">
        <v>8322.771087342664</v>
      </c>
      <c r="D22" s="96">
        <v>8088.7514909301608</v>
      </c>
      <c r="E22" s="96">
        <v>7870.11055734412</v>
      </c>
      <c r="F22" s="96">
        <v>7512.0548979960777</v>
      </c>
      <c r="G22" s="96">
        <v>7239.7104302986245</v>
      </c>
      <c r="H22" s="96">
        <v>6895.9362891518113</v>
      </c>
      <c r="I22" s="96">
        <v>6569.8453505777825</v>
      </c>
      <c r="J22" s="96">
        <v>6007.7068686048005</v>
      </c>
      <c r="K22" s="96">
        <v>5659.740776746864</v>
      </c>
      <c r="L22" s="96">
        <v>5255.7051339938089</v>
      </c>
      <c r="M22" s="96">
        <v>4904.1871487529406</v>
      </c>
      <c r="N22" s="96">
        <v>4392.1539480205292</v>
      </c>
      <c r="O22" s="96">
        <v>4258.0307396598801</v>
      </c>
      <c r="P22" s="96">
        <v>4174.1942998707818</v>
      </c>
      <c r="Q22" s="96">
        <v>4165.9896181249596</v>
      </c>
      <c r="R22" s="96">
        <v>4301.9871117256889</v>
      </c>
      <c r="S22" s="96">
        <v>4436.2689215804012</v>
      </c>
      <c r="T22" s="96">
        <v>4681.9283430702453</v>
      </c>
      <c r="U22" s="96">
        <v>4958.9222065147569</v>
      </c>
      <c r="V22" s="96">
        <v>3879.9330255679665</v>
      </c>
      <c r="W22" s="96">
        <v>4868.7656428482442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67.647075948264671</v>
      </c>
      <c r="E23" s="96">
        <v>92.569158967537675</v>
      </c>
      <c r="F23" s="96">
        <v>69.83846815881995</v>
      </c>
      <c r="G23" s="96">
        <v>106.0015143325427</v>
      </c>
      <c r="H23" s="96">
        <v>106.90863076077072</v>
      </c>
      <c r="I23" s="96">
        <v>104.58244165915114</v>
      </c>
      <c r="J23" s="96">
        <v>84.623283928387238</v>
      </c>
      <c r="K23" s="96">
        <v>138.34328520820642</v>
      </c>
      <c r="L23" s="96">
        <v>208.51435329612556</v>
      </c>
      <c r="M23" s="96">
        <v>204.07782056307968</v>
      </c>
      <c r="N23" s="96">
        <v>178.69515373533218</v>
      </c>
      <c r="O23" s="96">
        <v>150.18467680598152</v>
      </c>
      <c r="P23" s="96">
        <v>165.90898772701527</v>
      </c>
      <c r="Q23" s="96">
        <v>166.60590046659601</v>
      </c>
      <c r="R23" s="96">
        <v>117.79961710471514</v>
      </c>
      <c r="S23" s="96">
        <v>122.21487728869378</v>
      </c>
      <c r="T23" s="96">
        <v>137.79400942101435</v>
      </c>
      <c r="U23" s="96">
        <v>116.66250204125815</v>
      </c>
      <c r="V23" s="96">
        <v>76.553097437080496</v>
      </c>
      <c r="W23" s="96">
        <v>101.25081160388699</v>
      </c>
      <c r="DA23" s="171" t="s">
        <v>641</v>
      </c>
    </row>
    <row r="24" spans="1:105" ht="11.45" customHeight="1" x14ac:dyDescent="0.25">
      <c r="A24" s="111" t="s">
        <v>111</v>
      </c>
      <c r="B24" s="96">
        <v>7171.3374356024888</v>
      </c>
      <c r="C24" s="96">
        <v>7681.8974596696498</v>
      </c>
      <c r="D24" s="96">
        <v>8669.405248003206</v>
      </c>
      <c r="E24" s="96">
        <v>9641.6814710225281</v>
      </c>
      <c r="F24" s="96">
        <v>10471.192634659157</v>
      </c>
      <c r="G24" s="96">
        <v>11643.362684066853</v>
      </c>
      <c r="H24" s="96">
        <v>12629.674201047168</v>
      </c>
      <c r="I24" s="96">
        <v>13446.659531160407</v>
      </c>
      <c r="J24" s="96">
        <v>13481.700152852731</v>
      </c>
      <c r="K24" s="96">
        <v>13596.380035712989</v>
      </c>
      <c r="L24" s="96">
        <v>13492.964078964711</v>
      </c>
      <c r="M24" s="96">
        <v>13187.91392416845</v>
      </c>
      <c r="N24" s="96">
        <v>12422.494609256853</v>
      </c>
      <c r="O24" s="96">
        <v>12359.555655489474</v>
      </c>
      <c r="P24" s="96">
        <v>12619.457884784588</v>
      </c>
      <c r="Q24" s="96">
        <v>12952.46754174649</v>
      </c>
      <c r="R24" s="96">
        <v>12939.380906818647</v>
      </c>
      <c r="S24" s="96">
        <v>12965.987312044794</v>
      </c>
      <c r="T24" s="96">
        <v>13123.410937046367</v>
      </c>
      <c r="U24" s="96">
        <v>13347.541696316453</v>
      </c>
      <c r="V24" s="96">
        <v>10876.994533558676</v>
      </c>
      <c r="W24" s="96">
        <v>11402.759877410273</v>
      </c>
      <c r="DA24" s="171" t="s">
        <v>642</v>
      </c>
    </row>
    <row r="25" spans="1:105" ht="11.45" customHeight="1" x14ac:dyDescent="0.25">
      <c r="A25" s="160" t="s">
        <v>131</v>
      </c>
      <c r="B25" s="96">
        <v>29.321661704159247</v>
      </c>
      <c r="C25" s="96">
        <v>29.128841151020929</v>
      </c>
      <c r="D25" s="96">
        <v>29.96736379666303</v>
      </c>
      <c r="E25" s="96">
        <v>42.432474532420301</v>
      </c>
      <c r="F25" s="96">
        <v>47.290607747450935</v>
      </c>
      <c r="G25" s="96">
        <v>71.419143023969113</v>
      </c>
      <c r="H25" s="96">
        <v>28.605392548768954</v>
      </c>
      <c r="I25" s="96">
        <v>138.63241665391146</v>
      </c>
      <c r="J25" s="96">
        <v>279.81595118220417</v>
      </c>
      <c r="K25" s="96">
        <v>521.86909442684646</v>
      </c>
      <c r="L25" s="96">
        <v>689.9033675880537</v>
      </c>
      <c r="M25" s="96">
        <v>868.24876979519127</v>
      </c>
      <c r="N25" s="96">
        <v>1150.175679295226</v>
      </c>
      <c r="O25" s="96">
        <v>441.03367888467136</v>
      </c>
      <c r="P25" s="96">
        <v>472.70803120779271</v>
      </c>
      <c r="Q25" s="96">
        <v>472.46493970788117</v>
      </c>
      <c r="R25" s="96">
        <v>567.6756097502597</v>
      </c>
      <c r="S25" s="96">
        <v>650.00261304038304</v>
      </c>
      <c r="T25" s="96">
        <v>857.93308655836779</v>
      </c>
      <c r="U25" s="96">
        <v>861.79946055177857</v>
      </c>
      <c r="V25" s="96">
        <v>741.44547252104655</v>
      </c>
      <c r="W25" s="96">
        <v>678.93070465771939</v>
      </c>
      <c r="DA25" s="171" t="s">
        <v>643</v>
      </c>
    </row>
    <row r="26" spans="1:105" ht="11.45" customHeight="1" x14ac:dyDescent="0.25">
      <c r="A26" s="111" t="s">
        <v>112</v>
      </c>
      <c r="B26" s="96">
        <v>84.730610490111772</v>
      </c>
      <c r="C26" s="96">
        <v>81.341358555460005</v>
      </c>
      <c r="D26" s="96">
        <v>81.341358555460005</v>
      </c>
      <c r="E26" s="96">
        <v>80.211607910576092</v>
      </c>
      <c r="F26" s="96">
        <v>82.471109200343932</v>
      </c>
      <c r="G26" s="96">
        <v>50.838349097162506</v>
      </c>
      <c r="H26" s="96">
        <v>46.319346517626819</v>
      </c>
      <c r="I26" s="96">
        <v>45.18968185726569</v>
      </c>
      <c r="J26" s="96">
        <v>14.68667239896819</v>
      </c>
      <c r="K26" s="96">
        <v>18.075838349097161</v>
      </c>
      <c r="L26" s="96">
        <v>21.465090283748921</v>
      </c>
      <c r="M26" s="96">
        <v>23.724591573516761</v>
      </c>
      <c r="N26" s="96">
        <v>29.373258813413582</v>
      </c>
      <c r="O26" s="96">
        <v>35.019297567345468</v>
      </c>
      <c r="P26" s="96">
        <v>39.296261515459662</v>
      </c>
      <c r="Q26" s="96">
        <v>47.123641023207171</v>
      </c>
      <c r="R26" s="96">
        <v>49.956134458381854</v>
      </c>
      <c r="S26" s="96">
        <v>53.83410847293176</v>
      </c>
      <c r="T26" s="96">
        <v>64.662099542203578</v>
      </c>
      <c r="U26" s="96">
        <v>87.728778098216125</v>
      </c>
      <c r="V26" s="96">
        <v>67.195891346153914</v>
      </c>
      <c r="W26" s="96">
        <v>79.848171535457965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1.4839394492867093</v>
      </c>
      <c r="G27" s="96">
        <v>3.2343476320726214</v>
      </c>
      <c r="H27" s="96">
        <v>5.2083238711624391</v>
      </c>
      <c r="I27" s="96">
        <v>5.0447315006680613</v>
      </c>
      <c r="J27" s="96">
        <v>5.075855274670328</v>
      </c>
      <c r="K27" s="96">
        <v>5.1989396773537768</v>
      </c>
      <c r="L27" s="96">
        <v>5.0997916740664815</v>
      </c>
      <c r="M27" s="96">
        <v>4.9742652148826316</v>
      </c>
      <c r="N27" s="96">
        <v>7.5873887752897193</v>
      </c>
      <c r="O27" s="96">
        <v>8.7473050898725369</v>
      </c>
      <c r="P27" s="96">
        <v>8.6877506430337679</v>
      </c>
      <c r="Q27" s="96">
        <v>9.118115377288035</v>
      </c>
      <c r="R27" s="96">
        <v>8.7814521041386744</v>
      </c>
      <c r="S27" s="96">
        <v>9.4608369884356449</v>
      </c>
      <c r="T27" s="96">
        <v>12.80055487507283</v>
      </c>
      <c r="U27" s="96">
        <v>12.854016896919166</v>
      </c>
      <c r="V27" s="96">
        <v>8.855305359689293</v>
      </c>
      <c r="W27" s="96">
        <v>10.717501574700636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2.3966413180081711E-3</v>
      </c>
      <c r="N29" s="96">
        <v>2.5162428437375178E-2</v>
      </c>
      <c r="O29" s="96">
        <v>5.2857014779376224E-2</v>
      </c>
      <c r="P29" s="96">
        <v>0.1621505310079121</v>
      </c>
      <c r="Q29" s="96">
        <v>0.35555667976087918</v>
      </c>
      <c r="R29" s="96">
        <v>0.84780703790581158</v>
      </c>
      <c r="S29" s="96">
        <v>1.8874564153657842</v>
      </c>
      <c r="T29" s="96">
        <v>3.5551998500315225</v>
      </c>
      <c r="U29" s="96">
        <v>6.2042436259996849</v>
      </c>
      <c r="V29" s="96">
        <v>10.886217187611379</v>
      </c>
      <c r="W29" s="96">
        <v>23.867043901508946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7.2805228040950481E-5</v>
      </c>
      <c r="N30" s="96">
        <v>6.5300185554559808E-4</v>
      </c>
      <c r="O30" s="96">
        <v>1.2724234346300786E-3</v>
      </c>
      <c r="P30" s="96">
        <v>4.1577082294234867E-3</v>
      </c>
      <c r="Q30" s="96">
        <v>8.5778859078811734E-3</v>
      </c>
      <c r="R30" s="96">
        <v>1.4949121915174984E-2</v>
      </c>
      <c r="S30" s="96">
        <v>3.2796036077959993E-2</v>
      </c>
      <c r="T30" s="96">
        <v>6.7233808919366575E-2</v>
      </c>
      <c r="U30" s="96">
        <v>9.2888544740095835E-2</v>
      </c>
      <c r="V30" s="96">
        <v>0.13704135289375841</v>
      </c>
      <c r="W30" s="96">
        <v>0.29565896331827279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6.4706136495250018E-4</v>
      </c>
      <c r="N31" s="96">
        <v>9.1122747653439289E-3</v>
      </c>
      <c r="O31" s="96">
        <v>1.6781309762426772E-2</v>
      </c>
      <c r="P31" s="96">
        <v>5.7544492302274222E-2</v>
      </c>
      <c r="Q31" s="96">
        <v>0.14106617529727405</v>
      </c>
      <c r="R31" s="96">
        <v>0.30187207316368364</v>
      </c>
      <c r="S31" s="96">
        <v>0.69699549251099324</v>
      </c>
      <c r="T31" s="96">
        <v>1.2707473044178443</v>
      </c>
      <c r="U31" s="96">
        <v>2.2558706768270516</v>
      </c>
      <c r="V31" s="96">
        <v>3.9405639252071412</v>
      </c>
      <c r="W31" s="96">
        <v>9.6499311712355418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1.3825261815447181E-4</v>
      </c>
      <c r="L32" s="96">
        <v>1.0610879988494325E-2</v>
      </c>
      <c r="M32" s="96">
        <v>8.0892855532828045E-2</v>
      </c>
      <c r="N32" s="96">
        <v>0.14920432557476096</v>
      </c>
      <c r="O32" s="96">
        <v>0.30159152762432923</v>
      </c>
      <c r="P32" s="96">
        <v>0.42808256106356174</v>
      </c>
      <c r="Q32" s="96">
        <v>0.69557146597138697</v>
      </c>
      <c r="R32" s="96">
        <v>0.96484205187061167</v>
      </c>
      <c r="S32" s="96">
        <v>1.5027242978711823</v>
      </c>
      <c r="T32" s="96">
        <v>2.6085502010691779</v>
      </c>
      <c r="U32" s="96">
        <v>4.4048091921010952</v>
      </c>
      <c r="V32" s="96">
        <v>5.8920973673601518</v>
      </c>
      <c r="W32" s="96">
        <v>11.40951066601963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1183.1931374373728</v>
      </c>
      <c r="C33" s="130">
        <f t="shared" si="21"/>
        <v>1176.6862538314188</v>
      </c>
      <c r="D33" s="130">
        <f t="shared" si="21"/>
        <v>1157.4802689351457</v>
      </c>
      <c r="E33" s="130">
        <f t="shared" si="21"/>
        <v>1148.620892027868</v>
      </c>
      <c r="F33" s="130">
        <f t="shared" si="21"/>
        <v>1178.7425128080065</v>
      </c>
      <c r="G33" s="130">
        <f t="shared" si="21"/>
        <v>1166.333310817985</v>
      </c>
      <c r="H33" s="130">
        <f t="shared" si="21"/>
        <v>1213.8412774169412</v>
      </c>
      <c r="I33" s="130">
        <f t="shared" si="21"/>
        <v>1252.739761709915</v>
      </c>
      <c r="J33" s="130">
        <f t="shared" si="21"/>
        <v>1244.5053022901811</v>
      </c>
      <c r="K33" s="130">
        <f t="shared" si="21"/>
        <v>1230.6369635980295</v>
      </c>
      <c r="L33" s="130">
        <f t="shared" ref="L33" si="22">L34+L36+L38+L39+L41</f>
        <v>1215.3855750697032</v>
      </c>
      <c r="M33" s="130">
        <f t="shared" ref="M33:V33" si="23">M34+M36+M38+M39+M41</f>
        <v>1209.2125258973952</v>
      </c>
      <c r="N33" s="130">
        <f t="shared" si="23"/>
        <v>1186.9312986952755</v>
      </c>
      <c r="O33" s="130">
        <f t="shared" si="23"/>
        <v>1121.3903641689456</v>
      </c>
      <c r="P33" s="130">
        <f t="shared" si="23"/>
        <v>1108.2202815309938</v>
      </c>
      <c r="Q33" s="130">
        <f t="shared" si="23"/>
        <v>1111.5557791220958</v>
      </c>
      <c r="R33" s="130">
        <f t="shared" si="23"/>
        <v>1130.8216380470915</v>
      </c>
      <c r="S33" s="130">
        <f t="shared" si="23"/>
        <v>736.00974469776543</v>
      </c>
      <c r="T33" s="130">
        <f t="shared" si="23"/>
        <v>741.24252423799135</v>
      </c>
      <c r="U33" s="130">
        <f t="shared" si="23"/>
        <v>765.53475397851571</v>
      </c>
      <c r="V33" s="130">
        <f t="shared" si="23"/>
        <v>554.55291655499741</v>
      </c>
      <c r="W33" s="130">
        <f t="shared" ref="W33" si="24">W34+W36+W38+W39+W41</f>
        <v>708.2367335489688</v>
      </c>
      <c r="DA33" s="176" t="s">
        <v>393</v>
      </c>
    </row>
    <row r="34" spans="1:105" ht="11.45" customHeight="1" x14ac:dyDescent="0.25">
      <c r="A34" s="111" t="s">
        <v>110</v>
      </c>
      <c r="B34" s="97">
        <v>3.6597331512858347</v>
      </c>
      <c r="C34" s="97">
        <v>3.6686685900177549</v>
      </c>
      <c r="D34" s="97">
        <v>3.6884379886926499</v>
      </c>
      <c r="E34" s="97">
        <v>3.6575571307482124</v>
      </c>
      <c r="F34" s="97">
        <v>3.649847463742645</v>
      </c>
      <c r="G34" s="97">
        <v>3.2583800884003988</v>
      </c>
      <c r="H34" s="97">
        <v>3.1855167194513854</v>
      </c>
      <c r="I34" s="97">
        <v>3.5418924473793179</v>
      </c>
      <c r="J34" s="97">
        <v>3.204473262334679</v>
      </c>
      <c r="K34" s="97">
        <v>2.8928449469569917</v>
      </c>
      <c r="L34" s="97">
        <v>2.6574042212510407</v>
      </c>
      <c r="M34" s="97">
        <v>2.4970280871308068</v>
      </c>
      <c r="N34" s="97">
        <v>2.2904875586178117</v>
      </c>
      <c r="O34" s="97">
        <v>2.107363971973669</v>
      </c>
      <c r="P34" s="97">
        <v>1.9631587426577064</v>
      </c>
      <c r="Q34" s="97">
        <v>1.9011177387945628</v>
      </c>
      <c r="R34" s="97">
        <v>1.7979708857524002</v>
      </c>
      <c r="S34" s="97">
        <v>1.4720289673712819</v>
      </c>
      <c r="T34" s="97">
        <v>1.3831962324035945</v>
      </c>
      <c r="U34" s="97">
        <v>1.292420393023767</v>
      </c>
      <c r="V34" s="97">
        <v>0.78345654251904351</v>
      </c>
      <c r="W34" s="97">
        <v>0.92237548689090476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3.084679323271728E-2</v>
      </c>
      <c r="E35" s="97">
        <v>4.3020613878560279E-2</v>
      </c>
      <c r="F35" s="97">
        <v>3.3932094392592593E-2</v>
      </c>
      <c r="G35" s="97">
        <v>4.7708154485841751E-2</v>
      </c>
      <c r="H35" s="97">
        <v>4.9385495524057126E-2</v>
      </c>
      <c r="I35" s="97">
        <v>5.6381808166680682E-2</v>
      </c>
      <c r="J35" s="97">
        <v>4.5137530284071387E-2</v>
      </c>
      <c r="K35" s="97">
        <v>7.0710954679097909E-2</v>
      </c>
      <c r="L35" s="97">
        <v>0.10542960621146741</v>
      </c>
      <c r="M35" s="97">
        <v>0.10390876906808733</v>
      </c>
      <c r="N35" s="97">
        <v>9.318867946341905E-2</v>
      </c>
      <c r="O35" s="97">
        <v>7.4328673603872478E-2</v>
      </c>
      <c r="P35" s="97">
        <v>7.8028394545951729E-2</v>
      </c>
      <c r="Q35" s="97">
        <v>7.6029337996152996E-2</v>
      </c>
      <c r="R35" s="97">
        <v>4.9233127949120506E-2</v>
      </c>
      <c r="S35" s="97">
        <v>4.0552960785928613E-2</v>
      </c>
      <c r="T35" s="97">
        <v>4.0708900417289619E-2</v>
      </c>
      <c r="U35" s="97">
        <v>3.0405195012177533E-2</v>
      </c>
      <c r="V35" s="97">
        <v>1.5458005239252524E-2</v>
      </c>
      <c r="W35" s="97">
        <v>1.9181713292858418E-2</v>
      </c>
      <c r="DA35" s="175" t="s">
        <v>652</v>
      </c>
    </row>
    <row r="36" spans="1:105" ht="11.45" customHeight="1" x14ac:dyDescent="0.25">
      <c r="A36" s="111" t="s">
        <v>111</v>
      </c>
      <c r="B36" s="97">
        <v>1172.8266974933097</v>
      </c>
      <c r="C36" s="97">
        <v>1163.2584278897243</v>
      </c>
      <c r="D36" s="97">
        <v>1140.6792772061262</v>
      </c>
      <c r="E36" s="97">
        <v>1129.1208585428635</v>
      </c>
      <c r="F36" s="97">
        <v>1157.0797862208938</v>
      </c>
      <c r="G36" s="97">
        <v>1143.1366214399031</v>
      </c>
      <c r="H36" s="97">
        <v>1188.4352797535189</v>
      </c>
      <c r="I36" s="97">
        <v>1214.6255758276923</v>
      </c>
      <c r="J36" s="97">
        <v>1205.4692896335573</v>
      </c>
      <c r="K36" s="97">
        <v>1184.6200144763197</v>
      </c>
      <c r="L36" s="97">
        <v>1156.4566813531292</v>
      </c>
      <c r="M36" s="97">
        <v>1145.6106572641841</v>
      </c>
      <c r="N36" s="97">
        <v>1121.5287571892486</v>
      </c>
      <c r="O36" s="97">
        <v>1051.4982052287141</v>
      </c>
      <c r="P36" s="97">
        <v>1031.6036247277543</v>
      </c>
      <c r="Q36" s="97">
        <v>1029.4100270333392</v>
      </c>
      <c r="R36" s="97">
        <v>1027.0991652481334</v>
      </c>
      <c r="S36" s="97">
        <v>614.57585417090024</v>
      </c>
      <c r="T36" s="97">
        <v>623.94370264595625</v>
      </c>
      <c r="U36" s="97">
        <v>615.29673240870397</v>
      </c>
      <c r="V36" s="97">
        <v>390.12137475375624</v>
      </c>
      <c r="W36" s="97">
        <v>493.69414816541735</v>
      </c>
      <c r="DA36" s="175" t="s">
        <v>653</v>
      </c>
    </row>
    <row r="37" spans="1:105" ht="11.45" customHeight="1" x14ac:dyDescent="0.25">
      <c r="A37" s="160" t="s">
        <v>131</v>
      </c>
      <c r="B37" s="97">
        <v>4.7953715705494462</v>
      </c>
      <c r="C37" s="97">
        <v>4.4109375504529664</v>
      </c>
      <c r="D37" s="97">
        <v>3.942963778654125</v>
      </c>
      <c r="E37" s="97">
        <v>4.969194659472965</v>
      </c>
      <c r="F37" s="97">
        <v>5.2256708678588639</v>
      </c>
      <c r="G37" s="97">
        <v>7.0118779323326015</v>
      </c>
      <c r="H37" s="97">
        <v>2.6917287932365483</v>
      </c>
      <c r="I37" s="97">
        <v>12.522550936642221</v>
      </c>
      <c r="J37" s="97">
        <v>25.019807003226894</v>
      </c>
      <c r="K37" s="97">
        <v>45.46920375650236</v>
      </c>
      <c r="L37" s="97">
        <v>59.130325573092705</v>
      </c>
      <c r="M37" s="97">
        <v>75.423228385728692</v>
      </c>
      <c r="N37" s="97">
        <v>103.84026242104707</v>
      </c>
      <c r="O37" s="97">
        <v>37.521261663373544</v>
      </c>
      <c r="P37" s="97">
        <v>38.64249343229244</v>
      </c>
      <c r="Q37" s="97">
        <v>37.549613213808897</v>
      </c>
      <c r="R37" s="97">
        <v>45.060822392125651</v>
      </c>
      <c r="S37" s="97">
        <v>30.809525068061426</v>
      </c>
      <c r="T37" s="97">
        <v>40.789848707593698</v>
      </c>
      <c r="U37" s="97">
        <v>39.727344864967215</v>
      </c>
      <c r="V37" s="97">
        <v>26.59316653625481</v>
      </c>
      <c r="W37" s="97">
        <v>29.394999061881887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3.5153798626504494E-2</v>
      </c>
      <c r="Q38" s="97">
        <v>0.94317719685468215</v>
      </c>
      <c r="R38" s="97">
        <v>0.92878333828621207</v>
      </c>
      <c r="S38" s="97">
        <v>0.79857398057935469</v>
      </c>
      <c r="T38" s="97">
        <v>0.73664746645748036</v>
      </c>
      <c r="U38" s="97">
        <v>0.94694878652954206</v>
      </c>
      <c r="V38" s="97">
        <v>0.80222487885909333</v>
      </c>
      <c r="W38" s="97">
        <v>2.1960076713502477</v>
      </c>
      <c r="DA38" s="175" t="s">
        <v>655</v>
      </c>
    </row>
    <row r="39" spans="1:105" ht="11.45" customHeight="1" x14ac:dyDescent="0.25">
      <c r="A39" s="111" t="s">
        <v>113</v>
      </c>
      <c r="B39" s="97">
        <v>6.7067067927772994</v>
      </c>
      <c r="C39" s="97">
        <v>9.7591573516766967</v>
      </c>
      <c r="D39" s="97">
        <v>13.11255374032674</v>
      </c>
      <c r="E39" s="97">
        <v>15.842476354256229</v>
      </c>
      <c r="F39" s="97">
        <v>18.012879123370212</v>
      </c>
      <c r="G39" s="97">
        <v>19.938309289681456</v>
      </c>
      <c r="H39" s="97">
        <v>22.220480943970841</v>
      </c>
      <c r="I39" s="97">
        <v>34.572293434843537</v>
      </c>
      <c r="J39" s="97">
        <v>35.831539394289251</v>
      </c>
      <c r="K39" s="97">
        <v>43.12410417475283</v>
      </c>
      <c r="L39" s="97">
        <v>56.271489495323031</v>
      </c>
      <c r="M39" s="97">
        <v>61.104840546080382</v>
      </c>
      <c r="N39" s="97">
        <v>63.112053947409073</v>
      </c>
      <c r="O39" s="97">
        <v>67.784794968257771</v>
      </c>
      <c r="P39" s="97">
        <v>73.661420586193358</v>
      </c>
      <c r="Q39" s="97">
        <v>77.745319654050604</v>
      </c>
      <c r="R39" s="97">
        <v>98.841117095871041</v>
      </c>
      <c r="S39" s="97">
        <v>116.50839211212804</v>
      </c>
      <c r="T39" s="97">
        <v>111.69744471548879</v>
      </c>
      <c r="U39" s="97">
        <v>142.28426531261974</v>
      </c>
      <c r="V39" s="97">
        <v>157.60990103558709</v>
      </c>
      <c r="W39" s="97">
        <v>203.48140281668134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0</v>
      </c>
      <c r="P41" s="97">
        <v>0.95692367576211623</v>
      </c>
      <c r="Q41" s="97">
        <v>1.5561374990567063</v>
      </c>
      <c r="R41" s="97">
        <v>2.1546014790484125</v>
      </c>
      <c r="S41" s="97">
        <v>2.6548954667864728</v>
      </c>
      <c r="T41" s="97">
        <v>3.4815331776851948</v>
      </c>
      <c r="U41" s="97">
        <v>5.7143870776386452</v>
      </c>
      <c r="V41" s="97">
        <v>5.2359593442759413</v>
      </c>
      <c r="W41" s="97">
        <v>7.9427994086289209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9174.6959526026694</v>
      </c>
      <c r="C42" s="32">
        <f t="shared" si="25"/>
        <v>10048.770188951792</v>
      </c>
      <c r="D42" s="32">
        <f t="shared" si="25"/>
        <v>10079.146178903422</v>
      </c>
      <c r="E42" s="32">
        <f t="shared" si="25"/>
        <v>10649.343657837822</v>
      </c>
      <c r="F42" s="32">
        <f t="shared" si="25"/>
        <v>11235.702801397369</v>
      </c>
      <c r="G42" s="32">
        <f t="shared" si="25"/>
        <v>11306.255897774883</v>
      </c>
      <c r="H42" s="32">
        <f t="shared" si="25"/>
        <v>11537.49141839227</v>
      </c>
      <c r="I42" s="32">
        <f t="shared" si="25"/>
        <v>12115.286299838233</v>
      </c>
      <c r="J42" s="32">
        <f t="shared" si="25"/>
        <v>11111.769051246367</v>
      </c>
      <c r="K42" s="32">
        <f t="shared" si="25"/>
        <v>9580.4653600749298</v>
      </c>
      <c r="L42" s="32">
        <f t="shared" ref="L42" si="26">L43+L52</f>
        <v>9281.0208305462111</v>
      </c>
      <c r="M42" s="32">
        <f t="shared" ref="M42:V42" si="27">M43+M52</f>
        <v>8733.8681132775982</v>
      </c>
      <c r="N42" s="32">
        <f t="shared" si="27"/>
        <v>7591.195694027504</v>
      </c>
      <c r="O42" s="32">
        <f t="shared" si="27"/>
        <v>7386.2552254175425</v>
      </c>
      <c r="P42" s="32">
        <f t="shared" si="27"/>
        <v>7474.4121852035296</v>
      </c>
      <c r="Q42" s="32">
        <f t="shared" si="27"/>
        <v>7853.8895732032333</v>
      </c>
      <c r="R42" s="32">
        <f t="shared" si="27"/>
        <v>8553.1856115461724</v>
      </c>
      <c r="S42" s="32">
        <f t="shared" si="27"/>
        <v>9416.5293410187078</v>
      </c>
      <c r="T42" s="32">
        <f t="shared" si="27"/>
        <v>9654.3974229373216</v>
      </c>
      <c r="U42" s="32">
        <f t="shared" si="27"/>
        <v>9317.880384062566</v>
      </c>
      <c r="V42" s="32">
        <f t="shared" si="27"/>
        <v>8066.0397513879561</v>
      </c>
      <c r="W42" s="32">
        <f t="shared" ref="W42" si="28">W43+W52</f>
        <v>9809.1153820499294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2763.0921213946472</v>
      </c>
      <c r="C43" s="141">
        <f t="shared" si="29"/>
        <v>3288.9027488856295</v>
      </c>
      <c r="D43" s="141">
        <f t="shared" si="29"/>
        <v>2952.9794979412595</v>
      </c>
      <c r="E43" s="141">
        <f t="shared" si="29"/>
        <v>3102.4632875968514</v>
      </c>
      <c r="F43" s="141">
        <f t="shared" si="29"/>
        <v>3124.6397762915612</v>
      </c>
      <c r="G43" s="141">
        <f t="shared" si="29"/>
        <v>2830.610119109991</v>
      </c>
      <c r="H43" s="141">
        <f t="shared" si="29"/>
        <v>2937.3350107205156</v>
      </c>
      <c r="I43" s="141">
        <f t="shared" si="29"/>
        <v>3266.9951553081928</v>
      </c>
      <c r="J43" s="141">
        <f t="shared" si="29"/>
        <v>2931.0117513810887</v>
      </c>
      <c r="K43" s="141">
        <f t="shared" si="29"/>
        <v>2460.5725936356221</v>
      </c>
      <c r="L43" s="141">
        <f t="shared" ref="L43" si="30">L44+L46+L48+L49+L51</f>
        <v>2421.0214042602711</v>
      </c>
      <c r="M43" s="141">
        <f t="shared" ref="M43:V43" si="31">M44+M46+M48+M49+M51</f>
        <v>2364.0373857197123</v>
      </c>
      <c r="N43" s="141">
        <f t="shared" si="31"/>
        <v>2184.0050750416267</v>
      </c>
      <c r="O43" s="141">
        <f t="shared" si="31"/>
        <v>2175.7387152331853</v>
      </c>
      <c r="P43" s="141">
        <f t="shared" si="31"/>
        <v>2115.6998713034536</v>
      </c>
      <c r="Q43" s="141">
        <f t="shared" si="31"/>
        <v>2186.1562544443777</v>
      </c>
      <c r="R43" s="141">
        <f t="shared" si="31"/>
        <v>2098.5290787694453</v>
      </c>
      <c r="S43" s="141">
        <f t="shared" si="31"/>
        <v>2249.775108820103</v>
      </c>
      <c r="T43" s="141">
        <f t="shared" si="31"/>
        <v>2279.8064799962417</v>
      </c>
      <c r="U43" s="141">
        <f t="shared" si="31"/>
        <v>2291.639667439742</v>
      </c>
      <c r="V43" s="141">
        <f t="shared" si="31"/>
        <v>1513.2610542730213</v>
      </c>
      <c r="W43" s="141">
        <f t="shared" ref="W43" si="32">W44+W46+W48+W49+W51</f>
        <v>2205.6522746039404</v>
      </c>
      <c r="DA43" s="174" t="s">
        <v>399</v>
      </c>
    </row>
    <row r="44" spans="1:105" ht="11.45" customHeight="1" x14ac:dyDescent="0.25">
      <c r="A44" s="111" t="s">
        <v>110</v>
      </c>
      <c r="B44" s="96">
        <v>227.82637976554039</v>
      </c>
      <c r="C44" s="96">
        <v>249.25711692389712</v>
      </c>
      <c r="D44" s="96">
        <v>180.03990445669697</v>
      </c>
      <c r="E44" s="96">
        <v>160.37006306959077</v>
      </c>
      <c r="F44" s="96">
        <v>135.69551462480317</v>
      </c>
      <c r="G44" s="96">
        <v>101.89862546564113</v>
      </c>
      <c r="H44" s="96">
        <v>88.714140809467139</v>
      </c>
      <c r="I44" s="96">
        <v>79.769601151359822</v>
      </c>
      <c r="J44" s="96">
        <v>64.396275331969093</v>
      </c>
      <c r="K44" s="96">
        <v>56.271429180829557</v>
      </c>
      <c r="L44" s="96">
        <v>53.136603761727883</v>
      </c>
      <c r="M44" s="96">
        <v>53.241053214897264</v>
      </c>
      <c r="N44" s="96">
        <v>51.41035544447189</v>
      </c>
      <c r="O44" s="96">
        <v>50.107583841217178</v>
      </c>
      <c r="P44" s="96">
        <v>33.484835870602687</v>
      </c>
      <c r="Q44" s="96">
        <v>34.258105792930373</v>
      </c>
      <c r="R44" s="96">
        <v>30.895417410016663</v>
      </c>
      <c r="S44" s="96">
        <v>34.503127849797622</v>
      </c>
      <c r="T44" s="96">
        <v>35.717984500405741</v>
      </c>
      <c r="U44" s="96">
        <v>39.076176740440516</v>
      </c>
      <c r="V44" s="96">
        <v>25.71895067281347</v>
      </c>
      <c r="W44" s="96">
        <v>43.405818017587428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1.5056925786577675</v>
      </c>
      <c r="E45" s="96">
        <v>1.8862914000705924</v>
      </c>
      <c r="F45" s="96">
        <v>1.2615412168975273</v>
      </c>
      <c r="G45" s="96">
        <v>1.491966938699373</v>
      </c>
      <c r="H45" s="96">
        <v>1.3753472951857708</v>
      </c>
      <c r="I45" s="96">
        <v>1.2698167480992784</v>
      </c>
      <c r="J45" s="96">
        <v>0.907072267427949</v>
      </c>
      <c r="K45" s="96">
        <v>1.3754648283929829</v>
      </c>
      <c r="L45" s="96">
        <v>2.1081366414690135</v>
      </c>
      <c r="M45" s="96">
        <v>2.2155186527378068</v>
      </c>
      <c r="N45" s="96">
        <v>2.091634646339823</v>
      </c>
      <c r="O45" s="96">
        <v>1.7673407602789948</v>
      </c>
      <c r="P45" s="96">
        <v>1.330900007138843</v>
      </c>
      <c r="Q45" s="96">
        <v>1.3700472365747196</v>
      </c>
      <c r="R45" s="96">
        <v>0.84599703501445045</v>
      </c>
      <c r="S45" s="96">
        <v>0.9505274839688741</v>
      </c>
      <c r="T45" s="96">
        <v>1.0512173472354036</v>
      </c>
      <c r="U45" s="96">
        <v>0.91929745192558321</v>
      </c>
      <c r="V45" s="96">
        <v>0.50744827909681312</v>
      </c>
      <c r="W45" s="96">
        <v>0.90266704643444939</v>
      </c>
      <c r="DA45" s="171" t="s">
        <v>660</v>
      </c>
    </row>
    <row r="46" spans="1:105" ht="11.45" customHeight="1" x14ac:dyDescent="0.25">
      <c r="A46" s="111" t="s">
        <v>111</v>
      </c>
      <c r="B46" s="96">
        <v>2535.2657416291067</v>
      </c>
      <c r="C46" s="96">
        <v>3039.6456319617323</v>
      </c>
      <c r="D46" s="96">
        <v>2772.9395934845625</v>
      </c>
      <c r="E46" s="96">
        <v>2942.0932245272606</v>
      </c>
      <c r="F46" s="96">
        <v>2988.9442616667579</v>
      </c>
      <c r="G46" s="96">
        <v>2728.71149364435</v>
      </c>
      <c r="H46" s="96">
        <v>2848.6208699110484</v>
      </c>
      <c r="I46" s="96">
        <v>3187.2255541568329</v>
      </c>
      <c r="J46" s="96">
        <v>2866.6154760491195</v>
      </c>
      <c r="K46" s="96">
        <v>2404.3011644547923</v>
      </c>
      <c r="L46" s="96">
        <v>2367.884800498543</v>
      </c>
      <c r="M46" s="96">
        <v>2310.7933582493802</v>
      </c>
      <c r="N46" s="96">
        <v>2132.543796167331</v>
      </c>
      <c r="O46" s="96">
        <v>2125.4459661567821</v>
      </c>
      <c r="P46" s="96">
        <v>2081.7332273184529</v>
      </c>
      <c r="Q46" s="96">
        <v>2150.5581580331122</v>
      </c>
      <c r="R46" s="96">
        <v>2064.316619576095</v>
      </c>
      <c r="S46" s="96">
        <v>2210.6825156011778</v>
      </c>
      <c r="T46" s="96">
        <v>2236.8512359392535</v>
      </c>
      <c r="U46" s="96">
        <v>2239.7461341017151</v>
      </c>
      <c r="V46" s="96">
        <v>1476.8659276766682</v>
      </c>
      <c r="W46" s="96">
        <v>2143.0874241580336</v>
      </c>
      <c r="DA46" s="171" t="s">
        <v>661</v>
      </c>
    </row>
    <row r="47" spans="1:105" ht="11.45" customHeight="1" x14ac:dyDescent="0.25">
      <c r="A47" s="160" t="s">
        <v>131</v>
      </c>
      <c r="B47" s="96">
        <v>10.366016809798557</v>
      </c>
      <c r="C47" s="96">
        <v>11.525974569909909</v>
      </c>
      <c r="D47" s="96">
        <v>9.5851661338893326</v>
      </c>
      <c r="E47" s="96">
        <v>12.94797968559312</v>
      </c>
      <c r="F47" s="96">
        <v>13.498843502278667</v>
      </c>
      <c r="G47" s="96">
        <v>16.737624836029305</v>
      </c>
      <c r="H47" s="96">
        <v>6.4519414285180048</v>
      </c>
      <c r="I47" s="96">
        <v>32.859668973542711</v>
      </c>
      <c r="J47" s="96">
        <v>59.497298338487504</v>
      </c>
      <c r="K47" s="96">
        <v>92.284157115915548</v>
      </c>
      <c r="L47" s="96">
        <v>121.07137381854317</v>
      </c>
      <c r="M47" s="96">
        <v>152.13501559742937</v>
      </c>
      <c r="N47" s="96">
        <v>197.44826514602229</v>
      </c>
      <c r="O47" s="96">
        <v>75.84360472606221</v>
      </c>
      <c r="P47" s="96">
        <v>77.978945242333424</v>
      </c>
      <c r="Q47" s="96">
        <v>78.445541530876653</v>
      </c>
      <c r="R47" s="96">
        <v>90.565553651637202</v>
      </c>
      <c r="S47" s="96">
        <v>110.82452706155236</v>
      </c>
      <c r="T47" s="96">
        <v>146.2324615320764</v>
      </c>
      <c r="U47" s="96">
        <v>144.61179849128879</v>
      </c>
      <c r="V47" s="96">
        <v>100.67262167118142</v>
      </c>
      <c r="W47" s="96">
        <v>127.6013763921479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2.7144704877276882E-3</v>
      </c>
      <c r="P48" s="96">
        <v>0.20951331875991644</v>
      </c>
      <c r="Q48" s="96">
        <v>0.51202958733281834</v>
      </c>
      <c r="R48" s="96">
        <v>2.2129325902622812</v>
      </c>
      <c r="S48" s="96">
        <v>2.9840845284321249</v>
      </c>
      <c r="T48" s="96">
        <v>4.6451910824825315</v>
      </c>
      <c r="U48" s="96">
        <v>8.4819687300436559</v>
      </c>
      <c r="V48" s="96">
        <v>6.5648244456662805</v>
      </c>
      <c r="W48" s="96">
        <v>11.92882165303701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2.3601129407828297E-2</v>
      </c>
      <c r="O49" s="96">
        <v>0.16652418950511388</v>
      </c>
      <c r="P49" s="96">
        <v>0.21858457472815082</v>
      </c>
      <c r="Q49" s="96">
        <v>0.66949704088836182</v>
      </c>
      <c r="R49" s="96">
        <v>0.8047738782361773</v>
      </c>
      <c r="S49" s="96">
        <v>1.1817597214483118</v>
      </c>
      <c r="T49" s="96">
        <v>1.8777527740127786</v>
      </c>
      <c r="U49" s="96">
        <v>3.3526894155685771</v>
      </c>
      <c r="V49" s="96">
        <v>3.1601590389454515</v>
      </c>
      <c r="W49" s="96">
        <v>5.4270629344993457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2.9742554347382756E-3</v>
      </c>
      <c r="N51" s="96">
        <v>2.7322300416013828E-2</v>
      </c>
      <c r="O51" s="96">
        <v>1.5926575193077754E-2</v>
      </c>
      <c r="P51" s="96">
        <v>5.3710220910169519E-2</v>
      </c>
      <c r="Q51" s="96">
        <v>0.1584639901135616</v>
      </c>
      <c r="R51" s="96">
        <v>0.29933531483477283</v>
      </c>
      <c r="S51" s="96">
        <v>0.42362111924741697</v>
      </c>
      <c r="T51" s="96">
        <v>0.71431570008748435</v>
      </c>
      <c r="U51" s="96">
        <v>0.98269845197398709</v>
      </c>
      <c r="V51" s="96">
        <v>0.95119243892786509</v>
      </c>
      <c r="W51" s="96">
        <v>1.8031478407829957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6411.6038312080218</v>
      </c>
      <c r="C52" s="130">
        <f t="shared" si="33"/>
        <v>6759.867440066163</v>
      </c>
      <c r="D52" s="130">
        <f t="shared" si="33"/>
        <v>7126.166680962162</v>
      </c>
      <c r="E52" s="130">
        <f t="shared" si="33"/>
        <v>7546.8803702409705</v>
      </c>
      <c r="F52" s="130">
        <f t="shared" si="33"/>
        <v>8111.0630251058083</v>
      </c>
      <c r="G52" s="130">
        <f t="shared" si="33"/>
        <v>8475.6457786648916</v>
      </c>
      <c r="H52" s="130">
        <f t="shared" si="33"/>
        <v>8600.156407671755</v>
      </c>
      <c r="I52" s="130">
        <f t="shared" si="33"/>
        <v>8848.2911445300415</v>
      </c>
      <c r="J52" s="130">
        <f t="shared" si="33"/>
        <v>8180.7572998652777</v>
      </c>
      <c r="K52" s="130">
        <f t="shared" si="33"/>
        <v>7119.8927664393068</v>
      </c>
      <c r="L52" s="130">
        <f t="shared" ref="L52" si="34">L53+L55</f>
        <v>6859.9994262859409</v>
      </c>
      <c r="M52" s="130">
        <f t="shared" ref="M52:V52" si="35">M53+M55</f>
        <v>6369.8307275578863</v>
      </c>
      <c r="N52" s="130">
        <f t="shared" si="35"/>
        <v>5407.1906189858773</v>
      </c>
      <c r="O52" s="130">
        <f t="shared" si="35"/>
        <v>5210.5165101843577</v>
      </c>
      <c r="P52" s="130">
        <f t="shared" si="35"/>
        <v>5358.712313900076</v>
      </c>
      <c r="Q52" s="130">
        <f t="shared" si="35"/>
        <v>5667.7333187588556</v>
      </c>
      <c r="R52" s="130">
        <f t="shared" si="35"/>
        <v>6454.6565327767275</v>
      </c>
      <c r="S52" s="130">
        <f t="shared" si="35"/>
        <v>7166.7542321986039</v>
      </c>
      <c r="T52" s="130">
        <f t="shared" si="35"/>
        <v>7374.5909429410804</v>
      </c>
      <c r="U52" s="130">
        <f t="shared" si="35"/>
        <v>7026.2407166228249</v>
      </c>
      <c r="V52" s="130">
        <f t="shared" si="35"/>
        <v>6552.7786971149344</v>
      </c>
      <c r="W52" s="130">
        <f t="shared" ref="W52" si="36">W53+W55</f>
        <v>7603.4631074459894</v>
      </c>
      <c r="DA52" s="176" t="s">
        <v>400</v>
      </c>
    </row>
    <row r="53" spans="1:105" ht="11.45" customHeight="1" x14ac:dyDescent="0.25">
      <c r="A53" s="128" t="s">
        <v>27</v>
      </c>
      <c r="B53" s="97">
        <v>5181.3530819140769</v>
      </c>
      <c r="C53" s="97">
        <v>5484.0890048548636</v>
      </c>
      <c r="D53" s="97">
        <v>5872.4945433294288</v>
      </c>
      <c r="E53" s="97">
        <v>6267.0076377342712</v>
      </c>
      <c r="F53" s="97">
        <v>6680.6150491159233</v>
      </c>
      <c r="G53" s="97">
        <v>7020.5450117119553</v>
      </c>
      <c r="H53" s="97">
        <v>7158.3657330360857</v>
      </c>
      <c r="I53" s="97">
        <v>7429.8950822755278</v>
      </c>
      <c r="J53" s="97">
        <v>6867.4284165762638</v>
      </c>
      <c r="K53" s="97">
        <v>5929.856014069459</v>
      </c>
      <c r="L53" s="97">
        <v>5697.1808752933921</v>
      </c>
      <c r="M53" s="97">
        <v>5271.1552517599212</v>
      </c>
      <c r="N53" s="97">
        <v>4442.6433422286691</v>
      </c>
      <c r="O53" s="97">
        <v>4162.9195023726879</v>
      </c>
      <c r="P53" s="97">
        <v>4306.4506105402716</v>
      </c>
      <c r="Q53" s="97">
        <v>4558.2882033063597</v>
      </c>
      <c r="R53" s="97">
        <v>5201.4671237788552</v>
      </c>
      <c r="S53" s="97">
        <v>5789.5075551243945</v>
      </c>
      <c r="T53" s="97">
        <v>5924.3348318359376</v>
      </c>
      <c r="U53" s="97">
        <v>5635.6573120130161</v>
      </c>
      <c r="V53" s="97">
        <v>5278.0869752426343</v>
      </c>
      <c r="W53" s="97">
        <v>6110.7677938553679</v>
      </c>
      <c r="DA53" s="175" t="s">
        <v>667</v>
      </c>
    </row>
    <row r="54" spans="1:105" ht="11.45" customHeight="1" x14ac:dyDescent="0.25">
      <c r="A54" s="160" t="s">
        <v>131</v>
      </c>
      <c r="B54" s="97">
        <v>21.185153202168856</v>
      </c>
      <c r="C54" s="97">
        <v>20.795012992447226</v>
      </c>
      <c r="D54" s="97">
        <v>20.299337190911132</v>
      </c>
      <c r="E54" s="97">
        <v>27.58073296466625</v>
      </c>
      <c r="F54" s="97">
        <v>30.171381314650276</v>
      </c>
      <c r="G54" s="97">
        <v>43.063273205755436</v>
      </c>
      <c r="H54" s="97">
        <v>16.213233891985556</v>
      </c>
      <c r="I54" s="97">
        <v>76.600757857664078</v>
      </c>
      <c r="J54" s="97">
        <v>142.53513969107013</v>
      </c>
      <c r="K54" s="97">
        <v>227.60533171443811</v>
      </c>
      <c r="L54" s="97">
        <v>291.30028425338742</v>
      </c>
      <c r="M54" s="97">
        <v>347.03548180980351</v>
      </c>
      <c r="N54" s="97">
        <v>411.33608705344858</v>
      </c>
      <c r="O54" s="97">
        <v>148.54803475210062</v>
      </c>
      <c r="P54" s="97">
        <v>161.3138859202935</v>
      </c>
      <c r="Q54" s="97">
        <v>166.27189793798095</v>
      </c>
      <c r="R54" s="97">
        <v>228.19840008968947</v>
      </c>
      <c r="S54" s="97">
        <v>290.23590325065823</v>
      </c>
      <c r="T54" s="97">
        <v>387.29891889114282</v>
      </c>
      <c r="U54" s="97">
        <v>363.87272966435808</v>
      </c>
      <c r="V54" s="97">
        <v>359.78814545616831</v>
      </c>
      <c r="W54" s="97">
        <v>363.84067794858885</v>
      </c>
      <c r="DA54" s="175" t="s">
        <v>668</v>
      </c>
    </row>
    <row r="55" spans="1:105" ht="11.45" customHeight="1" x14ac:dyDescent="0.25">
      <c r="A55" s="128" t="s">
        <v>116</v>
      </c>
      <c r="B55" s="97">
        <v>1230.2507492939444</v>
      </c>
      <c r="C55" s="97">
        <v>1275.7784352112992</v>
      </c>
      <c r="D55" s="97">
        <v>1253.6721376327328</v>
      </c>
      <c r="E55" s="97">
        <v>1279.8727325066995</v>
      </c>
      <c r="F55" s="97">
        <v>1430.447975989885</v>
      </c>
      <c r="G55" s="97">
        <v>1455.1007669529365</v>
      </c>
      <c r="H55" s="97">
        <v>1441.7906746356696</v>
      </c>
      <c r="I55" s="97">
        <v>1418.3960622545139</v>
      </c>
      <c r="J55" s="97">
        <v>1313.3288832890141</v>
      </c>
      <c r="K55" s="97">
        <v>1190.0367523698483</v>
      </c>
      <c r="L55" s="97">
        <v>1162.8185509925486</v>
      </c>
      <c r="M55" s="97">
        <v>1098.675475797965</v>
      </c>
      <c r="N55" s="97">
        <v>964.54727675720812</v>
      </c>
      <c r="O55" s="97">
        <v>1047.5970078116702</v>
      </c>
      <c r="P55" s="97">
        <v>1052.2617033598044</v>
      </c>
      <c r="Q55" s="97">
        <v>1109.4451154524954</v>
      </c>
      <c r="R55" s="97">
        <v>1253.1894089978725</v>
      </c>
      <c r="S55" s="97">
        <v>1377.2466770742096</v>
      </c>
      <c r="T55" s="97">
        <v>1450.2561111051432</v>
      </c>
      <c r="U55" s="97">
        <v>1390.5834046098091</v>
      </c>
      <c r="V55" s="97">
        <v>1274.6917218722999</v>
      </c>
      <c r="W55" s="97">
        <v>1492.6953135906215</v>
      </c>
      <c r="DA55" s="175" t="s">
        <v>669</v>
      </c>
    </row>
    <row r="56" spans="1:105" ht="11.45" customHeight="1" x14ac:dyDescent="0.25">
      <c r="A56" s="161" t="s">
        <v>131</v>
      </c>
      <c r="B56" s="98">
        <v>5.0301630073909447</v>
      </c>
      <c r="C56" s="98">
        <v>4.8376000302360307</v>
      </c>
      <c r="D56" s="98">
        <v>4.3335439924017294</v>
      </c>
      <c r="E56" s="98">
        <v>5.6326448130494136</v>
      </c>
      <c r="F56" s="98">
        <v>6.4602721481567622</v>
      </c>
      <c r="G56" s="98">
        <v>8.9254326786117453</v>
      </c>
      <c r="H56" s="98">
        <v>3.2655623228735533</v>
      </c>
      <c r="I56" s="98">
        <v>14.623384598015926</v>
      </c>
      <c r="J56" s="98">
        <v>27.258458987074892</v>
      </c>
      <c r="K56" s="98">
        <v>45.677114104096255</v>
      </c>
      <c r="L56" s="98">
        <v>59.455611793578122</v>
      </c>
      <c r="M56" s="98">
        <v>72.333170791898283</v>
      </c>
      <c r="N56" s="98">
        <v>89.305639016328598</v>
      </c>
      <c r="O56" s="98">
        <v>37.382052819880045</v>
      </c>
      <c r="P56" s="98">
        <v>39.416317456101424</v>
      </c>
      <c r="Q56" s="98">
        <v>40.469039423725675</v>
      </c>
      <c r="R56" s="98">
        <v>54.979837676047268</v>
      </c>
      <c r="S56" s="98">
        <v>69.043252731537777</v>
      </c>
      <c r="T56" s="98">
        <v>94.809398842203976</v>
      </c>
      <c r="U56" s="98">
        <v>89.784625155036309</v>
      </c>
      <c r="V56" s="98">
        <v>86.891135517842031</v>
      </c>
      <c r="W56" s="98">
        <v>88.876437984373453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11.997940482454071</v>
      </c>
      <c r="C60" s="79">
        <f>IF(C17=0,0,C17/TrRoad_act!C30*100)</f>
        <v>11.635305728482219</v>
      </c>
      <c r="D60" s="79">
        <f>IF(D17=0,0,D17/TrRoad_act!D30*100)</f>
        <v>11.433958722052434</v>
      </c>
      <c r="E60" s="79">
        <f>IF(E17=0,0,E17/TrRoad_act!E30*100)</f>
        <v>11.364351626245647</v>
      </c>
      <c r="F60" s="79">
        <f>IF(F17=0,0,F17/TrRoad_act!F30*100)</f>
        <v>10.999720693973948</v>
      </c>
      <c r="G60" s="79">
        <f>IF(G17=0,0,G17/TrRoad_act!G30*100)</f>
        <v>10.78408789413446</v>
      </c>
      <c r="H60" s="79">
        <f>IF(H17=0,0,H17/TrRoad_act!H30*100)</f>
        <v>10.599273764866687</v>
      </c>
      <c r="I60" s="79">
        <f>IF(I17=0,0,I17/TrRoad_act!I30*100)</f>
        <v>10.367585058227867</v>
      </c>
      <c r="J60" s="79">
        <f>IF(J17=0,0,J17/TrRoad_act!J30*100)</f>
        <v>9.9610763477343465</v>
      </c>
      <c r="K60" s="79">
        <f>IF(K17=0,0,K17/TrRoad_act!K30*100)</f>
        <v>9.4674466097803407</v>
      </c>
      <c r="L60" s="79">
        <f>IF(L17=0,0,L17/TrRoad_act!L30*100)</f>
        <v>9.3817210718254476</v>
      </c>
      <c r="M60" s="79">
        <f>IF(M17=0,0,M17/TrRoad_act!M30*100)</f>
        <v>9.1638185146618234</v>
      </c>
      <c r="N60" s="79">
        <f>IF(N17=0,0,N17/TrRoad_act!N30*100)</f>
        <v>8.7354957808958371</v>
      </c>
      <c r="O60" s="79">
        <f>IF(O17=0,0,O17/TrRoad_act!O30*100)</f>
        <v>8.6457680347825239</v>
      </c>
      <c r="P60" s="79">
        <f>IF(P17=0,0,P17/TrRoad_act!P30*100)</f>
        <v>8.5829618327127299</v>
      </c>
      <c r="Q60" s="79">
        <f>IF(Q17=0,0,Q17/TrRoad_act!Q30*100)</f>
        <v>8.4498980537956392</v>
      </c>
      <c r="R60" s="79">
        <f>IF(R17=0,0,R17/TrRoad_act!R30*100)</f>
        <v>8.9916433751127212</v>
      </c>
      <c r="S60" s="79">
        <f>IF(S17=0,0,S17/TrRoad_act!S30*100)</f>
        <v>9.0912750619565657</v>
      </c>
      <c r="T60" s="79">
        <f>IF(T17=0,0,T17/TrRoad_act!T30*100)</f>
        <v>9.1491359580729856</v>
      </c>
      <c r="U60" s="79">
        <f>IF(U17=0,0,U17/TrRoad_act!U30*100)</f>
        <v>8.6185116283288643</v>
      </c>
      <c r="V60" s="79">
        <f>IF(V17=0,0,V17/TrRoad_act!V30*100)</f>
        <v>8.7431347066833176</v>
      </c>
      <c r="W60" s="79">
        <f>IF(W17=0,0,W17/TrRoad_act!W30*100)</f>
        <v>9.3109377374833695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9.2716555633664299</v>
      </c>
      <c r="C61" s="32">
        <f>IF(C18=0,0,C18/TrRoad_act!C31*100)</f>
        <v>8.9338846124991669</v>
      </c>
      <c r="D61" s="32">
        <f>IF(D18=0,0,D18/TrRoad_act!D31*100)</f>
        <v>8.7969074288648663</v>
      </c>
      <c r="E61" s="32">
        <f>IF(E18=0,0,E18/TrRoad_act!E31*100)</f>
        <v>8.7464154042188582</v>
      </c>
      <c r="F61" s="32">
        <f>IF(F18=0,0,F18/TrRoad_act!F31*100)</f>
        <v>8.4013971769073965</v>
      </c>
      <c r="G61" s="32">
        <f>IF(G18=0,0,G18/TrRoad_act!G31*100)</f>
        <v>8.2480414547199583</v>
      </c>
      <c r="H61" s="32">
        <f>IF(H18=0,0,H18/TrRoad_act!H31*100)</f>
        <v>8.1610770773418153</v>
      </c>
      <c r="I61" s="32">
        <f>IF(I18=0,0,I18/TrRoad_act!I31*100)</f>
        <v>8.020593012056688</v>
      </c>
      <c r="J61" s="32">
        <f>IF(J18=0,0,J18/TrRoad_act!J31*100)</f>
        <v>7.7558533280287101</v>
      </c>
      <c r="K61" s="32">
        <f>IF(K18=0,0,K18/TrRoad_act!K31*100)</f>
        <v>7.5561123852175029</v>
      </c>
      <c r="L61" s="32">
        <f>IF(L18=0,0,L18/TrRoad_act!L31*100)</f>
        <v>7.5065467615802879</v>
      </c>
      <c r="M61" s="32">
        <f>IF(M18=0,0,M18/TrRoad_act!M31*100)</f>
        <v>7.3894958550707628</v>
      </c>
      <c r="N61" s="32">
        <f>IF(N18=0,0,N18/TrRoad_act!N31*100)</f>
        <v>7.1625759525278205</v>
      </c>
      <c r="O61" s="32">
        <f>IF(O18=0,0,O18/TrRoad_act!O31*100)</f>
        <v>7.1113769021797486</v>
      </c>
      <c r="P61" s="32">
        <f>IF(P18=0,0,P18/TrRoad_act!P31*100)</f>
        <v>7.0307090610524146</v>
      </c>
      <c r="Q61" s="32">
        <f>IF(Q18=0,0,Q18/TrRoad_act!Q31*100)</f>
        <v>6.8645468079782779</v>
      </c>
      <c r="R61" s="32">
        <f>IF(R18=0,0,R18/TrRoad_act!R31*100)</f>
        <v>7.1649193474535204</v>
      </c>
      <c r="S61" s="32">
        <f>IF(S18=0,0,S18/TrRoad_act!S31*100)</f>
        <v>7.0560461793337819</v>
      </c>
      <c r="T61" s="32">
        <f>IF(T18=0,0,T18/TrRoad_act!T31*100)</f>
        <v>7.1013945910713607</v>
      </c>
      <c r="U61" s="32">
        <f>IF(U18=0,0,U18/TrRoad_act!U31*100)</f>
        <v>6.7848727117112793</v>
      </c>
      <c r="V61" s="32">
        <f>IF(V18=0,0,V18/TrRoad_act!V31*100)</f>
        <v>6.6827934738940868</v>
      </c>
      <c r="W61" s="32">
        <f>IF(W18=0,0,W18/TrRoad_act!W31*100)</f>
        <v>7.1008316053707388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4.2828309691699866</v>
      </c>
      <c r="C62" s="141">
        <f>IF(C19=0,0,C19/TrRoad_act!C32*100)</f>
        <v>4.2577592045725616</v>
      </c>
      <c r="D62" s="141">
        <f>IF(D19=0,0,D19/TrRoad_act!D32*100)</f>
        <v>4.1907131237614212</v>
      </c>
      <c r="E62" s="141">
        <f>IF(E19=0,0,E19/TrRoad_act!E32*100)</f>
        <v>4.1619849037839378</v>
      </c>
      <c r="F62" s="141">
        <f>IF(F19=0,0,F19/TrRoad_act!F32*100)</f>
        <v>4.1347456064879404</v>
      </c>
      <c r="G62" s="141">
        <f>IF(G19=0,0,G19/TrRoad_act!G32*100)</f>
        <v>4.1072300560172543</v>
      </c>
      <c r="H62" s="141">
        <f>IF(H19=0,0,H19/TrRoad_act!H32*100)</f>
        <v>4.0783721905278556</v>
      </c>
      <c r="I62" s="141">
        <f>IF(I19=0,0,I19/TrRoad_act!I32*100)</f>
        <v>4.050671056086216</v>
      </c>
      <c r="J62" s="141">
        <f>IF(J19=0,0,J19/TrRoad_act!J32*100)</f>
        <v>4.0200940631758497</v>
      </c>
      <c r="K62" s="141">
        <f>IF(K19=0,0,K19/TrRoad_act!K32*100)</f>
        <v>3.9963007236364811</v>
      </c>
      <c r="L62" s="141">
        <f>IF(L19=0,0,L19/TrRoad_act!L32*100)</f>
        <v>3.9647744804764811</v>
      </c>
      <c r="M62" s="141">
        <f>IF(M19=0,0,M19/TrRoad_act!M32*100)</f>
        <v>3.9511070758436175</v>
      </c>
      <c r="N62" s="141">
        <f>IF(N19=0,0,N19/TrRoad_act!N32*100)</f>
        <v>3.9236295128519476</v>
      </c>
      <c r="O62" s="141">
        <f>IF(O19=0,0,O19/TrRoad_act!O32*100)</f>
        <v>3.9078886130237049</v>
      </c>
      <c r="P62" s="141">
        <f>IF(P19=0,0,P19/TrRoad_act!P32*100)</f>
        <v>3.8749360343668937</v>
      </c>
      <c r="Q62" s="141">
        <f>IF(Q19=0,0,Q19/TrRoad_act!Q32*100)</f>
        <v>3.7628527756178962</v>
      </c>
      <c r="R62" s="141">
        <f>IF(R19=0,0,R19/TrRoad_act!R32*100)</f>
        <v>3.7843775270347746</v>
      </c>
      <c r="S62" s="141">
        <f>IF(S19=0,0,S19/TrRoad_act!S32*100)</f>
        <v>3.7909931264312067</v>
      </c>
      <c r="T62" s="141">
        <f>IF(T19=0,0,T19/TrRoad_act!T32*100)</f>
        <v>3.7658296777635156</v>
      </c>
      <c r="U62" s="141">
        <f>IF(U19=0,0,U19/TrRoad_act!U32*100)</f>
        <v>3.7295159394782709</v>
      </c>
      <c r="V62" s="141">
        <f>IF(V19=0,0,V19/TrRoad_act!V32*100)</f>
        <v>3.5320681289616385</v>
      </c>
      <c r="W62" s="141">
        <f>IF(W19=0,0,W19/TrRoad_act!W32*100)</f>
        <v>3.461058010764865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8.9504671966358593</v>
      </c>
      <c r="C63" s="130">
        <f>IF(C21=0,0,C21/TrRoad_act!C33*100)</f>
        <v>8.6336230928178885</v>
      </c>
      <c r="D63" s="130">
        <f>IF(D21=0,0,D21/TrRoad_act!D33*100)</f>
        <v>8.5033871902830498</v>
      </c>
      <c r="E63" s="130">
        <f>IF(E21=0,0,E21/TrRoad_act!E33*100)</f>
        <v>8.4945497976213513</v>
      </c>
      <c r="F63" s="130">
        <f>IF(F21=0,0,F21/TrRoad_act!F33*100)</f>
        <v>8.1335023667475106</v>
      </c>
      <c r="G63" s="130">
        <f>IF(G21=0,0,G21/TrRoad_act!G33*100)</f>
        <v>8.0197869585208839</v>
      </c>
      <c r="H63" s="130">
        <f>IF(H21=0,0,H21/TrRoad_act!H33*100)</f>
        <v>7.9278609858343243</v>
      </c>
      <c r="I63" s="130">
        <f>IF(I21=0,0,I21/TrRoad_act!I33*100)</f>
        <v>7.8014815974339697</v>
      </c>
      <c r="J63" s="130">
        <f>IF(J21=0,0,J21/TrRoad_act!J33*100)</f>
        <v>7.5289175151342409</v>
      </c>
      <c r="K63" s="130">
        <f>IF(K21=0,0,K21/TrRoad_act!K33*100)</f>
        <v>7.333179448352471</v>
      </c>
      <c r="L63" s="130">
        <f>IF(L21=0,0,L21/TrRoad_act!L33*100)</f>
        <v>7.2860619963346469</v>
      </c>
      <c r="M63" s="130">
        <f>IF(M21=0,0,M21/TrRoad_act!M33*100)</f>
        <v>7.1460993576715133</v>
      </c>
      <c r="N63" s="130">
        <f>IF(N21=0,0,N21/TrRoad_act!N33*100)</f>
        <v>6.8975179929272281</v>
      </c>
      <c r="O63" s="130">
        <f>IF(O21=0,0,O21/TrRoad_act!O33*100)</f>
        <v>6.8642120900951928</v>
      </c>
      <c r="P63" s="130">
        <f>IF(P21=0,0,P21/TrRoad_act!P33*100)</f>
        <v>6.8075116330752135</v>
      </c>
      <c r="Q63" s="130">
        <f>IF(Q21=0,0,Q21/TrRoad_act!Q33*100)</f>
        <v>6.6627936974995388</v>
      </c>
      <c r="R63" s="130">
        <f>IF(R21=0,0,R21/TrRoad_act!R33*100)</f>
        <v>6.971805151130833</v>
      </c>
      <c r="S63" s="130">
        <f>IF(S21=0,0,S21/TrRoad_act!S33*100)</f>
        <v>6.9828148800159626</v>
      </c>
      <c r="T63" s="130">
        <f>IF(T21=0,0,T21/TrRoad_act!T33*100)</f>
        <v>7.0243007132228197</v>
      </c>
      <c r="U63" s="130">
        <f>IF(U21=0,0,U21/TrRoad_act!U33*100)</f>
        <v>6.6996032447659601</v>
      </c>
      <c r="V63" s="130">
        <f>IF(V21=0,0,V21/TrRoad_act!V33*100)</f>
        <v>6.6427939155254814</v>
      </c>
      <c r="W63" s="130">
        <f>IF(W21=0,0,W21/TrRoad_act!W33*100)</f>
        <v>7.0403237960552145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9.3949222098072998</v>
      </c>
      <c r="C64" s="96">
        <f>IF(C22=0,0,C22/TrRoad_act!C34*100)</f>
        <v>9.3049435982019233</v>
      </c>
      <c r="D64" s="96">
        <f>IF(D22=0,0,D22/TrRoad_act!D34*100)</f>
        <v>9.0688170162337531</v>
      </c>
      <c r="E64" s="96">
        <f>IF(E22=0,0,E22/TrRoad_act!E34*100)</f>
        <v>9.1549029100294685</v>
      </c>
      <c r="F64" s="96">
        <f>IF(F22=0,0,F22/TrRoad_act!F34*100)</f>
        <v>8.8339884621531173</v>
      </c>
      <c r="G64" s="96">
        <f>IF(G22=0,0,G22/TrRoad_act!G34*100)</f>
        <v>8.6799041941136821</v>
      </c>
      <c r="H64" s="96">
        <f>IF(H22=0,0,H22/TrRoad_act!H34*100)</f>
        <v>8.5879063517426566</v>
      </c>
      <c r="I64" s="96">
        <f>IF(I22=0,0,I22/TrRoad_act!I34*100)</f>
        <v>8.4302725634580469</v>
      </c>
      <c r="J64" s="96">
        <f>IF(J22=0,0,J22/TrRoad_act!J34*100)</f>
        <v>8.0067217928962524</v>
      </c>
      <c r="K64" s="96">
        <f>IF(K22=0,0,K22/TrRoad_act!K34*100)</f>
        <v>7.7915121423550797</v>
      </c>
      <c r="L64" s="96">
        <f>IF(L22=0,0,L22/TrRoad_act!L34*100)</f>
        <v>7.6819624649976008</v>
      </c>
      <c r="M64" s="96">
        <f>IF(M22=0,0,M22/TrRoad_act!M34*100)</f>
        <v>7.5050914124847958</v>
      </c>
      <c r="N64" s="96">
        <f>IF(N22=0,0,N22/TrRoad_act!N34*100)</f>
        <v>7.1566846664969264</v>
      </c>
      <c r="O64" s="96">
        <f>IF(O22=0,0,O22/TrRoad_act!O34*100)</f>
        <v>7.2307506318213015</v>
      </c>
      <c r="P64" s="96">
        <f>IF(P22=0,0,P22/TrRoad_act!P34*100)</f>
        <v>7.2069481284549592</v>
      </c>
      <c r="Q64" s="96">
        <f>IF(Q22=0,0,Q22/TrRoad_act!Q34*100)</f>
        <v>7.063906551257884</v>
      </c>
      <c r="R64" s="96">
        <f>IF(R22=0,0,R22/TrRoad_act!R34*100)</f>
        <v>7.6829182221019785</v>
      </c>
      <c r="S64" s="96">
        <f>IF(S22=0,0,S22/TrRoad_act!S34*100)</f>
        <v>7.8541794479518519</v>
      </c>
      <c r="T64" s="96">
        <f>IF(T22=0,0,T22/TrRoad_act!T34*100)</f>
        <v>7.9748782631139461</v>
      </c>
      <c r="U64" s="96">
        <f>IF(U22=0,0,U22/TrRoad_act!U34*100)</f>
        <v>7.6068391462850782</v>
      </c>
      <c r="V64" s="96">
        <f>IF(V22=0,0,V22/TrRoad_act!V34*100)</f>
        <v>8.3442750422308372</v>
      </c>
      <c r="W64" s="96">
        <f>IF(W22=0,0,W22/TrRoad_act!W34*100)</f>
        <v>8.5412108703420611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8.4241906057142906</v>
      </c>
      <c r="C65" s="96">
        <f>IF(C24=0,0,C24/TrRoad_act!C35*100)</f>
        <v>7.9614762741771843</v>
      </c>
      <c r="D65" s="96">
        <f>IF(D24=0,0,D24/TrRoad_act!D35*100)</f>
        <v>7.9942296404564113</v>
      </c>
      <c r="E65" s="96">
        <f>IF(E24=0,0,E24/TrRoad_act!E35*100)</f>
        <v>7.9838965172012504</v>
      </c>
      <c r="F65" s="96">
        <f>IF(F24=0,0,F24/TrRoad_act!F35*100)</f>
        <v>7.6584076293111298</v>
      </c>
      <c r="G65" s="96">
        <f>IF(G24=0,0,G24/TrRoad_act!G35*100)</f>
        <v>7.6378210821752557</v>
      </c>
      <c r="H65" s="96">
        <f>IF(H24=0,0,H24/TrRoad_act!H35*100)</f>
        <v>7.5915302617908829</v>
      </c>
      <c r="I65" s="96">
        <f>IF(I24=0,0,I24/TrRoad_act!I35*100)</f>
        <v>7.5098425444374675</v>
      </c>
      <c r="J65" s="96">
        <f>IF(J24=0,0,J24/TrRoad_act!J35*100)</f>
        <v>7.3305710573846774</v>
      </c>
      <c r="K65" s="96">
        <f>IF(K24=0,0,K24/TrRoad_act!K35*100)</f>
        <v>7.1541697078581272</v>
      </c>
      <c r="L65" s="96">
        <f>IF(L24=0,0,L24/TrRoad_act!L35*100)</f>
        <v>7.1379381204978314</v>
      </c>
      <c r="M65" s="96">
        <f>IF(M24=0,0,M24/TrRoad_act!M35*100)</f>
        <v>7.0157744257673595</v>
      </c>
      <c r="N65" s="96">
        <f>IF(N24=0,0,N24/TrRoad_act!N35*100)</f>
        <v>6.8045320699863394</v>
      </c>
      <c r="O65" s="96">
        <f>IF(O24=0,0,O24/TrRoad_act!O35*100)</f>
        <v>6.7385241016672541</v>
      </c>
      <c r="P65" s="96">
        <f>IF(P24=0,0,P24/TrRoad_act!P35*100)</f>
        <v>6.6767551229879647</v>
      </c>
      <c r="Q65" s="96">
        <f>IF(Q24=0,0,Q24/TrRoad_act!Q35*100)</f>
        <v>6.533104489747525</v>
      </c>
      <c r="R65" s="96">
        <f>IF(R24=0,0,R24/TrRoad_act!R35*100)</f>
        <v>6.7542229415361517</v>
      </c>
      <c r="S65" s="96">
        <f>IF(S24=0,0,S24/TrRoad_act!S35*100)</f>
        <v>6.7205447032048715</v>
      </c>
      <c r="T65" s="96">
        <f>IF(T24=0,0,T24/TrRoad_act!T35*100)</f>
        <v>6.7393327706274224</v>
      </c>
      <c r="U65" s="96">
        <f>IF(U24=0,0,U24/TrRoad_act!U35*100)</f>
        <v>6.4169784802145413</v>
      </c>
      <c r="V65" s="96">
        <f>IF(V24=0,0,V24/TrRoad_act!V35*100)</f>
        <v>6.1978471023863353</v>
      </c>
      <c r="W65" s="96">
        <f>IF(W24=0,0,W24/TrRoad_act!W35*100)</f>
        <v>6.5751524767582641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21.895152019818546</v>
      </c>
      <c r="C66" s="96">
        <f>IF(C26=0,0,C26/TrRoad_act!C36*100)</f>
        <v>21.115839433552971</v>
      </c>
      <c r="D66" s="96">
        <f>IF(D26=0,0,D26/TrRoad_act!D36*100)</f>
        <v>20.643769526545469</v>
      </c>
      <c r="E66" s="96">
        <f>IF(E26=0,0,E26/TrRoad_act!E36*100)</f>
        <v>21.834753852526237</v>
      </c>
      <c r="F66" s="96">
        <f>IF(F26=0,0,F26/TrRoad_act!F36*100)</f>
        <v>23.546695611094375</v>
      </c>
      <c r="G66" s="96">
        <f>IF(G26=0,0,G26/TrRoad_act!G36*100)</f>
        <v>21.389097332985706</v>
      </c>
      <c r="H66" s="96">
        <f>IF(H26=0,0,H26/TrRoad_act!H36*100)</f>
        <v>22.015571929572559</v>
      </c>
      <c r="I66" s="96">
        <f>IF(I26=0,0,I26/TrRoad_act!I36*100)</f>
        <v>27.110755736160776</v>
      </c>
      <c r="J66" s="96">
        <f>IF(J26=0,0,J26/TrRoad_act!J36*100)</f>
        <v>12.903975218590672</v>
      </c>
      <c r="K66" s="96">
        <f>IF(K26=0,0,K26/TrRoad_act!K36*100)</f>
        <v>11.967697146905964</v>
      </c>
      <c r="L66" s="96">
        <f>IF(L26=0,0,L26/TrRoad_act!L36*100)</f>
        <v>12.486782745078203</v>
      </c>
      <c r="M66" s="96">
        <f>IF(M26=0,0,M26/TrRoad_act!M36*100)</f>
        <v>12.769088820757485</v>
      </c>
      <c r="N66" s="96">
        <f>IF(N26=0,0,N26/TrRoad_act!N36*100)</f>
        <v>11.254962990713787</v>
      </c>
      <c r="O66" s="96">
        <f>IF(O26=0,0,O26/TrRoad_act!O36*100)</f>
        <v>12.743826820541168</v>
      </c>
      <c r="P66" s="96">
        <f>IF(P26=0,0,P26/TrRoad_act!P36*100)</f>
        <v>12.496159084564356</v>
      </c>
      <c r="Q66" s="96">
        <f>IF(Q26=0,0,Q26/TrRoad_act!Q36*100)</f>
        <v>13.415685207886508</v>
      </c>
      <c r="R66" s="96">
        <f>IF(R26=0,0,R26/TrRoad_act!R36*100)</f>
        <v>13.514890572087268</v>
      </c>
      <c r="S66" s="96">
        <f>IF(S26=0,0,S26/TrRoad_act!S36*100)</f>
        <v>12.147597001007885</v>
      </c>
      <c r="T66" s="96">
        <f>IF(T26=0,0,T26/TrRoad_act!T36*100)</f>
        <v>8.5867217335921762</v>
      </c>
      <c r="U66" s="96">
        <f>IF(U26=0,0,U26/TrRoad_act!U36*100)</f>
        <v>8.4863102217634037</v>
      </c>
      <c r="V66" s="96">
        <f>IF(V26=0,0,V26/TrRoad_act!V36*100)</f>
        <v>8.8072492332662335</v>
      </c>
      <c r="W66" s="96">
        <f>IF(W26=0,0,W26/TrRoad_act!W36*100)</f>
        <v>8.4330538525395333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7.8163702508963571</v>
      </c>
      <c r="G67" s="96">
        <f>IF(G27=0,0,G27/TrRoad_act!G37*100)</f>
        <v>7.8186623382672442</v>
      </c>
      <c r="H67" s="96">
        <f>IF(H27=0,0,H27/TrRoad_act!H37*100)</f>
        <v>7.7688057479406201</v>
      </c>
      <c r="I67" s="96">
        <f>IF(I27=0,0,I27/TrRoad_act!I37*100)</f>
        <v>7.7680830298236465</v>
      </c>
      <c r="J67" s="96">
        <f>IF(J27=0,0,J27/TrRoad_act!J37*100)</f>
        <v>7.7587174701833534</v>
      </c>
      <c r="K67" s="96">
        <f>IF(K27=0,0,K27/TrRoad_act!K37*100)</f>
        <v>7.7406878898739162</v>
      </c>
      <c r="L67" s="96">
        <f>IF(L27=0,0,L27/TrRoad_act!L37*100)</f>
        <v>7.6634487178301471</v>
      </c>
      <c r="M67" s="96">
        <f>IF(M27=0,0,M27/TrRoad_act!M37*100)</f>
        <v>7.6425742008868829</v>
      </c>
      <c r="N67" s="96">
        <f>IF(N27=0,0,N27/TrRoad_act!N37*100)</f>
        <v>6.9198177535855274</v>
      </c>
      <c r="O67" s="96">
        <f>IF(O27=0,0,O27/TrRoad_act!O37*100)</f>
        <v>6.764042408717394</v>
      </c>
      <c r="P67" s="96">
        <f>IF(P27=0,0,P27/TrRoad_act!P37*100)</f>
        <v>6.7119366864613283</v>
      </c>
      <c r="Q67" s="96">
        <f>IF(Q27=0,0,Q27/TrRoad_act!Q37*100)</f>
        <v>6.6937729447778178</v>
      </c>
      <c r="R67" s="96">
        <f>IF(R27=0,0,R27/TrRoad_act!R37*100)</f>
        <v>6.5961573280649981</v>
      </c>
      <c r="S67" s="96">
        <f>IF(S27=0,0,S27/TrRoad_act!S37*100)</f>
        <v>6.3698675970136609</v>
      </c>
      <c r="T67" s="96">
        <f>IF(T27=0,0,T27/TrRoad_act!T37*100)</f>
        <v>6.3324933170944799</v>
      </c>
      <c r="U67" s="96">
        <f>IF(U27=0,0,U27/TrRoad_act!U37*100)</f>
        <v>5.7597746034509925</v>
      </c>
      <c r="V67" s="96">
        <f>IF(V27=0,0,V27/TrRoad_act!V37*100)</f>
        <v>5.5999731743360748</v>
      </c>
      <c r="W67" s="96">
        <f>IF(W27=0,0,W27/TrRoad_act!W37*100)</f>
        <v>5.4677943686109698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3.397026858861492</v>
      </c>
      <c r="N68" s="96">
        <f>IF(N29=0,0,N29/TrRoad_act!N38*100)</f>
        <v>2.7331917148155158</v>
      </c>
      <c r="O68" s="96">
        <f>IF(O29=0,0,O29/TrRoad_act!O38*100)</f>
        <v>3.3141115824730081</v>
      </c>
      <c r="P68" s="96">
        <f>IF(P29=0,0,P29/TrRoad_act!P38*100)</f>
        <v>3.1277291241405276</v>
      </c>
      <c r="Q68" s="96">
        <f>IF(Q29=0,0,Q29/TrRoad_act!Q38*100)</f>
        <v>3.0065699817023188</v>
      </c>
      <c r="R68" s="96">
        <f>IF(R29=0,0,R29/TrRoad_act!R38*100)</f>
        <v>3.3418325325405602</v>
      </c>
      <c r="S68" s="96">
        <f>IF(S29=0,0,S29/TrRoad_act!S38*100)</f>
        <v>3.6052870294820951</v>
      </c>
      <c r="T68" s="96">
        <f>IF(T29=0,0,T29/TrRoad_act!T38*100)</f>
        <v>3.6387792457572803</v>
      </c>
      <c r="U68" s="96">
        <f>IF(U29=0,0,U29/TrRoad_act!U38*100)</f>
        <v>3.7120138133376979</v>
      </c>
      <c r="V68" s="96">
        <f>IF(V29=0,0,V29/TrRoad_act!V38*100)</f>
        <v>4.2060936453410962</v>
      </c>
      <c r="W68" s="96">
        <f>IF(W29=0,0,W29/TrRoad_act!W38*100)</f>
        <v>3.8589145435225838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1.2832924931288183</v>
      </c>
      <c r="L69" s="96">
        <f>IF(L32=0,0,L32/TrRoad_act!L39*100)</f>
        <v>1.270660170064158</v>
      </c>
      <c r="M69" s="96">
        <f>IF(M32=0,0,M32/TrRoad_act!M39*100)</f>
        <v>1.2764561638223371</v>
      </c>
      <c r="N69" s="96">
        <f>IF(N32=0,0,N32/TrRoad_act!N39*100)</f>
        <v>1.2792952774996564</v>
      </c>
      <c r="O69" s="96">
        <f>IF(O32=0,0,O32/TrRoad_act!O39*100)</f>
        <v>1.3049107608650321</v>
      </c>
      <c r="P69" s="96">
        <f>IF(P32=0,0,P32/TrRoad_act!P39*100)</f>
        <v>1.3157831447644193</v>
      </c>
      <c r="Q69" s="96">
        <f>IF(Q32=0,0,Q32/TrRoad_act!Q39*100)</f>
        <v>1.3378486081559231</v>
      </c>
      <c r="R69" s="96">
        <f>IF(R32=0,0,R32/TrRoad_act!R39*100)</f>
        <v>1.324394976663817</v>
      </c>
      <c r="S69" s="96">
        <f>IF(S32=0,0,S32/TrRoad_act!S39*100)</f>
        <v>1.330728882671355</v>
      </c>
      <c r="T69" s="96">
        <f>IF(T32=0,0,T32/TrRoad_act!T39*100)</f>
        <v>1.4288909105258218</v>
      </c>
      <c r="U69" s="96">
        <f>IF(U32=0,0,U32/TrRoad_act!U39*100)</f>
        <v>1.525498652557804</v>
      </c>
      <c r="V69" s="96">
        <f>IF(V32=0,0,V32/TrRoad_act!V39*100)</f>
        <v>1.5819155262471025</v>
      </c>
      <c r="W69" s="96">
        <f>IF(W32=0,0,W32/TrRoad_act!W39*100)</f>
        <v>1.5849092825324897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60.141986115663627</v>
      </c>
      <c r="C70" s="130">
        <f>IF(C33=0,0,C33/TrRoad_act!C40*100)</f>
        <v>58.336943516480375</v>
      </c>
      <c r="D70" s="130">
        <f>IF(D33=0,0,D33/TrRoad_act!D40*100)</f>
        <v>57.778491471591352</v>
      </c>
      <c r="E70" s="130">
        <f>IF(E33=0,0,E33/TrRoad_act!E40*100)</f>
        <v>57.008936078588398</v>
      </c>
      <c r="F70" s="130">
        <f>IF(F33=0,0,F33/TrRoad_act!F40*100)</f>
        <v>56.260862243947706</v>
      </c>
      <c r="G70" s="130">
        <f>IF(G33=0,0,G33/TrRoad_act!G40*100)</f>
        <v>55.71075205551135</v>
      </c>
      <c r="H70" s="130">
        <f>IF(H33=0,0,H33/TrRoad_act!H40*100)</f>
        <v>55.212236412380669</v>
      </c>
      <c r="I70" s="130">
        <f>IF(I33=0,0,I33/TrRoad_act!I40*100)</f>
        <v>55.180062213552148</v>
      </c>
      <c r="J70" s="130">
        <f>IF(J33=0,0,J33/TrRoad_act!J40*100)</f>
        <v>54.945127687720216</v>
      </c>
      <c r="K70" s="130">
        <f>IF(K33=0,0,K33/TrRoad_act!K40*100)</f>
        <v>55.012828055343299</v>
      </c>
      <c r="L70" s="130">
        <f>IF(L33=0,0,L33/TrRoad_act!L40*100)</f>
        <v>55.395878535537982</v>
      </c>
      <c r="M70" s="130">
        <f>IF(M33=0,0,M33/TrRoad_act!M40*100)</f>
        <v>55.438748500810576</v>
      </c>
      <c r="N70" s="130">
        <f>IF(N33=0,0,N33/TrRoad_act!N40*100)</f>
        <v>55.505565840396478</v>
      </c>
      <c r="O70" s="130">
        <f>IF(O33=0,0,O33/TrRoad_act!O40*100)</f>
        <v>55.804275466082032</v>
      </c>
      <c r="P70" s="130">
        <f>IF(P33=0,0,P33/TrRoad_act!P40*100)</f>
        <v>56.343725387976448</v>
      </c>
      <c r="Q70" s="130">
        <f>IF(Q33=0,0,Q33/TrRoad_act!Q40*100)</f>
        <v>54.945910979836668</v>
      </c>
      <c r="R70" s="130">
        <f>IF(R33=0,0,R33/TrRoad_act!R40*100)</f>
        <v>55.760435801138641</v>
      </c>
      <c r="S70" s="130">
        <f>IF(S33=0,0,S33/TrRoad_act!S40*100)</f>
        <v>56.966698506019</v>
      </c>
      <c r="T70" s="130">
        <f>IF(T33=0,0,T33/TrRoad_act!T40*100)</f>
        <v>55.565406614542091</v>
      </c>
      <c r="U70" s="130">
        <f>IF(U33=0,0,U33/TrRoad_act!U40*100)</f>
        <v>55.919266178123863</v>
      </c>
      <c r="V70" s="130">
        <f>IF(V33=0,0,V33/TrRoad_act!V40*100)</f>
        <v>61.434598232247971</v>
      </c>
      <c r="W70" s="130">
        <f>IF(W33=0,0,W33/TrRoad_act!W40*100)</f>
        <v>61.235443599962366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18.729624668282312</v>
      </c>
      <c r="C71" s="97">
        <f>IF(C34=0,0,C34/TrRoad_act!C41*100)</f>
        <v>18.328808116770002</v>
      </c>
      <c r="D71" s="97">
        <f>IF(D34=0,0,D34/TrRoad_act!D41*100)</f>
        <v>17.93139473434011</v>
      </c>
      <c r="E71" s="97">
        <f>IF(E34=0,0,E34/TrRoad_act!E41*100)</f>
        <v>17.728681481125584</v>
      </c>
      <c r="F71" s="97">
        <f>IF(F34=0,0,F34/TrRoad_act!F41*100)</f>
        <v>17.510033100798257</v>
      </c>
      <c r="G71" s="97">
        <f>IF(G34=0,0,G34/TrRoad_act!G41*100)</f>
        <v>17.435755328418807</v>
      </c>
      <c r="H71" s="97">
        <f>IF(H34=0,0,H34/TrRoad_act!H41*100)</f>
        <v>17.227014230263908</v>
      </c>
      <c r="I71" s="97">
        <f>IF(I34=0,0,I34/TrRoad_act!I41*100)</f>
        <v>16.866946694217667</v>
      </c>
      <c r="J71" s="97">
        <f>IF(J34=0,0,J34/TrRoad_act!J41*100)</f>
        <v>16.738846783119513</v>
      </c>
      <c r="K71" s="97">
        <f>IF(K34=0,0,K34/TrRoad_act!K41*100)</f>
        <v>16.600971169114551</v>
      </c>
      <c r="L71" s="97">
        <f>IF(L34=0,0,L34/TrRoad_act!L41*100)</f>
        <v>16.399072483821787</v>
      </c>
      <c r="M71" s="97">
        <f>IF(M34=0,0,M34/TrRoad_act!M41*100)</f>
        <v>16.15416051223999</v>
      </c>
      <c r="N71" s="97">
        <f>IF(N34=0,0,N34/TrRoad_act!N41*100)</f>
        <v>15.943807132734058</v>
      </c>
      <c r="O71" s="97">
        <f>IF(O34=0,0,O34/TrRoad_act!O41*100)</f>
        <v>15.706675377578131</v>
      </c>
      <c r="P71" s="97">
        <f>IF(P34=0,0,P34/TrRoad_act!P41*100)</f>
        <v>15.553915017466254</v>
      </c>
      <c r="Q71" s="97">
        <f>IF(Q34=0,0,Q34/TrRoad_act!Q41*100)</f>
        <v>15.334990039455493</v>
      </c>
      <c r="R71" s="97">
        <f>IF(R34=0,0,R34/TrRoad_act!R41*100)</f>
        <v>15.234752945473534</v>
      </c>
      <c r="S71" s="97">
        <f>IF(S34=0,0,S34/TrRoad_act!S41*100)</f>
        <v>15.134268903644566</v>
      </c>
      <c r="T71" s="97">
        <f>IF(T34=0,0,T34/TrRoad_act!T41*100)</f>
        <v>15.07430825599527</v>
      </c>
      <c r="U71" s="97">
        <f>IF(U34=0,0,U34/TrRoad_act!U41*100)</f>
        <v>15.035095575722821</v>
      </c>
      <c r="V71" s="97">
        <f>IF(V34=0,0,V34/TrRoad_act!V41*100)</f>
        <v>14.962572092844804</v>
      </c>
      <c r="W71" s="97">
        <f>IF(W34=0,0,W34/TrRoad_act!W41*100)</f>
        <v>14.839956567729114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60.418615425119135</v>
      </c>
      <c r="C72" s="97">
        <f>IF(C36=0,0,C36/TrRoad_act!C42*100)</f>
        <v>58.443122270502776</v>
      </c>
      <c r="D72" s="97">
        <f>IF(D36=0,0,D36/TrRoad_act!D42*100)</f>
        <v>57.5437413996532</v>
      </c>
      <c r="E72" s="97">
        <f>IF(E36=0,0,E36/TrRoad_act!E42*100)</f>
        <v>56.927387534933381</v>
      </c>
      <c r="F72" s="97">
        <f>IF(F36=0,0,F36/TrRoad_act!F42*100)</f>
        <v>56.161178560369585</v>
      </c>
      <c r="G72" s="97">
        <f>IF(G36=0,0,G36/TrRoad_act!G42*100)</f>
        <v>55.521170084302398</v>
      </c>
      <c r="H72" s="97">
        <f>IF(H36=0,0,H36/TrRoad_act!H42*100)</f>
        <v>54.958630212264524</v>
      </c>
      <c r="I72" s="97">
        <f>IF(I36=0,0,I36/TrRoad_act!I42*100)</f>
        <v>54.556740095738668</v>
      </c>
      <c r="J72" s="97">
        <f>IF(J36=0,0,J36/TrRoad_act!J42*100)</f>
        <v>54.188506479950583</v>
      </c>
      <c r="K72" s="97">
        <f>IF(K36=0,0,K36/TrRoad_act!K42*100)</f>
        <v>53.889515746969877</v>
      </c>
      <c r="L72" s="97">
        <f>IF(L36=0,0,L36/TrRoad_act!L42*100)</f>
        <v>53.62545442497261</v>
      </c>
      <c r="M72" s="97">
        <f>IF(M36=0,0,M36/TrRoad_act!M42*100)</f>
        <v>53.419867749039909</v>
      </c>
      <c r="N72" s="97">
        <f>IF(N36=0,0,N36/TrRoad_act!N42*100)</f>
        <v>53.333610350726367</v>
      </c>
      <c r="O72" s="97">
        <f>IF(O36=0,0,O36/TrRoad_act!O42*100)</f>
        <v>53.218541168514896</v>
      </c>
      <c r="P72" s="97">
        <f>IF(P36=0,0,P36/TrRoad_act!P42*100)</f>
        <v>53.380207215298739</v>
      </c>
      <c r="Q72" s="97">
        <f>IF(Q36=0,0,Q36/TrRoad_act!Q42*100)</f>
        <v>53.535766295217712</v>
      </c>
      <c r="R72" s="97">
        <f>IF(R36=0,0,R36/TrRoad_act!R42*100)</f>
        <v>53.781510373072685</v>
      </c>
      <c r="S72" s="97">
        <f>IF(S36=0,0,S36/TrRoad_act!S42*100)</f>
        <v>54.5177677875648</v>
      </c>
      <c r="T72" s="97">
        <f>IF(T36=0,0,T36/TrRoad_act!T42*100)</f>
        <v>54.745379922511582</v>
      </c>
      <c r="U72" s="97">
        <f>IF(U36=0,0,U36/TrRoad_act!U42*100)</f>
        <v>54.937096264876708</v>
      </c>
      <c r="V72" s="97">
        <f>IF(V36=0,0,V36/TrRoad_act!V42*100)</f>
        <v>55.117006020863933</v>
      </c>
      <c r="W72" s="97">
        <f>IF(W36=0,0,W36/TrRoad_act!W42*100)</f>
        <v>55.193255827148548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46.343931960671284</v>
      </c>
      <c r="Q73" s="97">
        <f>IF(Q38=0,0,Q38/TrRoad_act!Q43*100)</f>
        <v>46.782904261731197</v>
      </c>
      <c r="R73" s="97">
        <f>IF(R38=0,0,R38/TrRoad_act!R43*100)</f>
        <v>46.788974683561108</v>
      </c>
      <c r="S73" s="97">
        <f>IF(S38=0,0,S38/TrRoad_act!S43*100)</f>
        <v>46.788974683561094</v>
      </c>
      <c r="T73" s="97">
        <f>IF(T38=0,0,T38/TrRoad_act!T43*100)</f>
        <v>46.792525587912181</v>
      </c>
      <c r="U73" s="97">
        <f>IF(U38=0,0,U38/TrRoad_act!U43*100)</f>
        <v>46.928607217245677</v>
      </c>
      <c r="V73" s="97">
        <f>IF(V38=0,0,V38/TrRoad_act!V43*100)</f>
        <v>47.033365763515818</v>
      </c>
      <c r="W73" s="97">
        <f>IF(W38=0,0,W38/TrRoad_act!W43*100)</f>
        <v>47.183308152092806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101.22715345160162</v>
      </c>
      <c r="C74" s="97">
        <f>IF(C39=0,0,C39/TrRoad_act!C44*100)</f>
        <v>147.31732837253369</v>
      </c>
      <c r="D74" s="97">
        <f>IF(D39=0,0,D39/TrRoad_act!D44*100)</f>
        <v>2883.8974275898058</v>
      </c>
      <c r="E74" s="97">
        <f>IF(E39=0,0,E39/TrRoad_act!E44*100)</f>
        <v>147.54656543699747</v>
      </c>
      <c r="F74" s="97">
        <f>IF(F39=0,0,F39/TrRoad_act!F44*100)</f>
        <v>128.57781358926286</v>
      </c>
      <c r="G74" s="97">
        <f>IF(G39=0,0,G39/TrRoad_act!G44*100)</f>
        <v>125.05712176401096</v>
      </c>
      <c r="H74" s="97">
        <f>IF(H39=0,0,H39/TrRoad_act!H44*100)</f>
        <v>126.3164196216479</v>
      </c>
      <c r="I74" s="97">
        <f>IF(I39=0,0,I39/TrRoad_act!I44*100)</f>
        <v>150.81159055658438</v>
      </c>
      <c r="J74" s="97">
        <f>IF(J39=0,0,J39/TrRoad_act!J44*100)</f>
        <v>168.47709133335528</v>
      </c>
      <c r="K74" s="97">
        <f>IF(K39=0,0,K39/TrRoad_act!K44*100)</f>
        <v>202.12021321445107</v>
      </c>
      <c r="L74" s="97">
        <f>IF(L39=0,0,L39/TrRoad_act!L44*100)</f>
        <v>264.79332567138016</v>
      </c>
      <c r="M74" s="97">
        <f>IF(M39=0,0,M39/TrRoad_act!M44*100)</f>
        <v>288.63067602387883</v>
      </c>
      <c r="N74" s="97">
        <f>IF(N39=0,0,N39/TrRoad_act!N44*100)</f>
        <v>297.99350111206718</v>
      </c>
      <c r="O74" s="97">
        <f>IF(O39=0,0,O39/TrRoad_act!O44*100)</f>
        <v>334.28732962109177</v>
      </c>
      <c r="P74" s="97">
        <f>IF(P39=0,0,P39/TrRoad_act!P44*100)</f>
        <v>405.51790952228669</v>
      </c>
      <c r="Q74" s="97">
        <f>IF(Q39=0,0,Q39/TrRoad_act!Q44*100)</f>
        <v>97.045094631965569</v>
      </c>
      <c r="R74" s="97">
        <f>IF(R39=0,0,R39/TrRoad_act!R44*100)</f>
        <v>102.23801574172384</v>
      </c>
      <c r="S74" s="97">
        <f>IF(S39=0,0,S39/TrRoad_act!S44*100)</f>
        <v>81.071682410402772</v>
      </c>
      <c r="T74" s="97">
        <f>IF(T39=0,0,T39/TrRoad_act!T44*100)</f>
        <v>65.315125111505196</v>
      </c>
      <c r="U74" s="97">
        <f>IF(U39=0,0,U39/TrRoad_act!U44*100)</f>
        <v>65.3070836218739</v>
      </c>
      <c r="V74" s="97">
        <f>IF(V39=0,0,V39/TrRoad_act!V44*100)</f>
        <v>93.189256232909685</v>
      </c>
      <c r="W74" s="97">
        <f>IF(W39=0,0,W39/TrRoad_act!W44*100)</f>
        <v>91.369250956859858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0</v>
      </c>
      <c r="P75" s="97">
        <f>IF(P41=0,0,P41/TrRoad_act!P45*100)</f>
        <v>27.56490079034068</v>
      </c>
      <c r="Q75" s="97">
        <f>IF(Q41=0,0,Q41/TrRoad_act!Q45*100)</f>
        <v>27.646535793698579</v>
      </c>
      <c r="R75" s="97">
        <f>IF(R41=0,0,R41/TrRoad_act!R45*100)</f>
        <v>27.718582481618114</v>
      </c>
      <c r="S75" s="97">
        <f>IF(S41=0,0,S41/TrRoad_act!S45*100)</f>
        <v>27.765542385257515</v>
      </c>
      <c r="T75" s="97">
        <f>IF(T41=0,0,T41/TrRoad_act!T45*100)</f>
        <v>27.813661086699177</v>
      </c>
      <c r="U75" s="97">
        <f>IF(U41=0,0,U41/TrRoad_act!U45*100)</f>
        <v>27.85567037060034</v>
      </c>
      <c r="V75" s="97">
        <f>IF(V41=0,0,V41/TrRoad_act!V45*100)</f>
        <v>27.857380318564324</v>
      </c>
      <c r="W75" s="97">
        <f>IF(W41=0,0,W41/TrRoad_act!W45*100)</f>
        <v>27.845018705173157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26.788004618620615</v>
      </c>
      <c r="C76" s="32">
        <f>IF(C42=0,0,C42/TrRoad_act!C46*100)</f>
        <v>24.831479083787571</v>
      </c>
      <c r="D76" s="32">
        <f>IF(D42=0,0,D42/TrRoad_act!D46*100)</f>
        <v>25.189518783216485</v>
      </c>
      <c r="E76" s="32">
        <f>IF(E42=0,0,E42/TrRoad_act!E46*100)</f>
        <v>24.610690707239041</v>
      </c>
      <c r="F76" s="32">
        <f>IF(F42=0,0,F42/TrRoad_act!F46*100)</f>
        <v>23.945523184137542</v>
      </c>
      <c r="G76" s="32">
        <f>IF(G42=0,0,G42/TrRoad_act!G46*100)</f>
        <v>24.452431757762845</v>
      </c>
      <c r="H76" s="32">
        <f>IF(H42=0,0,H42/TrRoad_act!H46*100)</f>
        <v>23.566267606174542</v>
      </c>
      <c r="I76" s="32">
        <f>IF(I42=0,0,I42/TrRoad_act!I46*100)</f>
        <v>21.938539296800151</v>
      </c>
      <c r="J76" s="32">
        <f>IF(J42=0,0,J42/TrRoad_act!J46*100)</f>
        <v>21.858277880790428</v>
      </c>
      <c r="K76" s="32">
        <f>IF(K42=0,0,K42/TrRoad_act!K46*100)</f>
        <v>21.304765196876772</v>
      </c>
      <c r="L76" s="32">
        <f>IF(L42=0,0,L42/TrRoad_act!L46*100)</f>
        <v>20.969455996440473</v>
      </c>
      <c r="M76" s="32">
        <f>IF(M42=0,0,M42/TrRoad_act!M46*100)</f>
        <v>20.142023695951362</v>
      </c>
      <c r="N76" s="32">
        <f>IF(N42=0,0,N42/TrRoad_act!N46*100)</f>
        <v>18.800887027940288</v>
      </c>
      <c r="O76" s="32">
        <f>IF(O42=0,0,O42/TrRoad_act!O46*100)</f>
        <v>18.512040577435339</v>
      </c>
      <c r="P76" s="32">
        <f>IF(P42=0,0,P42/TrRoad_act!P46*100)</f>
        <v>18.879318762514934</v>
      </c>
      <c r="Q76" s="32">
        <f>IF(Q42=0,0,Q42/TrRoad_act!Q46*100)</f>
        <v>18.941432184242309</v>
      </c>
      <c r="R76" s="32">
        <f>IF(R42=0,0,R42/TrRoad_act!R46*100)</f>
        <v>20.73420987056755</v>
      </c>
      <c r="S76" s="32">
        <f>IF(S42=0,0,S42/TrRoad_act!S46*100)</f>
        <v>21.343724641229205</v>
      </c>
      <c r="T76" s="32">
        <f>IF(T42=0,0,T42/TrRoad_act!T46*100)</f>
        <v>21.357893774821509</v>
      </c>
      <c r="U76" s="32">
        <f>IF(U42=0,0,U42/TrRoad_act!U46*100)</f>
        <v>20.132037316710793</v>
      </c>
      <c r="V76" s="32">
        <f>IF(V42=0,0,V42/TrRoad_act!V46*100)</f>
        <v>22.198540411321048</v>
      </c>
      <c r="W76" s="32">
        <f>IF(W42=0,0,W42/TrRoad_act!W46*100)</f>
        <v>21.037147612081235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12.715944154274203</v>
      </c>
      <c r="C77" s="141">
        <f>IF(C43=0,0,C43/TrRoad_act!C47*100)</f>
        <v>12.218212337996166</v>
      </c>
      <c r="D77" s="141">
        <f>IF(D43=0,0,D43/TrRoad_act!D47*100)</f>
        <v>11.906178729181581</v>
      </c>
      <c r="E77" s="141">
        <f>IF(E43=0,0,E43/TrRoad_act!E47*100)</f>
        <v>11.404037212819604</v>
      </c>
      <c r="F77" s="141">
        <f>IF(F43=0,0,F43/TrRoad_act!F47*100)</f>
        <v>10.830342119184794</v>
      </c>
      <c r="G77" s="141">
        <f>IF(G43=0,0,G43/TrRoad_act!G47*100)</f>
        <v>10.448594391695984</v>
      </c>
      <c r="H77" s="141">
        <f>IF(H43=0,0,H43/TrRoad_act!H47*100)</f>
        <v>10.130412383055619</v>
      </c>
      <c r="I77" s="141">
        <f>IF(I43=0,0,I43/TrRoad_act!I47*100)</f>
        <v>9.6336127780352783</v>
      </c>
      <c r="J77" s="141">
        <f>IF(J43=0,0,J43/TrRoad_act!J47*100)</f>
        <v>9.348266257567003</v>
      </c>
      <c r="K77" s="141">
        <f>IF(K43=0,0,K43/TrRoad_act!K47*100)</f>
        <v>8.8704261335200485</v>
      </c>
      <c r="L77" s="141">
        <f>IF(L43=0,0,L43/TrRoad_act!L47*100)</f>
        <v>8.6722114493342701</v>
      </c>
      <c r="M77" s="141">
        <f>IF(M43=0,0,M43/TrRoad_act!M47*100)</f>
        <v>8.5999790494066684</v>
      </c>
      <c r="N77" s="141">
        <f>IF(N43=0,0,N43/TrRoad_act!N47*100)</f>
        <v>8.6012775150941518</v>
      </c>
      <c r="O77" s="141">
        <f>IF(O43=0,0,O43/TrRoad_act!O47*100)</f>
        <v>8.5506236647635916</v>
      </c>
      <c r="P77" s="141">
        <f>IF(P43=0,0,P43/TrRoad_act!P47*100)</f>
        <v>8.5001265858374371</v>
      </c>
      <c r="Q77" s="141">
        <f>IF(Q43=0,0,Q43/TrRoad_act!Q47*100)</f>
        <v>8.442105032542166</v>
      </c>
      <c r="R77" s="141">
        <f>IF(R43=0,0,R43/TrRoad_act!R47*100)</f>
        <v>8.3940976252906445</v>
      </c>
      <c r="S77" s="141">
        <f>IF(S43=0,0,S43/TrRoad_act!S47*100)</f>
        <v>8.329984714827928</v>
      </c>
      <c r="T77" s="141">
        <f>IF(T43=0,0,T43/TrRoad_act!T47*100)</f>
        <v>8.2372583954939493</v>
      </c>
      <c r="U77" s="141">
        <f>IF(U43=0,0,U43/TrRoad_act!U47*100)</f>
        <v>8.2018486548000347</v>
      </c>
      <c r="V77" s="141">
        <f>IF(V43=0,0,V43/TrRoad_act!V47*100)</f>
        <v>8.1979965264853565</v>
      </c>
      <c r="W77" s="141">
        <f>IF(W43=0,0,W43/TrRoad_act!W47*100)</f>
        <v>8.1773358535139664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12.664749194457345</v>
      </c>
      <c r="C78" s="96">
        <f>IF(C44=0,0,C44/TrRoad_act!C48*100)</f>
        <v>12.65439693896705</v>
      </c>
      <c r="D78" s="96">
        <f>IF(D44=0,0,D44/TrRoad_act!D48*100)</f>
        <v>12.651531582322889</v>
      </c>
      <c r="E78" s="96">
        <f>IF(E44=0,0,E44/TrRoad_act!E48*100)</f>
        <v>12.649577641307641</v>
      </c>
      <c r="F78" s="96">
        <f>IF(F44=0,0,F44/TrRoad_act!F48*100)</f>
        <v>12.647514445691185</v>
      </c>
      <c r="G78" s="96">
        <f>IF(G44=0,0,G44/TrRoad_act!G48*100)</f>
        <v>12.644611338783863</v>
      </c>
      <c r="H78" s="96">
        <f>IF(H44=0,0,H44/TrRoad_act!H48*100)</f>
        <v>12.641397662809503</v>
      </c>
      <c r="I78" s="96">
        <f>IF(I44=0,0,I44/TrRoad_act!I48*100)</f>
        <v>12.639910111673428</v>
      </c>
      <c r="J78" s="96">
        <f>IF(J44=0,0,J44/TrRoad_act!J48*100)</f>
        <v>12.635920131766099</v>
      </c>
      <c r="K78" s="96">
        <f>IF(K44=0,0,K44/TrRoad_act!K48*100)</f>
        <v>12.632667504494592</v>
      </c>
      <c r="L78" s="96">
        <f>IF(L44=0,0,L44/TrRoad_act!L48*100)</f>
        <v>12.633077084561675</v>
      </c>
      <c r="M78" s="96">
        <f>IF(M44=0,0,M44/TrRoad_act!M48*100)</f>
        <v>12.478956942631287</v>
      </c>
      <c r="N78" s="96">
        <f>IF(N44=0,0,N44/TrRoad_act!N48*100)</f>
        <v>11.583002334872386</v>
      </c>
      <c r="O78" s="96">
        <f>IF(O44=0,0,O44/TrRoad_act!O48*100)</f>
        <v>10.864623287186975</v>
      </c>
      <c r="P78" s="96">
        <f>IF(P44=0,0,P44/TrRoad_act!P48*100)</f>
        <v>10.322814686011411</v>
      </c>
      <c r="Q78" s="96">
        <f>IF(Q44=0,0,Q44/TrRoad_act!Q48*100)</f>
        <v>10.106139133829146</v>
      </c>
      <c r="R78" s="96">
        <f>IF(R44=0,0,R44/TrRoad_act!R48*100)</f>
        <v>9.592041078601051</v>
      </c>
      <c r="S78" s="96">
        <f>IF(S44=0,0,S44/TrRoad_act!S48*100)</f>
        <v>8.9419408665616551</v>
      </c>
      <c r="T78" s="96">
        <f>IF(T44=0,0,T44/TrRoad_act!T48*100)</f>
        <v>8.5288933219209166</v>
      </c>
      <c r="U78" s="96">
        <f>IF(U44=0,0,U44/TrRoad_act!U48*100)</f>
        <v>8.2788782945727757</v>
      </c>
      <c r="V78" s="96">
        <f>IF(V44=0,0,V44/TrRoad_act!V48*100)</f>
        <v>8.1290363478588894</v>
      </c>
      <c r="W78" s="96">
        <f>IF(W44=0,0,W44/TrRoad_act!W48*100)</f>
        <v>7.9797448185010538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12.720564958130467</v>
      </c>
      <c r="C79" s="96">
        <f>IF(C46=0,0,C46/TrRoad_act!C49*100)</f>
        <v>12.183774542579075</v>
      </c>
      <c r="D79" s="96">
        <f>IF(D46=0,0,D46/TrRoad_act!D49*100)</f>
        <v>11.860809488645852</v>
      </c>
      <c r="E79" s="96">
        <f>IF(E46=0,0,E46/TrRoad_act!E49*100)</f>
        <v>11.343156099945634</v>
      </c>
      <c r="F79" s="96">
        <f>IF(F46=0,0,F46/TrRoad_act!F49*100)</f>
        <v>10.760155045521913</v>
      </c>
      <c r="G79" s="96">
        <f>IF(G46=0,0,G46/TrRoad_act!G49*100)</f>
        <v>10.381267080240184</v>
      </c>
      <c r="H79" s="96">
        <f>IF(H46=0,0,H46/TrRoad_act!H49*100)</f>
        <v>10.068131301864922</v>
      </c>
      <c r="I79" s="96">
        <f>IF(I46=0,0,I46/TrRoad_act!I49*100)</f>
        <v>9.57660630113193</v>
      </c>
      <c r="J79" s="96">
        <f>IF(J46=0,0,J46/TrRoad_act!J49*100)</f>
        <v>9.2939448997365393</v>
      </c>
      <c r="K79" s="96">
        <f>IF(K46=0,0,K46/TrRoad_act!K49*100)</f>
        <v>8.809024702092092</v>
      </c>
      <c r="L79" s="96">
        <f>IF(L46=0,0,L46/TrRoad_act!L49*100)</f>
        <v>8.6116217035018892</v>
      </c>
      <c r="M79" s="96">
        <f>IF(M46=0,0,M46/TrRoad_act!M49*100)</f>
        <v>8.5388712714843837</v>
      </c>
      <c r="N79" s="96">
        <f>IF(N46=0,0,N46/TrRoad_act!N49*100)</f>
        <v>8.5486495681238388</v>
      </c>
      <c r="O79" s="96">
        <f>IF(O46=0,0,O46/TrRoad_act!O49*100)</f>
        <v>8.5078459514081342</v>
      </c>
      <c r="P79" s="96">
        <f>IF(P46=0,0,P46/TrRoad_act!P49*100)</f>
        <v>8.4765367363832045</v>
      </c>
      <c r="Q79" s="96">
        <f>IF(Q46=0,0,Q46/TrRoad_act!Q49*100)</f>
        <v>8.4210891189219215</v>
      </c>
      <c r="R79" s="96">
        <f>IF(R46=0,0,R46/TrRoad_act!R49*100)</f>
        <v>8.3786934003093041</v>
      </c>
      <c r="S79" s="96">
        <f>IF(S46=0,0,S46/TrRoad_act!S49*100)</f>
        <v>8.3225887160133833</v>
      </c>
      <c r="T79" s="96">
        <f>IF(T46=0,0,T46/TrRoad_act!T49*100)</f>
        <v>8.2382610944171226</v>
      </c>
      <c r="U79" s="96">
        <f>IF(U46=0,0,U46/TrRoad_act!U49*100)</f>
        <v>8.2118962825724076</v>
      </c>
      <c r="V79" s="96">
        <f>IF(V46=0,0,V46/TrRoad_act!V49*100)</f>
        <v>8.2132366881936019</v>
      </c>
      <c r="W79" s="96">
        <f>IF(W46=0,0,W46/TrRoad_act!W49*100)</f>
        <v>8.1974847449918578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12.674250872603979</v>
      </c>
      <c r="P80" s="96">
        <f>IF(P48=0,0,P48/TrRoad_act!P50*100)</f>
        <v>8.6727953591290223</v>
      </c>
      <c r="Q80" s="96">
        <f>IF(Q48=0,0,Q48/TrRoad_act!Q50*100)</f>
        <v>9.5132213563051025</v>
      </c>
      <c r="R80" s="96">
        <f>IF(R48=0,0,R48/TrRoad_act!R50*100)</f>
        <v>12.826613737216814</v>
      </c>
      <c r="S80" s="96">
        <f>IF(S48=0,0,S48/TrRoad_act!S50*100)</f>
        <v>11.358510236476063</v>
      </c>
      <c r="T80" s="96">
        <f>IF(T48=0,0,T48/TrRoad_act!T50*100)</f>
        <v>9.4871480470588416</v>
      </c>
      <c r="U80" s="96">
        <f>IF(U48=0,0,U48/TrRoad_act!U50*100)</f>
        <v>7.8446661634567025</v>
      </c>
      <c r="V80" s="96">
        <f>IF(V48=0,0,V48/TrRoad_act!V50*100)</f>
        <v>7.9097426473442072</v>
      </c>
      <c r="W80" s="96">
        <f>IF(W48=0,0,W48/TrRoad_act!W50*100)</f>
        <v>7.9364368690637219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14.617788988443085</v>
      </c>
      <c r="O81" s="96">
        <f>IF(O49=0,0,O49/TrRoad_act!O51*100)</f>
        <v>15.028903119654979</v>
      </c>
      <c r="P81" s="96">
        <f>IF(P49=0,0,P49/TrRoad_act!P51*100)</f>
        <v>12.080022657074066</v>
      </c>
      <c r="Q81" s="96">
        <f>IF(Q49=0,0,Q49/TrRoad_act!Q51*100)</f>
        <v>12.450390109467648</v>
      </c>
      <c r="R81" s="96">
        <f>IF(R49=0,0,R49/TrRoad_act!R51*100)</f>
        <v>11.14559803289206</v>
      </c>
      <c r="S81" s="96">
        <f>IF(S49=0,0,S49/TrRoad_act!S51*100)</f>
        <v>10.463568436590624</v>
      </c>
      <c r="T81" s="96">
        <f>IF(T49=0,0,T49/TrRoad_act!T51*100)</f>
        <v>8.869246825871361</v>
      </c>
      <c r="U81" s="96">
        <f>IF(U49=0,0,U49/TrRoad_act!U51*100)</f>
        <v>8.7057405556425707</v>
      </c>
      <c r="V81" s="96">
        <f>IF(V49=0,0,V49/TrRoad_act!V51*100)</f>
        <v>9.2039670730161554</v>
      </c>
      <c r="W81" s="96">
        <f>IF(W49=0,0,W49/TrRoad_act!W51*100)</f>
        <v>9.6259485390237209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1.6514689086655809</v>
      </c>
      <c r="N82" s="96">
        <f>IF(N51=0,0,N51/TrRoad_act!N52*100)</f>
        <v>1.6472914875411706</v>
      </c>
      <c r="O82" s="96">
        <f>IF(O51=0,0,O51/TrRoad_act!O52*100)</f>
        <v>1.8418855476943303</v>
      </c>
      <c r="P82" s="96">
        <f>IF(P51=0,0,P51/TrRoad_act!P52*100)</f>
        <v>1.8891790612537336</v>
      </c>
      <c r="Q82" s="96">
        <f>IF(Q51=0,0,Q51/TrRoad_act!Q52*100)</f>
        <v>1.8963286693206884</v>
      </c>
      <c r="R82" s="96">
        <f>IF(R51=0,0,R51/TrRoad_act!R52*100)</f>
        <v>1.8949120391164955</v>
      </c>
      <c r="S82" s="96">
        <f>IF(S51=0,0,S51/TrRoad_act!S52*100)</f>
        <v>1.900290804797516</v>
      </c>
      <c r="T82" s="96">
        <f>IF(T51=0,0,T51/TrRoad_act!T52*100)</f>
        <v>1.992088687758</v>
      </c>
      <c r="U82" s="96">
        <f>IF(U51=0,0,U51/TrRoad_act!U52*100)</f>
        <v>2.069537356999565</v>
      </c>
      <c r="V82" s="96">
        <f>IF(V51=0,0,V51/TrRoad_act!V52*100)</f>
        <v>2.1784293022540848</v>
      </c>
      <c r="W82" s="96">
        <f>IF(W51=0,0,W51/TrRoad_act!W52*100)</f>
        <v>2.2858390177927332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51.211225170388509</v>
      </c>
      <c r="C83" s="130">
        <f>IF(C52=0,0,C52/TrRoad_act!C53*100)</f>
        <v>49.888937568153025</v>
      </c>
      <c r="D83" s="130">
        <f>IF(D52=0,0,D52/TrRoad_act!D53*100)</f>
        <v>46.848223044973892</v>
      </c>
      <c r="E83" s="130">
        <f>IF(E52=0,0,E52/TrRoad_act!E53*100)</f>
        <v>46.973490494991772</v>
      </c>
      <c r="F83" s="130">
        <f>IF(F52=0,0,F52/TrRoad_act!F53*100)</f>
        <v>44.884069063610482</v>
      </c>
      <c r="G83" s="130">
        <f>IF(G52=0,0,G52/TrRoad_act!G53*100)</f>
        <v>44.266332799642491</v>
      </c>
      <c r="H83" s="130">
        <f>IF(H52=0,0,H52/TrRoad_act!H53*100)</f>
        <v>43.081698100745577</v>
      </c>
      <c r="I83" s="130">
        <f>IF(I52=0,0,I52/TrRoad_act!I53*100)</f>
        <v>41.519247763179969</v>
      </c>
      <c r="J83" s="130">
        <f>IF(J52=0,0,J52/TrRoad_act!J53*100)</f>
        <v>41.991392641034572</v>
      </c>
      <c r="K83" s="130">
        <f>IF(K52=0,0,K52/TrRoad_act!K53*100)</f>
        <v>41.323627262643953</v>
      </c>
      <c r="L83" s="130">
        <f>IF(L52=0,0,L52/TrRoad_act!L53*100)</f>
        <v>41.975897742870295</v>
      </c>
      <c r="M83" s="130">
        <f>IF(M52=0,0,M52/TrRoad_act!M53*100)</f>
        <v>40.131113173279765</v>
      </c>
      <c r="N83" s="130">
        <f>IF(N52=0,0,N52/TrRoad_act!N53*100)</f>
        <v>36.083637497643977</v>
      </c>
      <c r="O83" s="130">
        <f>IF(O52=0,0,O52/TrRoad_act!O53*100)</f>
        <v>36.048073147509378</v>
      </c>
      <c r="P83" s="130">
        <f>IF(P52=0,0,P52/TrRoad_act!P53*100)</f>
        <v>36.453180342520611</v>
      </c>
      <c r="Q83" s="130">
        <f>IF(Q52=0,0,Q52/TrRoad_act!Q53*100)</f>
        <v>36.405816917881126</v>
      </c>
      <c r="R83" s="130">
        <f>IF(R52=0,0,R52/TrRoad_act!R53*100)</f>
        <v>39.717279558294585</v>
      </c>
      <c r="S83" s="130">
        <f>IF(S52=0,0,S52/TrRoad_act!S53*100)</f>
        <v>41.885522585115091</v>
      </c>
      <c r="T83" s="130">
        <f>IF(T52=0,0,T52/TrRoad_act!T53*100)</f>
        <v>42.077561691836912</v>
      </c>
      <c r="U83" s="130">
        <f>IF(U52=0,0,U52/TrRoad_act!U53*100)</f>
        <v>38.304092305855974</v>
      </c>
      <c r="V83" s="130">
        <f>IF(V52=0,0,V52/TrRoad_act!V53*100)</f>
        <v>36.65482458636918</v>
      </c>
      <c r="W83" s="130">
        <f>IF(W52=0,0,W52/TrRoad_act!W53*100)</f>
        <v>38.684934095566241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50.426793984565222</v>
      </c>
      <c r="C84" s="97">
        <f>IF(C53=0,0,C53/TrRoad_act!C54*100)</f>
        <v>49.215552408282001</v>
      </c>
      <c r="D84" s="97">
        <f>IF(D53=0,0,D53/TrRoad_act!D54*100)</f>
        <v>46.316701185656825</v>
      </c>
      <c r="E84" s="97">
        <f>IF(E53=0,0,E53/TrRoad_act!E54*100)</f>
        <v>46.498053403578211</v>
      </c>
      <c r="F84" s="97">
        <f>IF(F53=0,0,F53/TrRoad_act!F54*100)</f>
        <v>44.504796809778988</v>
      </c>
      <c r="G84" s="97">
        <f>IF(G53=0,0,G53/TrRoad_act!G54*100)</f>
        <v>43.933322976920877</v>
      </c>
      <c r="H84" s="97">
        <f>IF(H53=0,0,H53/TrRoad_act!H54*100)</f>
        <v>42.787601512469131</v>
      </c>
      <c r="I84" s="97">
        <f>IF(I53=0,0,I53/TrRoad_act!I54*100)</f>
        <v>41.263440421390243</v>
      </c>
      <c r="J84" s="97">
        <f>IF(J53=0,0,J53/TrRoad_act!J54*100)</f>
        <v>41.737136359403571</v>
      </c>
      <c r="K84" s="97">
        <f>IF(K53=0,0,K53/TrRoad_act!K54*100)</f>
        <v>41.079709137994172</v>
      </c>
      <c r="L84" s="97">
        <f>IF(L53=0,0,L53/TrRoad_act!L54*100)</f>
        <v>41.74370512377925</v>
      </c>
      <c r="M84" s="97">
        <f>IF(M53=0,0,M53/TrRoad_act!M54*100)</f>
        <v>39.884649302057511</v>
      </c>
      <c r="N84" s="97">
        <f>IF(N53=0,0,N53/TrRoad_act!N54*100)</f>
        <v>35.824879785732357</v>
      </c>
      <c r="O84" s="97">
        <f>IF(O53=0,0,O53/TrRoad_act!O54*100)</f>
        <v>35.638382864246964</v>
      </c>
      <c r="P84" s="97">
        <f>IF(P53=0,0,P53/TrRoad_act!P54*100)</f>
        <v>36.052328259022786</v>
      </c>
      <c r="Q84" s="97">
        <f>IF(Q53=0,0,Q53/TrRoad_act!Q54*100)</f>
        <v>36.011125006370357</v>
      </c>
      <c r="R84" s="97">
        <f>IF(R53=0,0,R53/TrRoad_act!R54*100)</f>
        <v>39.23562739517881</v>
      </c>
      <c r="S84" s="97">
        <f>IF(S53=0,0,S53/TrRoad_act!S54*100)</f>
        <v>41.268141386587743</v>
      </c>
      <c r="T84" s="97">
        <f>IF(T53=0,0,T53/TrRoad_act!T54*100)</f>
        <v>41.321997850568025</v>
      </c>
      <c r="U84" s="97">
        <f>IF(U53=0,0,U53/TrRoad_act!U54*100)</f>
        <v>37.508534522549191</v>
      </c>
      <c r="V84" s="97">
        <f>IF(V53=0,0,V53/TrRoad_act!V54*100)</f>
        <v>35.844393719814157</v>
      </c>
      <c r="W84" s="97">
        <f>IF(W53=0,0,W53/TrRoad_act!W54*100)</f>
        <v>37.739425604343921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54.801568959370464</v>
      </c>
      <c r="C85" s="98">
        <f>IF(C55=0,0,C55/TrRoad_act!C55*100)</f>
        <v>53.006533439161871</v>
      </c>
      <c r="D85" s="98">
        <f>IF(D55=0,0,D55/TrRoad_act!D55*100)</f>
        <v>49.509633569226239</v>
      </c>
      <c r="E85" s="98">
        <f>IF(E55=0,0,E55/TrRoad_act!E55*100)</f>
        <v>49.449267881841884</v>
      </c>
      <c r="F85" s="98">
        <f>IF(F55=0,0,F55/TrRoad_act!F55*100)</f>
        <v>46.744524965909974</v>
      </c>
      <c r="G85" s="98">
        <f>IF(G55=0,0,G55/TrRoad_act!G55*100)</f>
        <v>45.9466633671842</v>
      </c>
      <c r="H85" s="98">
        <f>IF(H55=0,0,H55/TrRoad_act!H55*100)</f>
        <v>44.603842988962235</v>
      </c>
      <c r="I85" s="98">
        <f>IF(I55=0,0,I55/TrRoad_act!I55*100)</f>
        <v>42.912787840233499</v>
      </c>
      <c r="J85" s="98">
        <f>IF(J55=0,0,J55/TrRoad_act!J55*100)</f>
        <v>43.373014830265852</v>
      </c>
      <c r="K85" s="98">
        <f>IF(K55=0,0,K55/TrRoad_act!K55*100)</f>
        <v>42.583545326467529</v>
      </c>
      <c r="L85" s="98">
        <f>IF(L55=0,0,L55/TrRoad_act!L55*100)</f>
        <v>43.151892316643504</v>
      </c>
      <c r="M85" s="98">
        <f>IF(M55=0,0,M55/TrRoad_act!M55*100)</f>
        <v>41.357240054626999</v>
      </c>
      <c r="N85" s="98">
        <f>IF(N55=0,0,N55/TrRoad_act!N55*100)</f>
        <v>37.32537758050637</v>
      </c>
      <c r="O85" s="98">
        <f>IF(O55=0,0,O55/TrRoad_act!O55*100)</f>
        <v>37.773633695957983</v>
      </c>
      <c r="P85" s="98">
        <f>IF(P55=0,0,P55/TrRoad_act!P55*100)</f>
        <v>38.191011987033704</v>
      </c>
      <c r="Q85" s="98">
        <f>IF(Q55=0,0,Q55/TrRoad_act!Q55*100)</f>
        <v>38.122536182032306</v>
      </c>
      <c r="R85" s="98">
        <f>IF(R55=0,0,R55/TrRoad_act!R55*100)</f>
        <v>41.849604637730451</v>
      </c>
      <c r="S85" s="98">
        <f>IF(S55=0,0,S55/TrRoad_act!S55*100)</f>
        <v>44.696393235014177</v>
      </c>
      <c r="T85" s="98">
        <f>IF(T55=0,0,T55/TrRoad_act!T55*100)</f>
        <v>45.474204319900466</v>
      </c>
      <c r="U85" s="98">
        <f>IF(U55=0,0,U55/TrRoad_act!U55*100)</f>
        <v>41.906297601620402</v>
      </c>
      <c r="V85" s="98">
        <f>IF(V55=0,0,V55/TrRoad_act!V55*100)</f>
        <v>40.44087752559323</v>
      </c>
      <c r="W85" s="98">
        <f>IF(W55=0,0,W55/TrRoad_act!W55*100)</f>
        <v>43.106062330553264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47.392653937850881</v>
      </c>
      <c r="C88" s="29">
        <f>IF(TrRoad_act!C4=0,0,C18/TrRoad_act!C4*1000)</f>
        <v>47.61062382827194</v>
      </c>
      <c r="D88" s="29">
        <f>IF(TrRoad_act!D4=0,0,D18/TrRoad_act!D4*1000)</f>
        <v>48.894278140523944</v>
      </c>
      <c r="E88" s="29">
        <f>IF(TrRoad_act!E4=0,0,E18/TrRoad_act!E4*1000)</f>
        <v>49.989286294082682</v>
      </c>
      <c r="F88" s="29">
        <f>IF(TrRoad_act!F4=0,0,F18/TrRoad_act!F4*1000)</f>
        <v>49.70874614316967</v>
      </c>
      <c r="G88" s="29">
        <f>IF(TrRoad_act!G4=0,0,G18/TrRoad_act!G4*1000)</f>
        <v>50.843693464619392</v>
      </c>
      <c r="H88" s="29">
        <f>IF(TrRoad_act!H4=0,0,H18/TrRoad_act!H4*1000)</f>
        <v>52.6245456235104</v>
      </c>
      <c r="I88" s="29">
        <f>IF(TrRoad_act!I4=0,0,I18/TrRoad_act!I4*1000)</f>
        <v>52.249817583851097</v>
      </c>
      <c r="J88" s="29">
        <f>IF(TrRoad_act!J4=0,0,J18/TrRoad_act!J4*1000)</f>
        <v>50.773533037770321</v>
      </c>
      <c r="K88" s="29">
        <f>IF(TrRoad_act!K4=0,0,K18/TrRoad_act!K4*1000)</f>
        <v>49.684428590104687</v>
      </c>
      <c r="L88" s="29">
        <f>IF(TrRoad_act!L4=0,0,L18/TrRoad_act!L4*1000)</f>
        <v>50.217688996847549</v>
      </c>
      <c r="M88" s="29">
        <f>IF(TrRoad_act!M4=0,0,M18/TrRoad_act!M4*1000)</f>
        <v>48.957606591130016</v>
      </c>
      <c r="N88" s="29">
        <f>IF(TrRoad_act!N4=0,0,N18/TrRoad_act!N4*1000)</f>
        <v>47.458577709878995</v>
      </c>
      <c r="O88" s="29">
        <f>IF(TrRoad_act!O4=0,0,O18/TrRoad_act!O4*1000)</f>
        <v>47.442407988207357</v>
      </c>
      <c r="P88" s="29">
        <f>IF(TrRoad_act!P4=0,0,P18/TrRoad_act!P4*1000)</f>
        <v>50.734328824900111</v>
      </c>
      <c r="Q88" s="29">
        <f>IF(TrRoad_act!Q4=0,0,Q18/TrRoad_act!Q4*1000)</f>
        <v>49.425551966264678</v>
      </c>
      <c r="R88" s="29">
        <f>IF(TrRoad_act!R4=0,0,R18/TrRoad_act!R4*1000)</f>
        <v>48.078717216288346</v>
      </c>
      <c r="S88" s="29">
        <f>IF(TrRoad_act!S4=0,0,S18/TrRoad_act!S4*1000)</f>
        <v>49.331555674124893</v>
      </c>
      <c r="T88" s="29">
        <f>IF(TrRoad_act!T4=0,0,T18/TrRoad_act!T4*1000)</f>
        <v>49.261798970926016</v>
      </c>
      <c r="U88" s="29">
        <f>IF(TrRoad_act!U4=0,0,U18/TrRoad_act!U4*1000)</f>
        <v>50.298771052044792</v>
      </c>
      <c r="V88" s="29">
        <f>IF(TrRoad_act!V4=0,0,V18/TrRoad_act!V4*1000)</f>
        <v>52.95455306420299</v>
      </c>
      <c r="W88" s="29">
        <f>IF(TrRoad_act!W4=0,0,W18/TrRoad_act!W4*1000)</f>
        <v>54.805721928489334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35.505008530226434</v>
      </c>
      <c r="C89" s="152">
        <f>IF(TrRoad_act!C5=0,0,C19/TrRoad_act!C5*1000)</f>
        <v>35.303514383757786</v>
      </c>
      <c r="D89" s="152">
        <f>IF(TrRoad_act!D5=0,0,D19/TrRoad_act!D5*1000)</f>
        <v>34.759847114248544</v>
      </c>
      <c r="E89" s="152">
        <f>IF(TrRoad_act!E5=0,0,E19/TrRoad_act!E5*1000)</f>
        <v>34.268169904755929</v>
      </c>
      <c r="F89" s="152">
        <f>IF(TrRoad_act!F5=0,0,F19/TrRoad_act!F5*1000)</f>
        <v>34.437103825675841</v>
      </c>
      <c r="G89" s="152">
        <f>IF(TrRoad_act!G5=0,0,G19/TrRoad_act!G5*1000)</f>
        <v>33.922257884563699</v>
      </c>
      <c r="H89" s="152">
        <f>IF(TrRoad_act!H5=0,0,H19/TrRoad_act!H5*1000)</f>
        <v>33.980586347882522</v>
      </c>
      <c r="I89" s="152">
        <f>IF(TrRoad_act!I5=0,0,I19/TrRoad_act!I5*1000)</f>
        <v>33.431416014790223</v>
      </c>
      <c r="J89" s="152">
        <f>IF(TrRoad_act!J5=0,0,J19/TrRoad_act!J5*1000)</f>
        <v>33.455419670707307</v>
      </c>
      <c r="K89" s="152">
        <f>IF(TrRoad_act!K5=0,0,K19/TrRoad_act!K5*1000)</f>
        <v>33.143340879200927</v>
      </c>
      <c r="L89" s="152">
        <f>IF(TrRoad_act!L5=0,0,L19/TrRoad_act!L5*1000)</f>
        <v>33.128863232911485</v>
      </c>
      <c r="M89" s="152">
        <f>IF(TrRoad_act!M5=0,0,M19/TrRoad_act!M5*1000)</f>
        <v>32.608049091431837</v>
      </c>
      <c r="N89" s="152">
        <f>IF(TrRoad_act!N5=0,0,N19/TrRoad_act!N5*1000)</f>
        <v>32.543330823279391</v>
      </c>
      <c r="O89" s="152">
        <f>IF(TrRoad_act!O5=0,0,O19/TrRoad_act!O5*1000)</f>
        <v>32.533339145960923</v>
      </c>
      <c r="P89" s="152">
        <f>IF(TrRoad_act!P5=0,0,P19/TrRoad_act!P5*1000)</f>
        <v>32.567361327645855</v>
      </c>
      <c r="Q89" s="152">
        <f>IF(TrRoad_act!Q5=0,0,Q19/TrRoad_act!Q5*1000)</f>
        <v>31.98957667939343</v>
      </c>
      <c r="R89" s="152">
        <f>IF(TrRoad_act!R5=0,0,R19/TrRoad_act!R5*1000)</f>
        <v>32.327146214422221</v>
      </c>
      <c r="S89" s="152">
        <f>IF(TrRoad_act!S5=0,0,S19/TrRoad_act!S5*1000)</f>
        <v>32.426316507803762</v>
      </c>
      <c r="T89" s="152">
        <f>IF(TrRoad_act!T5=0,0,T19/TrRoad_act!T5*1000)</f>
        <v>32.247023191583828</v>
      </c>
      <c r="U89" s="152">
        <f>IF(TrRoad_act!U5=0,0,U19/TrRoad_act!U5*1000)</f>
        <v>31.907794146004225</v>
      </c>
      <c r="V89" s="152">
        <f>IF(TrRoad_act!V5=0,0,V19/TrRoad_act!V5*1000)</f>
        <v>30.254723889736169</v>
      </c>
      <c r="W89" s="152">
        <f>IF(TrRoad_act!W5=0,0,W19/TrRoad_act!W5*1000)</f>
        <v>29.646064388497546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51.773442116220366</v>
      </c>
      <c r="C90" s="116">
        <f>IF(TrRoad_act!C6=0,0,C21/TrRoad_act!C6*1000)</f>
        <v>52.234936615959406</v>
      </c>
      <c r="D90" s="116">
        <f>IF(TrRoad_act!D6=0,0,D21/TrRoad_act!D6*1000)</f>
        <v>53.458724119012139</v>
      </c>
      <c r="E90" s="116">
        <f>IF(TrRoad_act!E6=0,0,E21/TrRoad_act!E6*1000)</f>
        <v>54.645770595528262</v>
      </c>
      <c r="F90" s="116">
        <f>IF(TrRoad_act!F6=0,0,F21/TrRoad_act!F6*1000)</f>
        <v>54.717263232618798</v>
      </c>
      <c r="G90" s="116">
        <f>IF(TrRoad_act!G6=0,0,G21/TrRoad_act!G6*1000)</f>
        <v>56.060728221667766</v>
      </c>
      <c r="H90" s="116">
        <f>IF(TrRoad_act!H6=0,0,H21/TrRoad_act!H6*1000)</f>
        <v>57.421571025109529</v>
      </c>
      <c r="I90" s="116">
        <f>IF(TrRoad_act!I6=0,0,I21/TrRoad_act!I6*1000)</f>
        <v>58.45368036952727</v>
      </c>
      <c r="J90" s="116">
        <f>IF(TrRoad_act!J6=0,0,J21/TrRoad_act!J6*1000)</f>
        <v>56.942624577527212</v>
      </c>
      <c r="K90" s="116">
        <f>IF(TrRoad_act!K6=0,0,K21/TrRoad_act!K6*1000)</f>
        <v>55.020949508531423</v>
      </c>
      <c r="L90" s="116">
        <f>IF(TrRoad_act!L6=0,0,L21/TrRoad_act!L6*1000)</f>
        <v>54.957994508066719</v>
      </c>
      <c r="M90" s="116">
        <f>IF(TrRoad_act!M6=0,0,M21/TrRoad_act!M6*1000)</f>
        <v>54.250730400803064</v>
      </c>
      <c r="N90" s="116">
        <f>IF(TrRoad_act!N6=0,0,N21/TrRoad_act!N6*1000)</f>
        <v>52.490409667243213</v>
      </c>
      <c r="O90" s="116">
        <f>IF(TrRoad_act!O6=0,0,O21/TrRoad_act!O6*1000)</f>
        <v>52.637139329905551</v>
      </c>
      <c r="P90" s="116">
        <f>IF(TrRoad_act!P6=0,0,P21/TrRoad_act!P6*1000)</f>
        <v>54.557849687422049</v>
      </c>
      <c r="Q90" s="116">
        <f>IF(TrRoad_act!Q6=0,0,Q21/TrRoad_act!Q6*1000)</f>
        <v>54.08782170037027</v>
      </c>
      <c r="R90" s="116">
        <f>IF(TrRoad_act!R6=0,0,R21/TrRoad_act!R6*1000)</f>
        <v>52.449127725829506</v>
      </c>
      <c r="S90" s="116">
        <f>IF(TrRoad_act!S6=0,0,S21/TrRoad_act!S6*1000)</f>
        <v>52.481662930738629</v>
      </c>
      <c r="T90" s="116">
        <f>IF(TrRoad_act!T6=0,0,T21/TrRoad_act!T6*1000)</f>
        <v>52.528705072249458</v>
      </c>
      <c r="U90" s="116">
        <f>IF(TrRoad_act!U6=0,0,U21/TrRoad_act!U6*1000)</f>
        <v>53.852007282479619</v>
      </c>
      <c r="V90" s="116">
        <f>IF(TrRoad_act!V6=0,0,V21/TrRoad_act!V6*1000)</f>
        <v>55.923284314815419</v>
      </c>
      <c r="W90" s="116">
        <f>IF(TrRoad_act!W6=0,0,W21/TrRoad_act!W6*1000)</f>
        <v>58.289720740767628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55.555682892312483</v>
      </c>
      <c r="C91" s="87">
        <f>IF(TrRoad_act!C7=0,0,C22/TrRoad_act!C7*1000)</f>
        <v>57.633065448984318</v>
      </c>
      <c r="D91" s="87">
        <f>IF(TrRoad_act!D7=0,0,D22/TrRoad_act!D7*1000)</f>
        <v>58.444961693275374</v>
      </c>
      <c r="E91" s="87">
        <f>IF(TrRoad_act!E7=0,0,E22/TrRoad_act!E7*1000)</f>
        <v>60.468752238485443</v>
      </c>
      <c r="F91" s="87">
        <f>IF(TrRoad_act!F7=0,0,F22/TrRoad_act!F7*1000)</f>
        <v>61.107427500941768</v>
      </c>
      <c r="G91" s="87">
        <f>IF(TrRoad_act!G7=0,0,G22/TrRoad_act!G7*1000)</f>
        <v>62.471882531475934</v>
      </c>
      <c r="H91" s="87">
        <f>IF(TrRoad_act!H7=0,0,H22/TrRoad_act!H7*1000)</f>
        <v>64.124553481073221</v>
      </c>
      <c r="I91" s="87">
        <f>IF(TrRoad_act!I7=0,0,I22/TrRoad_act!I7*1000)</f>
        <v>65.182004795916001</v>
      </c>
      <c r="J91" s="87">
        <f>IF(TrRoad_act!J7=0,0,J22/TrRoad_act!J7*1000)</f>
        <v>62.527922798866946</v>
      </c>
      <c r="K91" s="87">
        <f>IF(TrRoad_act!K7=0,0,K22/TrRoad_act!K7*1000)</f>
        <v>60.398399731108711</v>
      </c>
      <c r="L91" s="87">
        <f>IF(TrRoad_act!L7=0,0,L22/TrRoad_act!L7*1000)</f>
        <v>59.894171871021356</v>
      </c>
      <c r="M91" s="87">
        <f>IF(TrRoad_act!M7=0,0,M22/TrRoad_act!M7*1000)</f>
        <v>58.913645749927596</v>
      </c>
      <c r="N91" s="87">
        <f>IF(TrRoad_act!N7=0,0,N22/TrRoad_act!N7*1000)</f>
        <v>56.329727661568384</v>
      </c>
      <c r="O91" s="87">
        <f>IF(TrRoad_act!O7=0,0,O22/TrRoad_act!O7*1000)</f>
        <v>57.370112242802357</v>
      </c>
      <c r="P91" s="87">
        <f>IF(TrRoad_act!P7=0,0,P22/TrRoad_act!P7*1000)</f>
        <v>59.783535488517792</v>
      </c>
      <c r="Q91" s="87">
        <f>IF(TrRoad_act!Q7=0,0,Q22/TrRoad_act!Q7*1000)</f>
        <v>59.367475052700904</v>
      </c>
      <c r="R91" s="87">
        <f>IF(TrRoad_act!R7=0,0,R22/TrRoad_act!R7*1000)</f>
        <v>59.846021606872519</v>
      </c>
      <c r="S91" s="87">
        <f>IF(TrRoad_act!S7=0,0,S22/TrRoad_act!S7*1000)</f>
        <v>61.119539243238059</v>
      </c>
      <c r="T91" s="87">
        <f>IF(TrRoad_act!T7=0,0,T22/TrRoad_act!T7*1000)</f>
        <v>61.729873445008394</v>
      </c>
      <c r="U91" s="87">
        <f>IF(TrRoad_act!U7=0,0,U22/TrRoad_act!U7*1000)</f>
        <v>63.267617530382942</v>
      </c>
      <c r="V91" s="87">
        <f>IF(TrRoad_act!V7=0,0,V22/TrRoad_act!V7*1000)</f>
        <v>72.778806985717168</v>
      </c>
      <c r="W91" s="87">
        <f>IF(TrRoad_act!W7=0,0,W22/TrRoad_act!W7*1000)</f>
        <v>73.132506912645738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47.630524415243222</v>
      </c>
      <c r="C92" s="87">
        <f>IF(TrRoad_act!C8=0,0,C24/TrRoad_act!C8*1000)</f>
        <v>47.149105386767779</v>
      </c>
      <c r="D92" s="87">
        <f>IF(TrRoad_act!D8=0,0,D24/TrRoad_act!D8*1000)</f>
        <v>49.260059879344411</v>
      </c>
      <c r="E92" s="87">
        <f>IF(TrRoad_act!E8=0,0,E24/TrRoad_act!E8*1000)</f>
        <v>50.421300158018148</v>
      </c>
      <c r="F92" s="87">
        <f>IF(TrRoad_act!F8=0,0,F24/TrRoad_act!F8*1000)</f>
        <v>50.652108525209151</v>
      </c>
      <c r="G92" s="87">
        <f>IF(TrRoad_act!G8=0,0,G24/TrRoad_act!G8*1000)</f>
        <v>52.560685291969961</v>
      </c>
      <c r="H92" s="87">
        <f>IF(TrRoad_act!H8=0,0,H24/TrRoad_act!H8*1000)</f>
        <v>54.198623692123299</v>
      </c>
      <c r="I92" s="87">
        <f>IF(TrRoad_act!I8=0,0,I24/TrRoad_act!I8*1000)</f>
        <v>55.518638308114241</v>
      </c>
      <c r="J92" s="87">
        <f>IF(TrRoad_act!J8=0,0,J24/TrRoad_act!J8*1000)</f>
        <v>54.736742435398781</v>
      </c>
      <c r="K92" s="87">
        <f>IF(TrRoad_act!K8=0,0,K24/TrRoad_act!K8*1000)</f>
        <v>53.025502761136792</v>
      </c>
      <c r="L92" s="87">
        <f>IF(TrRoad_act!L8=0,0,L24/TrRoad_act!L8*1000)</f>
        <v>53.211688375254482</v>
      </c>
      <c r="M92" s="87">
        <f>IF(TrRoad_act!M8=0,0,M24/TrRoad_act!M8*1000)</f>
        <v>52.657156849574164</v>
      </c>
      <c r="N92" s="87">
        <f>IF(TrRoad_act!N8=0,0,N24/TrRoad_act!N8*1000)</f>
        <v>51.208954765323021</v>
      </c>
      <c r="O92" s="87">
        <f>IF(TrRoad_act!O8=0,0,O24/TrRoad_act!O8*1000)</f>
        <v>51.119780231532786</v>
      </c>
      <c r="P92" s="87">
        <f>IF(TrRoad_act!P8=0,0,P24/TrRoad_act!P8*1000)</f>
        <v>52.956286558507486</v>
      </c>
      <c r="Q92" s="87">
        <f>IF(TrRoad_act!Q8=0,0,Q24/TrRoad_act!Q8*1000)</f>
        <v>52.498284742109597</v>
      </c>
      <c r="R92" s="87">
        <f>IF(TrRoad_act!R8=0,0,R24/TrRoad_act!R8*1000)</f>
        <v>50.304442790283268</v>
      </c>
      <c r="S92" s="87">
        <f>IF(TrRoad_act!S8=0,0,S24/TrRoad_act!S8*1000)</f>
        <v>50.004098609826698</v>
      </c>
      <c r="T92" s="87">
        <f>IF(TrRoad_act!T8=0,0,T24/TrRoad_act!T8*1000)</f>
        <v>49.878123044213204</v>
      </c>
      <c r="U92" s="87">
        <f>IF(TrRoad_act!U8=0,0,U24/TrRoad_act!U8*1000)</f>
        <v>51.03048633150668</v>
      </c>
      <c r="V92" s="87">
        <f>IF(TrRoad_act!V8=0,0,V24/TrRoad_act!V8*1000)</f>
        <v>51.686729911389136</v>
      </c>
      <c r="W92" s="87">
        <f>IF(TrRoad_act!W8=0,0,W24/TrRoad_act!W8*1000)</f>
        <v>53.829298721308454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130.56824450966693</v>
      </c>
      <c r="C93" s="87">
        <f>IF(TrRoad_act!C9=0,0,C26/TrRoad_act!C9*1000)</f>
        <v>131.70570986528321</v>
      </c>
      <c r="D93" s="87">
        <f>IF(TrRoad_act!D9=0,0,D26/TrRoad_act!D9*1000)</f>
        <v>133.7962380082829</v>
      </c>
      <c r="E93" s="87">
        <f>IF(TrRoad_act!E9=0,0,E26/TrRoad_act!E9*1000)</f>
        <v>144.80806625883952</v>
      </c>
      <c r="F93" s="87">
        <f>IF(TrRoad_act!F9=0,0,F26/TrRoad_act!F9*1000)</f>
        <v>163.3070769547584</v>
      </c>
      <c r="G93" s="87">
        <f>IF(TrRoad_act!G9=0,0,G26/TrRoad_act!G9*1000)</f>
        <v>154.14045114683958</v>
      </c>
      <c r="H93" s="87">
        <f>IF(TrRoad_act!H9=0,0,H26/TrRoad_act!H9*1000)</f>
        <v>164.39071414264342</v>
      </c>
      <c r="I93" s="87">
        <f>IF(TrRoad_act!I9=0,0,I26/TrRoad_act!I9*1000)</f>
        <v>209.41349350754552</v>
      </c>
      <c r="J93" s="87">
        <f>IF(TrRoad_act!J9=0,0,J26/TrRoad_act!J9*1000)</f>
        <v>100.61360903570893</v>
      </c>
      <c r="K93" s="87">
        <f>IF(TrRoad_act!K9=0,0,K26/TrRoad_act!K9*1000)</f>
        <v>92.570929480423914</v>
      </c>
      <c r="L93" s="87">
        <f>IF(TrRoad_act!L9=0,0,L26/TrRoad_act!L9*1000)</f>
        <v>97.099464629363226</v>
      </c>
      <c r="M93" s="87">
        <f>IF(TrRoad_act!M9=0,0,M26/TrRoad_act!M9*1000)</f>
        <v>99.936632921569696</v>
      </c>
      <c r="N93" s="87">
        <f>IF(TrRoad_act!N9=0,0,N26/TrRoad_act!N9*1000)</f>
        <v>88.299746593445292</v>
      </c>
      <c r="O93" s="87">
        <f>IF(TrRoad_act!O9=0,0,O26/TrRoad_act!O9*1000)</f>
        <v>100.74644066254658</v>
      </c>
      <c r="P93" s="87">
        <f>IF(TrRoad_act!P9=0,0,P26/TrRoad_act!P9*1000)</f>
        <v>103.24610196731109</v>
      </c>
      <c r="Q93" s="87">
        <f>IF(TrRoad_act!Q9=0,0,Q26/TrRoad_act!Q9*1000)</f>
        <v>112.27530667258823</v>
      </c>
      <c r="R93" s="87">
        <f>IF(TrRoad_act!R9=0,0,R26/TrRoad_act!R9*1000)</f>
        <v>104.81750753849603</v>
      </c>
      <c r="S93" s="87">
        <f>IF(TrRoad_act!S9=0,0,S26/TrRoad_act!S9*1000)</f>
        <v>94.122986833974281</v>
      </c>
      <c r="T93" s="87">
        <f>IF(TrRoad_act!T9=0,0,T26/TrRoad_act!T9*1000)</f>
        <v>66.198668463771668</v>
      </c>
      <c r="U93" s="87">
        <f>IF(TrRoad_act!U9=0,0,U26/TrRoad_act!U9*1000)</f>
        <v>70.323419605022892</v>
      </c>
      <c r="V93" s="87">
        <f>IF(TrRoad_act!V9=0,0,V26/TrRoad_act!V9*1000)</f>
        <v>76.438198343430784</v>
      </c>
      <c r="W93" s="87">
        <f>IF(TrRoad_act!W9=0,0,W26/TrRoad_act!W9*1000)</f>
        <v>71.980105785541525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54.210093813273247</v>
      </c>
      <c r="G94" s="87">
        <f>IF(TrRoad_act!G10=0,0,G27/TrRoad_act!G10*1000)</f>
        <v>56.345161341929639</v>
      </c>
      <c r="H94" s="87">
        <f>IF(TrRoad_act!H10=0,0,H27/TrRoad_act!H10*1000)</f>
        <v>58.009827272483093</v>
      </c>
      <c r="I94" s="87">
        <f>IF(TrRoad_act!I10=0,0,I27/TrRoad_act!I10*1000)</f>
        <v>60.003543278665369</v>
      </c>
      <c r="J94" s="87">
        <f>IF(TrRoad_act!J10=0,0,J27/TrRoad_act!J10*1000)</f>
        <v>60.495510332265702</v>
      </c>
      <c r="K94" s="87">
        <f>IF(TrRoad_act!K10=0,0,K27/TrRoad_act!K10*1000)</f>
        <v>59.874733124304051</v>
      </c>
      <c r="L94" s="87">
        <f>IF(TrRoad_act!L10=0,0,L27/TrRoad_act!L10*1000)</f>
        <v>59.592353203165054</v>
      </c>
      <c r="M94" s="87">
        <f>IF(TrRoad_act!M10=0,0,M27/TrRoad_act!M10*1000)</f>
        <v>59.814223490112973</v>
      </c>
      <c r="N94" s="87">
        <f>IF(TrRoad_act!N10=0,0,N27/TrRoad_act!N10*1000)</f>
        <v>54.288775060261237</v>
      </c>
      <c r="O94" s="87">
        <f>IF(TrRoad_act!O10=0,0,O27/TrRoad_act!O10*1000)</f>
        <v>53.473199751144897</v>
      </c>
      <c r="P94" s="87">
        <f>IF(TrRoad_act!P10=0,0,P27/TrRoad_act!P10*1000)</f>
        <v>55.455543966666873</v>
      </c>
      <c r="Q94" s="87">
        <f>IF(TrRoad_act!Q10=0,0,Q27/TrRoad_act!Q10*1000)</f>
        <v>56.019904949007156</v>
      </c>
      <c r="R94" s="87">
        <f>IF(TrRoad_act!R10=0,0,R27/TrRoad_act!R10*1000)</f>
        <v>51.157851909471916</v>
      </c>
      <c r="S94" s="87">
        <f>IF(TrRoad_act!S10=0,0,S27/TrRoad_act!S10*1000)</f>
        <v>49.355519772192928</v>
      </c>
      <c r="T94" s="87">
        <f>IF(TrRoad_act!T10=0,0,T27/TrRoad_act!T10*1000)</f>
        <v>48.819868472902932</v>
      </c>
      <c r="U94" s="87">
        <f>IF(TrRoad_act!U10=0,0,U27/TrRoad_act!U10*1000)</f>
        <v>47.729464948156483</v>
      </c>
      <c r="V94" s="87">
        <f>IF(TrRoad_act!V10=0,0,V27/TrRoad_act!V10*1000)</f>
        <v>48.60221947631274</v>
      </c>
      <c r="W94" s="87">
        <f>IF(TrRoad_act!W10=0,0,W27/TrRoad_act!W10*1000)</f>
        <v>46.670212706833986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26.586660253070033</v>
      </c>
      <c r="N95" s="87">
        <f>IF(TrRoad_act!N11=0,0,N29/TrRoad_act!N11*1000)</f>
        <v>21.442996836918827</v>
      </c>
      <c r="O95" s="87">
        <f>IF(TrRoad_act!O11=0,0,O29/TrRoad_act!O11*1000)</f>
        <v>26.199739732377878</v>
      </c>
      <c r="P95" s="87">
        <f>IF(TrRoad_act!P11=0,0,P29/TrRoad_act!P11*1000)</f>
        <v>25.842007763491861</v>
      </c>
      <c r="Q95" s="87">
        <f>IF(TrRoad_act!Q11=0,0,Q29/TrRoad_act!Q11*1000)</f>
        <v>25.161858041346004</v>
      </c>
      <c r="R95" s="87">
        <f>IF(TrRoad_act!R11=0,0,R29/TrRoad_act!R11*1000)</f>
        <v>25.918268061704563</v>
      </c>
      <c r="S95" s="87">
        <f>IF(TrRoad_act!S11=0,0,S29/TrRoad_act!S11*1000)</f>
        <v>27.934774555040516</v>
      </c>
      <c r="T95" s="87">
        <f>IF(TrRoad_act!T11=0,0,T29/TrRoad_act!T11*1000)</f>
        <v>28.052887746482082</v>
      </c>
      <c r="U95" s="87">
        <f>IF(TrRoad_act!U11=0,0,U29/TrRoad_act!U11*1000)</f>
        <v>30.760306676691961</v>
      </c>
      <c r="V95" s="87">
        <f>IF(TrRoad_act!V11=0,0,V29/TrRoad_act!V11*1000)</f>
        <v>36.504726027197208</v>
      </c>
      <c r="W95" s="87">
        <f>IF(TrRoad_act!W11=0,0,W29/TrRoad_act!W11*1000)</f>
        <v>32.937661956999591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9.9896169142000435</v>
      </c>
      <c r="L96" s="87">
        <f>IF(TrRoad_act!L12=0,0,L32/TrRoad_act!L12*1000)</f>
        <v>9.9438563754127554</v>
      </c>
      <c r="M96" s="87">
        <f>IF(TrRoad_act!M12=0,0,M32/TrRoad_act!M12*1000)</f>
        <v>10.053791081085985</v>
      </c>
      <c r="N96" s="87">
        <f>IF(TrRoad_act!N12=0,0,N32/TrRoad_act!N12*1000)</f>
        <v>10.100557120243959</v>
      </c>
      <c r="O96" s="87">
        <f>IF(TrRoad_act!O12=0,0,O32/TrRoad_act!O12*1000)</f>
        <v>10.381731900159526</v>
      </c>
      <c r="P96" s="87">
        <f>IF(TrRoad_act!P12=0,0,P32/TrRoad_act!P12*1000)</f>
        <v>10.940585982468868</v>
      </c>
      <c r="Q96" s="87">
        <f>IF(TrRoad_act!Q12=0,0,Q32/TrRoad_act!Q12*1000)</f>
        <v>11.267757929203745</v>
      </c>
      <c r="R96" s="87">
        <f>IF(TrRoad_act!R12=0,0,R32/TrRoad_act!R12*1000)</f>
        <v>10.337082107911536</v>
      </c>
      <c r="S96" s="87">
        <f>IF(TrRoad_act!S12=0,0,S32/TrRoad_act!S12*1000)</f>
        <v>10.376575588724394</v>
      </c>
      <c r="T96" s="87">
        <f>IF(TrRoad_act!T12=0,0,T32/TrRoad_act!T12*1000)</f>
        <v>11.086133008415626</v>
      </c>
      <c r="U96" s="87">
        <f>IF(TrRoad_act!U12=0,0,U32/TrRoad_act!U12*1000)</f>
        <v>12.721902184002568</v>
      </c>
      <c r="V96" s="87">
        <f>IF(TrRoad_act!V12=0,0,V32/TrRoad_act!V12*1000)</f>
        <v>13.816962872650935</v>
      </c>
      <c r="W96" s="87">
        <f>IF(TrRoad_act!W12=0,0,W32/TrRoad_act!W12*1000)</f>
        <v>13.614169776978127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23.533019162205591</v>
      </c>
      <c r="C97" s="116">
        <f>IF(TrRoad_act!C13=0,0,C33/TrRoad_act!C13*1000)</f>
        <v>22.75460732192564</v>
      </c>
      <c r="D97" s="116">
        <f>IF(TrRoad_act!D13=0,0,D33/TrRoad_act!D13*1000)</f>
        <v>23.125092780355736</v>
      </c>
      <c r="E97" s="116">
        <f>IF(TrRoad_act!E13=0,0,E33/TrRoad_act!E13*1000)</f>
        <v>23.341683269886975</v>
      </c>
      <c r="F97" s="116">
        <f>IF(TrRoad_act!F13=0,0,F33/TrRoad_act!F13*1000)</f>
        <v>22.049880519435941</v>
      </c>
      <c r="G97" s="116">
        <f>IF(TrRoad_act!G13=0,0,G33/TrRoad_act!G13*1000)</f>
        <v>21.933453264968875</v>
      </c>
      <c r="H97" s="116">
        <f>IF(TrRoad_act!H13=0,0,H33/TrRoad_act!H13*1000)</f>
        <v>24.58711493886733</v>
      </c>
      <c r="I97" s="116">
        <f>IF(TrRoad_act!I13=0,0,I33/TrRoad_act!I13*1000)</f>
        <v>21.174378610109613</v>
      </c>
      <c r="J97" s="116">
        <f>IF(TrRoad_act!J13=0,0,J33/TrRoad_act!J13*1000)</f>
        <v>20.447313720593144</v>
      </c>
      <c r="K97" s="116">
        <f>IF(TrRoad_act!K13=0,0,K33/TrRoad_act!K13*1000)</f>
        <v>21.573847160879154</v>
      </c>
      <c r="L97" s="116">
        <f>IF(TrRoad_act!L13=0,0,L33/TrRoad_act!L13*1000)</f>
        <v>23.876970945536584</v>
      </c>
      <c r="M97" s="116">
        <f>IF(TrRoad_act!M13=0,0,M33/TrRoad_act!M13*1000)</f>
        <v>21.693023678687435</v>
      </c>
      <c r="N97" s="116">
        <f>IF(TrRoad_act!N13=0,0,N33/TrRoad_act!N13*1000)</f>
        <v>21.766175179169196</v>
      </c>
      <c r="O97" s="116">
        <f>IF(TrRoad_act!O13=0,0,O33/TrRoad_act!O13*1000)</f>
        <v>20.829748944367065</v>
      </c>
      <c r="P97" s="116">
        <f>IF(TrRoad_act!P13=0,0,P33/TrRoad_act!P13*1000)</f>
        <v>28.078245750614258</v>
      </c>
      <c r="Q97" s="116">
        <f>IF(TrRoad_act!Q13=0,0,Q33/TrRoad_act!Q13*1000)</f>
        <v>23.961624072993509</v>
      </c>
      <c r="R97" s="116">
        <f>IF(TrRoad_act!R13=0,0,R33/TrRoad_act!R13*1000)</f>
        <v>23.675682809854731</v>
      </c>
      <c r="S97" s="116">
        <f>IF(TrRoad_act!S13=0,0,S33/TrRoad_act!S13*1000)</f>
        <v>24.123557676098507</v>
      </c>
      <c r="T97" s="116">
        <f>IF(TrRoad_act!T13=0,0,T33/TrRoad_act!T13*1000)</f>
        <v>23.028536232073794</v>
      </c>
      <c r="U97" s="116">
        <f>IF(TrRoad_act!U13=0,0,U33/TrRoad_act!U13*1000)</f>
        <v>23.023601623414006</v>
      </c>
      <c r="V97" s="116">
        <f>IF(TrRoad_act!V13=0,0,V33/TrRoad_act!V13*1000)</f>
        <v>29.296471897881421</v>
      </c>
      <c r="W97" s="116">
        <f>IF(TrRoad_act!W13=0,0,W33/TrRoad_act!W13*1000)</f>
        <v>29.932346496865922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19.054708302566524</v>
      </c>
      <c r="C98" s="101">
        <f>IF(TrRoad_act!C14=0,0,C34/TrRoad_act!C14*1000)</f>
        <v>18.58802494977007</v>
      </c>
      <c r="D98" s="101">
        <f>IF(TrRoad_act!D14=0,0,D34/TrRoad_act!D14*1000)</f>
        <v>18.659702019104632</v>
      </c>
      <c r="E98" s="101">
        <f>IF(TrRoad_act!E14=0,0,E34/TrRoad_act!E14*1000)</f>
        <v>18.872916609462454</v>
      </c>
      <c r="F98" s="101">
        <f>IF(TrRoad_act!F14=0,0,F34/TrRoad_act!F14*1000)</f>
        <v>17.842683495209165</v>
      </c>
      <c r="G98" s="101">
        <f>IF(TrRoad_act!G14=0,0,G34/TrRoad_act!G14*1000)</f>
        <v>17.847693799951685</v>
      </c>
      <c r="H98" s="101">
        <f>IF(TrRoad_act!H14=0,0,H34/TrRoad_act!H14*1000)</f>
        <v>19.945989816468654</v>
      </c>
      <c r="I98" s="101">
        <f>IF(TrRoad_act!I14=0,0,I34/TrRoad_act!I14*1000)</f>
        <v>16.828224951723332</v>
      </c>
      <c r="J98" s="101">
        <f>IF(TrRoad_act!J14=0,0,J34/TrRoad_act!J14*1000)</f>
        <v>16.195932402699395</v>
      </c>
      <c r="K98" s="101">
        <f>IF(TrRoad_act!K14=0,0,K34/TrRoad_act!K14*1000)</f>
        <v>16.926628773697743</v>
      </c>
      <c r="L98" s="101">
        <f>IF(TrRoad_act!L14=0,0,L34/TrRoad_act!L14*1000)</f>
        <v>18.377837624594907</v>
      </c>
      <c r="M98" s="101">
        <f>IF(TrRoad_act!M14=0,0,M34/TrRoad_act!M14*1000)</f>
        <v>16.434799658043541</v>
      </c>
      <c r="N98" s="101">
        <f>IF(TrRoad_act!N14=0,0,N34/TrRoad_act!N14*1000)</f>
        <v>16.255898015468183</v>
      </c>
      <c r="O98" s="101">
        <f>IF(TrRoad_act!O14=0,0,O34/TrRoad_act!O14*1000)</f>
        <v>15.243130845191946</v>
      </c>
      <c r="P98" s="101">
        <f>IF(TrRoad_act!P14=0,0,P34/TrRoad_act!P14*1000)</f>
        <v>20.152896841965578</v>
      </c>
      <c r="Q98" s="101">
        <f>IF(TrRoad_act!Q14=0,0,Q34/TrRoad_act!Q14*1000)</f>
        <v>17.387523035531693</v>
      </c>
      <c r="R98" s="101">
        <f>IF(TrRoad_act!R14=0,0,R34/TrRoad_act!R14*1000)</f>
        <v>16.818417044761187</v>
      </c>
      <c r="S98" s="101">
        <f>IF(TrRoad_act!S14=0,0,S34/TrRoad_act!S14*1000)</f>
        <v>16.663073123934062</v>
      </c>
      <c r="T98" s="101">
        <f>IF(TrRoad_act!T14=0,0,T34/TrRoad_act!T14*1000)</f>
        <v>16.243236844505404</v>
      </c>
      <c r="U98" s="101">
        <f>IF(TrRoad_act!U14=0,0,U34/TrRoad_act!U14*1000)</f>
        <v>16.095013290895576</v>
      </c>
      <c r="V98" s="101">
        <f>IF(TrRoad_act!V14=0,0,V34/TrRoad_act!V14*1000)</f>
        <v>18.55162273659478</v>
      </c>
      <c r="W98" s="101">
        <f>IF(TrRoad_act!W14=0,0,W34/TrRoad_act!W14*1000)</f>
        <v>18.860094893774118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23.496210315760791</v>
      </c>
      <c r="C99" s="101">
        <f>IF(TrRoad_act!C15=0,0,C36/TrRoad_act!C15*1000)</f>
        <v>22.656281908390273</v>
      </c>
      <c r="D99" s="101">
        <f>IF(TrRoad_act!D15=0,0,D36/TrRoad_act!D15*1000)</f>
        <v>22.885033295839158</v>
      </c>
      <c r="E99" s="101">
        <f>IF(TrRoad_act!E15=0,0,E36/TrRoad_act!E15*1000)</f>
        <v>23.16084173452094</v>
      </c>
      <c r="F99" s="101">
        <f>IF(TrRoad_act!F15=0,0,F36/TrRoad_act!F15*1000)</f>
        <v>21.875535601407403</v>
      </c>
      <c r="G99" s="101">
        <f>IF(TrRoad_act!G15=0,0,G36/TrRoad_act!G15*1000)</f>
        <v>21.738326299313186</v>
      </c>
      <c r="H99" s="101">
        <f>IF(TrRoad_act!H15=0,0,H36/TrRoad_act!H15*1000)</f>
        <v>24.347090800531905</v>
      </c>
      <c r="I99" s="101">
        <f>IF(TrRoad_act!I15=0,0,I36/TrRoad_act!I15*1000)</f>
        <v>20.815600628889172</v>
      </c>
      <c r="J99" s="101">
        <f>IF(TrRoad_act!J15=0,0,J36/TrRoad_act!J15*1000)</f>
        <v>20.060514485369072</v>
      </c>
      <c r="K99" s="101">
        <f>IF(TrRoad_act!K15=0,0,K36/TrRoad_act!K15*1000)</f>
        <v>21.0317170548212</v>
      </c>
      <c r="L99" s="101">
        <f>IF(TrRoad_act!L15=0,0,L36/TrRoad_act!L15*1000)</f>
        <v>23.0085197500924</v>
      </c>
      <c r="M99" s="101">
        <f>IF(TrRoad_act!M15=0,0,M36/TrRoad_act!M15*1000)</f>
        <v>20.811631923934357</v>
      </c>
      <c r="N99" s="101">
        <f>IF(TrRoad_act!N15=0,0,N36/TrRoad_act!N15*1000)</f>
        <v>20.827766905606481</v>
      </c>
      <c r="O99" s="101">
        <f>IF(TrRoad_act!O15=0,0,O36/TrRoad_act!O15*1000)</f>
        <v>19.782757112009921</v>
      </c>
      <c r="P99" s="101">
        <f>IF(TrRoad_act!P15=0,0,P36/TrRoad_act!P15*1000)</f>
        <v>26.496103058019241</v>
      </c>
      <c r="Q99" s="101">
        <f>IF(TrRoad_act!Q15=0,0,Q36/TrRoad_act!Q15*1000)</f>
        <v>23.258415067219339</v>
      </c>
      <c r="R99" s="101">
        <f>IF(TrRoad_act!R15=0,0,R36/TrRoad_act!R15*1000)</f>
        <v>22.753476888250606</v>
      </c>
      <c r="S99" s="101">
        <f>IF(TrRoad_act!S15=0,0,S36/TrRoad_act!S15*1000)</f>
        <v>22.979249906286164</v>
      </c>
      <c r="T99" s="101">
        <f>IF(TrRoad_act!T15=0,0,T36/TrRoad_act!T15*1000)</f>
        <v>22.592390730298341</v>
      </c>
      <c r="U99" s="101">
        <f>IF(TrRoad_act!U15=0,0,U36/TrRoad_act!U15*1000)</f>
        <v>22.531600501566295</v>
      </c>
      <c r="V99" s="101">
        <f>IF(TrRoad_act!V15=0,0,V36/TrRoad_act!V15*1000)</f>
        <v>26.189752117536035</v>
      </c>
      <c r="W99" s="101">
        <f>IF(TrRoad_act!W15=0,0,W36/TrRoad_act!W15*1000)</f>
        <v>26.889473147002267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23.003537479559522</v>
      </c>
      <c r="Q100" s="101">
        <f>IF(TrRoad_act!Q16=0,0,Q38/TrRoad_act!Q16*1000)</f>
        <v>20.324659207624478</v>
      </c>
      <c r="R100" s="101">
        <f>IF(TrRoad_act!R16=0,0,R38/TrRoad_act!R16*1000)</f>
        <v>19.795127483447921</v>
      </c>
      <c r="S100" s="101">
        <f>IF(TrRoad_act!S16=0,0,S38/TrRoad_act!S16*1000)</f>
        <v>19.721562084163111</v>
      </c>
      <c r="T100" s="101">
        <f>IF(TrRoad_act!T16=0,0,T38/TrRoad_act!T16*1000)</f>
        <v>19.310397020459572</v>
      </c>
      <c r="U100" s="101">
        <f>IF(TrRoad_act!U16=0,0,U38/TrRoad_act!U16*1000)</f>
        <v>19.247042559654176</v>
      </c>
      <c r="V100" s="101">
        <f>IF(TrRoad_act!V16=0,0,V38/TrRoad_act!V16*1000)</f>
        <v>22.348677468685512</v>
      </c>
      <c r="W100" s="101">
        <f>IF(TrRoad_act!W16=0,0,W38/TrRoad_act!W16*1000)</f>
        <v>22.987125483515428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39.366252775395061</v>
      </c>
      <c r="C101" s="101">
        <f>IF(TrRoad_act!C17=0,0,C39/TrRoad_act!C17*1000)</f>
        <v>57.109592915839116</v>
      </c>
      <c r="D101" s="101">
        <f>IF(TrRoad_act!D17=0,0,D39/TrRoad_act!D17*1000)</f>
        <v>1146.9203608748207</v>
      </c>
      <c r="E101" s="101">
        <f>IF(TrRoad_act!E17=0,0,E39/TrRoad_act!E17*1000)</f>
        <v>60.029149387215682</v>
      </c>
      <c r="F101" s="101">
        <f>IF(TrRoad_act!F17=0,0,F39/TrRoad_act!F17*1000)</f>
        <v>50.082790475979209</v>
      </c>
      <c r="G101" s="101">
        <f>IF(TrRoad_act!G17=0,0,G39/TrRoad_act!G17*1000)</f>
        <v>48.963890977643985</v>
      </c>
      <c r="H101" s="101">
        <f>IF(TrRoad_act!H17=0,0,H39/TrRoad_act!H17*1000)</f>
        <v>55.959133738381269</v>
      </c>
      <c r="I101" s="101">
        <f>IF(TrRoad_act!I17=0,0,I39/TrRoad_act!I17*1000)</f>
        <v>57.540715110993489</v>
      </c>
      <c r="J101" s="101">
        <f>IF(TrRoad_act!J17=0,0,J39/TrRoad_act!J17*1000)</f>
        <v>62.369999667662057</v>
      </c>
      <c r="K101" s="101">
        <f>IF(TrRoad_act!K17=0,0,K39/TrRoad_act!K17*1000)</f>
        <v>78.882414816011618</v>
      </c>
      <c r="L101" s="101">
        <f>IF(TrRoad_act!L17=0,0,L39/TrRoad_act!L17*1000)</f>
        <v>113.61213678714125</v>
      </c>
      <c r="M101" s="101">
        <f>IF(TrRoad_act!M17=0,0,M39/TrRoad_act!M17*1000)</f>
        <v>112.44646691348787</v>
      </c>
      <c r="N101" s="101">
        <f>IF(TrRoad_act!N17=0,0,N39/TrRoad_act!N17*1000)</f>
        <v>116.37200519021661</v>
      </c>
      <c r="O101" s="101">
        <f>IF(TrRoad_act!O17=0,0,O39/TrRoad_act!O17*1000)</f>
        <v>124.26355368472424</v>
      </c>
      <c r="P101" s="101">
        <f>IF(TrRoad_act!P17=0,0,P39/TrRoad_act!P17*1000)</f>
        <v>201.28517446997884</v>
      </c>
      <c r="Q101" s="101">
        <f>IF(TrRoad_act!Q17=0,0,Q39/TrRoad_act!Q17*1000)</f>
        <v>42.160881358103588</v>
      </c>
      <c r="R101" s="101">
        <f>IF(TrRoad_act!R17=0,0,R39/TrRoad_act!R17*1000)</f>
        <v>43.254090711528846</v>
      </c>
      <c r="S101" s="101">
        <f>IF(TrRoad_act!S17=0,0,S39/TrRoad_act!S17*1000)</f>
        <v>34.171730172280498</v>
      </c>
      <c r="T101" s="101">
        <f>IF(TrRoad_act!T17=0,0,T39/TrRoad_act!T17*1000)</f>
        <v>26.954326177041679</v>
      </c>
      <c r="U101" s="101">
        <f>IF(TrRoad_act!U17=0,0,U39/TrRoad_act!U17*1000)</f>
        <v>26.784690457533568</v>
      </c>
      <c r="V101" s="101">
        <f>IF(TrRoad_act!V17=0,0,V39/TrRoad_act!V17*1000)</f>
        <v>44.280408116391371</v>
      </c>
      <c r="W101" s="101">
        <f>IF(TrRoad_act!W17=0,0,W39/TrRoad_act!W17*1000)</f>
        <v>44.513971557693559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0</v>
      </c>
      <c r="P102" s="101">
        <f>IF(TrRoad_act!P18=0,0,P41/TrRoad_act!P18*1000)</f>
        <v>13.682270830818752</v>
      </c>
      <c r="Q102" s="101">
        <f>IF(TrRoad_act!Q18=0,0,Q41/TrRoad_act!Q18*1000)</f>
        <v>12.010934916196721</v>
      </c>
      <c r="R102" s="101">
        <f>IF(TrRoad_act!R18=0,0,R41/TrRoad_act!R18*1000)</f>
        <v>11.726969389583038</v>
      </c>
      <c r="S102" s="101">
        <f>IF(TrRoad_act!S18=0,0,S41/TrRoad_act!S18*1000)</f>
        <v>11.703181607518873</v>
      </c>
      <c r="T102" s="101">
        <f>IF(TrRoad_act!T18=0,0,T41/TrRoad_act!T18*1000)</f>
        <v>11.478175871648491</v>
      </c>
      <c r="U102" s="101">
        <f>IF(TrRoad_act!U18=0,0,U41/TrRoad_act!U18*1000)</f>
        <v>11.42457245041822</v>
      </c>
      <c r="V102" s="101">
        <f>IF(TrRoad_act!V18=0,0,V41/TrRoad_act!V18*1000)</f>
        <v>13.236892528432209</v>
      </c>
      <c r="W102" s="101">
        <f>IF(TrRoad_act!W18=0,0,W41/TrRoad_act!W18*1000)</f>
        <v>13.565749501993304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62.461849380527141</v>
      </c>
      <c r="C103" s="29">
        <f>IF(TrRoad_act!C19=0,0,C42/TrRoad_act!C19*1000)</f>
        <v>63.68551104445924</v>
      </c>
      <c r="D103" s="29">
        <f>IF(TrRoad_act!D19=0,0,D42/TrRoad_act!D19*1000)</f>
        <v>57.696154290221259</v>
      </c>
      <c r="E103" s="29">
        <f>IF(TrRoad_act!E19=0,0,E42/TrRoad_act!E19*1000)</f>
        <v>57.583199574468701</v>
      </c>
      <c r="F103" s="29">
        <f>IF(TrRoad_act!F19=0,0,F42/TrRoad_act!F19*1000)</f>
        <v>53.996035815094729</v>
      </c>
      <c r="G103" s="29">
        <f>IF(TrRoad_act!G19=0,0,G42/TrRoad_act!G19*1000)</f>
        <v>51.27033363210144</v>
      </c>
      <c r="H103" s="29">
        <f>IF(TrRoad_act!H19=0,0,H42/TrRoad_act!H19*1000)</f>
        <v>50.050325666801733</v>
      </c>
      <c r="I103" s="29">
        <f>IF(TrRoad_act!I19=0,0,I42/TrRoad_act!I19*1000)</f>
        <v>48.565514357744625</v>
      </c>
      <c r="J103" s="29">
        <f>IF(TrRoad_act!J19=0,0,J42/TrRoad_act!J19*1000)</f>
        <v>48.611305222685303</v>
      </c>
      <c r="K103" s="29">
        <f>IF(TrRoad_act!K19=0,0,K42/TrRoad_act!K19*1000)</f>
        <v>48.064648551656234</v>
      </c>
      <c r="L103" s="29">
        <f>IF(TrRoad_act!L19=0,0,L42/TrRoad_act!L19*1000)</f>
        <v>47.782538295239767</v>
      </c>
      <c r="M103" s="29">
        <f>IF(TrRoad_act!M19=0,0,M42/TrRoad_act!M19*1000)</f>
        <v>46.091510759506313</v>
      </c>
      <c r="N103" s="29">
        <f>IF(TrRoad_act!N19=0,0,N42/TrRoad_act!N19*1000)</f>
        <v>42.492201477086937</v>
      </c>
      <c r="O103" s="29">
        <f>IF(TrRoad_act!O19=0,0,O42/TrRoad_act!O19*1000)</f>
        <v>42.219733925009159</v>
      </c>
      <c r="P103" s="29">
        <f>IF(TrRoad_act!P19=0,0,P42/TrRoad_act!P19*1000)</f>
        <v>42.501483698637735</v>
      </c>
      <c r="Q103" s="29">
        <f>IF(TrRoad_act!Q19=0,0,Q42/TrRoad_act!Q19*1000)</f>
        <v>41.954081456265243</v>
      </c>
      <c r="R103" s="29">
        <f>IF(TrRoad_act!R19=0,0,R42/TrRoad_act!R19*1000)</f>
        <v>43.726109152806444</v>
      </c>
      <c r="S103" s="29">
        <f>IF(TrRoad_act!S19=0,0,S42/TrRoad_act!S19*1000)</f>
        <v>45.388130083344521</v>
      </c>
      <c r="T103" s="29">
        <f>IF(TrRoad_act!T19=0,0,T42/TrRoad_act!T19*1000)</f>
        <v>45.250341591163284</v>
      </c>
      <c r="U103" s="29">
        <f>IF(TrRoad_act!U19=0,0,U42/TrRoad_act!U19*1000)</f>
        <v>41.872074065834965</v>
      </c>
      <c r="V103" s="29">
        <f>IF(TrRoad_act!V19=0,0,V42/TrRoad_act!V19*1000)</f>
        <v>37.66860571308127</v>
      </c>
      <c r="W103" s="29">
        <f>IF(TrRoad_act!W19=0,0,W42/TrRoad_act!W19*1000)</f>
        <v>40.759574832717739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347.90710648021297</v>
      </c>
      <c r="C104" s="152">
        <f>IF(TrRoad_act!C20=0,0,C43/TrRoad_act!C20*1000)</f>
        <v>346.27626643350834</v>
      </c>
      <c r="D104" s="152">
        <f>IF(TrRoad_act!D20=0,0,D43/TrRoad_act!D20*1000)</f>
        <v>332.70558680632746</v>
      </c>
      <c r="E104" s="152">
        <f>IF(TrRoad_act!E20=0,0,E43/TrRoad_act!E20*1000)</f>
        <v>322.09923411512727</v>
      </c>
      <c r="F104" s="152">
        <f>IF(TrRoad_act!F20=0,0,F43/TrRoad_act!F20*1000)</f>
        <v>304.87613235152156</v>
      </c>
      <c r="G104" s="152">
        <f>IF(TrRoad_act!G20=0,0,G43/TrRoad_act!G20*1000)</f>
        <v>288.8029201788388</v>
      </c>
      <c r="H104" s="152">
        <f>IF(TrRoad_act!H20=0,0,H43/TrRoad_act!H20*1000)</f>
        <v>282.748541167719</v>
      </c>
      <c r="I104" s="152">
        <f>IF(TrRoad_act!I20=0,0,I43/TrRoad_act!I20*1000)</f>
        <v>267.86168787912891</v>
      </c>
      <c r="J104" s="152">
        <f>IF(TrRoad_act!J20=0,0,J43/TrRoad_act!J20*1000)</f>
        <v>260.20440009952802</v>
      </c>
      <c r="K104" s="152">
        <f>IF(TrRoad_act!K20=0,0,K43/TrRoad_act!K20*1000)</f>
        <v>248.79969494643419</v>
      </c>
      <c r="L104" s="152">
        <f>IF(TrRoad_act!L20=0,0,L43/TrRoad_act!L20*1000)</f>
        <v>246.21192104099592</v>
      </c>
      <c r="M104" s="152">
        <f>IF(TrRoad_act!M20=0,0,M43/TrRoad_act!M20*1000)</f>
        <v>245.7117538837081</v>
      </c>
      <c r="N104" s="152">
        <f>IF(TrRoad_act!N20=0,0,N43/TrRoad_act!N20*1000)</f>
        <v>245.95818040957957</v>
      </c>
      <c r="O104" s="152">
        <f>IF(TrRoad_act!O20=0,0,O43/TrRoad_act!O20*1000)</f>
        <v>246.33889372969978</v>
      </c>
      <c r="P104" s="152">
        <f>IF(TrRoad_act!P20=0,0,P43/TrRoad_act!P20*1000)</f>
        <v>241.7684983228275</v>
      </c>
      <c r="Q104" s="152">
        <f>IF(TrRoad_act!Q20=0,0,Q43/TrRoad_act!Q20*1000)</f>
        <v>237.44615405605074</v>
      </c>
      <c r="R104" s="152">
        <f>IF(TrRoad_act!R20=0,0,R43/TrRoad_act!R20*1000)</f>
        <v>235.58890518276837</v>
      </c>
      <c r="S104" s="152">
        <f>IF(TrRoad_act!S20=0,0,S43/TrRoad_act!S20*1000)</f>
        <v>236.59336334367649</v>
      </c>
      <c r="T104" s="152">
        <f>IF(TrRoad_act!T20=0,0,T43/TrRoad_act!T20*1000)</f>
        <v>234.22897498695338</v>
      </c>
      <c r="U104" s="152">
        <f>IF(TrRoad_act!U20=0,0,U43/TrRoad_act!U20*1000)</f>
        <v>233.19603147794999</v>
      </c>
      <c r="V104" s="152">
        <f>IF(TrRoad_act!V20=0,0,V43/TrRoad_act!V20*1000)</f>
        <v>226.58272667283336</v>
      </c>
      <c r="W104" s="152">
        <f>IF(TrRoad_act!W20=0,0,W43/TrRoad_act!W20*1000)</f>
        <v>230.45300595128577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388.9056297294261</v>
      </c>
      <c r="C105" s="87">
        <f>IF(TrRoad_act!C21=0,0,C44/TrRoad_act!C21*1000)</f>
        <v>399.89936870413635</v>
      </c>
      <c r="D105" s="87">
        <f>IF(TrRoad_act!D21=0,0,D44/TrRoad_act!D21*1000)</f>
        <v>399.07230661383977</v>
      </c>
      <c r="E105" s="87">
        <f>IF(TrRoad_act!E21=0,0,E44/TrRoad_act!E21*1000)</f>
        <v>402.64419416442348</v>
      </c>
      <c r="F105" s="87">
        <f>IF(TrRoad_act!F21=0,0,F44/TrRoad_act!F21*1000)</f>
        <v>400.19565213944486</v>
      </c>
      <c r="G105" s="87">
        <f>IF(TrRoad_act!G21=0,0,G44/TrRoad_act!G21*1000)</f>
        <v>390.91509181203253</v>
      </c>
      <c r="H105" s="87">
        <f>IF(TrRoad_act!H21=0,0,H44/TrRoad_act!H21*1000)</f>
        <v>392.92484833609524</v>
      </c>
      <c r="I105" s="87">
        <f>IF(TrRoad_act!I21=0,0,I44/TrRoad_act!I21*1000)</f>
        <v>390.11388635041789</v>
      </c>
      <c r="J105" s="87">
        <f>IF(TrRoad_act!J21=0,0,J44/TrRoad_act!J21*1000)</f>
        <v>386.7706038295853</v>
      </c>
      <c r="K105" s="87">
        <f>IF(TrRoad_act!K21=0,0,K44/TrRoad_act!K21*1000)</f>
        <v>385.98399415005713</v>
      </c>
      <c r="L105" s="87">
        <f>IF(TrRoad_act!L21=0,0,L44/TrRoad_act!L21*1000)</f>
        <v>387.19307906057378</v>
      </c>
      <c r="M105" s="87">
        <f>IF(TrRoad_act!M21=0,0,M44/TrRoad_act!M21*1000)</f>
        <v>381.2062613278045</v>
      </c>
      <c r="N105" s="87">
        <f>IF(TrRoad_act!N21=0,0,N44/TrRoad_act!N21*1000)</f>
        <v>356.09963003590093</v>
      </c>
      <c r="O105" s="87">
        <f>IF(TrRoad_act!O21=0,0,O44/TrRoad_act!O21*1000)</f>
        <v>339.65739451612302</v>
      </c>
      <c r="P105" s="87">
        <f>IF(TrRoad_act!P21=0,0,P44/TrRoad_act!P21*1000)</f>
        <v>322.03383545507114</v>
      </c>
      <c r="Q105" s="87">
        <f>IF(TrRoad_act!Q21=0,0,Q44/TrRoad_act!Q21*1000)</f>
        <v>314.8129185381249</v>
      </c>
      <c r="R105" s="87">
        <f>IF(TrRoad_act!R21=0,0,R44/TrRoad_act!R21*1000)</f>
        <v>300.12102219147727</v>
      </c>
      <c r="S105" s="87">
        <f>IF(TrRoad_act!S21=0,0,S44/TrRoad_act!S21*1000)</f>
        <v>283.17852823686633</v>
      </c>
      <c r="T105" s="87">
        <f>IF(TrRoad_act!T21=0,0,T44/TrRoad_act!T21*1000)</f>
        <v>269.55406778804985</v>
      </c>
      <c r="U105" s="87">
        <f>IF(TrRoad_act!U21=0,0,U44/TrRoad_act!U21*1000)</f>
        <v>264.04918560472566</v>
      </c>
      <c r="V105" s="87">
        <f>IF(TrRoad_act!V21=0,0,V44/TrRoad_act!V21*1000)</f>
        <v>249.78717567539852</v>
      </c>
      <c r="W105" s="87">
        <f>IF(TrRoad_act!W21=0,0,W44/TrRoad_act!W21*1000)</f>
        <v>255.52701407727994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344.64218351840822</v>
      </c>
      <c r="C106" s="87">
        <f>IF(TrRoad_act!C22=0,0,C46/TrRoad_act!C22*1000)</f>
        <v>342.51010254624714</v>
      </c>
      <c r="D106" s="87">
        <f>IF(TrRoad_act!D22=0,0,D46/TrRoad_act!D22*1000)</f>
        <v>329.15154101200642</v>
      </c>
      <c r="E106" s="87">
        <f>IF(TrRoad_act!E22=0,0,E46/TrRoad_act!E22*1000)</f>
        <v>318.62496385700297</v>
      </c>
      <c r="F106" s="87">
        <f>IF(TrRoad_act!F22=0,0,F46/TrRoad_act!F22*1000)</f>
        <v>301.6146904515881</v>
      </c>
      <c r="G106" s="87">
        <f>IF(TrRoad_act!G22=0,0,G46/TrRoad_act!G22*1000)</f>
        <v>286.01300142477135</v>
      </c>
      <c r="H106" s="87">
        <f>IF(TrRoad_act!H22=0,0,H46/TrRoad_act!H22*1000)</f>
        <v>280.30082368028621</v>
      </c>
      <c r="I106" s="87">
        <f>IF(TrRoad_act!I22=0,0,I46/TrRoad_act!I22*1000)</f>
        <v>265.77716076895445</v>
      </c>
      <c r="J106" s="87">
        <f>IF(TrRoad_act!J22=0,0,J46/TrRoad_act!J22*1000)</f>
        <v>258.30555582145274</v>
      </c>
      <c r="K106" s="87">
        <f>IF(TrRoad_act!K22=0,0,K46/TrRoad_act!K22*1000)</f>
        <v>246.74717971171594</v>
      </c>
      <c r="L106" s="87">
        <f>IF(TrRoad_act!L22=0,0,L46/TrRoad_act!L22*1000)</f>
        <v>244.21646734015081</v>
      </c>
      <c r="M106" s="87">
        <f>IF(TrRoad_act!M22=0,0,M46/TrRoad_act!M22*1000)</f>
        <v>243.71723139641409</v>
      </c>
      <c r="N106" s="87">
        <f>IF(TrRoad_act!N22=0,0,N46/TrRoad_act!N22*1000)</f>
        <v>244.14997254251156</v>
      </c>
      <c r="O106" s="87">
        <f>IF(TrRoad_act!O22=0,0,O46/TrRoad_act!O22*1000)</f>
        <v>244.75109141962113</v>
      </c>
      <c r="P106" s="87">
        <f>IF(TrRoad_act!P22=0,0,P46/TrRoad_act!P22*1000)</f>
        <v>240.81317090803543</v>
      </c>
      <c r="Q106" s="87">
        <f>IF(TrRoad_act!Q22=0,0,Q46/TrRoad_act!Q22*1000)</f>
        <v>236.54076884927539</v>
      </c>
      <c r="R106" s="87">
        <f>IF(TrRoad_act!R22=0,0,R46/TrRoad_act!R22*1000)</f>
        <v>234.81788700326746</v>
      </c>
      <c r="S106" s="87">
        <f>IF(TrRoad_act!S22=0,0,S46/TrRoad_act!S22*1000)</f>
        <v>235.99992858495489</v>
      </c>
      <c r="T106" s="87">
        <f>IF(TrRoad_act!T22=0,0,T46/TrRoad_act!T22*1000)</f>
        <v>233.84166649824766</v>
      </c>
      <c r="U106" s="87">
        <f>IF(TrRoad_act!U22=0,0,U46/TrRoad_act!U22*1000)</f>
        <v>232.92908280985836</v>
      </c>
      <c r="V106" s="87">
        <f>IF(TrRoad_act!V22=0,0,V46/TrRoad_act!V22*1000)</f>
        <v>226.46321560684626</v>
      </c>
      <c r="W106" s="87">
        <f>IF(TrRoad_act!W22=0,0,W46/TrRoad_act!W22*1000)</f>
        <v>230.27664272601297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404.44480232139216</v>
      </c>
      <c r="P107" s="87">
        <f>IF(TrRoad_act!P23=0,0,P48/TrRoad_act!P23*1000)</f>
        <v>273.34916494789474</v>
      </c>
      <c r="Q107" s="87">
        <f>IF(TrRoad_act!Q23=0,0,Q48/TrRoad_act!Q23*1000)</f>
        <v>296.34313759372185</v>
      </c>
      <c r="R107" s="87">
        <f>IF(TrRoad_act!R23=0,0,R48/TrRoad_act!R23*1000)</f>
        <v>398.66172548601065</v>
      </c>
      <c r="S107" s="87">
        <f>IF(TrRoad_act!S23=0,0,S48/TrRoad_act!S23*1000)</f>
        <v>357.3711953196551</v>
      </c>
      <c r="T107" s="87">
        <f>IF(TrRoad_act!T23=0,0,T48/TrRoad_act!T23*1000)</f>
        <v>298.7629497976875</v>
      </c>
      <c r="U107" s="87">
        <f>IF(TrRoad_act!U23=0,0,U48/TrRoad_act!U23*1000)</f>
        <v>246.88107176946443</v>
      </c>
      <c r="V107" s="87">
        <f>IF(TrRoad_act!V23=0,0,V48/TrRoad_act!V23*1000)</f>
        <v>241.6484194543192</v>
      </c>
      <c r="W107" s="87">
        <f>IF(TrRoad_act!W23=0,0,W48/TrRoad_act!W23*1000)</f>
        <v>247.27490348513069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462.83654779751316</v>
      </c>
      <c r="O108" s="87">
        <f>IF(TrRoad_act!O24=0,0,O49/TrRoad_act!O24*1000)</f>
        <v>479.58351246422689</v>
      </c>
      <c r="P108" s="87">
        <f>IF(TrRoad_act!P24=0,0,P49/TrRoad_act!P24*1000)</f>
        <v>380.73815524622955</v>
      </c>
      <c r="Q108" s="87">
        <f>IF(TrRoad_act!Q24=0,0,Q49/TrRoad_act!Q24*1000)</f>
        <v>387.83788699083806</v>
      </c>
      <c r="R108" s="87">
        <f>IF(TrRoad_act!R24=0,0,R49/TrRoad_act!R24*1000)</f>
        <v>346.4143720547064</v>
      </c>
      <c r="S108" s="87">
        <f>IF(TrRoad_act!S24=0,0,S49/TrRoad_act!S24*1000)</f>
        <v>329.21376849976195</v>
      </c>
      <c r="T108" s="87">
        <f>IF(TrRoad_act!T24=0,0,T49/TrRoad_act!T24*1000)</f>
        <v>279.3044159358916</v>
      </c>
      <c r="U108" s="87">
        <f>IF(TrRoad_act!U24=0,0,U49/TrRoad_act!U24*1000)</f>
        <v>273.98011771821058</v>
      </c>
      <c r="V108" s="87">
        <f>IF(TrRoad_act!V24=0,0,V49/TrRoad_act!V24*1000)</f>
        <v>281.18792166401613</v>
      </c>
      <c r="W108" s="87">
        <f>IF(TrRoad_act!W24=0,0,W49/TrRoad_act!W24*1000)</f>
        <v>299.91487807559781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46.247981925404396</v>
      </c>
      <c r="N109" s="87">
        <f>IF(TrRoad_act!N25=0,0,N51/TrRoad_act!N25*1000)</f>
        <v>46.132227149953948</v>
      </c>
      <c r="O109" s="87">
        <f>IF(TrRoad_act!O25=0,0,O51/TrRoad_act!O25*1000)</f>
        <v>51.600995958708204</v>
      </c>
      <c r="P109" s="87">
        <f>IF(TrRoad_act!P25=0,0,P51/TrRoad_act!P25*1000)</f>
        <v>52.957158846149795</v>
      </c>
      <c r="Q109" s="87">
        <f>IF(TrRoad_act!Q25=0,0,Q51/TrRoad_act!Q25*1000)</f>
        <v>53.187259209112987</v>
      </c>
      <c r="R109" s="87">
        <f>IF(TrRoad_act!R25=0,0,R51/TrRoad_act!R25*1000)</f>
        <v>53.14184629031358</v>
      </c>
      <c r="S109" s="87">
        <f>IF(TrRoad_act!S25=0,0,S51/TrRoad_act!S25*1000)</f>
        <v>53.261697163743484</v>
      </c>
      <c r="T109" s="87">
        <f>IF(TrRoad_act!T25=0,0,T51/TrRoad_act!T25*1000)</f>
        <v>55.832219707887589</v>
      </c>
      <c r="U109" s="87">
        <f>IF(TrRoad_act!U25=0,0,U51/TrRoad_act!U25*1000)</f>
        <v>58.001105307283815</v>
      </c>
      <c r="V109" s="87">
        <f>IF(TrRoad_act!V25=0,0,V51/TrRoad_act!V25*1000)</f>
        <v>60.135117310229809</v>
      </c>
      <c r="W109" s="87">
        <f>IF(TrRoad_act!W25=0,0,W51/TrRoad_act!W25*1000)</f>
        <v>64.032591209954205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46.14565054853724</v>
      </c>
      <c r="C110" s="116">
        <f>IF(TrRoad_act!C26=0,0,C52/TrRoad_act!C26*1000)</f>
        <v>45.585620547826011</v>
      </c>
      <c r="D110" s="116">
        <f>IF(TrRoad_act!D26=0,0,D52/TrRoad_act!D26*1000)</f>
        <v>42.975859106485224</v>
      </c>
      <c r="E110" s="116">
        <f>IF(TrRoad_act!E26=0,0,E52/TrRoad_act!E26*1000)</f>
        <v>43.049664383802202</v>
      </c>
      <c r="F110" s="116">
        <f>IF(TrRoad_act!F26=0,0,F52/TrRoad_act!F26*1000)</f>
        <v>40.999138359565137</v>
      </c>
      <c r="G110" s="116">
        <f>IF(TrRoad_act!G26=0,0,G52/TrRoad_act!G26*1000)</f>
        <v>40.222084702953801</v>
      </c>
      <c r="H110" s="116">
        <f>IF(TrRoad_act!H26=0,0,H52/TrRoad_act!H26*1000)</f>
        <v>39.068657824544353</v>
      </c>
      <c r="I110" s="116">
        <f>IF(TrRoad_act!I26=0,0,I52/TrRoad_act!I26*1000)</f>
        <v>37.292679842257542</v>
      </c>
      <c r="J110" s="116">
        <f>IF(TrRoad_act!J26=0,0,J52/TrRoad_act!J26*1000)</f>
        <v>37.643868188555018</v>
      </c>
      <c r="K110" s="116">
        <f>IF(TrRoad_act!K26=0,0,K52/TrRoad_act!K26*1000)</f>
        <v>37.584925934686204</v>
      </c>
      <c r="L110" s="116">
        <f>IF(TrRoad_act!L26=0,0,L52/TrRoad_act!L26*1000)</f>
        <v>37.201431340979489</v>
      </c>
      <c r="M110" s="116">
        <f>IF(TrRoad_act!M26=0,0,M52/TrRoad_act!M26*1000)</f>
        <v>35.413809917775211</v>
      </c>
      <c r="N110" s="116">
        <f>IF(TrRoad_act!N26=0,0,N52/TrRoad_act!N26*1000)</f>
        <v>31.850175333820438</v>
      </c>
      <c r="O110" s="116">
        <f>IF(TrRoad_act!O26=0,0,O52/TrRoad_act!O26*1000)</f>
        <v>31.366803630388006</v>
      </c>
      <c r="P110" s="116">
        <f>IF(TrRoad_act!P26=0,0,P52/TrRoad_act!P26*1000)</f>
        <v>32.066697527082191</v>
      </c>
      <c r="Q110" s="116">
        <f>IF(TrRoad_act!Q26=0,0,Q52/TrRoad_act!Q26*1000)</f>
        <v>31.842078068156614</v>
      </c>
      <c r="R110" s="116">
        <f>IF(TrRoad_act!R26=0,0,R52/TrRoad_act!R26*1000)</f>
        <v>34.572229862787616</v>
      </c>
      <c r="S110" s="116">
        <f>IF(TrRoad_act!S26=0,0,S52/TrRoad_act!S26*1000)</f>
        <v>36.203454432312505</v>
      </c>
      <c r="T110" s="116">
        <f>IF(TrRoad_act!T26=0,0,T52/TrRoad_act!T26*1000)</f>
        <v>36.21706369125674</v>
      </c>
      <c r="U110" s="116">
        <f>IF(TrRoad_act!U26=0,0,U52/TrRoad_act!U26*1000)</f>
        <v>33.032795263970407</v>
      </c>
      <c r="V110" s="116">
        <f>IF(TrRoad_act!V26=0,0,V52/TrRoad_act!V26*1000)</f>
        <v>31.586810974605978</v>
      </c>
      <c r="W110" s="116">
        <f>IF(TrRoad_act!W26=0,0,W52/TrRoad_act!W26*1000)</f>
        <v>32.90303265629823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48.452841717607512</v>
      </c>
      <c r="C111" s="101">
        <f>IF(TrRoad_act!C27=0,0,C53/TrRoad_act!C27*1000)</f>
        <v>48.104356030094237</v>
      </c>
      <c r="D111" s="101">
        <f>IF(TrRoad_act!D27=0,0,D53/TrRoad_act!D27*1000)</f>
        <v>45.343946747968715</v>
      </c>
      <c r="E111" s="101">
        <f>IF(TrRoad_act!E27=0,0,E53/TrRoad_act!E27*1000)</f>
        <v>45.277594140248901</v>
      </c>
      <c r="F111" s="101">
        <f>IF(TrRoad_act!F27=0,0,F53/TrRoad_act!F27*1000)</f>
        <v>43.096849633684201</v>
      </c>
      <c r="G111" s="101">
        <f>IF(TrRoad_act!G27=0,0,G53/TrRoad_act!G27*1000)</f>
        <v>42.194325314100681</v>
      </c>
      <c r="H111" s="101">
        <f>IF(TrRoad_act!H27=0,0,H53/TrRoad_act!H27*1000)</f>
        <v>41.001476235686795</v>
      </c>
      <c r="I111" s="101">
        <f>IF(TrRoad_act!I27=0,0,I53/TrRoad_act!I27*1000)</f>
        <v>38.979361538817429</v>
      </c>
      <c r="J111" s="101">
        <f>IF(TrRoad_act!J27=0,0,J53/TrRoad_act!J27*1000)</f>
        <v>39.201230800622568</v>
      </c>
      <c r="K111" s="101">
        <f>IF(TrRoad_act!K27=0,0,K53/TrRoad_act!K27*1000)</f>
        <v>39.254971627627825</v>
      </c>
      <c r="L111" s="101">
        <f>IF(TrRoad_act!L27=0,0,L53/TrRoad_act!L27*1000)</f>
        <v>38.970004755963942</v>
      </c>
      <c r="M111" s="101">
        <f>IF(TrRoad_act!M27=0,0,M53/TrRoad_act!M27*1000)</f>
        <v>37.036566484404638</v>
      </c>
      <c r="N111" s="101">
        <f>IF(TrRoad_act!N27=0,0,N53/TrRoad_act!N27*1000)</f>
        <v>33.31116416403237</v>
      </c>
      <c r="O111" s="101">
        <f>IF(TrRoad_act!O27=0,0,O53/TrRoad_act!O27*1000)</f>
        <v>32.779668042337121</v>
      </c>
      <c r="P111" s="101">
        <f>IF(TrRoad_act!P27=0,0,P53/TrRoad_act!P27*1000)</f>
        <v>33.602929301874035</v>
      </c>
      <c r="Q111" s="101">
        <f>IF(TrRoad_act!Q27=0,0,Q53/TrRoad_act!Q27*1000)</f>
        <v>33.214959655676054</v>
      </c>
      <c r="R111" s="101">
        <f>IF(TrRoad_act!R27=0,0,R53/TrRoad_act!R27*1000)</f>
        <v>35.876145807667434</v>
      </c>
      <c r="S111" s="101">
        <f>IF(TrRoad_act!S27=0,0,S53/TrRoad_act!S27*1000)</f>
        <v>37.432322262969201</v>
      </c>
      <c r="T111" s="101">
        <f>IF(TrRoad_act!T27=0,0,T53/TrRoad_act!T27*1000)</f>
        <v>37.3831673681563</v>
      </c>
      <c r="U111" s="101">
        <f>IF(TrRoad_act!U27=0,0,U53/TrRoad_act!U27*1000)</f>
        <v>33.968159315369874</v>
      </c>
      <c r="V111" s="101">
        <f>IF(TrRoad_act!V27=0,0,V53/TrRoad_act!V27*1000)</f>
        <v>32.245982913470229</v>
      </c>
      <c r="W111" s="101">
        <f>IF(TrRoad_act!W27=0,0,W53/TrRoad_act!W27*1000)</f>
        <v>33.489898358353713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38.437221726880374</v>
      </c>
      <c r="C112" s="88">
        <f>IF(TrRoad_act!C28=0,0,C55/TrRoad_act!C28*1000)</f>
        <v>37.210471165597113</v>
      </c>
      <c r="D112" s="88">
        <f>IF(TrRoad_act!D28=0,0,D55/TrRoad_act!D28*1000)</f>
        <v>34.5289085610002</v>
      </c>
      <c r="E112" s="88">
        <f>IF(TrRoad_act!E28=0,0,E55/TrRoad_act!E28*1000)</f>
        <v>34.6911315155008</v>
      </c>
      <c r="F112" s="88">
        <f>IF(TrRoad_act!F28=0,0,F55/TrRoad_act!F28*1000)</f>
        <v>33.405320010033158</v>
      </c>
      <c r="G112" s="88">
        <f>IF(TrRoad_act!G28=0,0,G55/TrRoad_act!G28*1000)</f>
        <v>32.820443145111675</v>
      </c>
      <c r="H112" s="88">
        <f>IF(TrRoad_act!H28=0,0,H55/TrRoad_act!H28*1000)</f>
        <v>31.658968594618308</v>
      </c>
      <c r="I112" s="88">
        <f>IF(TrRoad_act!I28=0,0,I55/TrRoad_act!I28*1000)</f>
        <v>30.401693990074975</v>
      </c>
      <c r="J112" s="88">
        <f>IF(TrRoad_act!J28=0,0,J55/TrRoad_act!J28*1000)</f>
        <v>31.168967603214917</v>
      </c>
      <c r="K112" s="88">
        <f>IF(TrRoad_act!K28=0,0,K55/TrRoad_act!K28*1000)</f>
        <v>31.010894785631901</v>
      </c>
      <c r="L112" s="88">
        <f>IF(TrRoad_act!L28=0,0,L55/TrRoad_act!L28*1000)</f>
        <v>30.434307630835264</v>
      </c>
      <c r="M112" s="88">
        <f>IF(TrRoad_act!M28=0,0,M55/TrRoad_act!M28*1000)</f>
        <v>29.262466613339519</v>
      </c>
      <c r="N112" s="88">
        <f>IF(TrRoad_act!N28=0,0,N55/TrRoad_act!N28*1000)</f>
        <v>26.497407576344731</v>
      </c>
      <c r="O112" s="88">
        <f>IF(TrRoad_act!O28=0,0,O55/TrRoad_act!O28*1000)</f>
        <v>26.779998884488172</v>
      </c>
      <c r="P112" s="88">
        <f>IF(TrRoad_act!P28=0,0,P55/TrRoad_act!P28*1000)</f>
        <v>27.012618812166377</v>
      </c>
      <c r="Q112" s="88">
        <f>IF(TrRoad_act!Q28=0,0,Q55/TrRoad_act!Q28*1000)</f>
        <v>27.2195800846178</v>
      </c>
      <c r="R112" s="88">
        <f>IF(TrRoad_act!R28=0,0,R55/TrRoad_act!R28*1000)</f>
        <v>30.040535352362376</v>
      </c>
      <c r="S112" s="88">
        <f>IF(TrRoad_act!S28=0,0,S55/TrRoad_act!S28*1000)</f>
        <v>31.813147040725514</v>
      </c>
      <c r="T112" s="88">
        <f>IF(TrRoad_act!T28=0,0,T55/TrRoad_act!T28*1000)</f>
        <v>32.12369005238876</v>
      </c>
      <c r="U112" s="88">
        <f>IF(TrRoad_act!U28=0,0,U55/TrRoad_act!U28*1000)</f>
        <v>29.716495450578247</v>
      </c>
      <c r="V112" s="88">
        <f>IF(TrRoad_act!V28=0,0,V55/TrRoad_act!V28*1000)</f>
        <v>29.12183230614562</v>
      </c>
      <c r="W112" s="88">
        <f>IF(TrRoad_act!W28=0,0,W55/TrRoad_act!W28*1000)</f>
        <v>30.700629637206585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116.12642535035836</v>
      </c>
      <c r="C116" s="152">
        <f>IF(C19=0,0,1000000*C19/TrRoad_act!C59)</f>
        <v>120.9475819689232</v>
      </c>
      <c r="D116" s="152">
        <f>IF(D19=0,0,1000000*D19/TrRoad_act!D59)</f>
        <v>102.17916275061837</v>
      </c>
      <c r="E116" s="152">
        <f>IF(E19=0,0,1000000*E19/TrRoad_act!E59)</f>
        <v>111.90517959165558</v>
      </c>
      <c r="F116" s="152">
        <f>IF(F19=0,0,1000000*F19/TrRoad_act!F59)</f>
        <v>102.49690652542861</v>
      </c>
      <c r="G116" s="152">
        <f>IF(G19=0,0,1000000*G19/TrRoad_act!G59)</f>
        <v>109.52762474215685</v>
      </c>
      <c r="H116" s="152">
        <f>IF(H19=0,0,1000000*H19/TrRoad_act!H59)</f>
        <v>104.06999721061699</v>
      </c>
      <c r="I116" s="152">
        <f>IF(I19=0,0,1000000*I19/TrRoad_act!I59)</f>
        <v>109.10968936399392</v>
      </c>
      <c r="J116" s="152">
        <f>IF(J19=0,0,1000000*J19/TrRoad_act!J59)</f>
        <v>105.341684732565</v>
      </c>
      <c r="K116" s="152">
        <f>IF(K19=0,0,1000000*K19/TrRoad_act!K59)</f>
        <v>107.64648001287046</v>
      </c>
      <c r="L116" s="152">
        <f>IF(L19=0,0,1000000*L19/TrRoad_act!L59)</f>
        <v>108.08213060478866</v>
      </c>
      <c r="M116" s="152">
        <f>IF(M19=0,0,1000000*M19/TrRoad_act!M59)</f>
        <v>98.475476750064672</v>
      </c>
      <c r="N116" s="152">
        <f>IF(N19=0,0,1000000*N19/TrRoad_act!N59)</f>
        <v>93.155207986587612</v>
      </c>
      <c r="O116" s="152">
        <f>IF(O19=0,0,1000000*O19/TrRoad_act!O59)</f>
        <v>92.385213301640476</v>
      </c>
      <c r="P116" s="152">
        <f>IF(P19=0,0,1000000*P19/TrRoad_act!P59)</f>
        <v>101.90800633594154</v>
      </c>
      <c r="Q116" s="152">
        <f>IF(Q19=0,0,1000000*Q19/TrRoad_act!Q59)</f>
        <v>107.6043717144567</v>
      </c>
      <c r="R116" s="152">
        <f>IF(R19=0,0,1000000*R19/TrRoad_act!R59)</f>
        <v>109.00990695326639</v>
      </c>
      <c r="S116" s="152">
        <f>IF(S19=0,0,1000000*S19/TrRoad_act!S59)</f>
        <v>101.42375566283353</v>
      </c>
      <c r="T116" s="152">
        <f>IF(T19=0,0,1000000*T19/TrRoad_act!T59)</f>
        <v>94.237572741069698</v>
      </c>
      <c r="U116" s="152">
        <f>IF(U19=0,0,1000000*U19/TrRoad_act!U59)</f>
        <v>96.983736670592592</v>
      </c>
      <c r="V116" s="152">
        <f>IF(V19=0,0,1000000*V19/TrRoad_act!V59)</f>
        <v>80.638490089275962</v>
      </c>
      <c r="W116" s="152">
        <f>IF(W19=0,0,1000000*W19/TrRoad_act!W59)</f>
        <v>80.592534063556457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896.9702827448416</v>
      </c>
      <c r="C117" s="116">
        <f>IF(C21=0,0,1000000*C21/TrRoad_act!C60)</f>
        <v>886.23270924840358</v>
      </c>
      <c r="D117" s="116">
        <f>IF(D21=0,0,1000000*D21/TrRoad_act!D60)</f>
        <v>898.92158743868174</v>
      </c>
      <c r="E117" s="116">
        <f>IF(E21=0,0,1000000*E21/TrRoad_act!E60)</f>
        <v>941.3529343042178</v>
      </c>
      <c r="F117" s="116">
        <f>IF(F21=0,0,1000000*F21/TrRoad_act!F60)</f>
        <v>924.53190979965541</v>
      </c>
      <c r="G117" s="116">
        <f>IF(G21=0,0,1000000*G21/TrRoad_act!G60)</f>
        <v>935.15028441666595</v>
      </c>
      <c r="H117" s="116">
        <f>IF(H21=0,0,1000000*H21/TrRoad_act!H60)</f>
        <v>929.89778941660427</v>
      </c>
      <c r="I117" s="116">
        <f>IF(I21=0,0,1000000*I21/TrRoad_act!I60)</f>
        <v>922.18471025257918</v>
      </c>
      <c r="J117" s="116">
        <f>IF(J21=0,0,1000000*J21/TrRoad_act!J60)</f>
        <v>880.97401441098089</v>
      </c>
      <c r="K117" s="116">
        <f>IF(K21=0,0,1000000*K21/TrRoad_act!K60)</f>
        <v>876.9739687381242</v>
      </c>
      <c r="L117" s="116">
        <f>IF(L21=0,0,1000000*L21/TrRoad_act!L60)</f>
        <v>847.71738783620754</v>
      </c>
      <c r="M117" s="116">
        <f>IF(M21=0,0,1000000*M21/TrRoad_act!M60)</f>
        <v>813.43462850503386</v>
      </c>
      <c r="N117" s="116">
        <f>IF(N21=0,0,1000000*N21/TrRoad_act!N60)</f>
        <v>757.45161684736138</v>
      </c>
      <c r="O117" s="116">
        <f>IF(O21=0,0,1000000*O21/TrRoad_act!O60)</f>
        <v>756.50655856431467</v>
      </c>
      <c r="P117" s="116">
        <f>IF(P21=0,0,1000000*P21/TrRoad_act!P60)</f>
        <v>764.53016434980202</v>
      </c>
      <c r="Q117" s="116">
        <f>IF(Q21=0,0,1000000*Q21/TrRoad_act!Q60)</f>
        <v>768.29918354578012</v>
      </c>
      <c r="R117" s="116">
        <f>IF(R21=0,0,1000000*R21/TrRoad_act!R60)</f>
        <v>756.30750651190033</v>
      </c>
      <c r="S117" s="116">
        <f>IF(S21=0,0,1000000*S21/TrRoad_act!S60)</f>
        <v>743.34652246145936</v>
      </c>
      <c r="T117" s="116">
        <f>IF(T21=0,0,1000000*T21/TrRoad_act!T60)</f>
        <v>743.07773863281773</v>
      </c>
      <c r="U117" s="116">
        <f>IF(U21=0,0,1000000*U21/TrRoad_act!U60)</f>
        <v>749.96177438964355</v>
      </c>
      <c r="V117" s="116">
        <f>IF(V21=0,0,1000000*V21/TrRoad_act!V60)</f>
        <v>600.79371895241286</v>
      </c>
      <c r="W117" s="116">
        <f>IF(W21=0,0,1000000*W21/TrRoad_act!W60)</f>
        <v>658.18170705859882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659.85291018584417</v>
      </c>
      <c r="C118" s="87">
        <f>IF(C22=0,0,1000000*C22/TrRoad_act!C61)</f>
        <v>651.05823829126143</v>
      </c>
      <c r="D118" s="87">
        <f>IF(D22=0,0,1000000*D22/TrRoad_act!D61)</f>
        <v>636.0752558518252</v>
      </c>
      <c r="E118" s="87">
        <f>IF(E22=0,0,1000000*E22/TrRoad_act!E61)</f>
        <v>651.21926950973148</v>
      </c>
      <c r="F118" s="87">
        <f>IF(F22=0,0,1000000*F22/TrRoad_act!F61)</f>
        <v>624.74981688827108</v>
      </c>
      <c r="G118" s="87">
        <f>IF(G22=0,0,1000000*G22/TrRoad_act!G61)</f>
        <v>611.43739650848727</v>
      </c>
      <c r="H118" s="87">
        <f>IF(H22=0,0,1000000*H22/TrRoad_act!H61)</f>
        <v>591.26998344684364</v>
      </c>
      <c r="I118" s="87">
        <f>IF(I22=0,0,1000000*I22/TrRoad_act!I61)</f>
        <v>571.40041018102795</v>
      </c>
      <c r="J118" s="87">
        <f>IF(J22=0,0,1000000*J22/TrRoad_act!J61)</f>
        <v>529.52995124568133</v>
      </c>
      <c r="K118" s="87">
        <f>IF(K22=0,0,1000000*K22/TrRoad_act!K61)</f>
        <v>519.0732647458974</v>
      </c>
      <c r="L118" s="87">
        <f>IF(L22=0,0,1000000*L22/TrRoad_act!L61)</f>
        <v>491.99164110171205</v>
      </c>
      <c r="M118" s="87">
        <f>IF(M22=0,0,1000000*M22/TrRoad_act!M61)</f>
        <v>466.17230100700783</v>
      </c>
      <c r="N118" s="87">
        <f>IF(N22=0,0,1000000*N22/TrRoad_act!N61)</f>
        <v>425.73979370378203</v>
      </c>
      <c r="O118" s="87">
        <f>IF(O22=0,0,1000000*O22/TrRoad_act!O61)</f>
        <v>427.505486313586</v>
      </c>
      <c r="P118" s="87">
        <f>IF(P22=0,0,1000000*P22/TrRoad_act!P61)</f>
        <v>429.99719184633705</v>
      </c>
      <c r="Q118" s="87">
        <f>IF(Q22=0,0,1000000*Q22/TrRoad_act!Q61)</f>
        <v>430.10330228738502</v>
      </c>
      <c r="R118" s="87">
        <f>IF(R22=0,0,1000000*R22/TrRoad_act!R61)</f>
        <v>438.46192068357959</v>
      </c>
      <c r="S118" s="87">
        <f>IF(S22=0,0,1000000*S22/TrRoad_act!S61)</f>
        <v>439.93696485898192</v>
      </c>
      <c r="T118" s="87">
        <f>IF(T22=0,0,1000000*T22/TrRoad_act!T61)</f>
        <v>446.35483474610447</v>
      </c>
      <c r="U118" s="87">
        <f>IF(U22=0,0,1000000*U22/TrRoad_act!U61)</f>
        <v>454.05550135140692</v>
      </c>
      <c r="V118" s="87">
        <f>IF(V22=0,0,1000000*V22/TrRoad_act!V61)</f>
        <v>349.83523427895966</v>
      </c>
      <c r="W118" s="87">
        <f>IF(W22=0,0,1000000*W22/TrRoad_act!W61)</f>
        <v>430.1632404370651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1525.167468226816</v>
      </c>
      <c r="C119" s="87">
        <f>IF(C24=0,0,1000000*C24/TrRoad_act!C62)</f>
        <v>1435.9360522651905</v>
      </c>
      <c r="D119" s="87">
        <f>IF(D24=0,0,1000000*D24/TrRoad_act!D62)</f>
        <v>1445.3395352161392</v>
      </c>
      <c r="E119" s="87">
        <f>IF(E24=0,0,1000000*E24/TrRoad_act!E62)</f>
        <v>1463.9417609214738</v>
      </c>
      <c r="F119" s="87">
        <f>IF(F24=0,0,1000000*F24/TrRoad_act!F62)</f>
        <v>1396.1214157510899</v>
      </c>
      <c r="G119" s="87">
        <f>IF(G24=0,0,1000000*G24/TrRoad_act!G62)</f>
        <v>1386.8897775681589</v>
      </c>
      <c r="H119" s="87">
        <f>IF(H24=0,0,1000000*H24/TrRoad_act!H62)</f>
        <v>1347.2967442739391</v>
      </c>
      <c r="I119" s="87">
        <f>IF(I24=0,0,1000000*I24/TrRoad_act!I62)</f>
        <v>1312.0946468130189</v>
      </c>
      <c r="J119" s="87">
        <f>IF(J24=0,0,1000000*J24/TrRoad_act!J62)</f>
        <v>1249.7092941018038</v>
      </c>
      <c r="K119" s="87">
        <f>IF(K24=0,0,1000000*K24/TrRoad_act!K62)</f>
        <v>1228.574643466055</v>
      </c>
      <c r="L119" s="87">
        <f>IF(L24=0,0,1000000*L24/TrRoad_act!L62)</f>
        <v>1178.4026831779761</v>
      </c>
      <c r="M119" s="87">
        <f>IF(M24=0,0,1000000*M24/TrRoad_act!M62)</f>
        <v>1123.314839928162</v>
      </c>
      <c r="N119" s="87">
        <f>IF(N24=0,0,1000000*N24/TrRoad_act!N62)</f>
        <v>1043.4365113865749</v>
      </c>
      <c r="O119" s="87">
        <f>IF(O24=0,0,1000000*O24/TrRoad_act!O62)</f>
        <v>1026.9717449217474</v>
      </c>
      <c r="P119" s="87">
        <f>IF(P24=0,0,1000000*P24/TrRoad_act!P62)</f>
        <v>1026.8690682263857</v>
      </c>
      <c r="Q119" s="87">
        <f>IF(Q24=0,0,1000000*Q24/TrRoad_act!Q62)</f>
        <v>1025.3752646762414</v>
      </c>
      <c r="R119" s="87">
        <f>IF(R24=0,0,1000000*R24/TrRoad_act!R62)</f>
        <v>993.61116666733074</v>
      </c>
      <c r="S119" s="87">
        <f>IF(S24=0,0,1000000*S24/TrRoad_act!S62)</f>
        <v>970.35245636850698</v>
      </c>
      <c r="T119" s="87">
        <f>IF(T24=0,0,1000000*T24/TrRoad_act!T62)</f>
        <v>972.31835186911599</v>
      </c>
      <c r="U119" s="87">
        <f>IF(U24=0,0,1000000*U24/TrRoad_act!U62)</f>
        <v>987.34900459600954</v>
      </c>
      <c r="V119" s="87">
        <f>IF(V24=0,0,1000000*V24/TrRoad_act!V62)</f>
        <v>807.91783148109641</v>
      </c>
      <c r="W119" s="87">
        <f>IF(W24=0,0,1000000*W24/TrRoad_act!W62)</f>
        <v>853.60132403519401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4756.4056635293455</v>
      </c>
      <c r="C120" s="87">
        <f>IF(C26=0,0,1000000*C26/TrRoad_act!C63)</f>
        <v>4569.7392446887643</v>
      </c>
      <c r="D120" s="87">
        <f>IF(D26=0,0,1000000*D26/TrRoad_act!D63)</f>
        <v>4478.4098747706876</v>
      </c>
      <c r="E120" s="87">
        <f>IF(E26=0,0,1000000*E26/TrRoad_act!E63)</f>
        <v>4803.953279665574</v>
      </c>
      <c r="F120" s="87">
        <f>IF(F26=0,0,1000000*F26/TrRoad_act!F63)</f>
        <v>5150.581388979761</v>
      </c>
      <c r="G120" s="87">
        <f>IF(G26=0,0,1000000*G26/TrRoad_act!G63)</f>
        <v>4660.2208357468608</v>
      </c>
      <c r="H120" s="87">
        <f>IF(H26=0,0,1000000*H26/TrRoad_act!H63)</f>
        <v>4688.1929673711356</v>
      </c>
      <c r="I120" s="87">
        <f>IF(I26=0,0,1000000*I26/TrRoad_act!I63)</f>
        <v>5683.5218032028288</v>
      </c>
      <c r="J120" s="87">
        <f>IF(J26=0,0,1000000*J26/TrRoad_act!J63)</f>
        <v>2639.588856752011</v>
      </c>
      <c r="K120" s="87">
        <f>IF(K26=0,0,1000000*K26/TrRoad_act!K63)</f>
        <v>2466.0079603133918</v>
      </c>
      <c r="L120" s="87">
        <f>IF(L26=0,0,1000000*L26/TrRoad_act!L63)</f>
        <v>2473.5066010312194</v>
      </c>
      <c r="M120" s="87">
        <f>IF(M26=0,0,1000000*M26/TrRoad_act!M63)</f>
        <v>2453.168397633829</v>
      </c>
      <c r="N120" s="87">
        <f>IF(N26=0,0,1000000*N26/TrRoad_act!N63)</f>
        <v>2070.8727307821196</v>
      </c>
      <c r="O120" s="87">
        <f>IF(O26=0,0,1000000*O26/TrRoad_act!O63)</f>
        <v>2330.4250726921855</v>
      </c>
      <c r="P120" s="87">
        <f>IF(P26=0,0,1000000*P26/TrRoad_act!P63)</f>
        <v>2201.2245975498354</v>
      </c>
      <c r="Q120" s="87">
        <f>IF(Q26=0,0,1000000*Q26/TrRoad_act!Q63)</f>
        <v>2296.8095249406429</v>
      </c>
      <c r="R120" s="87">
        <f>IF(R26=0,0,1000000*R26/TrRoad_act!R63)</f>
        <v>2277.1508094804381</v>
      </c>
      <c r="S120" s="87">
        <f>IF(S26=0,0,1000000*S26/TrRoad_act!S63)</f>
        <v>2104.5390333436967</v>
      </c>
      <c r="T120" s="87">
        <f>IF(T26=0,0,1000000*T26/TrRoad_act!T63)</f>
        <v>1486.4850469472087</v>
      </c>
      <c r="U120" s="87">
        <f>IF(U26=0,0,1000000*U26/TrRoad_act!U63)</f>
        <v>1566.753189595602</v>
      </c>
      <c r="V120" s="87">
        <f>IF(V26=0,0,1000000*V26/TrRoad_act!V63)</f>
        <v>1142.0686191708264</v>
      </c>
      <c r="W120" s="87">
        <f>IF(W26=0,0,1000000*W26/TrRoad_act!W63)</f>
        <v>1313.637989198769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880.67623103068797</v>
      </c>
      <c r="G121" s="87">
        <f>IF(G27=0,0,1000000*G27/TrRoad_act!G64)</f>
        <v>877.46815845703247</v>
      </c>
      <c r="H121" s="87">
        <f>IF(H27=0,0,1000000*H27/TrRoad_act!H64)</f>
        <v>852.14723022945657</v>
      </c>
      <c r="I121" s="87">
        <f>IF(I27=0,0,1000000*I27/TrRoad_act!I64)</f>
        <v>838.8313103871069</v>
      </c>
      <c r="J121" s="87">
        <f>IF(J27=0,0,1000000*J27/TrRoad_act!J64)</f>
        <v>817.49964159612307</v>
      </c>
      <c r="K121" s="87">
        <f>IF(K27=0,0,1000000*K27/TrRoad_act!K64)</f>
        <v>821.57706658561585</v>
      </c>
      <c r="L121" s="87">
        <f>IF(L27=0,0,1000000*L27/TrRoad_act!L64)</f>
        <v>781.93677921902497</v>
      </c>
      <c r="M121" s="87">
        <f>IF(M27=0,0,1000000*M27/TrRoad_act!M64)</f>
        <v>770.01009518306989</v>
      </c>
      <c r="N121" s="87">
        <f>IF(N27=0,0,1000000*N27/TrRoad_act!N64)</f>
        <v>702.86139650669008</v>
      </c>
      <c r="O121" s="87">
        <f>IF(O27=0,0,1000000*O27/TrRoad_act!O64)</f>
        <v>718.75966227383219</v>
      </c>
      <c r="P121" s="87">
        <f>IF(P27=0,0,1000000*P27/TrRoad_act!P64)</f>
        <v>757.63064821084561</v>
      </c>
      <c r="Q121" s="87">
        <f>IF(Q27=0,0,1000000*Q27/TrRoad_act!Q64)</f>
        <v>811.65349628698903</v>
      </c>
      <c r="R121" s="87">
        <f>IF(R27=0,0,1000000*R27/TrRoad_act!R64)</f>
        <v>787.15060094466423</v>
      </c>
      <c r="S121" s="87">
        <f>IF(S27=0,0,1000000*S27/TrRoad_act!S64)</f>
        <v>783.37641702704684</v>
      </c>
      <c r="T121" s="87">
        <f>IF(T27=0,0,1000000*T27/TrRoad_act!T64)</f>
        <v>817.09146400311693</v>
      </c>
      <c r="U121" s="87">
        <f>IF(U27=0,0,1000000*U27/TrRoad_act!U64)</f>
        <v>821.60542645696171</v>
      </c>
      <c r="V121" s="87">
        <f>IF(V27=0,0,1000000*V27/TrRoad_act!V64)</f>
        <v>561.06604319136375</v>
      </c>
      <c r="W121" s="87">
        <f>IF(W27=0,0,1000000*W27/TrRoad_act!W64)</f>
        <v>658.08065668062363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299.58016475102141</v>
      </c>
      <c r="N122" s="87">
        <f>IF(N29=0,0,1000000*N29/TrRoad_act!N65)</f>
        <v>230.84796731536863</v>
      </c>
      <c r="O122" s="87">
        <f>IF(O29=0,0,1000000*O29/TrRoad_act!O65)</f>
        <v>278.19481462829589</v>
      </c>
      <c r="P122" s="87">
        <f>IF(P29=0,0,1000000*P29/TrRoad_act!P65)</f>
        <v>264.95184805214393</v>
      </c>
      <c r="Q122" s="87">
        <f>IF(Q29=0,0,1000000*Q29/TrRoad_act!Q65)</f>
        <v>259.90985362637366</v>
      </c>
      <c r="R122" s="87">
        <f>IF(R29=0,0,1000000*R29/TrRoad_act!R65)</f>
        <v>270.77835768310814</v>
      </c>
      <c r="S122" s="87">
        <f>IF(S29=0,0,1000000*S29/TrRoad_act!S65)</f>
        <v>286.71675761290965</v>
      </c>
      <c r="T122" s="87">
        <f>IF(T29=0,0,1000000*T29/TrRoad_act!T65)</f>
        <v>289.15818219044513</v>
      </c>
      <c r="U122" s="87">
        <f>IF(U29=0,0,1000000*U29/TrRoad_act!U65)</f>
        <v>314.58491157081863</v>
      </c>
      <c r="V122" s="87">
        <f>IF(V29=0,0,1000000*V29/TrRoad_act!V65)</f>
        <v>250.36722218006437</v>
      </c>
      <c r="W122" s="87">
        <f>IF(W29=0,0,1000000*W29/TrRoad_act!W65)</f>
        <v>275.93234255351632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138.2526181544718</v>
      </c>
      <c r="L123" s="87">
        <f>IF(L32=0,0,1000000*L32/TrRoad_act!L66)</f>
        <v>139.61684195387269</v>
      </c>
      <c r="M123" s="87">
        <f>IF(M32=0,0,1000000*M32/TrRoad_act!M66)</f>
        <v>142.41699917751416</v>
      </c>
      <c r="N123" s="87">
        <f>IF(N32=0,0,1000000*N32/TrRoad_act!N66)</f>
        <v>145.8497806204897</v>
      </c>
      <c r="O123" s="87">
        <f>IF(O32=0,0,1000000*O32/TrRoad_act!O66)</f>
        <v>149.2288607740372</v>
      </c>
      <c r="P123" s="87">
        <f>IF(P32=0,0,1000000*P32/TrRoad_act!P66)</f>
        <v>151.15909642074922</v>
      </c>
      <c r="Q123" s="87">
        <f>IF(Q32=0,0,1000000*Q32/TrRoad_act!Q66)</f>
        <v>155.26148794004175</v>
      </c>
      <c r="R123" s="87">
        <f>IF(R32=0,0,1000000*R32/TrRoad_act!R66)</f>
        <v>148.80352434771928</v>
      </c>
      <c r="S123" s="87">
        <f>IF(S32=0,0,1000000*S32/TrRoad_act!S66)</f>
        <v>148.12462275713972</v>
      </c>
      <c r="T123" s="87">
        <f>IF(T32=0,0,1000000*T32/TrRoad_act!T66)</f>
        <v>158.99007747115121</v>
      </c>
      <c r="U123" s="87">
        <f>IF(U32=0,0,1000000*U32/TrRoad_act!U66)</f>
        <v>164.36468495470334</v>
      </c>
      <c r="V123" s="87">
        <f>IF(V32=0,0,1000000*V32/TrRoad_act!V66)</f>
        <v>130.76985523581578</v>
      </c>
      <c r="W123" s="87">
        <f>IF(W32=0,0,1000000*W32/TrRoad_act!W66)</f>
        <v>156.85763515658431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21572.220271247315</v>
      </c>
      <c r="C124" s="116">
        <f>IF(C33=0,0,1000000*C33/TrRoad_act!C67)</f>
        <v>20914.404995048502</v>
      </c>
      <c r="D124" s="116">
        <f>IF(D33=0,0,1000000*D33/TrRoad_act!D67)</f>
        <v>20320.574936099183</v>
      </c>
      <c r="E124" s="116">
        <f>IF(E33=0,0,1000000*E33/TrRoad_act!E67)</f>
        <v>20445.006176961393</v>
      </c>
      <c r="F124" s="116">
        <f>IF(F33=0,0,1000000*F33/TrRoad_act!F67)</f>
        <v>20607.026324854574</v>
      </c>
      <c r="G124" s="116">
        <f>IF(G33=0,0,1000000*G33/TrRoad_act!G67)</f>
        <v>20023.576960891103</v>
      </c>
      <c r="H124" s="116">
        <f>IF(H33=0,0,1000000*H33/TrRoad_act!H67)</f>
        <v>20061.171061479519</v>
      </c>
      <c r="I124" s="116">
        <f>IF(I33=0,0,1000000*I33/TrRoad_act!I67)</f>
        <v>20470.272912675493</v>
      </c>
      <c r="J124" s="116">
        <f>IF(J33=0,0,1000000*J33/TrRoad_act!J67)</f>
        <v>20000.085211573823</v>
      </c>
      <c r="K124" s="116">
        <f>IF(K33=0,0,1000000*K33/TrRoad_act!K67)</f>
        <v>19638.972976046942</v>
      </c>
      <c r="L124" s="116">
        <f>IF(L33=0,0,1000000*L33/TrRoad_act!L67)</f>
        <v>19463.296902389357</v>
      </c>
      <c r="M124" s="116">
        <f>IF(M33=0,0,1000000*M33/TrRoad_act!M67)</f>
        <v>19391.457806494676</v>
      </c>
      <c r="N124" s="116">
        <f>IF(N33=0,0,1000000*N33/TrRoad_act!N67)</f>
        <v>19034.146359653543</v>
      </c>
      <c r="O124" s="116">
        <f>IF(O33=0,0,1000000*O33/TrRoad_act!O67)</f>
        <v>18723.541778016188</v>
      </c>
      <c r="P124" s="116">
        <f>IF(P33=0,0,1000000*P33/TrRoad_act!P67)</f>
        <v>18532.421638003874</v>
      </c>
      <c r="Q124" s="116">
        <f>IF(Q33=0,0,1000000*Q33/TrRoad_act!Q67)</f>
        <v>18448.446178086964</v>
      </c>
      <c r="R124" s="116">
        <f>IF(R33=0,0,1000000*R33/TrRoad_act!R67)</f>
        <v>18286.840422508674</v>
      </c>
      <c r="S124" s="116">
        <f>IF(S33=0,0,1000000*S33/TrRoad_act!S67)</f>
        <v>16179.238633966399</v>
      </c>
      <c r="T124" s="116">
        <f>IF(T33=0,0,1000000*T33/TrRoad_act!T67)</f>
        <v>15914.346656890553</v>
      </c>
      <c r="U124" s="116">
        <f>IF(U33=0,0,1000000*U33/TrRoad_act!U67)</f>
        <v>16146.77509393423</v>
      </c>
      <c r="V124" s="116">
        <f>IF(V33=0,0,1000000*V33/TrRoad_act!V67)</f>
        <v>11960.077567127428</v>
      </c>
      <c r="W124" s="116">
        <f>IF(W33=0,0,1000000*W33/TrRoad_act!W67)</f>
        <v>15019.016319216405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3796.4036839064674</v>
      </c>
      <c r="C125" s="101">
        <f>IF(C34=0,0,1000000*C34/TrRoad_act!C68)</f>
        <v>3713.2273178317359</v>
      </c>
      <c r="D125" s="101">
        <f>IF(D34=0,0,1000000*D34/TrRoad_act!D68)</f>
        <v>3560.2683288539092</v>
      </c>
      <c r="E125" s="101">
        <f>IF(E34=0,0,1000000*E34/TrRoad_act!E68)</f>
        <v>3592.8851971986369</v>
      </c>
      <c r="F125" s="101">
        <f>IF(F34=0,0,1000000*F34/TrRoad_act!F68)</f>
        <v>3628.078989803822</v>
      </c>
      <c r="G125" s="101">
        <f>IF(G34=0,0,1000000*G34/TrRoad_act!G68)</f>
        <v>3541.7174873917379</v>
      </c>
      <c r="H125" s="101">
        <f>IF(H34=0,0,1000000*H34/TrRoad_act!H68)</f>
        <v>3539.4630216126507</v>
      </c>
      <c r="I125" s="101">
        <f>IF(I34=0,0,1000000*I34/TrRoad_act!I68)</f>
        <v>3541.8924473793181</v>
      </c>
      <c r="J125" s="101">
        <f>IF(J34=0,0,1000000*J34/TrRoad_act!J68)</f>
        <v>3445.6701745534178</v>
      </c>
      <c r="K125" s="101">
        <f>IF(K34=0,0,1000000*K34/TrRoad_act!K68)</f>
        <v>3348.2001700891105</v>
      </c>
      <c r="L125" s="101">
        <f>IF(L34=0,0,1000000*L34/TrRoad_act!L68)</f>
        <v>3252.6367457173083</v>
      </c>
      <c r="M125" s="101">
        <f>IF(M34=0,0,1000000*M34/TrRoad_act!M68)</f>
        <v>3189.0524739857046</v>
      </c>
      <c r="N125" s="101">
        <f>IF(N34=0,0,1000000*N34/TrRoad_act!N68)</f>
        <v>3082.7557989472566</v>
      </c>
      <c r="O125" s="101">
        <f>IF(O34=0,0,1000000*O34/TrRoad_act!O68)</f>
        <v>2968.1182703854488</v>
      </c>
      <c r="P125" s="101">
        <f>IF(P34=0,0,1000000*P34/TrRoad_act!P68)</f>
        <v>2878.5318807297749</v>
      </c>
      <c r="Q125" s="101">
        <f>IF(Q34=0,0,1000000*Q34/TrRoad_act!Q68)</f>
        <v>2929.3031414400043</v>
      </c>
      <c r="R125" s="101">
        <f>IF(R34=0,0,1000000*R34/TrRoad_act!R68)</f>
        <v>2867.5771702590114</v>
      </c>
      <c r="S125" s="101">
        <f>IF(S34=0,0,1000000*S34/TrRoad_act!S68)</f>
        <v>2449.2994465412344</v>
      </c>
      <c r="T125" s="101">
        <f>IF(T34=0,0,1000000*T34/TrRoad_act!T68)</f>
        <v>2461.2032605046165</v>
      </c>
      <c r="U125" s="101">
        <f>IF(U34=0,0,1000000*U34/TrRoad_act!U68)</f>
        <v>2475.9011360608565</v>
      </c>
      <c r="V125" s="101">
        <f>IF(V34=0,0,1000000*V34/TrRoad_act!V68)</f>
        <v>1628.8077807048721</v>
      </c>
      <c r="W125" s="101">
        <f>IF(W34=0,0,1000000*W34/TrRoad_act!W68)</f>
        <v>2058.873854667198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21812.726854138331</v>
      </c>
      <c r="C126" s="101">
        <f>IF(C36=0,0,1000000*C36/TrRoad_act!C69)</f>
        <v>21089.568655312454</v>
      </c>
      <c r="D126" s="101">
        <f>IF(D36=0,0,1000000*D36/TrRoad_act!D69)</f>
        <v>20399.507792015418</v>
      </c>
      <c r="E126" s="101">
        <f>IF(E36=0,0,1000000*E36/TrRoad_act!E69)</f>
        <v>20538.805976223077</v>
      </c>
      <c r="F126" s="101">
        <f>IF(F36=0,0,1000000*F36/TrRoad_act!F69)</f>
        <v>20680.234244622865</v>
      </c>
      <c r="G126" s="101">
        <f>IF(G36=0,0,1000000*G36/TrRoad_act!G69)</f>
        <v>20037.802966570896</v>
      </c>
      <c r="H126" s="101">
        <f>IF(H36=0,0,1000000*H36/TrRoad_act!H69)</f>
        <v>20041.067112200992</v>
      </c>
      <c r="I126" s="101">
        <f>IF(I36=0,0,1000000*I36/TrRoad_act!I69)</f>
        <v>20311.464478723952</v>
      </c>
      <c r="J126" s="101">
        <f>IF(J36=0,0,1000000*J36/TrRoad_act!J69)</f>
        <v>19786.443595849869</v>
      </c>
      <c r="K126" s="101">
        <f>IF(K36=0,0,1000000*K36/TrRoad_act!K69)</f>
        <v>19285.633121307608</v>
      </c>
      <c r="L126" s="101">
        <f>IF(L36=0,0,1000000*L36/TrRoad_act!L69)</f>
        <v>18879.692450340044</v>
      </c>
      <c r="M126" s="101">
        <f>IF(M36=0,0,1000000*M36/TrRoad_act!M69)</f>
        <v>18718.516670438614</v>
      </c>
      <c r="N126" s="101">
        <f>IF(N36=0,0,1000000*N36/TrRoad_act!N69)</f>
        <v>18313.663572652655</v>
      </c>
      <c r="O126" s="101">
        <f>IF(O36=0,0,1000000*O36/TrRoad_act!O69)</f>
        <v>17876.238167129326</v>
      </c>
      <c r="P126" s="101">
        <f>IF(P36=0,0,1000000*P36/TrRoad_act!P69)</f>
        <v>17569.079222844397</v>
      </c>
      <c r="Q126" s="101">
        <f>IF(Q36=0,0,1000000*Q36/TrRoad_act!Q69)</f>
        <v>17761.003934390505</v>
      </c>
      <c r="R126" s="101">
        <f>IF(R36=0,0,1000000*R36/TrRoad_act!R69)</f>
        <v>17344.960234533461</v>
      </c>
      <c r="S126" s="101">
        <f>IF(S36=0,0,1000000*S36/TrRoad_act!S69)</f>
        <v>14441.918791467519</v>
      </c>
      <c r="T126" s="101">
        <f>IF(T36=0,0,1000000*T36/TrRoad_act!T69)</f>
        <v>14422.109022628027</v>
      </c>
      <c r="U126" s="101">
        <f>IF(U36=0,0,1000000*U36/TrRoad_act!U69)</f>
        <v>14205.165240879693</v>
      </c>
      <c r="V126" s="101">
        <f>IF(V36=0,0,1000000*V36/TrRoad_act!V69)</f>
        <v>9355.2043057422179</v>
      </c>
      <c r="W126" s="101">
        <f>IF(W36=0,0,1000000*W36/TrRoad_act!W69)</f>
        <v>11725.030830889122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8788.4496566261241</v>
      </c>
      <c r="Q127" s="101">
        <f>IF(Q38=0,0,1000000*Q38/TrRoad_act!Q70)</f>
        <v>9157.0601636376905</v>
      </c>
      <c r="R127" s="101">
        <f>IF(R38=0,0,1000000*R38/TrRoad_act!R70)</f>
        <v>8845.5556027258299</v>
      </c>
      <c r="S127" s="101">
        <f>IF(S38=0,0,1000000*S38/TrRoad_act!S70)</f>
        <v>7605.4664817081402</v>
      </c>
      <c r="T127" s="101">
        <f>IF(T38=0,0,1000000*T38/TrRoad_act!T70)</f>
        <v>7673.4111089320868</v>
      </c>
      <c r="U127" s="101">
        <f>IF(U38=0,0,1000000*U38/TrRoad_act!U70)</f>
        <v>7761.875299422476</v>
      </c>
      <c r="V127" s="101">
        <f>IF(V38=0,0,1000000*V38/TrRoad_act!V70)</f>
        <v>5142.467172173675</v>
      </c>
      <c r="W127" s="101">
        <f>IF(W38=0,0,1000000*W38/TrRoad_act!W70)</f>
        <v>6574.8732675157116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57816.437868769826</v>
      </c>
      <c r="C128" s="101">
        <f>IF(C39=0,0,1000000*C39/TrRoad_act!C71)</f>
        <v>84130.666824799118</v>
      </c>
      <c r="D128" s="101">
        <f>IF(D39=0,0,1000000*D39/TrRoad_act!D71)</f>
        <v>1639069.2175408425</v>
      </c>
      <c r="E128" s="101">
        <f>IF(E39=0,0,1000000*E39/TrRoad_act!E71)</f>
        <v>84268.491246043777</v>
      </c>
      <c r="F128" s="101">
        <f>IF(F39=0,0,1000000*F39/TrRoad_act!F71)</f>
        <v>73823.275095779551</v>
      </c>
      <c r="G128" s="101">
        <f>IF(G39=0,0,1000000*G39/TrRoad_act!G71)</f>
        <v>71463.474156564364</v>
      </c>
      <c r="H128" s="101">
        <f>IF(H39=0,0,1000000*H39/TrRoad_act!H71)</f>
        <v>72379.416755605343</v>
      </c>
      <c r="I128" s="101">
        <f>IF(I39=0,0,1000000*I39/TrRoad_act!I71)</f>
        <v>86865.058881516437</v>
      </c>
      <c r="J128" s="101">
        <f>IF(J39=0,0,1000000*J39/TrRoad_act!J71)</f>
        <v>96580.96871776077</v>
      </c>
      <c r="K128" s="101">
        <f>IF(K39=0,0,1000000*K39/TrRoad_act!K71)</f>
        <v>115305.09137634447</v>
      </c>
      <c r="L128" s="101">
        <f>IF(L39=0,0,1000000*L39/TrRoad_act!L71)</f>
        <v>150458.52806236106</v>
      </c>
      <c r="M128" s="101">
        <f>IF(M39=0,0,1000000*M39/TrRoad_act!M71)</f>
        <v>163819.94784471951</v>
      </c>
      <c r="N128" s="101">
        <f>IF(N39=0,0,1000000*N39/TrRoad_act!N71)</f>
        <v>168298.81052642417</v>
      </c>
      <c r="O128" s="101">
        <f>IF(O39=0,0,1000000*O39/TrRoad_act!O71)</f>
        <v>187769.51514752844</v>
      </c>
      <c r="P128" s="101">
        <f>IF(P39=0,0,1000000*P39/TrRoad_act!P71)</f>
        <v>226650.52488059492</v>
      </c>
      <c r="Q128" s="101">
        <f>IF(Q39=0,0,1000000*Q39/TrRoad_act!Q71)</f>
        <v>54519.859504944325</v>
      </c>
      <c r="R128" s="101">
        <f>IF(R39=0,0,1000000*R39/TrRoad_act!R71)</f>
        <v>57100.587577048551</v>
      </c>
      <c r="S128" s="101">
        <f>IF(S39=0,0,1000000*S39/TrRoad_act!S71)</f>
        <v>57308.604088602086</v>
      </c>
      <c r="T128" s="101">
        <f>IF(T39=0,0,1000000*T39/TrRoad_act!T71)</f>
        <v>46579.418146575808</v>
      </c>
      <c r="U128" s="101">
        <f>IF(U39=0,0,1000000*U39/TrRoad_act!U71)</f>
        <v>46974.006375906152</v>
      </c>
      <c r="V128" s="101">
        <f>IF(V39=0,0,1000000*V39/TrRoad_act!V71)</f>
        <v>44309.783816583375</v>
      </c>
      <c r="W128" s="101">
        <f>IF(W39=0,0,1000000*W39/TrRoad_act!W71)</f>
        <v>55369.089201818046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0</v>
      </c>
      <c r="P129" s="101">
        <f>IF(P41=0,0,1000000*P41/TrRoad_act!P72)</f>
        <v>13477.79825017065</v>
      </c>
      <c r="Q129" s="101">
        <f>IF(Q41=0,0,1000000*Q41/TrRoad_act!Q72)</f>
        <v>13531.630426580054</v>
      </c>
      <c r="R129" s="101">
        <f>IF(R41=0,0,1000000*R41/TrRoad_act!R72)</f>
        <v>13550.952698417688</v>
      </c>
      <c r="S129" s="101">
        <f>IF(S41=0,0,1000000*S41/TrRoad_act!S72)</f>
        <v>13476.626734956713</v>
      </c>
      <c r="T129" s="101">
        <f>IF(T41=0,0,1000000*T41/TrRoad_act!T72)</f>
        <v>13494.314642190677</v>
      </c>
      <c r="U129" s="101">
        <f>IF(U41=0,0,1000000*U41/TrRoad_act!U72)</f>
        <v>13509.189308838404</v>
      </c>
      <c r="V129" s="101">
        <f>IF(V41=0,0,1000000*V41/TrRoad_act!V72)</f>
        <v>11093.134203974452</v>
      </c>
      <c r="W129" s="101">
        <f>IF(W41=0,0,1000000*W41/TrRoad_act!W72)</f>
        <v>13394.265444568164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955.48088908099396</v>
      </c>
      <c r="C131" s="152">
        <f>IF(C43=0,0,1000000*C43/TrRoad_act!C74)</f>
        <v>1102.5605198867804</v>
      </c>
      <c r="D131" s="152">
        <f>IF(D43=0,0,1000000*D43/TrRoad_act!D74)</f>
        <v>1015.8384863871398</v>
      </c>
      <c r="E131" s="152">
        <f>IF(E43=0,0,1000000*E43/TrRoad_act!E74)</f>
        <v>1035.3837748676433</v>
      </c>
      <c r="F131" s="152">
        <f>IF(F43=0,0,1000000*F43/TrRoad_act!F74)</f>
        <v>974.38757788329929</v>
      </c>
      <c r="G131" s="152">
        <f>IF(G43=0,0,1000000*G43/TrRoad_act!G74)</f>
        <v>863.02798965138163</v>
      </c>
      <c r="H131" s="152">
        <f>IF(H43=0,0,1000000*H43/TrRoad_act!H74)</f>
        <v>882.42787214351915</v>
      </c>
      <c r="I131" s="152">
        <f>IF(I43=0,0,1000000*I43/TrRoad_act!I74)</f>
        <v>827.18873788793178</v>
      </c>
      <c r="J131" s="152">
        <f>IF(J43=0,0,1000000*J43/TrRoad_act!J74)</f>
        <v>808.31369819576298</v>
      </c>
      <c r="K131" s="152">
        <f>IF(K43=0,0,1000000*K43/TrRoad_act!K74)</f>
        <v>796.70170808571618</v>
      </c>
      <c r="L131" s="152">
        <f>IF(L43=0,0,1000000*L43/TrRoad_act!L74)</f>
        <v>828.06114131204322</v>
      </c>
      <c r="M131" s="152">
        <f>IF(M43=0,0,1000000*M43/TrRoad_act!M74)</f>
        <v>846.77649240911705</v>
      </c>
      <c r="N131" s="152">
        <f>IF(N43=0,0,1000000*N43/TrRoad_act!N74)</f>
        <v>849.16608702984513</v>
      </c>
      <c r="O131" s="152">
        <f>IF(O43=0,0,1000000*O43/TrRoad_act!O74)</f>
        <v>876.14321637665853</v>
      </c>
      <c r="P131" s="152">
        <f>IF(P43=0,0,1000000*P43/TrRoad_act!P74)</f>
        <v>821.09180778892528</v>
      </c>
      <c r="Q131" s="152">
        <f>IF(Q43=0,0,1000000*Q43/TrRoad_act!Q74)</f>
        <v>771.20957107951324</v>
      </c>
      <c r="R131" s="152">
        <f>IF(R43=0,0,1000000*R43/TrRoad_act!R74)</f>
        <v>758.67194256712276</v>
      </c>
      <c r="S131" s="152">
        <f>IF(S43=0,0,1000000*S43/TrRoad_act!S74)</f>
        <v>797.97482432871311</v>
      </c>
      <c r="T131" s="152">
        <f>IF(T43=0,0,1000000*T43/TrRoad_act!T74)</f>
        <v>792.49873815017929</v>
      </c>
      <c r="U131" s="152">
        <f>IF(U43=0,0,1000000*U43/TrRoad_act!U74)</f>
        <v>786.69266528541561</v>
      </c>
      <c r="V131" s="152">
        <f>IF(V43=0,0,1000000*V43/TrRoad_act!V74)</f>
        <v>517.08214183136499</v>
      </c>
      <c r="W131" s="152">
        <f>IF(W43=0,0,1000000*W43/TrRoad_act!W74)</f>
        <v>747.73678180575394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780.4384739896766</v>
      </c>
      <c r="C132" s="87">
        <f>IF(C44=0,0,1000000*C44/TrRoad_act!C75)</f>
        <v>900.10189521162033</v>
      </c>
      <c r="D132" s="87">
        <f>IF(D44=0,0,1000000*D44/TrRoad_act!D75)</f>
        <v>891.63978039172434</v>
      </c>
      <c r="E132" s="87">
        <f>IF(E44=0,0,1000000*E44/TrRoad_act!E75)</f>
        <v>932.83966047133936</v>
      </c>
      <c r="F132" s="87">
        <f>IF(F44=0,0,1000000*F44/TrRoad_act!F75)</f>
        <v>905.40938016976588</v>
      </c>
      <c r="G132" s="87">
        <f>IF(G44=0,0,1000000*G44/TrRoad_act!G75)</f>
        <v>805.924100268443</v>
      </c>
      <c r="H132" s="87">
        <f>IF(H44=0,0,1000000*H44/TrRoad_act!H75)</f>
        <v>827.69626252045248</v>
      </c>
      <c r="I132" s="87">
        <f>IF(I44=0,0,1000000*I44/TrRoad_act!I75)</f>
        <v>798.88635217834394</v>
      </c>
      <c r="J132" s="87">
        <f>IF(J44=0,0,1000000*J44/TrRoad_act!J75)</f>
        <v>766.20273816682641</v>
      </c>
      <c r="K132" s="87">
        <f>IF(K44=0,0,1000000*K44/TrRoad_act!K75)</f>
        <v>759.22432344576214</v>
      </c>
      <c r="L132" s="87">
        <f>IF(L44=0,0,1000000*L44/TrRoad_act!L75)</f>
        <v>771.09030142833342</v>
      </c>
      <c r="M132" s="87">
        <f>IF(M44=0,0,1000000*M44/TrRoad_act!M75)</f>
        <v>749.18811250119268</v>
      </c>
      <c r="N132" s="87">
        <f>IF(N44=0,0,1000000*N44/TrRoad_act!N75)</f>
        <v>717.92145572506479</v>
      </c>
      <c r="O132" s="87">
        <f>IF(O44=0,0,1000000*O44/TrRoad_act!O75)</f>
        <v>732.23515426074698</v>
      </c>
      <c r="P132" s="87">
        <f>IF(P44=0,0,1000000*P44/TrRoad_act!P75)</f>
        <v>688.36518112414046</v>
      </c>
      <c r="Q132" s="87">
        <f>IF(Q44=0,0,1000000*Q44/TrRoad_act!Q75)</f>
        <v>668.99909765916209</v>
      </c>
      <c r="R132" s="87">
        <f>IF(R44=0,0,1000000*R44/TrRoad_act!R75)</f>
        <v>649.14521599396278</v>
      </c>
      <c r="S132" s="87">
        <f>IF(S44=0,0,1000000*S44/TrRoad_act!S75)</f>
        <v>642.80363383630709</v>
      </c>
      <c r="T132" s="87">
        <f>IF(T44=0,0,1000000*T44/TrRoad_act!T75)</f>
        <v>606.9635580472368</v>
      </c>
      <c r="U132" s="87">
        <f>IF(U44=0,0,1000000*U44/TrRoad_act!U75)</f>
        <v>616.65472699849317</v>
      </c>
      <c r="V132" s="87">
        <f>IF(V44=0,0,1000000*V44/TrRoad_act!V75)</f>
        <v>409.40704668598329</v>
      </c>
      <c r="W132" s="87">
        <f>IF(W44=0,0,1000000*W44/TrRoad_act!W75)</f>
        <v>606.3620085156939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975.13483783076833</v>
      </c>
      <c r="C133" s="87">
        <f>IF(C46=0,0,1000000*C46/TrRoad_act!C76)</f>
        <v>1123.2789496862886</v>
      </c>
      <c r="D133" s="87">
        <f>IF(D46=0,0,1000000*D46/TrRoad_act!D76)</f>
        <v>1025.1094793027487</v>
      </c>
      <c r="E133" s="87">
        <f>IF(E46=0,0,1000000*E46/TrRoad_act!E76)</f>
        <v>1041.6251757030961</v>
      </c>
      <c r="F133" s="87">
        <f>IF(F46=0,0,1000000*F46/TrRoad_act!F76)</f>
        <v>977.76940164786436</v>
      </c>
      <c r="G133" s="87">
        <f>IF(G46=0,0,1000000*G46/TrRoad_act!G76)</f>
        <v>865.3175799637188</v>
      </c>
      <c r="H133" s="87">
        <f>IF(H46=0,0,1000000*H46/TrRoad_act!H76)</f>
        <v>884.24883010355325</v>
      </c>
      <c r="I133" s="87">
        <f>IF(I46=0,0,1000000*I46/TrRoad_act!I76)</f>
        <v>827.92283332623299</v>
      </c>
      <c r="J133" s="87">
        <f>IF(J46=0,0,1000000*J46/TrRoad_act!J76)</f>
        <v>809.31291382953748</v>
      </c>
      <c r="K133" s="87">
        <f>IF(K46=0,0,1000000*K46/TrRoad_act!K76)</f>
        <v>797.62320953856192</v>
      </c>
      <c r="L133" s="87">
        <f>IF(L46=0,0,1000000*L46/TrRoad_act!L76)</f>
        <v>829.43633433604134</v>
      </c>
      <c r="M133" s="87">
        <f>IF(M46=0,0,1000000*M46/TrRoad_act!M76)</f>
        <v>849.33187082141899</v>
      </c>
      <c r="N133" s="87">
        <f>IF(N46=0,0,1000000*N46/TrRoad_act!N76)</f>
        <v>852.98510503294119</v>
      </c>
      <c r="O133" s="87">
        <f>IF(O46=0,0,1000000*O46/TrRoad_act!O76)</f>
        <v>880.22322173483224</v>
      </c>
      <c r="P133" s="87">
        <f>IF(P46=0,0,1000000*P46/TrRoad_act!P76)</f>
        <v>823.71219215388885</v>
      </c>
      <c r="Q133" s="87">
        <f>IF(Q46=0,0,1000000*Q46/TrRoad_act!Q76)</f>
        <v>773.22355139401623</v>
      </c>
      <c r="R133" s="87">
        <f>IF(R46=0,0,1000000*R46/TrRoad_act!R76)</f>
        <v>760.67438312508705</v>
      </c>
      <c r="S133" s="87">
        <f>IF(S46=0,0,1000000*S46/TrRoad_act!S76)</f>
        <v>801.26049584566965</v>
      </c>
      <c r="T133" s="87">
        <f>IF(T46=0,0,1000000*T46/TrRoad_act!T76)</f>
        <v>797.10473018482276</v>
      </c>
      <c r="U133" s="87">
        <f>IF(U46=0,0,1000000*U46/TrRoad_act!U76)</f>
        <v>791.75874289164506</v>
      </c>
      <c r="V133" s="87">
        <f>IF(V46=0,0,1000000*V46/TrRoad_act!V76)</f>
        <v>520.43076256782365</v>
      </c>
      <c r="W133" s="87">
        <f>IF(W46=0,0,1000000*W46/TrRoad_act!W76)</f>
        <v>752.96551051228857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1357.2352438638441</v>
      </c>
      <c r="P134" s="87">
        <f>IF(P48=0,0,1000000*P48/TrRoad_act!P77)</f>
        <v>872.97216149965186</v>
      </c>
      <c r="Q134" s="87">
        <f>IF(Q48=0,0,1000000*Q48/TrRoad_act!Q77)</f>
        <v>903.05041857639912</v>
      </c>
      <c r="R134" s="87">
        <f>IF(R48=0,0,1000000*R48/TrRoad_act!R77)</f>
        <v>1203.989439750969</v>
      </c>
      <c r="S134" s="87">
        <f>IF(S48=0,0,1000000*S48/TrRoad_act!S77)</f>
        <v>1133.3401171409514</v>
      </c>
      <c r="T134" s="87">
        <f>IF(T48=0,0,1000000*T48/TrRoad_act!T77)</f>
        <v>950.90912640379361</v>
      </c>
      <c r="U134" s="87">
        <f>IF(U48=0,0,1000000*U48/TrRoad_act!U77)</f>
        <v>783.77090464273283</v>
      </c>
      <c r="V134" s="87">
        <f>IF(V48=0,0,1000000*V48/TrRoad_act!V77)</f>
        <v>508.90111981909149</v>
      </c>
      <c r="W134" s="87">
        <f>IF(W48=0,0,1000000*W48/TrRoad_act!W77)</f>
        <v>754.12957725610124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1573.4086271885533</v>
      </c>
      <c r="O135" s="87">
        <f>IF(O49=0,0,1000000*O49/TrRoad_act!O78)</f>
        <v>1682.0625202536755</v>
      </c>
      <c r="P135" s="87">
        <f>IF(P49=0,0,1000000*P49/TrRoad_act!P78)</f>
        <v>1270.840550745063</v>
      </c>
      <c r="Q135" s="87">
        <f>IF(Q49=0,0,1000000*Q49/TrRoad_act!Q78)</f>
        <v>1235.2343927829554</v>
      </c>
      <c r="R135" s="87">
        <f>IF(R49=0,0,1000000*R49/TrRoad_act!R78)</f>
        <v>1093.4427693426321</v>
      </c>
      <c r="S135" s="87">
        <f>IF(S49=0,0,1000000*S49/TrRoad_act!S78)</f>
        <v>1091.1908785302971</v>
      </c>
      <c r="T135" s="87">
        <f>IF(T49=0,0,1000000*T49/TrRoad_act!T78)</f>
        <v>929.12062049123142</v>
      </c>
      <c r="U135" s="87">
        <f>IF(U49=0,0,1000000*U49/TrRoad_act!U78)</f>
        <v>909.08064413464672</v>
      </c>
      <c r="V135" s="87">
        <f>IF(V49=0,0,1000000*V49/TrRoad_act!V78)</f>
        <v>618.91089677740922</v>
      </c>
      <c r="W135" s="87">
        <f>IF(W49=0,0,1000000*W49/TrRoad_act!W78)</f>
        <v>955.9737422052749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123.92730978076149</v>
      </c>
      <c r="N136" s="87">
        <f>IF(N51=0,0,1000000*N51/TrRoad_act!N79)</f>
        <v>123.63031862449697</v>
      </c>
      <c r="O136" s="87">
        <f>IF(O51=0,0,1000000*O51/TrRoad_act!O79)</f>
        <v>138.49195820067612</v>
      </c>
      <c r="P136" s="87">
        <f>IF(P51=0,0,1000000*P51/TrRoad_act!P79)</f>
        <v>142.46742946994567</v>
      </c>
      <c r="Q136" s="87">
        <f>IF(Q51=0,0,1000000*Q51/TrRoad_act!Q79)</f>
        <v>143.40632589462587</v>
      </c>
      <c r="R136" s="87">
        <f>IF(R51=0,0,1000000*R51/TrRoad_act!R79)</f>
        <v>143.22263867692482</v>
      </c>
      <c r="S136" s="87">
        <f>IF(S51=0,0,1000000*S51/TrRoad_act!S79)</f>
        <v>143.21200785916733</v>
      </c>
      <c r="T136" s="87">
        <f>IF(T51=0,0,1000000*T51/TrRoad_act!T79)</f>
        <v>150.0978567109654</v>
      </c>
      <c r="U136" s="87">
        <f>IF(U51=0,0,1000000*U51/TrRoad_act!U79)</f>
        <v>155.9096385806738</v>
      </c>
      <c r="V136" s="87">
        <f>IF(V51=0,0,1000000*V51/TrRoad_act!V79)</f>
        <v>119.84281705025388</v>
      </c>
      <c r="W136" s="87">
        <f>IF(W51=0,0,1000000*W51/TrRoad_act!W79)</f>
        <v>171.7938110502092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10454.42348119901</v>
      </c>
      <c r="C137" s="116">
        <f>IF(C52=0,0,1000000*C52/TrRoad_act!C80)</f>
        <v>10574.784339103946</v>
      </c>
      <c r="D137" s="116">
        <f>IF(D52=0,0,1000000*D52/TrRoad_act!D80)</f>
        <v>10851.330925816705</v>
      </c>
      <c r="E137" s="116">
        <f>IF(E52=0,0,1000000*E52/TrRoad_act!E80)</f>
        <v>11014.883347574878</v>
      </c>
      <c r="F137" s="116">
        <f>IF(F52=0,0,1000000*F52/TrRoad_act!F80)</f>
        <v>11599.146873868744</v>
      </c>
      <c r="G137" s="116">
        <f>IF(G52=0,0,1000000*G52/TrRoad_act!G80)</f>
        <v>11827.929340191229</v>
      </c>
      <c r="H137" s="116">
        <f>IF(H52=0,0,1000000*H52/TrRoad_act!H80)</f>
        <v>11690.90410869591</v>
      </c>
      <c r="I137" s="116">
        <f>IF(I52=0,0,1000000*I52/TrRoad_act!I80)</f>
        <v>11646.089441511574</v>
      </c>
      <c r="J137" s="116">
        <f>IF(J52=0,0,1000000*J52/TrRoad_act!J80)</f>
        <v>10778.606183640008</v>
      </c>
      <c r="K137" s="116">
        <f>IF(K52=0,0,1000000*K52/TrRoad_act!K80)</f>
        <v>9582.3315919417128</v>
      </c>
      <c r="L137" s="116">
        <f>IF(L52=0,0,1000000*L52/TrRoad_act!L80)</f>
        <v>9498.8845404754175</v>
      </c>
      <c r="M137" s="116">
        <f>IF(M52=0,0,1000000*M52/TrRoad_act!M80)</f>
        <v>9035.4131329856464</v>
      </c>
      <c r="N137" s="116">
        <f>IF(N52=0,0,1000000*N52/TrRoad_act!N80)</f>
        <v>7969.0484330486133</v>
      </c>
      <c r="O137" s="116">
        <f>IF(O52=0,0,1000000*O52/TrRoad_act!O80)</f>
        <v>10388.144155970911</v>
      </c>
      <c r="P137" s="116">
        <f>IF(P52=0,0,1000000*P52/TrRoad_act!P80)</f>
        <v>10657.063022838793</v>
      </c>
      <c r="Q137" s="116">
        <f>IF(Q52=0,0,1000000*Q52/TrRoad_act!Q80)</f>
        <v>11117.191695763098</v>
      </c>
      <c r="R137" s="116">
        <f>IF(R52=0,0,1000000*R52/TrRoad_act!R80)</f>
        <v>12282.862511730193</v>
      </c>
      <c r="S137" s="116">
        <f>IF(S52=0,0,1000000*S52/TrRoad_act!S80)</f>
        <v>13352.798803477033</v>
      </c>
      <c r="T137" s="116">
        <f>IF(T52=0,0,1000000*T52/TrRoad_act!T80)</f>
        <v>13469.818522605125</v>
      </c>
      <c r="U137" s="116">
        <f>IF(U52=0,0,1000000*U52/TrRoad_act!U80)</f>
        <v>12563.797113291714</v>
      </c>
      <c r="V137" s="116">
        <f>IF(V52=0,0,1000000*V52/TrRoad_act!V80)</f>
        <v>11582.340615238609</v>
      </c>
      <c r="W137" s="116">
        <f>IF(W52=0,0,1000000*W52/TrRoad_act!W80)</f>
        <v>13418.389128018405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8828.6414291065921</v>
      </c>
      <c r="C138" s="101">
        <f>IF(C53=0,0,1000000*C53/TrRoad_act!C81)</f>
        <v>8976.6535579558695</v>
      </c>
      <c r="D138" s="101">
        <f>IF(D53=0,0,1000000*D53/TrRoad_act!D81)</f>
        <v>9367.2301259483738</v>
      </c>
      <c r="E138" s="101">
        <f>IF(E53=0,0,1000000*E53/TrRoad_act!E81)</f>
        <v>9572.2910048285576</v>
      </c>
      <c r="F138" s="101">
        <f>IF(F53=0,0,1000000*F53/TrRoad_act!F81)</f>
        <v>10072.103969997426</v>
      </c>
      <c r="G138" s="101">
        <f>IF(G53=0,0,1000000*G53/TrRoad_act!G81)</f>
        <v>10334.650351913095</v>
      </c>
      <c r="H138" s="101">
        <f>IF(H53=0,0,1000000*H53/TrRoad_act!H81)</f>
        <v>10261.433478310728</v>
      </c>
      <c r="I138" s="101">
        <f>IF(I53=0,0,1000000*I53/TrRoad_act!I81)</f>
        <v>10306.715943002262</v>
      </c>
      <c r="J138" s="101">
        <f>IF(J53=0,0,1000000*J53/TrRoad_act!J81)</f>
        <v>9493.8169157958619</v>
      </c>
      <c r="K138" s="101">
        <f>IF(K53=0,0,1000000*K53/TrRoad_act!K81)</f>
        <v>8350.2045555055083</v>
      </c>
      <c r="L138" s="101">
        <f>IF(L53=0,0,1000000*L53/TrRoad_act!L81)</f>
        <v>8250.9484238587665</v>
      </c>
      <c r="M138" s="101">
        <f>IF(M53=0,0,1000000*M53/TrRoad_act!M81)</f>
        <v>7823.8276875487709</v>
      </c>
      <c r="N138" s="101">
        <f>IF(N53=0,0,1000000*N53/TrRoad_act!N81)</f>
        <v>6854.6405495086865</v>
      </c>
      <c r="O138" s="101">
        <f>IF(O53=0,0,1000000*O53/TrRoad_act!O81)</f>
        <v>8877.0127248300741</v>
      </c>
      <c r="P138" s="101">
        <f>IF(P53=0,0,1000000*P53/TrRoad_act!P81)</f>
        <v>9154.5386551512202</v>
      </c>
      <c r="Q138" s="101">
        <f>IF(Q53=0,0,1000000*Q53/TrRoad_act!Q81)</f>
        <v>9584.7129568512464</v>
      </c>
      <c r="R138" s="101">
        <f>IF(R53=0,0,1000000*R53/TrRoad_act!R81)</f>
        <v>10609.349756418591</v>
      </c>
      <c r="S138" s="101">
        <f>IF(S53=0,0,1000000*S53/TrRoad_act!S81)</f>
        <v>11568.094828730467</v>
      </c>
      <c r="T138" s="101">
        <f>IF(T53=0,0,1000000*T53/TrRoad_act!T81)</f>
        <v>11617.026162001564</v>
      </c>
      <c r="U138" s="101">
        <f>IF(U53=0,0,1000000*U53/TrRoad_act!U81)</f>
        <v>10833.510786136676</v>
      </c>
      <c r="V138" s="101">
        <f>IF(V53=0,0,1000000*V53/TrRoad_act!V81)</f>
        <v>9983.6325887836992</v>
      </c>
      <c r="W138" s="101">
        <f>IF(W53=0,0,1000000*W53/TrRoad_act!W81)</f>
        <v>11619.505755506436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46580.99842088313</v>
      </c>
      <c r="C139" s="88">
        <f>IF(C55=0,0,1000000*C55/TrRoad_act!C82)</f>
        <v>45055.037265549487</v>
      </c>
      <c r="D139" s="88">
        <f>IF(D55=0,0,1000000*D55/TrRoad_act!D82)</f>
        <v>42083.65685239117</v>
      </c>
      <c r="E139" s="88">
        <f>IF(E55=0,0,1000000*E55/TrRoad_act!E82)</f>
        <v>42031.945238315253</v>
      </c>
      <c r="F139" s="88">
        <f>IF(F55=0,0,1000000*F55/TrRoad_act!F82)</f>
        <v>39732.45864090565</v>
      </c>
      <c r="G139" s="88">
        <f>IF(G55=0,0,1000000*G55/TrRoad_act!G82)</f>
        <v>39054.720246737248</v>
      </c>
      <c r="H139" s="88">
        <f>IF(H55=0,0,1000000*H55/TrRoad_act!H82)</f>
        <v>37912.926309807503</v>
      </c>
      <c r="I139" s="88">
        <f>IF(I55=0,0,1000000*I55/TrRoad_act!I82)</f>
        <v>36475.751228064444</v>
      </c>
      <c r="J139" s="88">
        <f>IF(J55=0,0,1000000*J55/TrRoad_act!J82)</f>
        <v>36867.441913623617</v>
      </c>
      <c r="K139" s="88">
        <f>IF(K55=0,0,1000000*K55/TrRoad_act!K82)</f>
        <v>36195.533559518473</v>
      </c>
      <c r="L139" s="88">
        <f>IF(L55=0,0,1000000*L55/TrRoad_act!L82)</f>
        <v>36679.659043358413</v>
      </c>
      <c r="M139" s="88">
        <f>IF(M55=0,0,1000000*M55/TrRoad_act!M82)</f>
        <v>35153.11562673466</v>
      </c>
      <c r="N139" s="88">
        <f>IF(N55=0,0,1000000*N55/TrRoad_act!N82)</f>
        <v>31726.441574804558</v>
      </c>
      <c r="O139" s="88">
        <f>IF(O55=0,0,1000000*O55/TrRoad_act!O82)</f>
        <v>32107.300717533108</v>
      </c>
      <c r="P139" s="88">
        <f>IF(P55=0,0,1000000*P55/TrRoad_act!P82)</f>
        <v>32462.184277643202</v>
      </c>
      <c r="Q139" s="88">
        <f>IF(Q55=0,0,1000000*Q55/TrRoad_act!Q82)</f>
        <v>32403.911310605039</v>
      </c>
      <c r="R139" s="88">
        <f>IF(R55=0,0,1000000*R55/TrRoad_act!R82)</f>
        <v>35572.664821535458</v>
      </c>
      <c r="S139" s="88">
        <f>IF(S55=0,0,1000000*S55/TrRoad_act!S82)</f>
        <v>37991.963727185721</v>
      </c>
      <c r="T139" s="88">
        <f>IF(T55=0,0,1000000*T55/TrRoad_act!T82)</f>
        <v>38652.881426043263</v>
      </c>
      <c r="U139" s="88">
        <f>IF(U55=0,0,1000000*U55/TrRoad_act!U82)</f>
        <v>35620.364369215633</v>
      </c>
      <c r="V139" s="88">
        <f>IF(V55=0,0,1000000*V55/TrRoad_act!V82)</f>
        <v>34374.945306949463</v>
      </c>
      <c r="W139" s="88">
        <f>IF(W55=0,0,1000000*W55/TrRoad_act!W82)</f>
        <v>36640.450516473684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0.65249479641700781</v>
      </c>
      <c r="C142" s="46">
        <f t="shared" si="41"/>
        <v>0.6373516836225106</v>
      </c>
      <c r="D142" s="46">
        <f t="shared" si="41"/>
        <v>0.64560002246767478</v>
      </c>
      <c r="E142" s="46">
        <f t="shared" si="41"/>
        <v>0.64263010553730238</v>
      </c>
      <c r="F142" s="46">
        <f t="shared" si="41"/>
        <v>0.63611044606974665</v>
      </c>
      <c r="G142" s="46">
        <f t="shared" si="41"/>
        <v>0.64513501954193431</v>
      </c>
      <c r="H142" s="46">
        <f t="shared" si="41"/>
        <v>0.64810235663877525</v>
      </c>
      <c r="I142" s="46">
        <f t="shared" si="41"/>
        <v>0.6431657251317987</v>
      </c>
      <c r="J142" s="46">
        <f t="shared" si="41"/>
        <v>0.65686232338878614</v>
      </c>
      <c r="K142" s="46">
        <f t="shared" si="41"/>
        <v>0.68716136750045465</v>
      </c>
      <c r="L142" s="46">
        <f t="shared" ref="L142" si="42">IF(L18=0,0,L18/L$17)</f>
        <v>0.68867974765479434</v>
      </c>
      <c r="M142" s="46">
        <f t="shared" ref="M142:V142" si="43">IF(M18=0,0,M18/M$17)</f>
        <v>0.69418207200760407</v>
      </c>
      <c r="N142" s="46">
        <f t="shared" si="43"/>
        <v>0.70912432262612723</v>
      </c>
      <c r="O142" s="46">
        <f t="shared" si="43"/>
        <v>0.7118247621292878</v>
      </c>
      <c r="P142" s="46">
        <f t="shared" si="43"/>
        <v>0.7118330379247737</v>
      </c>
      <c r="Q142" s="46">
        <f t="shared" si="43"/>
        <v>0.70573954782095349</v>
      </c>
      <c r="R142" s="46">
        <f t="shared" si="43"/>
        <v>0.68956961981505283</v>
      </c>
      <c r="S142" s="46">
        <f t="shared" si="43"/>
        <v>0.66557633600750365</v>
      </c>
      <c r="T142" s="46">
        <f t="shared" si="43"/>
        <v>0.66469459746079251</v>
      </c>
      <c r="U142" s="46">
        <f t="shared" si="43"/>
        <v>0.67909221266942688</v>
      </c>
      <c r="V142" s="46">
        <f t="shared" si="43"/>
        <v>0.66284957106715869</v>
      </c>
      <c r="W142" s="46">
        <f t="shared" ref="W142" si="44">IF(W18=0,0,W18/W$17)</f>
        <v>0.64169029129303146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1.4260692796809849E-2</v>
      </c>
      <c r="C143" s="154">
        <f t="shared" si="45"/>
        <v>1.4361249905039463E-2</v>
      </c>
      <c r="D143" s="154">
        <f t="shared" si="45"/>
        <v>1.2795555154718532E-2</v>
      </c>
      <c r="E143" s="154">
        <f t="shared" si="45"/>
        <v>1.37336002661768E-2</v>
      </c>
      <c r="F143" s="154">
        <f t="shared" si="45"/>
        <v>1.2793996795930048E-2</v>
      </c>
      <c r="G143" s="154">
        <f t="shared" si="45"/>
        <v>1.4155074435554596E-2</v>
      </c>
      <c r="H143" s="154">
        <f t="shared" si="45"/>
        <v>1.3969996137739435E-2</v>
      </c>
      <c r="I143" s="154">
        <f t="shared" si="45"/>
        <v>1.5238273685210697E-2</v>
      </c>
      <c r="J143" s="154">
        <f t="shared" si="45"/>
        <v>1.5977173884844313E-2</v>
      </c>
      <c r="K143" s="154">
        <f t="shared" si="45"/>
        <v>1.7430791913730079E-2</v>
      </c>
      <c r="L143" s="154">
        <f t="shared" ref="L143" si="46">IF(L19=0,0,L19/L$17)</f>
        <v>1.81190219320558E-2</v>
      </c>
      <c r="M143" s="154">
        <f t="shared" ref="M143:V143" si="47">IF(M19=0,0,M19/M$17)</f>
        <v>1.7335369951794112E-2</v>
      </c>
      <c r="N143" s="154">
        <f t="shared" si="47"/>
        <v>1.7925779162768149E-2</v>
      </c>
      <c r="O143" s="154">
        <f t="shared" si="47"/>
        <v>1.8016020726847465E-2</v>
      </c>
      <c r="P143" s="154">
        <f t="shared" si="47"/>
        <v>1.9775178583268865E-2</v>
      </c>
      <c r="Q143" s="154">
        <f t="shared" si="47"/>
        <v>2.0571920925408251E-2</v>
      </c>
      <c r="R143" s="154">
        <f t="shared" si="47"/>
        <v>2.0569470341496032E-2</v>
      </c>
      <c r="S143" s="154">
        <f t="shared" si="47"/>
        <v>1.9035956777751942E-2</v>
      </c>
      <c r="T143" s="154">
        <f t="shared" si="47"/>
        <v>1.7651681244478041E-2</v>
      </c>
      <c r="U143" s="154">
        <f t="shared" si="47"/>
        <v>1.8423158652723336E-2</v>
      </c>
      <c r="V143" s="154">
        <f t="shared" si="47"/>
        <v>1.8968573751416591E-2</v>
      </c>
      <c r="W143" s="154">
        <f t="shared" ref="W143" si="48">IF(W19=0,0,W19/W$17)</f>
        <v>1.685268664690312E-2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0.59341891037267291</v>
      </c>
      <c r="C144" s="156">
        <f t="shared" si="49"/>
        <v>0.5805252085374123</v>
      </c>
      <c r="D144" s="156">
        <f t="shared" si="49"/>
        <v>0.59210548606756708</v>
      </c>
      <c r="E144" s="156">
        <f t="shared" si="49"/>
        <v>0.59035116950674382</v>
      </c>
      <c r="F144" s="156">
        <f t="shared" si="49"/>
        <v>0.58514063644162007</v>
      </c>
      <c r="G144" s="156">
        <f t="shared" si="49"/>
        <v>0.59437270294830424</v>
      </c>
      <c r="H144" s="156">
        <f t="shared" si="49"/>
        <v>0.59710976438827346</v>
      </c>
      <c r="I144" s="156">
        <f t="shared" si="49"/>
        <v>0.59103022315126585</v>
      </c>
      <c r="J144" s="156">
        <f t="shared" si="49"/>
        <v>0.60245412596585912</v>
      </c>
      <c r="K144" s="156">
        <f t="shared" si="49"/>
        <v>0.62954559810120614</v>
      </c>
      <c r="L144" s="156">
        <f t="shared" ref="L144" si="50">IF(L21=0,0,L21/L$17)</f>
        <v>0.62979213454771421</v>
      </c>
      <c r="M144" s="156">
        <f t="shared" ref="M144:V144" si="51">IF(M21=0,0,M21/M$17)</f>
        <v>0.63450591279999247</v>
      </c>
      <c r="N144" s="156">
        <f t="shared" si="51"/>
        <v>0.64571829773924094</v>
      </c>
      <c r="O144" s="156">
        <f t="shared" si="51"/>
        <v>0.65005762191387118</v>
      </c>
      <c r="P144" s="156">
        <f t="shared" si="51"/>
        <v>0.6493317607633271</v>
      </c>
      <c r="Q144" s="156">
        <f t="shared" si="51"/>
        <v>0.64352114038232877</v>
      </c>
      <c r="R144" s="156">
        <f t="shared" si="51"/>
        <v>0.62795796858759034</v>
      </c>
      <c r="S144" s="156">
        <f t="shared" si="51"/>
        <v>0.62040133514651197</v>
      </c>
      <c r="T144" s="156">
        <f t="shared" si="51"/>
        <v>0.62129893530474567</v>
      </c>
      <c r="U144" s="156">
        <f t="shared" si="51"/>
        <v>0.63430403816566394</v>
      </c>
      <c r="V144" s="156">
        <f t="shared" si="51"/>
        <v>0.62070137516593771</v>
      </c>
      <c r="W144" s="156">
        <f t="shared" ref="W144" si="52">IF(W21=0,0,W21/W$17)</f>
        <v>0.59896696414393935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0.31858458162806191</v>
      </c>
      <c r="C145" s="103">
        <f t="shared" si="53"/>
        <v>0.30035903555028987</v>
      </c>
      <c r="D145" s="103">
        <f t="shared" si="53"/>
        <v>0.28441430412532159</v>
      </c>
      <c r="E145" s="103">
        <f t="shared" si="53"/>
        <v>0.26410459364017475</v>
      </c>
      <c r="F145" s="103">
        <f t="shared" si="53"/>
        <v>0.24329215130106491</v>
      </c>
      <c r="G145" s="103">
        <f t="shared" si="53"/>
        <v>0.22722992682976409</v>
      </c>
      <c r="H145" s="103">
        <f t="shared" si="53"/>
        <v>0.21032854031451337</v>
      </c>
      <c r="I145" s="103">
        <f t="shared" si="53"/>
        <v>0.19350314500623472</v>
      </c>
      <c r="J145" s="103">
        <f t="shared" si="53"/>
        <v>0.18552136632312877</v>
      </c>
      <c r="K145" s="103">
        <f t="shared" si="53"/>
        <v>0.18481206270814757</v>
      </c>
      <c r="L145" s="103">
        <f t="shared" ref="L145" si="54">IF(L22=0,0,L22/L$17)</f>
        <v>0.17629606467230075</v>
      </c>
      <c r="M145" s="103">
        <f t="shared" ref="M145:V145" si="55">IF(M22=0,0,M22/M$17)</f>
        <v>0.17172097550208226</v>
      </c>
      <c r="N145" s="103">
        <f t="shared" si="55"/>
        <v>0.16829637994525026</v>
      </c>
      <c r="O145" s="103">
        <f t="shared" si="55"/>
        <v>0.16612735192790815</v>
      </c>
      <c r="P145" s="103">
        <f t="shared" si="55"/>
        <v>0.16093103520390542</v>
      </c>
      <c r="Q145" s="103">
        <f t="shared" si="55"/>
        <v>0.15608648140219303</v>
      </c>
      <c r="R145" s="103">
        <f t="shared" si="55"/>
        <v>0.15613685418459361</v>
      </c>
      <c r="S145" s="103">
        <f t="shared" si="55"/>
        <v>0.15755202936058166</v>
      </c>
      <c r="T145" s="103">
        <f t="shared" si="55"/>
        <v>0.16260733828950488</v>
      </c>
      <c r="U145" s="103">
        <f t="shared" si="55"/>
        <v>0.17078527382246431</v>
      </c>
      <c r="V145" s="103">
        <f t="shared" si="55"/>
        <v>0.16217637454313841</v>
      </c>
      <c r="W145" s="103">
        <f t="shared" ref="W145" si="56">IF(W22=0,0,W22/W$17)</f>
        <v>0.17784743387194987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0.27162503132481747</v>
      </c>
      <c r="C146" s="103">
        <f t="shared" si="57"/>
        <v>0.27723065887173076</v>
      </c>
      <c r="D146" s="103">
        <f t="shared" si="57"/>
        <v>0.30483108098400746</v>
      </c>
      <c r="E146" s="103">
        <f t="shared" si="57"/>
        <v>0.32355484060337392</v>
      </c>
      <c r="F146" s="103">
        <f t="shared" si="57"/>
        <v>0.3391294415930961</v>
      </c>
      <c r="G146" s="103">
        <f t="shared" si="57"/>
        <v>0.36544561778056994</v>
      </c>
      <c r="H146" s="103">
        <f t="shared" si="57"/>
        <v>0.3852096115697799</v>
      </c>
      <c r="I146" s="103">
        <f t="shared" si="57"/>
        <v>0.39604751257634563</v>
      </c>
      <c r="J146" s="103">
        <f t="shared" si="57"/>
        <v>0.41632248167541264</v>
      </c>
      <c r="K146" s="103">
        <f t="shared" si="57"/>
        <v>0.44397352085236325</v>
      </c>
      <c r="L146" s="103">
        <f t="shared" ref="L146" si="58">IF(L24=0,0,L24/L$17)</f>
        <v>0.45260462815930036</v>
      </c>
      <c r="M146" s="103">
        <f t="shared" ref="M146:V146" si="59">IF(M24=0,0,M24/M$17)</f>
        <v>0.46177712538388005</v>
      </c>
      <c r="N146" s="103">
        <f t="shared" si="59"/>
        <v>0.47599899670400686</v>
      </c>
      <c r="O146" s="103">
        <f t="shared" si="59"/>
        <v>0.48220888424494468</v>
      </c>
      <c r="P146" s="103">
        <f t="shared" si="59"/>
        <v>0.48652800402064145</v>
      </c>
      <c r="Q146" s="103">
        <f t="shared" si="59"/>
        <v>0.48528807543626501</v>
      </c>
      <c r="R146" s="103">
        <f t="shared" si="59"/>
        <v>0.469623496634892</v>
      </c>
      <c r="S146" s="103">
        <f t="shared" si="59"/>
        <v>0.46048101451624029</v>
      </c>
      <c r="T146" s="103">
        <f t="shared" si="59"/>
        <v>0.45578718113253058</v>
      </c>
      <c r="U146" s="103">
        <f t="shared" si="59"/>
        <v>0.45968931726079526</v>
      </c>
      <c r="V146" s="103">
        <f t="shared" si="59"/>
        <v>0.45464484251499621</v>
      </c>
      <c r="W146" s="103">
        <f t="shared" ref="W146" si="60">IF(W24=0,0,W24/W$17)</f>
        <v>0.41652273533319806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3.2092974197934884E-3</v>
      </c>
      <c r="C147" s="103">
        <f t="shared" si="61"/>
        <v>2.9355141153916959E-3</v>
      </c>
      <c r="D147" s="103">
        <f t="shared" si="61"/>
        <v>2.8601009582381273E-3</v>
      </c>
      <c r="E147" s="103">
        <f t="shared" si="61"/>
        <v>2.6917352631951655E-3</v>
      </c>
      <c r="F147" s="103">
        <f t="shared" si="61"/>
        <v>2.6709833527560037E-3</v>
      </c>
      <c r="G147" s="103">
        <f t="shared" si="61"/>
        <v>1.5956431485365005E-3</v>
      </c>
      <c r="H147" s="103">
        <f t="shared" si="61"/>
        <v>1.412756750189302E-3</v>
      </c>
      <c r="I147" s="103">
        <f t="shared" si="61"/>
        <v>1.330981947762755E-3</v>
      </c>
      <c r="J147" s="103">
        <f t="shared" si="61"/>
        <v>4.5353270220880974E-4</v>
      </c>
      <c r="K147" s="103">
        <f t="shared" si="61"/>
        <v>5.9024487202677682E-4</v>
      </c>
      <c r="L147" s="103">
        <f t="shared" ref="L147" si="62">IF(L26=0,0,L26/L$17)</f>
        <v>7.2001964501097369E-4</v>
      </c>
      <c r="M147" s="103">
        <f t="shared" ref="M147:V147" si="63">IF(M26=0,0,M26/M$17)</f>
        <v>8.3072074633789965E-4</v>
      </c>
      <c r="N147" s="103">
        <f t="shared" si="63"/>
        <v>1.1255099853046675E-3</v>
      </c>
      <c r="O147" s="103">
        <f t="shared" si="63"/>
        <v>1.3662802189406546E-3</v>
      </c>
      <c r="P147" s="103">
        <f t="shared" si="63"/>
        <v>1.515020047227337E-3</v>
      </c>
      <c r="Q147" s="103">
        <f t="shared" si="63"/>
        <v>1.7655740874080643E-3</v>
      </c>
      <c r="R147" s="103">
        <f t="shared" si="63"/>
        <v>1.8131141444599655E-3</v>
      </c>
      <c r="S147" s="103">
        <f t="shared" si="63"/>
        <v>1.9118933474633732E-3</v>
      </c>
      <c r="T147" s="103">
        <f t="shared" si="63"/>
        <v>2.2457695044246816E-3</v>
      </c>
      <c r="U147" s="103">
        <f t="shared" si="63"/>
        <v>3.0213789943973105E-3</v>
      </c>
      <c r="V147" s="103">
        <f t="shared" si="63"/>
        <v>2.8087046788954919E-3</v>
      </c>
      <c r="W147" s="103">
        <f t="shared" ref="W147" si="64">IF(W26=0,0,W26/W$17)</f>
        <v>2.9167130744541156E-3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4.8060194703021932E-5</v>
      </c>
      <c r="G148" s="103">
        <f t="shared" si="65"/>
        <v>1.0151518943383591E-4</v>
      </c>
      <c r="H148" s="103">
        <f t="shared" si="65"/>
        <v>1.5885575379084179E-4</v>
      </c>
      <c r="I148" s="103">
        <f t="shared" si="65"/>
        <v>1.4858362092274257E-4</v>
      </c>
      <c r="J148" s="103">
        <f t="shared" si="65"/>
        <v>1.5674526510878022E-4</v>
      </c>
      <c r="K148" s="103">
        <f t="shared" si="65"/>
        <v>1.6976515419479189E-4</v>
      </c>
      <c r="L148" s="103">
        <f t="shared" ref="L148" si="66">IF(L27=0,0,L27/L$17)</f>
        <v>1.7106614238521404E-4</v>
      </c>
      <c r="M148" s="103">
        <f t="shared" ref="M148:V148" si="67">IF(M27=0,0,M27/M$17)</f>
        <v>1.7417477131208717E-4</v>
      </c>
      <c r="N148" s="103">
        <f t="shared" si="67"/>
        <v>2.9072980574689942E-4</v>
      </c>
      <c r="O148" s="103">
        <f t="shared" si="67"/>
        <v>3.4127668866996296E-4</v>
      </c>
      <c r="P148" s="103">
        <f t="shared" si="67"/>
        <v>3.3494576537084061E-4</v>
      </c>
      <c r="Q148" s="103">
        <f t="shared" si="67"/>
        <v>3.4162700263777504E-4</v>
      </c>
      <c r="R148" s="103">
        <f t="shared" si="67"/>
        <v>3.1871511259895193E-4</v>
      </c>
      <c r="S148" s="103">
        <f t="shared" si="67"/>
        <v>3.3599722950219149E-4</v>
      </c>
      <c r="T148" s="103">
        <f t="shared" si="67"/>
        <v>4.4457411654860718E-4</v>
      </c>
      <c r="U148" s="103">
        <f t="shared" si="67"/>
        <v>4.4269232386321561E-4</v>
      </c>
      <c r="V148" s="103">
        <f t="shared" si="67"/>
        <v>3.7014074965807024E-4</v>
      </c>
      <c r="W148" s="103">
        <f t="shared" ref="W148" si="68">IF(W27=0,0,W27/W$17)</f>
        <v>3.9149145643905479E-4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8.3918817242040005E-8</v>
      </c>
      <c r="N149" s="103">
        <f t="shared" si="71"/>
        <v>9.6416147219752916E-7</v>
      </c>
      <c r="O149" s="103">
        <f t="shared" si="71"/>
        <v>2.0622199399183946E-6</v>
      </c>
      <c r="P149" s="103">
        <f t="shared" si="71"/>
        <v>6.2515184822072301E-6</v>
      </c>
      <c r="Q149" s="103">
        <f t="shared" si="71"/>
        <v>1.3321586506473455E-5</v>
      </c>
      <c r="R149" s="103">
        <f t="shared" si="71"/>
        <v>3.0770413861391546E-5</v>
      </c>
      <c r="S149" s="103">
        <f t="shared" si="71"/>
        <v>6.7032137552335439E-5</v>
      </c>
      <c r="T149" s="103">
        <f t="shared" si="71"/>
        <v>1.2347510306442964E-4</v>
      </c>
      <c r="U149" s="103">
        <f t="shared" si="71"/>
        <v>2.136741417591911E-4</v>
      </c>
      <c r="V149" s="103">
        <f t="shared" si="71"/>
        <v>4.5503033798310779E-4</v>
      </c>
      <c r="W149" s="103">
        <f t="shared" ref="W149" si="72">IF(W29=0,0,W29/W$17)</f>
        <v>8.7182107814689927E-4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4.5144738149325667E-9</v>
      </c>
      <c r="L150" s="103">
        <f t="shared" ref="L150" si="74">IF(L32=0,0,L32/L$17)</f>
        <v>3.5592871688752942E-7</v>
      </c>
      <c r="M150" s="103">
        <f t="shared" ref="M150:V150" si="75">IF(M32=0,0,M32/M$17)</f>
        <v>2.832477562928754E-6</v>
      </c>
      <c r="N150" s="103">
        <f t="shared" si="75"/>
        <v>5.7171374600204302E-6</v>
      </c>
      <c r="O150" s="103">
        <f t="shared" si="75"/>
        <v>1.1766613467925417E-5</v>
      </c>
      <c r="P150" s="103">
        <f t="shared" si="75"/>
        <v>1.6504207699874128E-5</v>
      </c>
      <c r="Q150" s="103">
        <f t="shared" si="75"/>
        <v>2.6060867318268594E-5</v>
      </c>
      <c r="R150" s="103">
        <f t="shared" si="75"/>
        <v>3.5018097184316173E-5</v>
      </c>
      <c r="S150" s="103">
        <f t="shared" si="75"/>
        <v>5.3368555171970104E-5</v>
      </c>
      <c r="T150" s="103">
        <f t="shared" si="75"/>
        <v>9.0597158672500364E-5</v>
      </c>
      <c r="U150" s="103">
        <f t="shared" si="75"/>
        <v>1.5170162238487914E-4</v>
      </c>
      <c r="V150" s="103">
        <f t="shared" si="75"/>
        <v>2.46282341266383E-4</v>
      </c>
      <c r="W150" s="103">
        <f t="shared" ref="W150" si="76">IF(W32=0,0,W32/W$17)</f>
        <v>4.1676932975134374E-4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4.4815193247524941E-2</v>
      </c>
      <c r="C151" s="156">
        <f t="shared" si="77"/>
        <v>4.2465225180058734E-2</v>
      </c>
      <c r="D151" s="156">
        <f t="shared" si="77"/>
        <v>4.0698981245389079E-2</v>
      </c>
      <c r="E151" s="156">
        <f t="shared" si="77"/>
        <v>3.8545335764381801E-2</v>
      </c>
      <c r="F151" s="156">
        <f t="shared" si="77"/>
        <v>3.8175812832196468E-2</v>
      </c>
      <c r="G151" s="156">
        <f t="shared" si="77"/>
        <v>3.6607242158075565E-2</v>
      </c>
      <c r="H151" s="156">
        <f t="shared" si="77"/>
        <v>3.7022596112762478E-2</v>
      </c>
      <c r="I151" s="156">
        <f t="shared" si="77"/>
        <v>3.6897228295322208E-2</v>
      </c>
      <c r="J151" s="156">
        <f t="shared" si="77"/>
        <v>3.8431023538082802E-2</v>
      </c>
      <c r="K151" s="156">
        <f t="shared" si="77"/>
        <v>4.0184977485518435E-2</v>
      </c>
      <c r="L151" s="156">
        <f t="shared" ref="L151" si="78">IF(L33=0,0,L33/L$17)</f>
        <v>4.0768591175024287E-2</v>
      </c>
      <c r="M151" s="156">
        <f t="shared" ref="M151:V151" si="79">IF(M33=0,0,M33/M$17)</f>
        <v>4.2340789255817669E-2</v>
      </c>
      <c r="N151" s="156">
        <f t="shared" si="79"/>
        <v>4.5480245724118171E-2</v>
      </c>
      <c r="O151" s="156">
        <f t="shared" si="79"/>
        <v>4.3751119488569058E-2</v>
      </c>
      <c r="P151" s="156">
        <f t="shared" si="79"/>
        <v>4.2726098578177669E-2</v>
      </c>
      <c r="Q151" s="156">
        <f t="shared" si="79"/>
        <v>4.1646486513216521E-2</v>
      </c>
      <c r="R151" s="156">
        <f t="shared" si="79"/>
        <v>4.1042180885966437E-2</v>
      </c>
      <c r="S151" s="156">
        <f t="shared" si="79"/>
        <v>2.6139044083239742E-2</v>
      </c>
      <c r="T151" s="156">
        <f t="shared" si="79"/>
        <v>2.5743980911568851E-2</v>
      </c>
      <c r="U151" s="156">
        <f t="shared" si="79"/>
        <v>2.636501585103956E-2</v>
      </c>
      <c r="V151" s="156">
        <f t="shared" si="79"/>
        <v>2.3179622149804454E-2</v>
      </c>
      <c r="W151" s="156">
        <f t="shared" ref="W151" si="80">IF(W33=0,0,W33/W$17)</f>
        <v>2.5870640502188992E-2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1.3861781582377489E-4</v>
      </c>
      <c r="C152" s="103">
        <f t="shared" si="81"/>
        <v>1.3239794148936523E-4</v>
      </c>
      <c r="D152" s="103">
        <f t="shared" si="81"/>
        <v>1.2969177320377618E-4</v>
      </c>
      <c r="E152" s="103">
        <f t="shared" si="81"/>
        <v>1.2274003429730255E-4</v>
      </c>
      <c r="F152" s="103">
        <f t="shared" si="81"/>
        <v>1.1820723536133393E-4</v>
      </c>
      <c r="G152" s="103">
        <f t="shared" si="81"/>
        <v>1.022694866319733E-4</v>
      </c>
      <c r="H152" s="103">
        <f t="shared" si="81"/>
        <v>9.7159407171973244E-5</v>
      </c>
      <c r="I152" s="103">
        <f t="shared" si="81"/>
        <v>1.0432016147555944E-4</v>
      </c>
      <c r="J152" s="103">
        <f t="shared" si="81"/>
        <v>9.8955936262637057E-5</v>
      </c>
      <c r="K152" s="103">
        <f t="shared" si="81"/>
        <v>9.4462390210256649E-5</v>
      </c>
      <c r="L152" s="103">
        <f t="shared" ref="L152" si="82">IF(L34=0,0,L34/L$17)</f>
        <v>8.9139305669934556E-5</v>
      </c>
      <c r="M152" s="103">
        <f t="shared" ref="M152:V152" si="83">IF(M34=0,0,M34/M$17)</f>
        <v>8.7433877617667139E-5</v>
      </c>
      <c r="N152" s="103">
        <f t="shared" si="83"/>
        <v>8.7765768000627961E-5</v>
      </c>
      <c r="O152" s="103">
        <f t="shared" si="83"/>
        <v>8.2218945239514256E-5</v>
      </c>
      <c r="P152" s="103">
        <f t="shared" si="83"/>
        <v>7.5687221540042396E-5</v>
      </c>
      <c r="Q152" s="103">
        <f t="shared" si="83"/>
        <v>7.1228880957531956E-5</v>
      </c>
      <c r="R152" s="103">
        <f t="shared" si="83"/>
        <v>6.5255778487038733E-5</v>
      </c>
      <c r="S152" s="103">
        <f t="shared" si="83"/>
        <v>5.2278424772384181E-5</v>
      </c>
      <c r="T152" s="103">
        <f t="shared" si="83"/>
        <v>4.8039577114870282E-5</v>
      </c>
      <c r="U152" s="103">
        <f t="shared" si="83"/>
        <v>4.4510956519205502E-5</v>
      </c>
      <c r="V152" s="103">
        <f t="shared" si="83"/>
        <v>3.2747509000942398E-5</v>
      </c>
      <c r="W152" s="103">
        <f t="shared" ref="W152" si="84">IF(W34=0,0,W34/W$17)</f>
        <v>3.3692752012186106E-5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4.442254897442828E-2</v>
      </c>
      <c r="C153" s="103">
        <f t="shared" si="85"/>
        <v>4.1980630709412027E-2</v>
      </c>
      <c r="D153" s="103">
        <f t="shared" si="85"/>
        <v>4.010822970893968E-2</v>
      </c>
      <c r="E153" s="103">
        <f t="shared" si="85"/>
        <v>3.7890955068964373E-2</v>
      </c>
      <c r="F153" s="103">
        <f t="shared" si="85"/>
        <v>3.7474224328652467E-2</v>
      </c>
      <c r="G153" s="103">
        <f t="shared" si="85"/>
        <v>3.587917684651077E-2</v>
      </c>
      <c r="H153" s="103">
        <f t="shared" si="85"/>
        <v>3.6247704034338295E-2</v>
      </c>
      <c r="I153" s="103">
        <f t="shared" si="85"/>
        <v>3.5774642535078442E-2</v>
      </c>
      <c r="J153" s="103">
        <f t="shared" si="85"/>
        <v>3.7225569516730783E-2</v>
      </c>
      <c r="K153" s="103">
        <f t="shared" si="85"/>
        <v>3.8682349075104323E-2</v>
      </c>
      <c r="L153" s="103">
        <f t="shared" ref="L153" si="86">IF(L36=0,0,L36/L$17)</f>
        <v>3.8791895033810267E-2</v>
      </c>
      <c r="M153" s="103">
        <f t="shared" ref="M153:V153" si="87">IF(M36=0,0,M36/M$17)</f>
        <v>4.0113758640106453E-2</v>
      </c>
      <c r="N153" s="103">
        <f t="shared" si="87"/>
        <v>4.2974183526629857E-2</v>
      </c>
      <c r="O153" s="103">
        <f t="shared" si="87"/>
        <v>4.1024272268534057E-2</v>
      </c>
      <c r="P153" s="103">
        <f t="shared" si="87"/>
        <v>3.9772235627047348E-2</v>
      </c>
      <c r="Q153" s="103">
        <f t="shared" si="87"/>
        <v>3.856874446847236E-2</v>
      </c>
      <c r="R153" s="103">
        <f t="shared" si="87"/>
        <v>3.72776645844334E-2</v>
      </c>
      <c r="S153" s="103">
        <f t="shared" si="87"/>
        <v>2.1826375887542857E-2</v>
      </c>
      <c r="T153" s="103">
        <f t="shared" si="87"/>
        <v>2.1670093451969567E-2</v>
      </c>
      <c r="U153" s="103">
        <f t="shared" si="87"/>
        <v>2.1190818599338988E-2</v>
      </c>
      <c r="V153" s="103">
        <f t="shared" si="87"/>
        <v>1.6306588225214955E-2</v>
      </c>
      <c r="W153" s="103">
        <f t="shared" ref="W153" si="88">IF(W36=0,0,W36/W$17)</f>
        <v>1.803377771895652E-2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1.3553123783644014E-6</v>
      </c>
      <c r="Q154" s="103">
        <f t="shared" si="91"/>
        <v>3.5337872508211104E-5</v>
      </c>
      <c r="R154" s="103">
        <f t="shared" si="91"/>
        <v>3.3709377757968798E-5</v>
      </c>
      <c r="S154" s="103">
        <f t="shared" si="91"/>
        <v>2.8360983849016375E-5</v>
      </c>
      <c r="T154" s="103">
        <f t="shared" si="91"/>
        <v>2.5584390661521285E-5</v>
      </c>
      <c r="U154" s="103">
        <f t="shared" si="91"/>
        <v>3.2612914877114407E-5</v>
      </c>
      <c r="V154" s="103">
        <f t="shared" si="91"/>
        <v>3.3532002115585773E-5</v>
      </c>
      <c r="W154" s="103">
        <f t="shared" ref="W154" si="92">IF(W38=0,0,W38/W$17)</f>
        <v>8.0216292539454052E-5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2.5402645727288278E-4</v>
      </c>
      <c r="C155" s="103">
        <f t="shared" si="93"/>
        <v>3.5219652915733838E-4</v>
      </c>
      <c r="D155" s="103">
        <f t="shared" si="93"/>
        <v>4.6105976324561969E-4</v>
      </c>
      <c r="E155" s="103">
        <f t="shared" si="93"/>
        <v>5.3164066112012696E-4</v>
      </c>
      <c r="F155" s="103">
        <f t="shared" si="93"/>
        <v>5.8338126818266857E-4</v>
      </c>
      <c r="G155" s="103">
        <f t="shared" si="93"/>
        <v>6.2579582493282741E-4</v>
      </c>
      <c r="H155" s="103">
        <f t="shared" si="93"/>
        <v>6.7773267125220097E-4</v>
      </c>
      <c r="I155" s="103">
        <f t="shared" si="93"/>
        <v>1.0182655987682099E-3</v>
      </c>
      <c r="J155" s="103">
        <f t="shared" si="93"/>
        <v>1.1064980850893848E-3</v>
      </c>
      <c r="K155" s="103">
        <f t="shared" si="93"/>
        <v>1.4081660202038553E-3</v>
      </c>
      <c r="L155" s="103">
        <f t="shared" ref="L155" si="94">IF(L39=0,0,L39/L$17)</f>
        <v>1.8875568355440863E-3</v>
      </c>
      <c r="M155" s="103">
        <f t="shared" ref="M155:V155" si="95">IF(M39=0,0,M39/M$17)</f>
        <v>2.1395967380935525E-3</v>
      </c>
      <c r="N155" s="103">
        <f t="shared" si="95"/>
        <v>2.4182964294876862E-3</v>
      </c>
      <c r="O155" s="103">
        <f t="shared" si="95"/>
        <v>2.6446282747954858E-3</v>
      </c>
      <c r="P155" s="103">
        <f t="shared" si="95"/>
        <v>2.8399273770972609E-3</v>
      </c>
      <c r="Q155" s="103">
        <f t="shared" si="95"/>
        <v>2.9128717310033221E-3</v>
      </c>
      <c r="R155" s="103">
        <f t="shared" si="95"/>
        <v>3.5873517717838321E-3</v>
      </c>
      <c r="S155" s="103">
        <f t="shared" si="95"/>
        <v>4.1377414082158174E-3</v>
      </c>
      <c r="T155" s="103">
        <f t="shared" si="95"/>
        <v>3.8793468947058269E-3</v>
      </c>
      <c r="U155" s="103">
        <f t="shared" si="95"/>
        <v>4.9002698973821075E-3</v>
      </c>
      <c r="V155" s="103">
        <f t="shared" si="95"/>
        <v>6.5878978254560582E-3</v>
      </c>
      <c r="W155" s="103">
        <f t="shared" ref="W155" si="96">IF(W39=0,0,W39/W$17)</f>
        <v>7.4328172654539301E-3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0</v>
      </c>
      <c r="M156" s="103">
        <f t="shared" ref="M156:V156" si="99">IF(M41=0,0,M41/M$17)</f>
        <v>0</v>
      </c>
      <c r="N156" s="103">
        <f t="shared" si="99"/>
        <v>0</v>
      </c>
      <c r="O156" s="103">
        <f t="shared" si="99"/>
        <v>0</v>
      </c>
      <c r="P156" s="103">
        <f t="shared" si="99"/>
        <v>3.6893040114661397E-5</v>
      </c>
      <c r="Q156" s="103">
        <f t="shared" si="99"/>
        <v>5.830356027509528E-5</v>
      </c>
      <c r="R156" s="103">
        <f t="shared" si="99"/>
        <v>7.8199373504199996E-5</v>
      </c>
      <c r="S156" s="103">
        <f t="shared" si="99"/>
        <v>9.428737885966696E-5</v>
      </c>
      <c r="T156" s="103">
        <f t="shared" si="99"/>
        <v>1.2091659711706474E-4</v>
      </c>
      <c r="U156" s="103">
        <f t="shared" si="99"/>
        <v>1.9680348292214398E-4</v>
      </c>
      <c r="V156" s="103">
        <f t="shared" si="99"/>
        <v>2.1885658801691228E-4</v>
      </c>
      <c r="W156" s="103">
        <f t="shared" ref="W156" si="100">IF(W41=0,0,W41/W$17)</f>
        <v>2.9013647322690095E-4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0.34750520358299225</v>
      </c>
      <c r="C157" s="46">
        <f t="shared" si="101"/>
        <v>0.36264831637748945</v>
      </c>
      <c r="D157" s="46">
        <f t="shared" si="101"/>
        <v>0.35439997753232522</v>
      </c>
      <c r="E157" s="46">
        <f t="shared" si="101"/>
        <v>0.35736989446269757</v>
      </c>
      <c r="F157" s="46">
        <f t="shared" si="101"/>
        <v>0.36388955393025335</v>
      </c>
      <c r="G157" s="46">
        <f t="shared" si="101"/>
        <v>0.35486498045806564</v>
      </c>
      <c r="H157" s="46">
        <f t="shared" si="101"/>
        <v>0.35189764336122459</v>
      </c>
      <c r="I157" s="46">
        <f t="shared" si="101"/>
        <v>0.35683427486820124</v>
      </c>
      <c r="J157" s="46">
        <f t="shared" si="101"/>
        <v>0.34313767661121386</v>
      </c>
      <c r="K157" s="46">
        <f t="shared" si="101"/>
        <v>0.3128386324995453</v>
      </c>
      <c r="L157" s="46">
        <f t="shared" ref="L157" si="102">IF(L42=0,0,L42/L$17)</f>
        <v>0.31132025234520561</v>
      </c>
      <c r="M157" s="46">
        <f t="shared" ref="M157:V157" si="103">IF(M42=0,0,M42/M$17)</f>
        <v>0.30581792799239582</v>
      </c>
      <c r="N157" s="46">
        <f t="shared" si="103"/>
        <v>0.29087567737387271</v>
      </c>
      <c r="O157" s="46">
        <f t="shared" si="103"/>
        <v>0.2881752378707122</v>
      </c>
      <c r="P157" s="46">
        <f t="shared" si="103"/>
        <v>0.28816696207522619</v>
      </c>
      <c r="Q157" s="46">
        <f t="shared" si="103"/>
        <v>0.29426045217904656</v>
      </c>
      <c r="R157" s="46">
        <f t="shared" si="103"/>
        <v>0.31043038018494729</v>
      </c>
      <c r="S157" s="46">
        <f t="shared" si="103"/>
        <v>0.33442366399249629</v>
      </c>
      <c r="T157" s="46">
        <f t="shared" si="103"/>
        <v>0.33530540253920743</v>
      </c>
      <c r="U157" s="46">
        <f t="shared" si="103"/>
        <v>0.32090778733057312</v>
      </c>
      <c r="V157" s="46">
        <f t="shared" si="103"/>
        <v>0.3371504289328412</v>
      </c>
      <c r="W157" s="46">
        <f t="shared" ref="W157" si="104">IF(W42=0,0,W42/W$17)</f>
        <v>0.35830970870696865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0.10465620824103966</v>
      </c>
      <c r="C158" s="154">
        <f t="shared" si="105"/>
        <v>0.11869263822193997</v>
      </c>
      <c r="D158" s="154">
        <f t="shared" si="105"/>
        <v>0.10383179776817753</v>
      </c>
      <c r="E158" s="154">
        <f t="shared" si="105"/>
        <v>0.10411223576646128</v>
      </c>
      <c r="F158" s="154">
        <f t="shared" si="105"/>
        <v>0.10119738787021429</v>
      </c>
      <c r="G158" s="154">
        <f t="shared" si="105"/>
        <v>8.8843239856268991E-2</v>
      </c>
      <c r="H158" s="154">
        <f t="shared" si="105"/>
        <v>8.9589775675777097E-2</v>
      </c>
      <c r="I158" s="154">
        <f t="shared" si="105"/>
        <v>9.6223549191560689E-2</v>
      </c>
      <c r="J158" s="154">
        <f t="shared" si="105"/>
        <v>9.0511291033020635E-2</v>
      </c>
      <c r="K158" s="154">
        <f t="shared" si="105"/>
        <v>8.0347053762825471E-2</v>
      </c>
      <c r="L158" s="154">
        <f t="shared" ref="L158" si="106">IF(L43=0,0,L43/L$17)</f>
        <v>8.121013930135676E-2</v>
      </c>
      <c r="M158" s="154">
        <f t="shared" ref="M158:V158" si="107">IF(M43=0,0,M43/M$17)</f>
        <v>8.2777184818978486E-2</v>
      </c>
      <c r="N158" s="154">
        <f t="shared" si="107"/>
        <v>8.3685624926060187E-2</v>
      </c>
      <c r="O158" s="154">
        <f t="shared" si="107"/>
        <v>8.4886590386050079E-2</v>
      </c>
      <c r="P158" s="154">
        <f t="shared" si="107"/>
        <v>8.156826108458208E-2</v>
      </c>
      <c r="Q158" s="154">
        <f t="shared" si="107"/>
        <v>8.1908374439301129E-2</v>
      </c>
      <c r="R158" s="154">
        <f t="shared" si="107"/>
        <v>7.6164274848912458E-2</v>
      </c>
      <c r="S158" s="154">
        <f t="shared" si="107"/>
        <v>7.9899717592696581E-2</v>
      </c>
      <c r="T158" s="154">
        <f t="shared" si="107"/>
        <v>7.917961069952073E-2</v>
      </c>
      <c r="U158" s="154">
        <f t="shared" si="107"/>
        <v>7.8924066925661035E-2</v>
      </c>
      <c r="V158" s="154">
        <f t="shared" si="107"/>
        <v>6.3252429849198419E-2</v>
      </c>
      <c r="W158" s="154">
        <f t="shared" ref="W158" si="108">IF(W43=0,0,W43/W$17)</f>
        <v>8.0568592909857351E-2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8.6292617097072418E-3</v>
      </c>
      <c r="C159" s="103">
        <f t="shared" si="109"/>
        <v>8.995396660274043E-3</v>
      </c>
      <c r="D159" s="103">
        <f t="shared" si="109"/>
        <v>6.3305102398383195E-3</v>
      </c>
      <c r="E159" s="103">
        <f t="shared" si="109"/>
        <v>5.3816868302465851E-3</v>
      </c>
      <c r="F159" s="103">
        <f t="shared" si="109"/>
        <v>4.3947567108142717E-3</v>
      </c>
      <c r="G159" s="103">
        <f t="shared" si="109"/>
        <v>3.1982518405306018E-3</v>
      </c>
      <c r="H159" s="103">
        <f t="shared" si="109"/>
        <v>2.7058132441079245E-3</v>
      </c>
      <c r="I159" s="103">
        <f t="shared" si="109"/>
        <v>2.3494721526928488E-3</v>
      </c>
      <c r="J159" s="103">
        <f t="shared" si="109"/>
        <v>1.9885931932098052E-3</v>
      </c>
      <c r="K159" s="103">
        <f t="shared" si="109"/>
        <v>1.8374761863956101E-3</v>
      </c>
      <c r="L159" s="103">
        <f t="shared" ref="L159" si="110">IF(L44=0,0,L44/L$17)</f>
        <v>1.7824010088871613E-3</v>
      </c>
      <c r="M159" s="103">
        <f t="shared" ref="M159:V159" si="111">IF(M44=0,0,M44/M$17)</f>
        <v>1.864244841705369E-3</v>
      </c>
      <c r="N159" s="103">
        <f t="shared" si="111"/>
        <v>1.9699165410407798E-3</v>
      </c>
      <c r="O159" s="103">
        <f t="shared" si="111"/>
        <v>1.9549507093769751E-3</v>
      </c>
      <c r="P159" s="103">
        <f t="shared" si="111"/>
        <v>1.2909675288607847E-3</v>
      </c>
      <c r="Q159" s="103">
        <f t="shared" si="111"/>
        <v>1.283543091288183E-3</v>
      </c>
      <c r="R159" s="103">
        <f t="shared" si="111"/>
        <v>1.1213221141392201E-3</v>
      </c>
      <c r="S159" s="103">
        <f t="shared" si="111"/>
        <v>1.225362553108402E-3</v>
      </c>
      <c r="T159" s="103">
        <f t="shared" si="111"/>
        <v>1.2405158650651369E-3</v>
      </c>
      <c r="U159" s="103">
        <f t="shared" si="111"/>
        <v>1.3457834720181114E-3</v>
      </c>
      <c r="V159" s="103">
        <f t="shared" si="111"/>
        <v>1.0750201484625173E-3</v>
      </c>
      <c r="W159" s="103">
        <f t="shared" ref="W159" si="112">IF(W44=0,0,W44/W$17)</f>
        <v>1.5855380841507851E-3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9.6026946531332424E-2</v>
      </c>
      <c r="C160" s="103">
        <f t="shared" si="113"/>
        <v>0.10969724156166592</v>
      </c>
      <c r="D160" s="103">
        <f t="shared" si="113"/>
        <v>9.7501287528339212E-2</v>
      </c>
      <c r="E160" s="103">
        <f t="shared" si="113"/>
        <v>9.873054893621469E-2</v>
      </c>
      <c r="F160" s="103">
        <f t="shared" si="113"/>
        <v>9.6802631159400021E-2</v>
      </c>
      <c r="G160" s="103">
        <f t="shared" si="113"/>
        <v>8.5644988015738388E-2</v>
      </c>
      <c r="H160" s="103">
        <f t="shared" si="113"/>
        <v>8.6883962431669168E-2</v>
      </c>
      <c r="I160" s="103">
        <f t="shared" si="113"/>
        <v>9.387407703886784E-2</v>
      </c>
      <c r="J160" s="103">
        <f t="shared" si="113"/>
        <v>8.8522697839810829E-2</v>
      </c>
      <c r="K160" s="103">
        <f t="shared" si="113"/>
        <v>7.8509577576429859E-2</v>
      </c>
      <c r="L160" s="103">
        <f t="shared" ref="L160" si="114">IF(L46=0,0,L46/L$17)</f>
        <v>7.9427738292469588E-2</v>
      </c>
      <c r="M160" s="103">
        <f t="shared" ref="M160:V160" si="115">IF(M46=0,0,M46/M$17)</f>
        <v>8.0912835833195987E-2</v>
      </c>
      <c r="N160" s="103">
        <f t="shared" si="115"/>
        <v>8.1713757126253159E-2</v>
      </c>
      <c r="O160" s="103">
        <f t="shared" si="115"/>
        <v>8.2924415442732269E-2</v>
      </c>
      <c r="P160" s="103">
        <f t="shared" si="115"/>
        <v>8.0258718024002015E-2</v>
      </c>
      <c r="Q160" s="103">
        <f t="shared" si="115"/>
        <v>8.05746261291094E-2</v>
      </c>
      <c r="R160" s="103">
        <f t="shared" si="115"/>
        <v>7.4922563608586207E-2</v>
      </c>
      <c r="S160" s="103">
        <f t="shared" si="115"/>
        <v>7.8511362309578336E-2</v>
      </c>
      <c r="T160" s="103">
        <f t="shared" si="115"/>
        <v>7.7687738678023172E-2</v>
      </c>
      <c r="U160" s="103">
        <f t="shared" si="115"/>
        <v>7.71368537104372E-2</v>
      </c>
      <c r="V160" s="103">
        <f t="shared" si="115"/>
        <v>6.1731158826338166E-2</v>
      </c>
      <c r="W160" s="103">
        <f t="shared" ref="W160" si="116">IF(W46=0,0,W46/W$17)</f>
        <v>7.8283209114740543E-2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1.0590524624739524E-7</v>
      </c>
      <c r="P161" s="103">
        <f t="shared" si="119"/>
        <v>8.0775337358117077E-6</v>
      </c>
      <c r="Q161" s="103">
        <f t="shared" si="119"/>
        <v>1.9184132459880573E-5</v>
      </c>
      <c r="R161" s="103">
        <f t="shared" si="119"/>
        <v>8.0316450094504265E-5</v>
      </c>
      <c r="S161" s="103">
        <f t="shared" si="119"/>
        <v>1.059783754206017E-4</v>
      </c>
      <c r="T161" s="103">
        <f t="shared" si="119"/>
        <v>1.6133142210230866E-4</v>
      </c>
      <c r="U161" s="103">
        <f t="shared" si="119"/>
        <v>2.921189911410591E-4</v>
      </c>
      <c r="V161" s="103">
        <f t="shared" si="119"/>
        <v>2.7440149639038547E-4</v>
      </c>
      <c r="W161" s="103">
        <f t="shared" ref="W161" si="120">IF(W48=0,0,W48/W$17)</f>
        <v>4.3573884547617965E-4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9.0433638915298001E-7</v>
      </c>
      <c r="O162" s="103">
        <f t="shared" si="123"/>
        <v>6.4969523063225851E-6</v>
      </c>
      <c r="P162" s="103">
        <f t="shared" si="123"/>
        <v>8.4272650872278975E-6</v>
      </c>
      <c r="Q162" s="103">
        <f t="shared" si="123"/>
        <v>2.5083940912094244E-5</v>
      </c>
      <c r="R162" s="103">
        <f t="shared" si="123"/>
        <v>2.9208563023176287E-5</v>
      </c>
      <c r="S162" s="103">
        <f t="shared" si="123"/>
        <v>4.1969647382072663E-5</v>
      </c>
      <c r="T162" s="103">
        <f t="shared" si="123"/>
        <v>6.521594483603804E-5</v>
      </c>
      <c r="U162" s="103">
        <f t="shared" si="123"/>
        <v>1.1546661875988299E-4</v>
      </c>
      <c r="V162" s="103">
        <f t="shared" si="123"/>
        <v>1.3209071716924258E-4</v>
      </c>
      <c r="W162" s="103">
        <f t="shared" ref="W162" si="124">IF(W49=0,0,W49/W$17)</f>
        <v>1.9824105064084451E-4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1.0414407712305602E-7</v>
      </c>
      <c r="N163" s="103">
        <f t="shared" si="127"/>
        <v>1.0469223770865512E-6</v>
      </c>
      <c r="O163" s="103">
        <f t="shared" si="127"/>
        <v>6.213763882592501E-7</v>
      </c>
      <c r="P163" s="103">
        <f t="shared" si="127"/>
        <v>2.0707328962553574E-6</v>
      </c>
      <c r="Q163" s="103">
        <f t="shared" si="127"/>
        <v>5.9371455315604262E-6</v>
      </c>
      <c r="R163" s="103">
        <f t="shared" si="127"/>
        <v>1.0864113069345824E-5</v>
      </c>
      <c r="S163" s="103">
        <f t="shared" si="127"/>
        <v>1.5044707207166969E-5</v>
      </c>
      <c r="T163" s="103">
        <f t="shared" si="127"/>
        <v>2.4808789494087175E-5</v>
      </c>
      <c r="U163" s="103">
        <f t="shared" si="127"/>
        <v>3.3844133304773941E-5</v>
      </c>
      <c r="V163" s="103">
        <f t="shared" si="127"/>
        <v>3.9758660838117221E-5</v>
      </c>
      <c r="W163" s="103">
        <f t="shared" ref="W163" si="128">IF(W51=0,0,W51/W$17)</f>
        <v>6.5865814848997569E-5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0.24284899534195256</v>
      </c>
      <c r="C164" s="156">
        <f t="shared" si="129"/>
        <v>0.24395567815554947</v>
      </c>
      <c r="D164" s="156">
        <f t="shared" si="129"/>
        <v>0.25056817976414769</v>
      </c>
      <c r="E164" s="156">
        <f t="shared" si="129"/>
        <v>0.25325765869623629</v>
      </c>
      <c r="F164" s="156">
        <f t="shared" si="129"/>
        <v>0.26269216606003909</v>
      </c>
      <c r="G164" s="156">
        <f t="shared" si="129"/>
        <v>0.26602174060179662</v>
      </c>
      <c r="H164" s="156">
        <f t="shared" si="129"/>
        <v>0.2623078676854475</v>
      </c>
      <c r="I164" s="156">
        <f t="shared" si="129"/>
        <v>0.26061072567664062</v>
      </c>
      <c r="J164" s="156">
        <f t="shared" si="129"/>
        <v>0.25262638557819317</v>
      </c>
      <c r="K164" s="156">
        <f t="shared" si="129"/>
        <v>0.23249157873671983</v>
      </c>
      <c r="L164" s="156">
        <f t="shared" ref="L164" si="130">IF(L52=0,0,L52/L$17)</f>
        <v>0.23011011304384887</v>
      </c>
      <c r="M164" s="156">
        <f t="shared" ref="M164:V164" si="131">IF(M52=0,0,M52/M$17)</f>
        <v>0.22304074317341735</v>
      </c>
      <c r="N164" s="156">
        <f t="shared" si="131"/>
        <v>0.20719005244781249</v>
      </c>
      <c r="O164" s="156">
        <f t="shared" si="131"/>
        <v>0.20328864748466213</v>
      </c>
      <c r="P164" s="156">
        <f t="shared" si="131"/>
        <v>0.20659870099064409</v>
      </c>
      <c r="Q164" s="156">
        <f t="shared" si="131"/>
        <v>0.21235207773974543</v>
      </c>
      <c r="R164" s="156">
        <f t="shared" si="131"/>
        <v>0.23426610533603484</v>
      </c>
      <c r="S164" s="156">
        <f t="shared" si="131"/>
        <v>0.25452394639979969</v>
      </c>
      <c r="T164" s="156">
        <f t="shared" si="131"/>
        <v>0.2561257918396867</v>
      </c>
      <c r="U164" s="156">
        <f t="shared" si="131"/>
        <v>0.24198372040491214</v>
      </c>
      <c r="V164" s="156">
        <f t="shared" si="131"/>
        <v>0.27389799908364276</v>
      </c>
      <c r="W164" s="156">
        <f t="shared" ref="W164" si="132">IF(W52=0,0,W52/W$17)</f>
        <v>0.2777411157971113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0.19625142531891077</v>
      </c>
      <c r="C165" s="104">
        <f t="shared" si="133"/>
        <v>0.19791433250822238</v>
      </c>
      <c r="D165" s="104">
        <f t="shared" si="133"/>
        <v>0.20648692828474099</v>
      </c>
      <c r="E165" s="104">
        <f t="shared" si="133"/>
        <v>0.21030778328255573</v>
      </c>
      <c r="F165" s="104">
        <f t="shared" si="133"/>
        <v>0.21636439421485856</v>
      </c>
      <c r="G165" s="104">
        <f t="shared" si="133"/>
        <v>0.22035106855103465</v>
      </c>
      <c r="H165" s="104">
        <f t="shared" si="133"/>
        <v>0.218332732864053</v>
      </c>
      <c r="I165" s="104">
        <f t="shared" si="133"/>
        <v>0.21883438479419198</v>
      </c>
      <c r="J165" s="104">
        <f t="shared" si="133"/>
        <v>0.21207005115836972</v>
      </c>
      <c r="K165" s="104">
        <f t="shared" si="133"/>
        <v>0.19363235256728545</v>
      </c>
      <c r="L165" s="104">
        <f t="shared" ref="L165" si="134">IF(L53=0,0,L53/L$17)</f>
        <v>0.19110481703856219</v>
      </c>
      <c r="M165" s="104">
        <f t="shared" ref="M165:V165" si="135">IF(M53=0,0,M53/M$17)</f>
        <v>0.18457042816673663</v>
      </c>
      <c r="N165" s="104">
        <f t="shared" si="135"/>
        <v>0.17023100754970574</v>
      </c>
      <c r="O165" s="104">
        <f t="shared" si="135"/>
        <v>0.1624165806922899</v>
      </c>
      <c r="P165" s="104">
        <f t="shared" si="135"/>
        <v>0.16603001801573791</v>
      </c>
      <c r="Q165" s="104">
        <f t="shared" si="135"/>
        <v>0.17078467113209997</v>
      </c>
      <c r="R165" s="104">
        <f t="shared" si="135"/>
        <v>0.18878269338320647</v>
      </c>
      <c r="S165" s="104">
        <f t="shared" si="135"/>
        <v>0.2056116706250799</v>
      </c>
      <c r="T165" s="104">
        <f t="shared" si="135"/>
        <v>0.20575716831858179</v>
      </c>
      <c r="U165" s="104">
        <f t="shared" si="135"/>
        <v>0.19409202990465421</v>
      </c>
      <c r="V165" s="104">
        <f t="shared" si="135"/>
        <v>0.22061747059226794</v>
      </c>
      <c r="W165" s="104">
        <f t="shared" ref="W165" si="136">IF(W53=0,0,W53/W$17)</f>
        <v>0.22321558498526561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4.6597570023041782E-2</v>
      </c>
      <c r="C166" s="105">
        <f t="shared" si="137"/>
        <v>4.6041345647327071E-2</v>
      </c>
      <c r="D166" s="105">
        <f t="shared" si="137"/>
        <v>4.4081251479406676E-2</v>
      </c>
      <c r="E166" s="105">
        <f t="shared" si="137"/>
        <v>4.2949875413680547E-2</v>
      </c>
      <c r="F166" s="105">
        <f t="shared" si="137"/>
        <v>4.6327771845180526E-2</v>
      </c>
      <c r="G166" s="105">
        <f t="shared" si="137"/>
        <v>4.567067205076198E-2</v>
      </c>
      <c r="H166" s="105">
        <f t="shared" si="137"/>
        <v>4.3975134821394514E-2</v>
      </c>
      <c r="I166" s="105">
        <f t="shared" si="137"/>
        <v>4.1776340882448609E-2</v>
      </c>
      <c r="J166" s="105">
        <f t="shared" si="137"/>
        <v>4.0556334419823481E-2</v>
      </c>
      <c r="K166" s="105">
        <f t="shared" si="137"/>
        <v>3.8859226169434394E-2</v>
      </c>
      <c r="L166" s="105">
        <f t="shared" ref="L166" si="138">IF(L55=0,0,L55/L$17)</f>
        <v>3.9005296005286676E-2</v>
      </c>
      <c r="M166" s="105">
        <f t="shared" ref="M166:V166" si="139">IF(M55=0,0,M55/M$17)</f>
        <v>3.8470315006680703E-2</v>
      </c>
      <c r="N166" s="105">
        <f t="shared" si="139"/>
        <v>3.6959044898106752E-2</v>
      </c>
      <c r="O166" s="105">
        <f t="shared" si="139"/>
        <v>4.0872066792372257E-2</v>
      </c>
      <c r="P166" s="105">
        <f t="shared" si="139"/>
        <v>4.0568682974906171E-2</v>
      </c>
      <c r="Q166" s="105">
        <f t="shared" si="139"/>
        <v>4.1567406607645456E-2</v>
      </c>
      <c r="R166" s="105">
        <f t="shared" si="139"/>
        <v>4.5483411952828387E-2</v>
      </c>
      <c r="S166" s="105">
        <f t="shared" si="139"/>
        <v>4.89122757747198E-2</v>
      </c>
      <c r="T166" s="105">
        <f t="shared" si="139"/>
        <v>5.0368623521104924E-2</v>
      </c>
      <c r="U166" s="105">
        <f t="shared" si="139"/>
        <v>4.7891690500257933E-2</v>
      </c>
      <c r="V166" s="105">
        <f t="shared" si="139"/>
        <v>5.3280528491374816E-2</v>
      </c>
      <c r="W166" s="105">
        <f t="shared" ref="W166" si="140">IF(W55=0,0,W55/W$17)</f>
        <v>5.4525530811845677E-2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79832.886974639972</v>
      </c>
      <c r="C4" s="146">
        <f t="shared" si="0"/>
        <v>83898.636450479971</v>
      </c>
      <c r="D4" s="146">
        <f t="shared" si="0"/>
        <v>86028.992519759995</v>
      </c>
      <c r="E4" s="146">
        <f t="shared" si="0"/>
        <v>90125.517361680002</v>
      </c>
      <c r="F4" s="146">
        <f t="shared" si="0"/>
        <v>93587.165782559983</v>
      </c>
      <c r="G4" s="146">
        <f t="shared" si="0"/>
        <v>96450.004223640019</v>
      </c>
      <c r="H4" s="146">
        <f t="shared" si="0"/>
        <v>99666.604821960005</v>
      </c>
      <c r="I4" s="146">
        <f t="shared" si="0"/>
        <v>102656.95473239999</v>
      </c>
      <c r="J4" s="146">
        <f t="shared" si="0"/>
        <v>97176.075003359991</v>
      </c>
      <c r="K4" s="146">
        <f t="shared" si="0"/>
        <v>90370.376389800018</v>
      </c>
      <c r="L4" s="146">
        <f t="shared" ref="L4" si="1">L5+L9+L10+L15</f>
        <v>86795.351423640022</v>
      </c>
      <c r="M4" s="146">
        <f t="shared" ref="M4:V4" si="2">M5+M9+M10+M15</f>
        <v>82085.52217428002</v>
      </c>
      <c r="N4" s="146">
        <f t="shared" si="2"/>
        <v>73274.916092760002</v>
      </c>
      <c r="O4" s="146">
        <f t="shared" si="2"/>
        <v>75699.323454599988</v>
      </c>
      <c r="P4" s="146">
        <f t="shared" si="2"/>
        <v>76439.965863600009</v>
      </c>
      <c r="Q4" s="146">
        <f t="shared" si="2"/>
        <v>78734.870484480009</v>
      </c>
      <c r="R4" s="146">
        <f t="shared" si="2"/>
        <v>80927.144364960011</v>
      </c>
      <c r="S4" s="146">
        <f t="shared" si="2"/>
        <v>82239.809313959995</v>
      </c>
      <c r="T4" s="146">
        <f t="shared" si="2"/>
        <v>82939.798993320001</v>
      </c>
      <c r="U4" s="146">
        <f t="shared" si="2"/>
        <v>83732.20869852</v>
      </c>
      <c r="V4" s="146">
        <f t="shared" si="2"/>
        <v>68802.320738519993</v>
      </c>
      <c r="W4" s="146">
        <f t="shared" ref="W4" si="3">W5+W9+W10+W15</f>
        <v>79221.708009360009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79817.134296599979</v>
      </c>
      <c r="C5" s="101">
        <f t="shared" si="4"/>
        <v>83875.714192439977</v>
      </c>
      <c r="D5" s="101">
        <f t="shared" si="4"/>
        <v>85998.193821719993</v>
      </c>
      <c r="E5" s="101">
        <f t="shared" si="4"/>
        <v>90088.306635600005</v>
      </c>
      <c r="F5" s="101">
        <f t="shared" si="4"/>
        <v>93541.371756479988</v>
      </c>
      <c r="G5" s="101">
        <f t="shared" si="4"/>
        <v>96395.576407560016</v>
      </c>
      <c r="H5" s="101">
        <f t="shared" si="4"/>
        <v>99602.18018784</v>
      </c>
      <c r="I5" s="101">
        <f t="shared" si="4"/>
        <v>102563.90247023999</v>
      </c>
      <c r="J5" s="101">
        <f t="shared" si="4"/>
        <v>97079.99192747999</v>
      </c>
      <c r="K5" s="101">
        <f t="shared" si="4"/>
        <v>90256.875475680019</v>
      </c>
      <c r="L5" s="101">
        <f t="shared" ref="L5" si="5">SUM(L6:L8)</f>
        <v>86651.202877560019</v>
      </c>
      <c r="M5" s="101">
        <f t="shared" ref="M5:V5" si="6">SUM(M6:M8)</f>
        <v>81930.315914280014</v>
      </c>
      <c r="N5" s="101">
        <f t="shared" si="6"/>
        <v>73108.802175119999</v>
      </c>
      <c r="O5" s="101">
        <f t="shared" si="6"/>
        <v>75519.174124799989</v>
      </c>
      <c r="P5" s="101">
        <f t="shared" si="6"/>
        <v>76246.031148120004</v>
      </c>
      <c r="Q5" s="101">
        <f t="shared" si="6"/>
        <v>78529.273588800002</v>
      </c>
      <c r="R5" s="101">
        <f t="shared" si="6"/>
        <v>80672.470785360012</v>
      </c>
      <c r="S5" s="101">
        <f t="shared" si="6"/>
        <v>81941.157732599997</v>
      </c>
      <c r="T5" s="101">
        <f t="shared" si="6"/>
        <v>82642.968283320006</v>
      </c>
      <c r="U5" s="101">
        <f t="shared" si="6"/>
        <v>83359.945928519999</v>
      </c>
      <c r="V5" s="101">
        <f t="shared" si="6"/>
        <v>68403.90556223999</v>
      </c>
      <c r="W5" s="101">
        <f t="shared" ref="W5" si="7">SUM(W6:W8)</f>
        <v>78705.851679360014</v>
      </c>
      <c r="DA5" s="175"/>
    </row>
    <row r="6" spans="1:105" ht="11.45" customHeight="1" x14ac:dyDescent="0.25">
      <c r="A6" s="128" t="s">
        <v>52</v>
      </c>
      <c r="B6" s="101">
        <v>223.84732572000001</v>
      </c>
      <c r="C6" s="101">
        <v>214.89336</v>
      </c>
      <c r="D6" s="101">
        <v>214.89336</v>
      </c>
      <c r="E6" s="101">
        <v>211.90870476000003</v>
      </c>
      <c r="F6" s="101">
        <v>217.87801524000002</v>
      </c>
      <c r="G6" s="101">
        <v>134.30835000000002</v>
      </c>
      <c r="H6" s="101">
        <v>122.36972904</v>
      </c>
      <c r="I6" s="101">
        <v>119.38530096000001</v>
      </c>
      <c r="J6" s="101">
        <v>38.800290960000019</v>
      </c>
      <c r="K6" s="101">
        <v>47.754029520000003</v>
      </c>
      <c r="L6" s="101">
        <v>56.707995239999995</v>
      </c>
      <c r="M6" s="101">
        <v>62.677305719999993</v>
      </c>
      <c r="N6" s="101">
        <v>77.600354760000002</v>
      </c>
      <c r="O6" s="101">
        <v>92.52363096000002</v>
      </c>
      <c r="P6" s="101">
        <v>104.46202476000001</v>
      </c>
      <c r="Q6" s="101">
        <v>128.33903952000003</v>
      </c>
      <c r="R6" s="101">
        <v>140.27766048000001</v>
      </c>
      <c r="S6" s="101">
        <v>152.21605428000001</v>
      </c>
      <c r="T6" s="101">
        <v>185.04703476</v>
      </c>
      <c r="U6" s="101">
        <v>256.67807904</v>
      </c>
      <c r="V6" s="101">
        <v>196.98565572000004</v>
      </c>
      <c r="W6" s="101">
        <v>248.26452696000001</v>
      </c>
      <c r="DA6" s="175" t="s">
        <v>740</v>
      </c>
    </row>
    <row r="7" spans="1:105" ht="11.45" customHeight="1" x14ac:dyDescent="0.25">
      <c r="A7" s="128" t="s">
        <v>53</v>
      </c>
      <c r="B7" s="101">
        <v>26168.594870879999</v>
      </c>
      <c r="C7" s="101">
        <v>26036.585273159999</v>
      </c>
      <c r="D7" s="101">
        <v>24848.499143159999</v>
      </c>
      <c r="E7" s="101">
        <v>24209.941112279997</v>
      </c>
      <c r="F7" s="101">
        <v>23129.30477088</v>
      </c>
      <c r="G7" s="101">
        <v>22288.12731684</v>
      </c>
      <c r="H7" s="101">
        <v>21268.890747720001</v>
      </c>
      <c r="I7" s="101">
        <v>20473.763310000002</v>
      </c>
      <c r="J7" s="101">
        <v>18858.94862544</v>
      </c>
      <c r="K7" s="101">
        <v>17698.49240544</v>
      </c>
      <c r="L7" s="101">
        <v>16304.717000879999</v>
      </c>
      <c r="M7" s="101">
        <v>15168.820589999999</v>
      </c>
      <c r="N7" s="101">
        <v>13676.80545</v>
      </c>
      <c r="O7" s="101">
        <v>13357.526434560001</v>
      </c>
      <c r="P7" s="101">
        <v>13157.977112279999</v>
      </c>
      <c r="Q7" s="101">
        <v>13234.726890000004</v>
      </c>
      <c r="R7" s="101">
        <v>13833.375106320002</v>
      </c>
      <c r="S7" s="101">
        <v>14134.234015439999</v>
      </c>
      <c r="T7" s="101">
        <v>14726.742029999998</v>
      </c>
      <c r="U7" s="101">
        <v>15690.718779119999</v>
      </c>
      <c r="V7" s="101">
        <v>12421.179595440004</v>
      </c>
      <c r="W7" s="101">
        <v>15309.83690604</v>
      </c>
      <c r="DA7" s="175" t="s">
        <v>741</v>
      </c>
    </row>
    <row r="8" spans="1:105" ht="11.45" customHeight="1" x14ac:dyDescent="0.25">
      <c r="A8" s="128" t="s">
        <v>54</v>
      </c>
      <c r="B8" s="101">
        <v>53424.692099999986</v>
      </c>
      <c r="C8" s="101">
        <v>57624.235559279987</v>
      </c>
      <c r="D8" s="101">
        <v>60934.801318559992</v>
      </c>
      <c r="E8" s="101">
        <v>65666.456818560007</v>
      </c>
      <c r="F8" s="101">
        <v>70194.188970359988</v>
      </c>
      <c r="G8" s="101">
        <v>73973.140740720017</v>
      </c>
      <c r="H8" s="101">
        <v>78210.919711080001</v>
      </c>
      <c r="I8" s="101">
        <v>81970.753859279997</v>
      </c>
      <c r="J8" s="101">
        <v>78182.243011079991</v>
      </c>
      <c r="K8" s="101">
        <v>72510.629040720014</v>
      </c>
      <c r="L8" s="101">
        <v>70289.777881440023</v>
      </c>
      <c r="M8" s="101">
        <v>66698.818018560021</v>
      </c>
      <c r="N8" s="101">
        <v>59354.396370360002</v>
      </c>
      <c r="O8" s="101">
        <v>62069.124059279995</v>
      </c>
      <c r="P8" s="101">
        <v>62983.592011080007</v>
      </c>
      <c r="Q8" s="101">
        <v>65166.20765928</v>
      </c>
      <c r="R8" s="101">
        <v>66698.818018560007</v>
      </c>
      <c r="S8" s="101">
        <v>67654.707662879999</v>
      </c>
      <c r="T8" s="101">
        <v>67731.179218560006</v>
      </c>
      <c r="U8" s="101">
        <v>67412.549070359993</v>
      </c>
      <c r="V8" s="101">
        <v>55785.740311079986</v>
      </c>
      <c r="W8" s="101">
        <v>63147.750246360018</v>
      </c>
      <c r="DA8" s="175" t="s">
        <v>742</v>
      </c>
    </row>
    <row r="9" spans="1:105" ht="11.45" customHeight="1" x14ac:dyDescent="0.25">
      <c r="A9" s="92" t="s">
        <v>55</v>
      </c>
      <c r="B9" s="101">
        <v>15.752678040000001</v>
      </c>
      <c r="C9" s="101">
        <v>22.922258039999999</v>
      </c>
      <c r="D9" s="101">
        <v>30.798698040000001</v>
      </c>
      <c r="E9" s="101">
        <v>37.210726079999993</v>
      </c>
      <c r="F9" s="101">
        <v>45.794026080000002</v>
      </c>
      <c r="G9" s="101">
        <v>54.427816079999992</v>
      </c>
      <c r="H9" s="101">
        <v>64.424634120000022</v>
      </c>
      <c r="I9" s="101">
        <v>93.052262159999998</v>
      </c>
      <c r="J9" s="101">
        <v>96.083075879999996</v>
      </c>
      <c r="K9" s="101">
        <v>113.50091411999999</v>
      </c>
      <c r="L9" s="101">
        <v>144.14854608000002</v>
      </c>
      <c r="M9" s="101">
        <v>155.20625999999999</v>
      </c>
      <c r="N9" s="101">
        <v>166.11391764000001</v>
      </c>
      <c r="O9" s="101">
        <v>180.1493298</v>
      </c>
      <c r="P9" s="101">
        <v>193.93471547999999</v>
      </c>
      <c r="Q9" s="101">
        <v>205.59689568000002</v>
      </c>
      <c r="R9" s="101">
        <v>254.67357959999998</v>
      </c>
      <c r="S9" s="101">
        <v>298.65158135999997</v>
      </c>
      <c r="T9" s="101">
        <v>296.83071000000007</v>
      </c>
      <c r="U9" s="101">
        <v>372.2627700000001</v>
      </c>
      <c r="V9" s="101">
        <v>398.41517627999997</v>
      </c>
      <c r="W9" s="101">
        <v>515.85632999999996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79832.886974639987</v>
      </c>
      <c r="C17" s="79">
        <f t="shared" si="12"/>
        <v>83898.636450479971</v>
      </c>
      <c r="D17" s="79">
        <f t="shared" si="12"/>
        <v>86028.992519759995</v>
      </c>
      <c r="E17" s="79">
        <f t="shared" si="12"/>
        <v>90125.517361679988</v>
      </c>
      <c r="F17" s="79">
        <f t="shared" si="12"/>
        <v>93587.165782559983</v>
      </c>
      <c r="G17" s="79">
        <f t="shared" si="12"/>
        <v>96450.004223640019</v>
      </c>
      <c r="H17" s="79">
        <f t="shared" si="12"/>
        <v>99666.604821959991</v>
      </c>
      <c r="I17" s="79">
        <f t="shared" si="12"/>
        <v>102656.95473239999</v>
      </c>
      <c r="J17" s="79">
        <f t="shared" si="12"/>
        <v>97176.075003360005</v>
      </c>
      <c r="K17" s="79">
        <f t="shared" si="12"/>
        <v>90370.376389800018</v>
      </c>
      <c r="L17" s="79">
        <f t="shared" ref="L17" si="13">SUM(L18,L33)</f>
        <v>86795.351423640022</v>
      </c>
      <c r="M17" s="79">
        <f t="shared" ref="M17:V17" si="14">SUM(M18,M33)</f>
        <v>82085.52217428002</v>
      </c>
      <c r="N17" s="79">
        <f t="shared" si="14"/>
        <v>73274.916092759988</v>
      </c>
      <c r="O17" s="79">
        <f t="shared" si="14"/>
        <v>75699.323454600002</v>
      </c>
      <c r="P17" s="79">
        <f t="shared" si="14"/>
        <v>76439.965863600009</v>
      </c>
      <c r="Q17" s="79">
        <f t="shared" si="14"/>
        <v>78734.870484480009</v>
      </c>
      <c r="R17" s="79">
        <f t="shared" si="14"/>
        <v>80927.144364959997</v>
      </c>
      <c r="S17" s="79">
        <f t="shared" si="14"/>
        <v>82239.809313959995</v>
      </c>
      <c r="T17" s="79">
        <f t="shared" si="14"/>
        <v>82939.798993320015</v>
      </c>
      <c r="U17" s="79">
        <f t="shared" si="14"/>
        <v>83732.20869852</v>
      </c>
      <c r="V17" s="79">
        <f t="shared" si="14"/>
        <v>68802.320738519978</v>
      </c>
      <c r="W17" s="79">
        <f t="shared" ref="W17" si="15">SUM(W18,W33)</f>
        <v>79221.708009360009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51528.413829656398</v>
      </c>
      <c r="C18" s="32">
        <f t="shared" si="16"/>
        <v>52888.516705587666</v>
      </c>
      <c r="D18" s="32">
        <f t="shared" si="16"/>
        <v>54905.969306479055</v>
      </c>
      <c r="E18" s="32">
        <f t="shared" si="16"/>
        <v>57267.707232123561</v>
      </c>
      <c r="F18" s="32">
        <f t="shared" si="16"/>
        <v>58915.766517391705</v>
      </c>
      <c r="G18" s="32">
        <f t="shared" si="16"/>
        <v>61611.288300234104</v>
      </c>
      <c r="H18" s="32">
        <f t="shared" si="16"/>
        <v>63974.741614881852</v>
      </c>
      <c r="I18" s="32">
        <f t="shared" si="16"/>
        <v>65474.938020177251</v>
      </c>
      <c r="J18" s="32">
        <f t="shared" si="16"/>
        <v>63429.643501722552</v>
      </c>
      <c r="K18" s="32">
        <f t="shared" si="16"/>
        <v>61797.200757823535</v>
      </c>
      <c r="L18" s="32">
        <f t="shared" ref="L18" si="17">SUM(L19,L20,L27)</f>
        <v>59482.339038229402</v>
      </c>
      <c r="M18" s="32">
        <f t="shared" ref="M18:V18" si="18">SUM(M19,M20,M27)</f>
        <v>56779.586379512024</v>
      </c>
      <c r="N18" s="32">
        <f t="shared" si="18"/>
        <v>51906.11845398671</v>
      </c>
      <c r="O18" s="32">
        <f t="shared" si="18"/>
        <v>53611.571959501074</v>
      </c>
      <c r="P18" s="32">
        <f t="shared" si="18"/>
        <v>54126.90020674219</v>
      </c>
      <c r="Q18" s="32">
        <f t="shared" si="18"/>
        <v>55265.675553009554</v>
      </c>
      <c r="R18" s="32">
        <f t="shared" si="18"/>
        <v>55562.308171723249</v>
      </c>
      <c r="S18" s="32">
        <f t="shared" si="18"/>
        <v>54497.521206272599</v>
      </c>
      <c r="T18" s="32">
        <f t="shared" si="18"/>
        <v>54953.189903459075</v>
      </c>
      <c r="U18" s="32">
        <f t="shared" si="18"/>
        <v>56700.324947002649</v>
      </c>
      <c r="V18" s="32">
        <f t="shared" si="18"/>
        <v>45491.199172973946</v>
      </c>
      <c r="W18" s="32">
        <f t="shared" ref="W18" si="19">SUM(W19,W20,W27)</f>
        <v>50616.635009106096</v>
      </c>
      <c r="DA18" s="173" t="s">
        <v>402</v>
      </c>
    </row>
    <row r="19" spans="1:105" ht="11.45" customHeight="1" x14ac:dyDescent="0.25">
      <c r="A19" s="136" t="s">
        <v>180</v>
      </c>
      <c r="B19" s="141">
        <v>1092.411952122822</v>
      </c>
      <c r="C19" s="141">
        <v>1154.6089997377817</v>
      </c>
      <c r="D19" s="141">
        <v>1047.0256433722498</v>
      </c>
      <c r="E19" s="141">
        <v>1173.4544305375682</v>
      </c>
      <c r="F19" s="141">
        <v>1135.5228680967537</v>
      </c>
      <c r="G19" s="141">
        <v>1289.3697095615676</v>
      </c>
      <c r="H19" s="141">
        <v>1308.341467093441</v>
      </c>
      <c r="I19" s="141">
        <v>1477.2342952213646</v>
      </c>
      <c r="J19" s="141">
        <v>1480.025980432152</v>
      </c>
      <c r="K19" s="141">
        <v>1510.954087295474</v>
      </c>
      <c r="L19" s="141">
        <v>1505.0720957008884</v>
      </c>
      <c r="M19" s="141">
        <v>1376.6805528735506</v>
      </c>
      <c r="N19" s="141">
        <v>1302.1393659859079</v>
      </c>
      <c r="O19" s="141">
        <v>1292.549967147615</v>
      </c>
      <c r="P19" s="141">
        <v>1429.0738970728457</v>
      </c>
      <c r="Q19" s="141">
        <v>1529.389414667535</v>
      </c>
      <c r="R19" s="141">
        <v>1599.3527856239427</v>
      </c>
      <c r="S19" s="141">
        <v>1512.3480129834602</v>
      </c>
      <c r="T19" s="141">
        <v>1431.2402692379599</v>
      </c>
      <c r="U19" s="141">
        <v>1515.5741876603936</v>
      </c>
      <c r="V19" s="141">
        <v>1290.7206261602564</v>
      </c>
      <c r="W19" s="141">
        <v>1310.7783863615207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46785.90831342672</v>
      </c>
      <c r="C20" s="130">
        <f t="shared" si="20"/>
        <v>48105.110740163203</v>
      </c>
      <c r="D20" s="130">
        <f t="shared" si="20"/>
        <v>50290.900528894432</v>
      </c>
      <c r="E20" s="130">
        <f t="shared" si="20"/>
        <v>52558.965413771126</v>
      </c>
      <c r="F20" s="130">
        <f t="shared" si="20"/>
        <v>54153.909823821727</v>
      </c>
      <c r="G20" s="130">
        <f t="shared" si="20"/>
        <v>56741.037218300808</v>
      </c>
      <c r="H20" s="130">
        <f t="shared" si="20"/>
        <v>58926.436377749393</v>
      </c>
      <c r="I20" s="130">
        <f t="shared" si="20"/>
        <v>60176.960434743822</v>
      </c>
      <c r="J20" s="130">
        <f t="shared" si="20"/>
        <v>58194.041258280318</v>
      </c>
      <c r="K20" s="130">
        <f t="shared" si="20"/>
        <v>56642.645820230326</v>
      </c>
      <c r="L20" s="130">
        <f t="shared" ref="L20" si="21">SUM(L21:L26)</f>
        <v>54433.32641183462</v>
      </c>
      <c r="M20" s="130">
        <f t="shared" ref="M20:V20" si="22">SUM(M21:M26)</f>
        <v>51932.269974243951</v>
      </c>
      <c r="N20" s="130">
        <f t="shared" si="22"/>
        <v>47292.070547052797</v>
      </c>
      <c r="O20" s="130">
        <f t="shared" si="22"/>
        <v>49008.129530783561</v>
      </c>
      <c r="P20" s="130">
        <f t="shared" si="22"/>
        <v>49438.666978868627</v>
      </c>
      <c r="Q20" s="130">
        <f t="shared" si="22"/>
        <v>50468.724781588448</v>
      </c>
      <c r="R20" s="130">
        <f t="shared" si="22"/>
        <v>50676.576062095715</v>
      </c>
      <c r="S20" s="130">
        <f t="shared" si="22"/>
        <v>50894.1681647484</v>
      </c>
      <c r="T20" s="130">
        <f t="shared" si="22"/>
        <v>51444.566486626369</v>
      </c>
      <c r="U20" s="130">
        <f t="shared" si="22"/>
        <v>53058.733534860643</v>
      </c>
      <c r="V20" s="130">
        <f t="shared" si="22"/>
        <v>42698.120797646821</v>
      </c>
      <c r="W20" s="130">
        <f t="shared" ref="W20" si="23">SUM(W21:W26)</f>
        <v>47379.048009258622</v>
      </c>
      <c r="DA20" s="176" t="s">
        <v>404</v>
      </c>
    </row>
    <row r="21" spans="1:105" ht="11.45" customHeight="1" x14ac:dyDescent="0.25">
      <c r="A21" s="111" t="s">
        <v>110</v>
      </c>
      <c r="B21" s="96">
        <v>24404.536980867986</v>
      </c>
      <c r="C21" s="96">
        <v>24148.124146020982</v>
      </c>
      <c r="D21" s="96">
        <v>23272.852655499821</v>
      </c>
      <c r="E21" s="96">
        <v>22566.166156419091</v>
      </c>
      <c r="F21" s="96">
        <v>21593.236721670746</v>
      </c>
      <c r="G21" s="96">
        <v>20698.116855131186</v>
      </c>
      <c r="H21" s="96">
        <v>19698.040593105066</v>
      </c>
      <c r="I21" s="96">
        <v>18758.652583712945</v>
      </c>
      <c r="J21" s="96">
        <v>17185.545082159984</v>
      </c>
      <c r="K21" s="96">
        <v>16020.072003178821</v>
      </c>
      <c r="L21" s="96">
        <v>14644.183803913167</v>
      </c>
      <c r="M21" s="96">
        <v>13637.143490538861</v>
      </c>
      <c r="N21" s="96">
        <v>12225.150130979891</v>
      </c>
      <c r="O21" s="96">
        <v>11918.719817897996</v>
      </c>
      <c r="P21" s="96">
        <v>11629.849038804281</v>
      </c>
      <c r="Q21" s="96">
        <v>11604.021486120782</v>
      </c>
      <c r="R21" s="96">
        <v>12140.220848318011</v>
      </c>
      <c r="S21" s="96">
        <v>12517.022460539882</v>
      </c>
      <c r="T21" s="96">
        <v>13184.589468288963</v>
      </c>
      <c r="U21" s="96">
        <v>14049.586040967924</v>
      </c>
      <c r="V21" s="96">
        <v>11035.325820587188</v>
      </c>
      <c r="W21" s="96">
        <v>13832.724554458506</v>
      </c>
      <c r="DA21" s="171" t="s">
        <v>750</v>
      </c>
    </row>
    <row r="22" spans="1:105" ht="11.45" customHeight="1" x14ac:dyDescent="0.25">
      <c r="A22" s="111" t="s">
        <v>111</v>
      </c>
      <c r="B22" s="96">
        <v>22157.524006838728</v>
      </c>
      <c r="C22" s="96">
        <v>23742.093234142223</v>
      </c>
      <c r="D22" s="96">
        <v>26803.154513394606</v>
      </c>
      <c r="E22" s="96">
        <v>29780.890552592042</v>
      </c>
      <c r="F22" s="96">
        <v>32339.309617648985</v>
      </c>
      <c r="G22" s="96">
        <v>35901.015194270018</v>
      </c>
      <c r="H22" s="96">
        <v>39093.792771579028</v>
      </c>
      <c r="I22" s="96">
        <v>41287.073510954709</v>
      </c>
      <c r="J22" s="96">
        <v>40957.773742685633</v>
      </c>
      <c r="K22" s="96">
        <v>40562.608545051822</v>
      </c>
      <c r="L22" s="96">
        <v>39720.456248516319</v>
      </c>
      <c r="M22" s="96">
        <v>38220.760784632505</v>
      </c>
      <c r="N22" s="96">
        <v>34971.454167908836</v>
      </c>
      <c r="O22" s="96">
        <v>36976.246648431901</v>
      </c>
      <c r="P22" s="96">
        <v>37684.305104633902</v>
      </c>
      <c r="Q22" s="96">
        <v>38718.1946966135</v>
      </c>
      <c r="R22" s="96">
        <v>38382.211101684552</v>
      </c>
      <c r="S22" s="96">
        <v>38209.342470703625</v>
      </c>
      <c r="T22" s="96">
        <v>38052.649074337569</v>
      </c>
      <c r="U22" s="96">
        <v>38736.001444190362</v>
      </c>
      <c r="V22" s="96">
        <v>31444.71795528549</v>
      </c>
      <c r="W22" s="96">
        <v>33269.809233535969</v>
      </c>
      <c r="DA22" s="171" t="s">
        <v>751</v>
      </c>
    </row>
    <row r="23" spans="1:105" ht="11.45" customHeight="1" x14ac:dyDescent="0.25">
      <c r="A23" s="111" t="s">
        <v>112</v>
      </c>
      <c r="B23" s="96">
        <v>223.84732572000001</v>
      </c>
      <c r="C23" s="96">
        <v>214.89336</v>
      </c>
      <c r="D23" s="96">
        <v>214.89336</v>
      </c>
      <c r="E23" s="96">
        <v>211.90870476000003</v>
      </c>
      <c r="F23" s="96">
        <v>217.87801524000002</v>
      </c>
      <c r="G23" s="96">
        <v>134.30835000000002</v>
      </c>
      <c r="H23" s="96">
        <v>122.36972904</v>
      </c>
      <c r="I23" s="96">
        <v>119.38530096000001</v>
      </c>
      <c r="J23" s="96">
        <v>38.800290960000019</v>
      </c>
      <c r="K23" s="96">
        <v>47.754029520000003</v>
      </c>
      <c r="L23" s="96">
        <v>56.707995239999995</v>
      </c>
      <c r="M23" s="96">
        <v>62.677305719999993</v>
      </c>
      <c r="N23" s="96">
        <v>77.600354760000002</v>
      </c>
      <c r="O23" s="96">
        <v>92.516459679681034</v>
      </c>
      <c r="P23" s="96">
        <v>103.81564584685664</v>
      </c>
      <c r="Q23" s="96">
        <v>124.49457120889316</v>
      </c>
      <c r="R23" s="96">
        <v>131.97765290647285</v>
      </c>
      <c r="S23" s="96">
        <v>142.22275921867103</v>
      </c>
      <c r="T23" s="96">
        <v>170.82891264724103</v>
      </c>
      <c r="U23" s="96">
        <v>231.76809717735671</v>
      </c>
      <c r="V23" s="96">
        <v>177.52286322737675</v>
      </c>
      <c r="W23" s="96">
        <v>210.9485528129176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3.4854692619994867</v>
      </c>
      <c r="G24" s="96">
        <v>7.5968188996044876</v>
      </c>
      <c r="H24" s="96">
        <v>12.233284025302208</v>
      </c>
      <c r="I24" s="96">
        <v>11.84903911616534</v>
      </c>
      <c r="J24" s="96">
        <v>11.922142474698239</v>
      </c>
      <c r="K24" s="96">
        <v>12.21124247968223</v>
      </c>
      <c r="L24" s="96">
        <v>11.978364165130648</v>
      </c>
      <c r="M24" s="96">
        <v>11.683528270537209</v>
      </c>
      <c r="N24" s="96">
        <v>17.821219300978864</v>
      </c>
      <c r="O24" s="96">
        <v>20.54562470910615</v>
      </c>
      <c r="P24" s="96">
        <v>20.405743534054373</v>
      </c>
      <c r="Q24" s="96">
        <v>21.416581983974176</v>
      </c>
      <c r="R24" s="96">
        <v>20.625829038649979</v>
      </c>
      <c r="S24" s="96">
        <v>22.221564722085304</v>
      </c>
      <c r="T24" s="96">
        <v>30.065876727685716</v>
      </c>
      <c r="U24" s="96">
        <v>30.191448046595877</v>
      </c>
      <c r="V24" s="96">
        <v>20.799295181250343</v>
      </c>
      <c r="W24" s="96">
        <v>25.173211967648669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4.8650820501533023E-3</v>
      </c>
      <c r="N25" s="96">
        <v>4.4674103091106657E-2</v>
      </c>
      <c r="O25" s="96">
        <v>0.10098006487489636</v>
      </c>
      <c r="P25" s="96">
        <v>0.2914460495362054</v>
      </c>
      <c r="Q25" s="96">
        <v>0.59744566129878984</v>
      </c>
      <c r="R25" s="96">
        <v>1.5406301480362854</v>
      </c>
      <c r="S25" s="96">
        <v>3.3589095641343651</v>
      </c>
      <c r="T25" s="96">
        <v>6.4331546249066793</v>
      </c>
      <c r="U25" s="96">
        <v>11.186504478403357</v>
      </c>
      <c r="V25" s="96">
        <v>19.754863365517764</v>
      </c>
      <c r="W25" s="96">
        <v>40.392456483592404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3650.0935641068568</v>
      </c>
      <c r="C27" s="130">
        <f t="shared" si="24"/>
        <v>3628.7969656866862</v>
      </c>
      <c r="D27" s="130">
        <f t="shared" si="24"/>
        <v>3568.0431342123684</v>
      </c>
      <c r="E27" s="130">
        <f t="shared" si="24"/>
        <v>3535.2873878148707</v>
      </c>
      <c r="F27" s="130">
        <f t="shared" si="24"/>
        <v>3626.3338254732225</v>
      </c>
      <c r="G27" s="130">
        <f t="shared" si="24"/>
        <v>3580.8813723717294</v>
      </c>
      <c r="H27" s="130">
        <f t="shared" si="24"/>
        <v>3739.9637700390144</v>
      </c>
      <c r="I27" s="130">
        <f t="shared" si="24"/>
        <v>3820.7432902120659</v>
      </c>
      <c r="J27" s="130">
        <f t="shared" si="24"/>
        <v>3755.5762630100767</v>
      </c>
      <c r="K27" s="130">
        <f t="shared" si="24"/>
        <v>3643.6008502977375</v>
      </c>
      <c r="L27" s="130">
        <f t="shared" ref="L27" si="25">SUM(L28:L32)</f>
        <v>3543.9405306938897</v>
      </c>
      <c r="M27" s="130">
        <f t="shared" ref="M27:V27" si="26">SUM(M28:M32)</f>
        <v>3470.635852394526</v>
      </c>
      <c r="N27" s="130">
        <f t="shared" si="26"/>
        <v>3311.908540948004</v>
      </c>
      <c r="O27" s="130">
        <f t="shared" si="26"/>
        <v>3310.8924615699016</v>
      </c>
      <c r="P27" s="130">
        <f t="shared" si="26"/>
        <v>3259.1593308007159</v>
      </c>
      <c r="Q27" s="130">
        <f t="shared" si="26"/>
        <v>3267.5613567535675</v>
      </c>
      <c r="R27" s="130">
        <f t="shared" si="26"/>
        <v>3286.3793240035916</v>
      </c>
      <c r="S27" s="130">
        <f t="shared" si="26"/>
        <v>2091.0050285407433</v>
      </c>
      <c r="T27" s="130">
        <f t="shared" si="26"/>
        <v>2077.3831475947468</v>
      </c>
      <c r="U27" s="130">
        <f t="shared" si="26"/>
        <v>2126.0172244816113</v>
      </c>
      <c r="V27" s="130">
        <f t="shared" si="26"/>
        <v>1502.3577491668709</v>
      </c>
      <c r="W27" s="130">
        <f t="shared" ref="W27" si="27">SUM(W28:W32)</f>
        <v>1926.8086134859532</v>
      </c>
      <c r="DA27" s="176" t="s">
        <v>405</v>
      </c>
    </row>
    <row r="28" spans="1:105" ht="11.45" customHeight="1" x14ac:dyDescent="0.25">
      <c r="A28" s="111" t="s">
        <v>110</v>
      </c>
      <c r="B28" s="97">
        <v>10.618541535157849</v>
      </c>
      <c r="C28" s="97">
        <v>10.644467285311631</v>
      </c>
      <c r="D28" s="97">
        <v>10.612326752286091</v>
      </c>
      <c r="E28" s="97">
        <v>10.487405651759094</v>
      </c>
      <c r="F28" s="97">
        <v>10.491406326597597</v>
      </c>
      <c r="G28" s="97">
        <v>9.3156117882690346</v>
      </c>
      <c r="H28" s="97">
        <v>9.0993354663788857</v>
      </c>
      <c r="I28" s="97">
        <v>10.113043209369041</v>
      </c>
      <c r="J28" s="97">
        <v>9.1666622421639925</v>
      </c>
      <c r="K28" s="97">
        <v>8.188287445016277</v>
      </c>
      <c r="L28" s="97">
        <v>7.4044328715456471</v>
      </c>
      <c r="M28" s="97">
        <v>6.9435217888794423</v>
      </c>
      <c r="N28" s="97">
        <v>6.3753581064398235</v>
      </c>
      <c r="O28" s="97">
        <v>5.898755145739762</v>
      </c>
      <c r="P28" s="97">
        <v>5.4696159728416864</v>
      </c>
      <c r="Q28" s="97">
        <v>5.2954071207087088</v>
      </c>
      <c r="R28" s="97">
        <v>5.0738793643489446</v>
      </c>
      <c r="S28" s="97">
        <v>4.1533594948494894</v>
      </c>
      <c r="T28" s="97">
        <v>3.8951630913612614</v>
      </c>
      <c r="U28" s="97">
        <v>3.6616770251072017</v>
      </c>
      <c r="V28" s="97">
        <v>2.2283111991869391</v>
      </c>
      <c r="W28" s="97">
        <v>2.6205751070988907</v>
      </c>
      <c r="DA28" s="175" t="s">
        <v>756</v>
      </c>
    </row>
    <row r="29" spans="1:105" ht="11.45" customHeight="1" x14ac:dyDescent="0.25">
      <c r="A29" s="111" t="s">
        <v>111</v>
      </c>
      <c r="B29" s="97">
        <v>3623.722344531699</v>
      </c>
      <c r="C29" s="97">
        <v>3595.2302403613744</v>
      </c>
      <c r="D29" s="97">
        <v>3526.6321094200821</v>
      </c>
      <c r="E29" s="97">
        <v>3487.5892560831116</v>
      </c>
      <c r="F29" s="97">
        <v>3573.5338623286248</v>
      </c>
      <c r="G29" s="97">
        <v>3524.7347634030648</v>
      </c>
      <c r="H29" s="97">
        <v>3678.6730844779377</v>
      </c>
      <c r="I29" s="97">
        <v>3729.4270239588623</v>
      </c>
      <c r="J29" s="97">
        <v>3662.2486673626108</v>
      </c>
      <c r="K29" s="97">
        <v>3534.1228912124034</v>
      </c>
      <c r="L29" s="97">
        <v>3404.3659159074746</v>
      </c>
      <c r="M29" s="97">
        <v>3320.1695988761835</v>
      </c>
      <c r="N29" s="97">
        <v>3157.2959187125703</v>
      </c>
      <c r="O29" s="97">
        <v>3145.7811324836516</v>
      </c>
      <c r="P29" s="97">
        <v>3080.5812814003093</v>
      </c>
      <c r="Q29" s="97">
        <v>3077.1663948094906</v>
      </c>
      <c r="R29" s="97">
        <v>3046.6942171973246</v>
      </c>
      <c r="S29" s="97">
        <v>1811.0876342156341</v>
      </c>
      <c r="T29" s="97">
        <v>1809.1874797508303</v>
      </c>
      <c r="U29" s="97">
        <v>1785.6572886201748</v>
      </c>
      <c r="V29" s="97">
        <v>1127.816747504291</v>
      </c>
      <c r="W29" s="97">
        <v>1440.4504090028115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9.2871794100442343E-2</v>
      </c>
      <c r="Q30" s="97">
        <v>2.4917522955962372</v>
      </c>
      <c r="R30" s="97">
        <v>2.4537255809448659</v>
      </c>
      <c r="S30" s="97">
        <v>2.1097292809323647</v>
      </c>
      <c r="T30" s="97">
        <v>1.9461274315279971</v>
      </c>
      <c r="U30" s="97">
        <v>2.5017163482278306</v>
      </c>
      <c r="V30" s="97">
        <v>2.1193744824913763</v>
      </c>
      <c r="W30" s="97">
        <v>5.8015685435162165</v>
      </c>
      <c r="DA30" s="175" t="s">
        <v>758</v>
      </c>
    </row>
    <row r="31" spans="1:105" ht="11.45" customHeight="1" x14ac:dyDescent="0.25">
      <c r="A31" s="111" t="s">
        <v>113</v>
      </c>
      <c r="B31" s="97">
        <v>15.752678040000001</v>
      </c>
      <c r="C31" s="97">
        <v>22.922258039999999</v>
      </c>
      <c r="D31" s="97">
        <v>30.798698040000001</v>
      </c>
      <c r="E31" s="97">
        <v>37.210726079999993</v>
      </c>
      <c r="F31" s="97">
        <v>42.308556818000518</v>
      </c>
      <c r="G31" s="97">
        <v>46.830997180395507</v>
      </c>
      <c r="H31" s="97">
        <v>52.19135009469781</v>
      </c>
      <c r="I31" s="97">
        <v>81.203223043834655</v>
      </c>
      <c r="J31" s="97">
        <v>84.160933405301748</v>
      </c>
      <c r="K31" s="97">
        <v>101.28967164031775</v>
      </c>
      <c r="L31" s="97">
        <v>132.17018191486937</v>
      </c>
      <c r="M31" s="97">
        <v>143.52273172946278</v>
      </c>
      <c r="N31" s="97">
        <v>148.23726412899393</v>
      </c>
      <c r="O31" s="97">
        <v>159.21257394051003</v>
      </c>
      <c r="P31" s="97">
        <v>173.01556163346393</v>
      </c>
      <c r="Q31" s="97">
        <v>182.6078025277719</v>
      </c>
      <c r="R31" s="97">
        <v>232.15750186097304</v>
      </c>
      <c r="S31" s="97">
        <v>273.65430554932738</v>
      </c>
      <c r="T31" s="97">
        <v>262.35437732102758</v>
      </c>
      <c r="U31" s="97">
        <v>334.19654248810167</v>
      </c>
      <c r="V31" s="97">
        <v>370.19331598090162</v>
      </c>
      <c r="W31" s="97">
        <v>477.93606083252655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28304.473144983596</v>
      </c>
      <c r="C33" s="32">
        <f t="shared" si="28"/>
        <v>31010.119744892312</v>
      </c>
      <c r="D33" s="32">
        <f t="shared" si="28"/>
        <v>31123.023213280943</v>
      </c>
      <c r="E33" s="32">
        <f t="shared" si="28"/>
        <v>32857.810129556434</v>
      </c>
      <c r="F33" s="32">
        <f t="shared" si="28"/>
        <v>34671.399265168278</v>
      </c>
      <c r="G33" s="32">
        <f t="shared" si="28"/>
        <v>34838.715923405907</v>
      </c>
      <c r="H33" s="32">
        <f t="shared" si="28"/>
        <v>35691.863207078139</v>
      </c>
      <c r="I33" s="32">
        <f t="shared" si="28"/>
        <v>37182.016712222743</v>
      </c>
      <c r="J33" s="32">
        <f t="shared" si="28"/>
        <v>33746.431501637453</v>
      </c>
      <c r="K33" s="32">
        <f t="shared" si="28"/>
        <v>28573.175631976475</v>
      </c>
      <c r="L33" s="32">
        <f t="shared" ref="L33" si="29">L34+L40</f>
        <v>27313.012385410617</v>
      </c>
      <c r="M33" s="32">
        <f t="shared" ref="M33:V33" si="30">M34+M40</f>
        <v>25305.935794767993</v>
      </c>
      <c r="N33" s="32">
        <f t="shared" si="30"/>
        <v>21368.797638773285</v>
      </c>
      <c r="O33" s="32">
        <f t="shared" si="30"/>
        <v>22087.751495098921</v>
      </c>
      <c r="P33" s="32">
        <f t="shared" si="30"/>
        <v>22313.06565685782</v>
      </c>
      <c r="Q33" s="32">
        <f t="shared" si="30"/>
        <v>23469.194931470454</v>
      </c>
      <c r="R33" s="32">
        <f t="shared" si="30"/>
        <v>25364.836193236741</v>
      </c>
      <c r="S33" s="32">
        <f t="shared" si="30"/>
        <v>27742.288107687396</v>
      </c>
      <c r="T33" s="32">
        <f t="shared" si="30"/>
        <v>27986.609089860944</v>
      </c>
      <c r="U33" s="32">
        <f t="shared" si="30"/>
        <v>27031.883751517351</v>
      </c>
      <c r="V33" s="32">
        <f t="shared" si="30"/>
        <v>23311.121565546036</v>
      </c>
      <c r="W33" s="32">
        <f t="shared" ref="W33" si="31">W34+W40</f>
        <v>28605.073000253917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8494.3237707482876</v>
      </c>
      <c r="C34" s="141">
        <f t="shared" si="32"/>
        <v>10117.703013857872</v>
      </c>
      <c r="D34" s="141">
        <f t="shared" si="32"/>
        <v>9091.0912440116081</v>
      </c>
      <c r="E34" s="141">
        <f t="shared" si="32"/>
        <v>9547.2683951989729</v>
      </c>
      <c r="F34" s="141">
        <f t="shared" si="32"/>
        <v>9621.1315784732451</v>
      </c>
      <c r="G34" s="141">
        <f t="shared" si="32"/>
        <v>8705.0038560586436</v>
      </c>
      <c r="H34" s="141">
        <f t="shared" si="32"/>
        <v>9071.007668555174</v>
      </c>
      <c r="I34" s="141">
        <f t="shared" si="32"/>
        <v>10013.927412127605</v>
      </c>
      <c r="J34" s="141">
        <f t="shared" si="32"/>
        <v>8893.0671089569059</v>
      </c>
      <c r="K34" s="141">
        <f t="shared" si="32"/>
        <v>7332.1230570085609</v>
      </c>
      <c r="L34" s="141">
        <f t="shared" ref="L34" si="33">SUM(L35:L39)</f>
        <v>7118.6128834188503</v>
      </c>
      <c r="M34" s="141">
        <f t="shared" ref="M34:V34" si="34">SUM(M35:M39)</f>
        <v>6845.1103847369168</v>
      </c>
      <c r="N34" s="141">
        <f t="shared" si="34"/>
        <v>6146.6281102711901</v>
      </c>
      <c r="O34" s="141">
        <f t="shared" si="34"/>
        <v>6499.3801153615359</v>
      </c>
      <c r="P34" s="141">
        <f t="shared" si="34"/>
        <v>6310.8449871054745</v>
      </c>
      <c r="Q34" s="141">
        <f t="shared" si="34"/>
        <v>6526.9095007671694</v>
      </c>
      <c r="R34" s="141">
        <f t="shared" si="34"/>
        <v>6218.3259070026961</v>
      </c>
      <c r="S34" s="141">
        <f t="shared" si="34"/>
        <v>6622.6494507021762</v>
      </c>
      <c r="T34" s="141">
        <f t="shared" si="34"/>
        <v>6603.2414147431118</v>
      </c>
      <c r="U34" s="141">
        <f t="shared" si="34"/>
        <v>6640.9775652911867</v>
      </c>
      <c r="V34" s="141">
        <f t="shared" si="34"/>
        <v>4367.4439422414098</v>
      </c>
      <c r="W34" s="141">
        <f t="shared" ref="W34" si="35">SUM(W35:W39)</f>
        <v>6420.4642021592599</v>
      </c>
      <c r="DA34" s="174" t="s">
        <v>411</v>
      </c>
    </row>
    <row r="35" spans="1:105" ht="11.45" customHeight="1" x14ac:dyDescent="0.25">
      <c r="A35" s="111" t="s">
        <v>110</v>
      </c>
      <c r="B35" s="96">
        <v>661.02739635403861</v>
      </c>
      <c r="C35" s="96">
        <v>723.20766011592195</v>
      </c>
      <c r="D35" s="96">
        <v>518.00851753564541</v>
      </c>
      <c r="E35" s="96">
        <v>459.8331196715813</v>
      </c>
      <c r="F35" s="96">
        <v>390.05377478590395</v>
      </c>
      <c r="G35" s="96">
        <v>291.32514035897566</v>
      </c>
      <c r="H35" s="96">
        <v>253.4093520551161</v>
      </c>
      <c r="I35" s="96">
        <v>227.76338785632291</v>
      </c>
      <c r="J35" s="96">
        <v>184.21090060570026</v>
      </c>
      <c r="K35" s="96">
        <v>159.27802752069155</v>
      </c>
      <c r="L35" s="96">
        <v>148.05666839439618</v>
      </c>
      <c r="M35" s="96">
        <v>148.04815971666051</v>
      </c>
      <c r="N35" s="96">
        <v>143.09592082467023</v>
      </c>
      <c r="O35" s="96">
        <v>140.25691430377148</v>
      </c>
      <c r="P35" s="96">
        <v>93.29311438049325</v>
      </c>
      <c r="Q35" s="96">
        <v>95.42313642967865</v>
      </c>
      <c r="R35" s="96">
        <v>87.186962865659083</v>
      </c>
      <c r="S35" s="96">
        <v>97.351272857674701</v>
      </c>
      <c r="T35" s="96">
        <v>100.58397475680725</v>
      </c>
      <c r="U35" s="96">
        <v>110.71036898817196</v>
      </c>
      <c r="V35" s="96">
        <v>73.149974127854946</v>
      </c>
      <c r="W35" s="96">
        <v>123.32093362928656</v>
      </c>
      <c r="DA35" s="171" t="s">
        <v>761</v>
      </c>
    </row>
    <row r="36" spans="1:105" ht="11.45" customHeight="1" x14ac:dyDescent="0.25">
      <c r="A36" s="111" t="s">
        <v>111</v>
      </c>
      <c r="B36" s="96">
        <v>7833.2963743942482</v>
      </c>
      <c r="C36" s="96">
        <v>9394.4953537419497</v>
      </c>
      <c r="D36" s="96">
        <v>8573.0827264759628</v>
      </c>
      <c r="E36" s="96">
        <v>9087.4352755273922</v>
      </c>
      <c r="F36" s="96">
        <v>9231.0778036873417</v>
      </c>
      <c r="G36" s="96">
        <v>8413.6787156996688</v>
      </c>
      <c r="H36" s="96">
        <v>8817.598316500058</v>
      </c>
      <c r="I36" s="96">
        <v>9786.164024271282</v>
      </c>
      <c r="J36" s="96">
        <v>8708.8562083512061</v>
      </c>
      <c r="K36" s="96">
        <v>7172.8450294878694</v>
      </c>
      <c r="L36" s="96">
        <v>6970.5562150244541</v>
      </c>
      <c r="M36" s="96">
        <v>6697.0622250202559</v>
      </c>
      <c r="N36" s="96">
        <v>6003.476755236492</v>
      </c>
      <c r="O36" s="96">
        <v>6358.7248986270615</v>
      </c>
      <c r="P36" s="96">
        <v>6216.4849552934566</v>
      </c>
      <c r="Q36" s="96">
        <v>6428.5611371537261</v>
      </c>
      <c r="R36" s="96">
        <v>6123.4024134440779</v>
      </c>
      <c r="S36" s="96">
        <v>6514.6389009755185</v>
      </c>
      <c r="T36" s="96">
        <v>6485.9749893537864</v>
      </c>
      <c r="U36" s="96">
        <v>6499.9841513232959</v>
      </c>
      <c r="V36" s="96">
        <v>4269.5279849855751</v>
      </c>
      <c r="W36" s="96">
        <v>6252.8818057265826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7.1712803189895391E-3</v>
      </c>
      <c r="P37" s="96">
        <v>0.5535071190429155</v>
      </c>
      <c r="Q37" s="96">
        <v>1.3527160155106228</v>
      </c>
      <c r="R37" s="96">
        <v>5.846281992582286</v>
      </c>
      <c r="S37" s="96">
        <v>7.8835657803966015</v>
      </c>
      <c r="T37" s="96">
        <v>12.271994681230993</v>
      </c>
      <c r="U37" s="96">
        <v>22.408265514415415</v>
      </c>
      <c r="V37" s="96">
        <v>17.343418010131934</v>
      </c>
      <c r="W37" s="96">
        <v>31.514405603566214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5.5434210027234192E-2</v>
      </c>
      <c r="O38" s="96">
        <v>0.39113115038382612</v>
      </c>
      <c r="P38" s="96">
        <v>0.51341031248169211</v>
      </c>
      <c r="Q38" s="96">
        <v>1.5725111682539719</v>
      </c>
      <c r="R38" s="96">
        <v>1.8902487003769666</v>
      </c>
      <c r="S38" s="96">
        <v>2.7757110885872436</v>
      </c>
      <c r="T38" s="96">
        <v>4.4104559512867905</v>
      </c>
      <c r="U38" s="96">
        <v>7.874779465302514</v>
      </c>
      <c r="V38" s="96">
        <v>7.4225651178480749</v>
      </c>
      <c r="W38" s="96">
        <v>12.747057199824805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19810.149374235309</v>
      </c>
      <c r="C40" s="130">
        <f t="shared" si="36"/>
        <v>20892.416731034442</v>
      </c>
      <c r="D40" s="130">
        <f t="shared" si="36"/>
        <v>22031.931969269335</v>
      </c>
      <c r="E40" s="130">
        <f t="shared" si="36"/>
        <v>23310.541734357463</v>
      </c>
      <c r="F40" s="130">
        <f t="shared" si="36"/>
        <v>25050.267686695035</v>
      </c>
      <c r="G40" s="130">
        <f t="shared" si="36"/>
        <v>26133.712067347267</v>
      </c>
      <c r="H40" s="130">
        <f t="shared" si="36"/>
        <v>26620.855538522967</v>
      </c>
      <c r="I40" s="130">
        <f t="shared" si="36"/>
        <v>27168.08930009514</v>
      </c>
      <c r="J40" s="130">
        <f t="shared" si="36"/>
        <v>24853.364392680545</v>
      </c>
      <c r="K40" s="130">
        <f t="shared" si="36"/>
        <v>21241.052574967915</v>
      </c>
      <c r="L40" s="130">
        <f t="shared" ref="L40" si="37">SUM(L41:L42)</f>
        <v>20194.399501991767</v>
      </c>
      <c r="M40" s="130">
        <f t="shared" ref="M40:V40" si="38">SUM(M41:M42)</f>
        <v>18460.825410031077</v>
      </c>
      <c r="N40" s="130">
        <f t="shared" si="38"/>
        <v>15222.169528502096</v>
      </c>
      <c r="O40" s="130">
        <f t="shared" si="38"/>
        <v>15588.371379737386</v>
      </c>
      <c r="P40" s="130">
        <f t="shared" si="38"/>
        <v>16002.220669752345</v>
      </c>
      <c r="Q40" s="130">
        <f t="shared" si="38"/>
        <v>16942.285430703287</v>
      </c>
      <c r="R40" s="130">
        <f t="shared" si="38"/>
        <v>19146.510286234046</v>
      </c>
      <c r="S40" s="130">
        <f t="shared" si="38"/>
        <v>21119.638656985218</v>
      </c>
      <c r="T40" s="130">
        <f t="shared" si="38"/>
        <v>21383.367675117832</v>
      </c>
      <c r="U40" s="130">
        <f t="shared" si="38"/>
        <v>20390.906186226166</v>
      </c>
      <c r="V40" s="130">
        <f t="shared" si="38"/>
        <v>18943.677623304626</v>
      </c>
      <c r="W40" s="130">
        <f t="shared" ref="W40" si="39">SUM(W41:W42)</f>
        <v>22184.608798094658</v>
      </c>
      <c r="DA40" s="176" t="s">
        <v>412</v>
      </c>
    </row>
    <row r="41" spans="1:105" ht="11.45" customHeight="1" x14ac:dyDescent="0.25">
      <c r="A41" s="128" t="s">
        <v>27</v>
      </c>
      <c r="B41" s="97">
        <v>16009.001993192884</v>
      </c>
      <c r="C41" s="97">
        <v>16949.425990281008</v>
      </c>
      <c r="D41" s="97">
        <v>18155.960428794013</v>
      </c>
      <c r="E41" s="97">
        <v>19357.315330583035</v>
      </c>
      <c r="F41" s="97">
        <v>20632.461463327625</v>
      </c>
      <c r="G41" s="97">
        <v>21647.070522198319</v>
      </c>
      <c r="H41" s="97">
        <v>22157.948185811638</v>
      </c>
      <c r="I41" s="97">
        <v>22812.998554007281</v>
      </c>
      <c r="J41" s="97">
        <v>20863.435330202232</v>
      </c>
      <c r="K41" s="97">
        <v>17690.769719251046</v>
      </c>
      <c r="L41" s="97">
        <v>16771.305576197625</v>
      </c>
      <c r="M41" s="97">
        <v>15276.681747744922</v>
      </c>
      <c r="N41" s="97">
        <v>12506.803417032002</v>
      </c>
      <c r="O41" s="97">
        <v>12454.261511329702</v>
      </c>
      <c r="P41" s="97">
        <v>12859.950103031442</v>
      </c>
      <c r="Q41" s="97">
        <v>13625.873955681402</v>
      </c>
      <c r="R41" s="97">
        <v>15429.162385825275</v>
      </c>
      <c r="S41" s="97">
        <v>17061.043759080134</v>
      </c>
      <c r="T41" s="97">
        <v>17178.204312595099</v>
      </c>
      <c r="U41" s="97">
        <v>16355.283597828624</v>
      </c>
      <c r="V41" s="97">
        <v>15258.622753547532</v>
      </c>
      <c r="W41" s="97">
        <v>17829.374726618971</v>
      </c>
      <c r="DA41" s="175" t="s">
        <v>766</v>
      </c>
    </row>
    <row r="42" spans="1:105" ht="11.45" customHeight="1" x14ac:dyDescent="0.25">
      <c r="A42" s="138" t="s">
        <v>116</v>
      </c>
      <c r="B42" s="98">
        <v>3801.1473810424259</v>
      </c>
      <c r="C42" s="98">
        <v>3942.990740753432</v>
      </c>
      <c r="D42" s="98">
        <v>3875.9715404753238</v>
      </c>
      <c r="E42" s="98">
        <v>3953.2264037744289</v>
      </c>
      <c r="F42" s="98">
        <v>4417.80622336741</v>
      </c>
      <c r="G42" s="98">
        <v>4486.6415451489502</v>
      </c>
      <c r="H42" s="98">
        <v>4462.9073527113296</v>
      </c>
      <c r="I42" s="98">
        <v>4355.0907460878598</v>
      </c>
      <c r="J42" s="98">
        <v>3989.9290624783134</v>
      </c>
      <c r="K42" s="98">
        <v>3550.2828557168687</v>
      </c>
      <c r="L42" s="98">
        <v>3423.0939257941436</v>
      </c>
      <c r="M42" s="98">
        <v>3184.1436622861561</v>
      </c>
      <c r="N42" s="98">
        <v>2715.366111470094</v>
      </c>
      <c r="O42" s="98">
        <v>3134.1098684076837</v>
      </c>
      <c r="P42" s="98">
        <v>3142.2705667209034</v>
      </c>
      <c r="Q42" s="98">
        <v>3316.4114750218846</v>
      </c>
      <c r="R42" s="98">
        <v>3717.3479004087717</v>
      </c>
      <c r="S42" s="98">
        <v>4058.5948979050831</v>
      </c>
      <c r="T42" s="98">
        <v>4205.1633625227341</v>
      </c>
      <c r="U42" s="98">
        <v>4035.6225883975412</v>
      </c>
      <c r="V42" s="98">
        <v>3685.0548697570939</v>
      </c>
      <c r="W42" s="98">
        <v>4355.2340714756856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3.0237888845646546</v>
      </c>
      <c r="C47" s="145">
        <f>IF(C4=0,0,C4/TrRoad_ene!C4)</f>
        <v>3.0278032717461718</v>
      </c>
      <c r="D47" s="145">
        <f>IF(D4=0,0,D4/TrRoad_ene!D4)</f>
        <v>3.0249261668559888</v>
      </c>
      <c r="E47" s="145">
        <f>IF(E4=0,0,E4/TrRoad_ene!E4)</f>
        <v>3.0244255104148778</v>
      </c>
      <c r="F47" s="145">
        <f>IF(F4=0,0,F4/TrRoad_ene!F4)</f>
        <v>3.0309979368604343</v>
      </c>
      <c r="G47" s="145">
        <f>IF(G4=0,0,G4/TrRoad_ene!G4)</f>
        <v>3.0272381213959889</v>
      </c>
      <c r="H47" s="145">
        <f>IF(H4=0,0,H4/TrRoad_ene!H4)</f>
        <v>3.0398673408980512</v>
      </c>
      <c r="I47" s="145">
        <f>IF(I4=0,0,I4/TrRoad_ene!I4)</f>
        <v>3.0235785680609806</v>
      </c>
      <c r="J47" s="145">
        <f>IF(J4=0,0,J4/TrRoad_ene!J4)</f>
        <v>3.0008518396186283</v>
      </c>
      <c r="K47" s="145">
        <f>IF(K4=0,0,K4/TrRoad_ene!K4)</f>
        <v>2.95093650524228</v>
      </c>
      <c r="L47" s="145">
        <f>IF(L4=0,0,L4/TrRoad_ene!L4)</f>
        <v>2.9114416615319838</v>
      </c>
      <c r="M47" s="145">
        <f>IF(M4=0,0,M4/TrRoad_ene!M4)</f>
        <v>2.8742389951308271</v>
      </c>
      <c r="N47" s="145">
        <f>IF(N4=0,0,N4/TrRoad_ene!N4)</f>
        <v>2.8077119484305086</v>
      </c>
      <c r="O47" s="145">
        <f>IF(O4=0,0,O4/TrRoad_ene!O4)</f>
        <v>2.9534141290044791</v>
      </c>
      <c r="P47" s="145">
        <f>IF(P4=0,0,P4/TrRoad_ene!P4)</f>
        <v>2.9470508447010131</v>
      </c>
      <c r="Q47" s="145">
        <f>IF(Q4=0,0,Q4/TrRoad_ene!Q4)</f>
        <v>2.9499470771871814</v>
      </c>
      <c r="R47" s="145">
        <f>IF(R4=0,0,R4/TrRoad_ene!R4)</f>
        <v>2.9371798220517356</v>
      </c>
      <c r="S47" s="145">
        <f>IF(S4=0,0,S4/TrRoad_ene!S4)</f>
        <v>2.920708613630612</v>
      </c>
      <c r="T47" s="145">
        <f>IF(T4=0,0,T4/TrRoad_ene!T4)</f>
        <v>2.8805694928099359</v>
      </c>
      <c r="U47" s="145">
        <f>IF(U4=0,0,U4/TrRoad_ene!U4)</f>
        <v>2.8837371498890656</v>
      </c>
      <c r="V47" s="145">
        <f>IF(V4=0,0,V4/TrRoad_ene!V4)</f>
        <v>2.8758514293926432</v>
      </c>
      <c r="W47" s="145">
        <f>IF(W4=0,0,W4/TrRoad_ene!W4)</f>
        <v>2.8938294651979266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2.8771872496757309</v>
      </c>
      <c r="E48" s="97">
        <f>IF(E7=0,0,(E7+E12)/(TrRoad_ene!E7+TrRoad_ene!E12))</f>
        <v>2.8673251782163476</v>
      </c>
      <c r="F48" s="97">
        <f>IF(F7=0,0,(F7+F12)/(TrRoad_ene!F7+TrRoad_ene!F12))</f>
        <v>2.8744780243061023</v>
      </c>
      <c r="G48" s="97">
        <f>IF(G7=0,0,(G7+G12)/(TrRoad_ene!G7+TrRoad_ene!G12))</f>
        <v>2.8589702660631731</v>
      </c>
      <c r="H48" s="97">
        <f>IF(H7=0,0,(H7+H12)/(TrRoad_ene!H7+TrRoad_ene!H12))</f>
        <v>2.8564707919492531</v>
      </c>
      <c r="I48" s="97">
        <f>IF(I7=0,0,(I7+I12)/(TrRoad_ene!I7+TrRoad_ene!I12))</f>
        <v>2.8552654716694699</v>
      </c>
      <c r="J48" s="97">
        <f>IF(J7=0,0,(J7+J12)/(TrRoad_ene!J7+TrRoad_ene!J12))</f>
        <v>2.8605831572722966</v>
      </c>
      <c r="K48" s="97">
        <f>IF(K7=0,0,(K7+K12)/(TrRoad_ene!K7+TrRoad_ene!K12))</f>
        <v>2.8305310499374001</v>
      </c>
      <c r="L48" s="97">
        <f>IF(L7=0,0,(L7+L12)/(TrRoad_ene!L7+TrRoad_ene!L12))</f>
        <v>2.7863404491996406</v>
      </c>
      <c r="M48" s="97">
        <f>IF(M7=0,0,(M7+M12)/(TrRoad_ene!M7+TrRoad_ene!M12))</f>
        <v>2.7807143318351084</v>
      </c>
      <c r="N48" s="97">
        <f>IF(N7=0,0,(N7+N12)/(TrRoad_ene!N7+TrRoad_ene!N12))</f>
        <v>2.7834065644464863</v>
      </c>
      <c r="O48" s="97">
        <f>IF(O7=0,0,(O7+O12)/(TrRoad_ene!O7+TrRoad_ene!O12))</f>
        <v>2.7991154941380323</v>
      </c>
      <c r="P48" s="97">
        <f>IF(P7=0,0,(P7+P12)/(TrRoad_ene!P7+TrRoad_ene!P12))</f>
        <v>2.7861302573203885</v>
      </c>
      <c r="Q48" s="97">
        <f>IF(Q7=0,0,(Q7+Q12)/(TrRoad_ene!Q7+TrRoad_ene!Q12))</f>
        <v>2.7854177637973936</v>
      </c>
      <c r="R48" s="97">
        <f>IF(R7=0,0,(R7+R12)/(TrRoad_ene!R7+TrRoad_ene!R12))</f>
        <v>2.8220030727725987</v>
      </c>
      <c r="S48" s="97">
        <f>IF(S7=0,0,(S7+S12)/(TrRoad_ene!S7+TrRoad_ene!S12))</f>
        <v>2.821520219310949</v>
      </c>
      <c r="T48" s="97">
        <f>IF(T7=0,0,(T7+T12)/(TrRoad_ene!T7+TrRoad_ene!T12))</f>
        <v>2.816059645125403</v>
      </c>
      <c r="U48" s="97">
        <f>IF(U7=0,0,(U7+U12)/(TrRoad_ene!U7+TrRoad_ene!U12))</f>
        <v>2.8331934754915808</v>
      </c>
      <c r="V48" s="97">
        <f>IF(V7=0,0,(V7+V12)/(TrRoad_ene!V7+TrRoad_ene!V12))</f>
        <v>2.8442052344374611</v>
      </c>
      <c r="W48" s="97">
        <f>IF(W7=0,0,(W7+W12)/(TrRoad_ene!W7+TrRoad_ene!W12))</f>
        <v>2.8411152988596742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3.0897338475298226</v>
      </c>
      <c r="C49" s="97">
        <f>IF(C8=0,0,(C8+C13+C14)/(TrRoad_ene!C8+TrRoad_ene!C13+TrRoad_ene!C14))</f>
        <v>3.0906547970458362</v>
      </c>
      <c r="D49" s="97">
        <f>IF(D8=0,0,(D8+D13+D14)/(TrRoad_ene!D8+TrRoad_ene!D13+TrRoad_ene!D14))</f>
        <v>3.0916947295280814</v>
      </c>
      <c r="E49" s="97">
        <f>IF(E8=0,0,(E8+E13+E14)/(TrRoad_ene!E8+TrRoad_ene!E13+TrRoad_ene!E14))</f>
        <v>3.0887652368621232</v>
      </c>
      <c r="F49" s="97">
        <f>IF(F8=0,0,(F8+F13+F14)/(TrRoad_ene!F8+TrRoad_ene!F13+TrRoad_ene!F14))</f>
        <v>3.0884074762035589</v>
      </c>
      <c r="G49" s="97">
        <f>IF(G8=0,0,(G8+G13+G14)/(TrRoad_ene!G8+TrRoad_ene!G13+TrRoad_ene!G14))</f>
        <v>3.0833888944641488</v>
      </c>
      <c r="H49" s="97">
        <f>IF(H8=0,0,(H8+H13+H14)/(TrRoad_ene!H8+TrRoad_ene!H13+TrRoad_ene!H14))</f>
        <v>3.0953920227283169</v>
      </c>
      <c r="I49" s="97">
        <f>IF(I8=0,0,(I8+I13+I14)/(TrRoad_ene!I8+TrRoad_ene!I13+TrRoad_ene!I14))</f>
        <v>3.0704334719919659</v>
      </c>
      <c r="J49" s="97">
        <f>IF(J8=0,0,(J8+J13+J14)/(TrRoad_ene!J8+TrRoad_ene!J13+TrRoad_ene!J14))</f>
        <v>3.038027346574605</v>
      </c>
      <c r="K49" s="97">
        <f>IF(K8=0,0,(K8+K13+K14)/(TrRoad_ene!K8+TrRoad_ene!K13+TrRoad_ene!K14))</f>
        <v>2.9833388327266435</v>
      </c>
      <c r="L49" s="97">
        <f>IF(L8=0,0,(L8+L13+L14)/(TrRoad_ene!L8+TrRoad_ene!L13+TrRoad_ene!L14))</f>
        <v>2.9437902610620452</v>
      </c>
      <c r="M49" s="97">
        <f>IF(M8=0,0,(M8+M13+M14)/(TrRoad_ene!M8+TrRoad_ene!M13+TrRoad_ene!M14))</f>
        <v>2.8981657754520471</v>
      </c>
      <c r="N49" s="97">
        <f>IF(N8=0,0,(N8+N13+N14)/(TrRoad_ene!N8+TrRoad_ene!N13+TrRoad_ene!N14))</f>
        <v>2.8151716114933314</v>
      </c>
      <c r="O49" s="97">
        <f>IF(O8=0,0,(O8+O13+O14)/(TrRoad_ene!O8+TrRoad_ene!O13+TrRoad_ene!O14))</f>
        <v>2.9917132685922221</v>
      </c>
      <c r="P49" s="97">
        <f>IF(P8=0,0,(P8+P13+P14)/(TrRoad_ene!P8+TrRoad_ene!P13+TrRoad_ene!P14))</f>
        <v>2.9862063369671574</v>
      </c>
      <c r="Q49" s="97">
        <f>IF(Q8=0,0,(Q8+Q13+Q14)/(TrRoad_ene!Q8+TrRoad_ene!Q13+TrRoad_ene!Q14))</f>
        <v>2.9892524008898462</v>
      </c>
      <c r="R49" s="97">
        <f>IF(R8=0,0,(R8+R13+R14)/(TrRoad_ene!R8+TrRoad_ene!R13+TrRoad_ene!R14))</f>
        <v>2.9663097004477499</v>
      </c>
      <c r="S49" s="97">
        <f>IF(S8=0,0,(S8+S13+S14)/(TrRoad_ene!S8+TrRoad_ene!S13+TrRoad_ene!S14))</f>
        <v>2.9468903178093457</v>
      </c>
      <c r="T49" s="97">
        <f>IF(T8=0,0,(T8+T13+T14)/(TrRoad_ene!T8+TrRoad_ene!T13+TrRoad_ene!T14))</f>
        <v>2.8996005121593731</v>
      </c>
      <c r="U49" s="97">
        <f>IF(U8=0,0,(U8+U13+U14)/(TrRoad_ene!U8+TrRoad_ene!U13+TrRoad_ene!U14))</f>
        <v>2.9021075435097092</v>
      </c>
      <c r="V49" s="97">
        <f>IF(V8=0,0,(V8+V13+V14)/(TrRoad_ene!V8+TrRoad_ene!V13+TrRoad_ene!V14))</f>
        <v>2.8909381041122559</v>
      </c>
      <c r="W49" s="97">
        <f>IF(W8=0,0,(W8+W13+W14)/(TrRoad_ene!W8+TrRoad_ene!W13+TrRoad_ene!W14))</f>
        <v>2.9176979600742072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362.79239068512908</v>
      </c>
      <c r="C54" s="62">
        <f>IF(TrRoad_act!C30=0,0,C17/TrRoad_act!C30*1000
)</f>
        <v>352.29416752465431</v>
      </c>
      <c r="D54" s="62">
        <f>IF(TrRoad_act!D30=0,0,D17/TrRoad_act!D30*1000
)</f>
        <v>345.8688092908767</v>
      </c>
      <c r="E54" s="62">
        <f>IF(TrRoad_act!E30=0,0,E17/TrRoad_act!E30*1000
)</f>
        <v>343.70634967742131</v>
      </c>
      <c r="F54" s="62">
        <f>IF(TrRoad_act!F30=0,0,F17/TrRoad_act!F30*1000
)</f>
        <v>333.40130729476061</v>
      </c>
      <c r="G54" s="62">
        <f>IF(TrRoad_act!G30=0,0,G17/TrRoad_act!G30*1000
)</f>
        <v>326.46001977608836</v>
      </c>
      <c r="H54" s="62">
        <f>IF(TrRoad_act!H30=0,0,H17/TrRoad_act!H30*1000
)</f>
        <v>322.20386155055763</v>
      </c>
      <c r="I54" s="62">
        <f>IF(TrRoad_act!I30=0,0,I17/TrRoad_act!I30*1000
)</f>
        <v>313.47207984607041</v>
      </c>
      <c r="J54" s="62">
        <f>IF(TrRoad_act!J30=0,0,J17/TrRoad_act!J30*1000
)</f>
        <v>298.91714282680226</v>
      </c>
      <c r="K54" s="62">
        <f>IF(TrRoad_act!K30=0,0,K17/TrRoad_act!K30*1000
)</f>
        <v>279.37833812233072</v>
      </c>
      <c r="L54" s="62">
        <f>IF(TrRoad_act!L30=0,0,L17/TrRoad_act!L30*1000
)</f>
        <v>273.14333585385111</v>
      </c>
      <c r="M54" s="62">
        <f>IF(TrRoad_act!M30=0,0,M17/TrRoad_act!M30*1000
)</f>
        <v>263.39004519142873</v>
      </c>
      <c r="N54" s="62">
        <f>IF(TrRoad_act!N30=0,0,N17/TrRoad_act!N30*1000
)</f>
        <v>245.26755879485532</v>
      </c>
      <c r="O54" s="62">
        <f>IF(TrRoad_act!O30=0,0,O17/TrRoad_act!O30*1000
)</f>
        <v>255.34533470021998</v>
      </c>
      <c r="P54" s="62">
        <f>IF(TrRoad_act!P30=0,0,P17/TrRoad_act!P30*1000
)</f>
        <v>252.94424919132607</v>
      </c>
      <c r="Q54" s="62">
        <f>IF(TrRoad_act!Q30=0,0,Q17/TrRoad_act!Q30*1000
)</f>
        <v>249.26752066324093</v>
      </c>
      <c r="R54" s="62">
        <f>IF(TrRoad_act!R30=0,0,R17/TrRoad_act!R30*1000
)</f>
        <v>264.10073488466242</v>
      </c>
      <c r="S54" s="62">
        <f>IF(TrRoad_act!S30=0,0,S17/TrRoad_act!S30*1000
)</f>
        <v>265.52965382341716</v>
      </c>
      <c r="T54" s="62">
        <f>IF(TrRoad_act!T30=0,0,T17/TrRoad_act!T30*1000
)</f>
        <v>263.5472192639545</v>
      </c>
      <c r="U54" s="62">
        <f>IF(TrRoad_act!U30=0,0,U17/TrRoad_act!U30*1000
)</f>
        <v>248.53522159362856</v>
      </c>
      <c r="V54" s="62">
        <f>IF(TrRoad_act!V30=0,0,V17/TrRoad_act!V30*1000
)</f>
        <v>251.43956443587641</v>
      </c>
      <c r="W54" s="62">
        <f>IF(TrRoad_act!W30=0,0,W17/TrRoad_act!W30*1000
)</f>
        <v>269.44265973352697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277.32986633260191</v>
      </c>
      <c r="C55" s="29">
        <f>IF(TrRoad_act!C31=0,0,C18/TrRoad_act!C31*1000
)</f>
        <v>267.54407650550439</v>
      </c>
      <c r="D55" s="29">
        <f>IF(TrRoad_act!D31=0,0,D18/TrRoad_act!D31*1000
)</f>
        <v>263.0607111235804</v>
      </c>
      <c r="E55" s="29">
        <f>IF(TrRoad_act!E31=0,0,E18/TrRoad_act!E31*1000
)</f>
        <v>261.56157908565808</v>
      </c>
      <c r="F55" s="29">
        <f>IF(TrRoad_act!F31=0,0,F18/TrRoad_act!F31*1000
)</f>
        <v>252.01121428165024</v>
      </c>
      <c r="G55" s="29">
        <f>IF(TrRoad_act!G31=0,0,G18/TrRoad_act!G31*1000
)</f>
        <v>247.23209027501551</v>
      </c>
      <c r="H55" s="29">
        <f>IF(TrRoad_act!H31=0,0,H18/TrRoad_act!H31*1000
)</f>
        <v>245.70691935875612</v>
      </c>
      <c r="I55" s="29">
        <f>IF(TrRoad_act!I31=0,0,I18/TrRoad_act!I31*1000
)</f>
        <v>240.4869776919563</v>
      </c>
      <c r="J55" s="29">
        <f>IF(TrRoad_act!J31=0,0,J18/TrRoad_act!J31*1000
)</f>
        <v>231.27713875431894</v>
      </c>
      <c r="K55" s="29">
        <f>IF(TrRoad_act!K31=0,0,K18/TrRoad_act!K31*1000
)</f>
        <v>221.89230954865889</v>
      </c>
      <c r="L55" s="29">
        <f>IF(TrRoad_act!L31=0,0,L18/TrRoad_act!L31*1000
)</f>
        <v>217.48161387647212</v>
      </c>
      <c r="M55" s="29">
        <f>IF(TrRoad_act!M31=0,0,M18/TrRoad_act!M31*1000
)</f>
        <v>211.63619901206556</v>
      </c>
      <c r="N55" s="29">
        <f>IF(TrRoad_act!N31=0,0,N18/TrRoad_act!N31*1000
)</f>
        <v>200.89199537115306</v>
      </c>
      <c r="O55" s="29">
        <f>IF(TrRoad_act!O31=0,0,O18/TrRoad_act!O31*1000
)</f>
        <v>208.96401142749713</v>
      </c>
      <c r="P55" s="29">
        <f>IF(TrRoad_act!P31=0,0,P18/TrRoad_act!P31*1000
)</f>
        <v>206.11105502051279</v>
      </c>
      <c r="Q55" s="29">
        <f>IF(TrRoad_act!Q31=0,0,Q18/TrRoad_act!Q31*1000
)</f>
        <v>201.40488789420263</v>
      </c>
      <c r="R55" s="29">
        <f>IF(TrRoad_act!R31=0,0,R18/TrRoad_act!R31*1000
)</f>
        <v>209.53172357530903</v>
      </c>
      <c r="S55" s="29">
        <f>IF(TrRoad_act!S31=0,0,S18/TrRoad_act!S31*1000
)</f>
        <v>205.18538698101557</v>
      </c>
      <c r="T55" s="29">
        <f>IF(TrRoad_act!T31=0,0,T18/TrRoad_act!T31*1000
)</f>
        <v>203.9058950890068</v>
      </c>
      <c r="U55" s="29">
        <f>IF(TrRoad_act!U31=0,0,U18/TrRoad_act!U31*1000
)</f>
        <v>195.10195759646734</v>
      </c>
      <c r="V55" s="29">
        <f>IF(TrRoad_act!V31=0,0,V18/TrRoad_act!V31*1000
)</f>
        <v>191.70516060185804</v>
      </c>
      <c r="W55" s="29">
        <f>IF(TrRoad_act!W31=0,0,W18/TrRoad_act!W31*1000
)</f>
        <v>204.60005580133776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124.26430194292584</v>
      </c>
      <c r="C56" s="152">
        <f>IF(TrRoad_act!C32=0,0,C19/TrRoad_act!C32*1000
)</f>
        <v>123.53685662729148</v>
      </c>
      <c r="D56" s="152">
        <f>IF(TrRoad_act!D32=0,0,D19/TrRoad_act!D32*1000
)</f>
        <v>120.57466366735116</v>
      </c>
      <c r="E56" s="152">
        <f>IF(TrRoad_act!E32=0,0,E19/TrRoad_act!E32*1000
)</f>
        <v>119.33764105976029</v>
      </c>
      <c r="F56" s="152">
        <f>IF(TrRoad_act!F32=0,0,F19/TrRoad_act!F32*1000
)</f>
        <v>118.85235381945793</v>
      </c>
      <c r="G56" s="152">
        <f>IF(TrRoad_act!G32=0,0,G19/TrRoad_act!G32*1000
)</f>
        <v>117.4244860603431</v>
      </c>
      <c r="H56" s="152">
        <f>IF(TrRoad_act!H32=0,0,H19/TrRoad_act!H32*1000
)</f>
        <v>116.49751040940912</v>
      </c>
      <c r="I56" s="152">
        <f>IF(TrRoad_act!I32=0,0,I19/TrRoad_act!I32*1000
)</f>
        <v>115.65741203533879</v>
      </c>
      <c r="J56" s="152">
        <f>IF(TrRoad_act!J32=0,0,J19/TrRoad_act!J32*1000
)</f>
        <v>114.99813367771189</v>
      </c>
      <c r="K56" s="152">
        <f>IF(TrRoad_act!K32=0,0,K19/TrRoad_act!K32*1000
)</f>
        <v>113.11653283140363</v>
      </c>
      <c r="L56" s="152">
        <f>IF(TrRoad_act!L32=0,0,L19/TrRoad_act!L32*1000
)</f>
        <v>110.4721150690611</v>
      </c>
      <c r="M56" s="152">
        <f>IF(TrRoad_act!M32=0,0,M19/TrRoad_act!M32*1000
)</f>
        <v>109.86900072413455</v>
      </c>
      <c r="N56" s="152">
        <f>IF(TrRoad_act!N32=0,0,N19/TrRoad_act!N32*1000
)</f>
        <v>109.21056142528082</v>
      </c>
      <c r="O56" s="152">
        <f>IF(TrRoad_act!O32=0,0,O19/TrRoad_act!O32*1000
)</f>
        <v>109.38631566080238</v>
      </c>
      <c r="P56" s="152">
        <f>IF(TrRoad_act!P32=0,0,P19/TrRoad_act!P32*1000
)</f>
        <v>107.96076530530679</v>
      </c>
      <c r="Q56" s="152">
        <f>IF(TrRoad_act!Q32=0,0,Q19/TrRoad_act!Q32*1000
)</f>
        <v>104.81116963760415</v>
      </c>
      <c r="R56" s="152">
        <f>IF(TrRoad_act!R32=0,0,R19/TrRoad_act!R32*1000
)</f>
        <v>106.79525009823703</v>
      </c>
      <c r="S56" s="152">
        <f>IF(TrRoad_act!S32=0,0,S19/TrRoad_act!S32*1000
)</f>
        <v>106.96363757494478</v>
      </c>
      <c r="T56" s="152">
        <f>IF(TrRoad_act!T32=0,0,T19/TrRoad_act!T32*1000
)</f>
        <v>106.04800985965437</v>
      </c>
      <c r="U56" s="152">
        <f>IF(TrRoad_act!U32=0,0,U19/TrRoad_act!U32*1000
)</f>
        <v>105.66440226471691</v>
      </c>
      <c r="V56" s="152">
        <f>IF(TrRoad_act!V32=0,0,V19/TrRoad_act!V32*1000
)</f>
        <v>100.45926660782425</v>
      </c>
      <c r="W56" s="152">
        <f>IF(TrRoad_act!W32=0,0,W19/TrRoad_act!W32*1000
)</f>
        <v>98.332648646248899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267.28157404827476</v>
      </c>
      <c r="C57" s="116">
        <f>IF(TrRoad_act!C33=0,0,C20/TrRoad_act!C33*1000
)</f>
        <v>258.1879517711111</v>
      </c>
      <c r="D57" s="116">
        <f>IF(TrRoad_act!D33=0,0,D20/TrRoad_act!D33*1000
)</f>
        <v>253.95234280110273</v>
      </c>
      <c r="E57" s="116">
        <f>IF(TrRoad_act!E33=0,0,E20/TrRoad_act!E33*1000
)</f>
        <v>253.78845880753636</v>
      </c>
      <c r="F57" s="116">
        <f>IF(TrRoad_act!F33=0,0,F20/TrRoad_act!F33*1000
)</f>
        <v>243.79034426527909</v>
      </c>
      <c r="G57" s="116">
        <f>IF(TrRoad_act!G33=0,0,G20/TrRoad_act!G33*1000
)</f>
        <v>240.29546735056351</v>
      </c>
      <c r="H57" s="116">
        <f>IF(TrRoad_act!H33=0,0,H20/TrRoad_act!H33*1000
)</f>
        <v>238.62558059373796</v>
      </c>
      <c r="I57" s="116">
        <f>IF(TrRoad_act!I33=0,0,I20/TrRoad_act!I33*1000
)</f>
        <v>233.95402836368845</v>
      </c>
      <c r="J57" s="116">
        <f>IF(TrRoad_act!J33=0,0,J20/TrRoad_act!J33*1000
)</f>
        <v>224.58061856632108</v>
      </c>
      <c r="K57" s="116">
        <f>IF(TrRoad_act!K33=0,0,K20/TrRoad_act!K33*1000
)</f>
        <v>215.4479798399733</v>
      </c>
      <c r="L57" s="116">
        <f>IF(TrRoad_act!L33=0,0,L20/TrRoad_act!L33*1000
)</f>
        <v>211.23804089802718</v>
      </c>
      <c r="M57" s="116">
        <f>IF(TrRoad_act!M33=0,0,M20/TrRoad_act!M33*1000
)</f>
        <v>204.7986053527562</v>
      </c>
      <c r="N57" s="116">
        <f>IF(TrRoad_act!N33=0,0,N20/TrRoad_act!N33*1000
)</f>
        <v>193.5687733792326</v>
      </c>
      <c r="O57" s="116">
        <f>IF(TrRoad_act!O33=0,0,O20/TrRoad_act!O33*1000
)</f>
        <v>201.90139355247803</v>
      </c>
      <c r="P57" s="116">
        <f>IF(TrRoad_act!P33=0,0,P20/TrRoad_act!P33*1000
)</f>
        <v>199.82767835538431</v>
      </c>
      <c r="Q57" s="116">
        <f>IF(TrRoad_act!Q33=0,0,Q20/TrRoad_act!Q33*1000
)</f>
        <v>195.77759371556272</v>
      </c>
      <c r="R57" s="116">
        <f>IF(TrRoad_act!R33=0,0,R20/TrRoad_act!R33*1000
)</f>
        <v>204.20118095616164</v>
      </c>
      <c r="S57" s="116">
        <f>IF(TrRoad_act!S33=0,0,S20/TrRoad_act!S33*1000
)</f>
        <v>203.43794592193456</v>
      </c>
      <c r="T57" s="116">
        <f>IF(TrRoad_act!T33=0,0,T20/TrRoad_act!T33*1000
)</f>
        <v>202.00279403232119</v>
      </c>
      <c r="U57" s="116">
        <f>IF(TrRoad_act!U33=0,0,U20/TrRoad_act!U33*1000
)</f>
        <v>193.0063565993662</v>
      </c>
      <c r="V57" s="116">
        <f>IF(TrRoad_act!V33=0,0,V20/TrRoad_act!V33*1000
)</f>
        <v>191.00300139225087</v>
      </c>
      <c r="W57" s="116">
        <f>IF(TrRoad_act!W33=0,0,W20/TrRoad_act!W33*1000
)</f>
        <v>203.42523523387388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272.58919593458694</v>
      </c>
      <c r="C58" s="87">
        <f>IF(TrRoad_act!C34=0,0,C21/TrRoad_act!C34*1000
)</f>
        <v>269.97850934867608</v>
      </c>
      <c r="D58" s="87">
        <f>IF(TrRoad_act!D34=0,0,D21/TrRoad_act!D34*1000
)</f>
        <v>260.92684688750069</v>
      </c>
      <c r="E58" s="87">
        <f>IF(TrRoad_act!E34=0,0,E21/TrRoad_act!E34*1000
)</f>
        <v>262.50083618053606</v>
      </c>
      <c r="F58" s="87">
        <f>IF(TrRoad_act!F34=0,0,F21/TrRoad_act!F34*1000
)</f>
        <v>253.93105701432799</v>
      </c>
      <c r="G58" s="87">
        <f>IF(TrRoad_act!G34=0,0,G21/TrRoad_act!G34*1000
)</f>
        <v>248.15588003248041</v>
      </c>
      <c r="H58" s="87">
        <f>IF(TrRoad_act!H34=0,0,H21/TrRoad_act!H34*1000
)</f>
        <v>245.31103657748366</v>
      </c>
      <c r="I58" s="87">
        <f>IF(TrRoad_act!I34=0,0,I21/TrRoad_act!I34*1000
)</f>
        <v>240.70666167204229</v>
      </c>
      <c r="J58" s="87">
        <f>IF(TrRoad_act!J34=0,0,J21/TrRoad_act!J34*1000
)</f>
        <v>229.03893505724068</v>
      </c>
      <c r="K58" s="87">
        <f>IF(TrRoad_act!K34=0,0,K21/TrRoad_act!K34*1000
)</f>
        <v>220.54117044900332</v>
      </c>
      <c r="L58" s="87">
        <f>IF(TrRoad_act!L34=0,0,L21/TrRoad_act!L34*1000
)</f>
        <v>214.04562745456195</v>
      </c>
      <c r="M58" s="87">
        <f>IF(TrRoad_act!M34=0,0,M21/TrRoad_act!M34*1000
)</f>
        <v>208.69515252429073</v>
      </c>
      <c r="N58" s="87">
        <f>IF(TrRoad_act!N34=0,0,N21/TrRoad_act!N34*1000
)</f>
        <v>199.19963080401058</v>
      </c>
      <c r="O58" s="87">
        <f>IF(TrRoad_act!O34=0,0,O21/TrRoad_act!O34*1000
)</f>
        <v>202.39706127779368</v>
      </c>
      <c r="P58" s="87">
        <f>IF(TrRoad_act!P34=0,0,P21/TrRoad_act!P34*1000
)</f>
        <v>200.79496243626909</v>
      </c>
      <c r="Q58" s="87">
        <f>IF(TrRoad_act!Q34=0,0,Q21/TrRoad_act!Q34*1000
)</f>
        <v>196.75930789678495</v>
      </c>
      <c r="R58" s="87">
        <f>IF(TrRoad_act!R34=0,0,R21/TrRoad_act!R34*1000
)</f>
        <v>216.81218830632372</v>
      </c>
      <c r="S58" s="87">
        <f>IF(TrRoad_act!S34=0,0,S21/TrRoad_act!S34*1000
)</f>
        <v>221.60726118492659</v>
      </c>
      <c r="T58" s="87">
        <f>IF(TrRoad_act!T34=0,0,T21/TrRoad_act!T34*1000
)</f>
        <v>224.57732851542951</v>
      </c>
      <c r="U58" s="87">
        <f>IF(TrRoad_act!U34=0,0,U21/TrRoad_act!U34*1000
)</f>
        <v>215.51647038368836</v>
      </c>
      <c r="V58" s="87">
        <f>IF(TrRoad_act!V34=0,0,V21/TrRoad_act!V34*1000
)</f>
        <v>237.32830752698823</v>
      </c>
      <c r="W58" s="87">
        <f>IF(TrRoad_act!W34=0,0,W21/TrRoad_act!W34*1000
)</f>
        <v>242.66564874515387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260.285068525182</v>
      </c>
      <c r="C59" s="87">
        <f>IF(TrRoad_act!C35=0,0,C22/TrRoad_act!C35*1000
)</f>
        <v>246.06174838352322</v>
      </c>
      <c r="D59" s="87">
        <f>IF(TrRoad_act!D35=0,0,D22/TrRoad_act!D35*1000
)</f>
        <v>247.15717646036262</v>
      </c>
      <c r="E59" s="87">
        <f>IF(TrRoad_act!E35=0,0,E22/TrRoad_act!E35*1000
)</f>
        <v>246.60382017035798</v>
      </c>
      <c r="F59" s="87">
        <f>IF(TrRoad_act!F35=0,0,F22/TrRoad_act!F35*1000
)</f>
        <v>236.52283378178871</v>
      </c>
      <c r="G59" s="87">
        <f>IF(TrRoad_act!G35=0,0,G22/TrRoad_act!G35*1000
)</f>
        <v>235.50372702683327</v>
      </c>
      <c r="H59" s="87">
        <f>IF(TrRoad_act!H35=0,0,H22/TrRoad_act!H35*1000
)</f>
        <v>234.98762212648109</v>
      </c>
      <c r="I59" s="87">
        <f>IF(TrRoad_act!I35=0,0,I22/TrRoad_act!I35*1000
)</f>
        <v>230.58471917830113</v>
      </c>
      <c r="J59" s="87">
        <f>IF(TrRoad_act!J35=0,0,J22/TrRoad_act!J35*1000
)</f>
        <v>222.7047533834297</v>
      </c>
      <c r="K59" s="87">
        <f>IF(TrRoad_act!K35=0,0,K22/TrRoad_act!K35*1000
)</f>
        <v>213.43312305369776</v>
      </c>
      <c r="L59" s="87">
        <f>IF(TrRoad_act!L35=0,0,L22/TrRoad_act!L35*1000
)</f>
        <v>210.12592723185034</v>
      </c>
      <c r="M59" s="87">
        <f>IF(TrRoad_act!M35=0,0,M22/TrRoad_act!M35*1000
)</f>
        <v>203.328773290507</v>
      </c>
      <c r="N59" s="87">
        <f>IF(TrRoad_act!N35=0,0,N22/TrRoad_act!N35*1000
)</f>
        <v>191.55925512921496</v>
      </c>
      <c r="O59" s="87">
        <f>IF(TrRoad_act!O35=0,0,O22/TrRoad_act!O35*1000
)</f>
        <v>201.5973196568641</v>
      </c>
      <c r="P59" s="87">
        <f>IF(TrRoad_act!P35=0,0,P22/TrRoad_act!P35*1000
)</f>
        <v>199.38168458644594</v>
      </c>
      <c r="Q59" s="87">
        <f>IF(TrRoad_act!Q35=0,0,Q22/TrRoad_act!Q35*1000
)</f>
        <v>195.29098281242025</v>
      </c>
      <c r="R59" s="87">
        <f>IF(TrRoad_act!R35=0,0,R22/TrRoad_act!R35*1000
)</f>
        <v>200.35117030465418</v>
      </c>
      <c r="S59" s="87">
        <f>IF(TrRoad_act!S35=0,0,S22/TrRoad_act!S35*1000
)</f>
        <v>198.04708116279315</v>
      </c>
      <c r="T59" s="87">
        <f>IF(TrRoad_act!T35=0,0,T22/TrRoad_act!T35*1000
)</f>
        <v>195.41372753323722</v>
      </c>
      <c r="U59" s="87">
        <f>IF(TrRoad_act!U35=0,0,U22/TrRoad_act!U35*1000
)</f>
        <v>186.22761653970088</v>
      </c>
      <c r="V59" s="87">
        <f>IF(TrRoad_act!V35=0,0,V22/TrRoad_act!V35*1000
)</f>
        <v>179.17592351750392</v>
      </c>
      <c r="W59" s="87">
        <f>IF(TrRoad_act!W35=0,0,W22/TrRoad_act!W35*1000
)</f>
        <v>191.84308968614457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578.4416278271965</v>
      </c>
      <c r="C60" s="87">
        <f>IF(TrRoad_act!C36=0,0,C23/TrRoad_act!C36*1000
)</f>
        <v>557.85319616992149</v>
      </c>
      <c r="D60" s="87">
        <f>IF(TrRoad_act!D36=0,0,D23/TrRoad_act!D36*1000
)</f>
        <v>545.38171914110296</v>
      </c>
      <c r="E60" s="87">
        <f>IF(TrRoad_act!E36=0,0,E23/TrRoad_act!E36*1000
)</f>
        <v>576.84598628176582</v>
      </c>
      <c r="F60" s="87">
        <f>IF(TrRoad_act!F36=0,0,F23/TrRoad_act!F36*1000
)</f>
        <v>622.07327571438395</v>
      </c>
      <c r="G60" s="87">
        <f>IF(TrRoad_act!G36=0,0,G23/TrRoad_act!G36*1000
)</f>
        <v>565.07231682372822</v>
      </c>
      <c r="H60" s="87">
        <f>IF(TrRoad_act!H36=0,0,H23/TrRoad_act!H36*1000
)</f>
        <v>581.62296626037403</v>
      </c>
      <c r="I60" s="87">
        <f>IF(TrRoad_act!I36=0,0,I23/TrRoad_act!I36*1000
)</f>
        <v>716.23113945295665</v>
      </c>
      <c r="J60" s="87">
        <f>IF(TrRoad_act!J36=0,0,J23/TrRoad_act!J36*1000
)</f>
        <v>340.90635333918323</v>
      </c>
      <c r="K60" s="87">
        <f>IF(TrRoad_act!K36=0,0,K23/TrRoad_act!K36*1000
)</f>
        <v>316.17109635654185</v>
      </c>
      <c r="L60" s="87">
        <f>IF(TrRoad_act!L36=0,0,L23/TrRoad_act!L36*1000
)</f>
        <v>329.88466720165957</v>
      </c>
      <c r="M60" s="87">
        <f>IF(TrRoad_act!M36=0,0,M23/TrRoad_act!M36*1000
)</f>
        <v>337.34282898165634</v>
      </c>
      <c r="N60" s="87">
        <f>IF(TrRoad_act!N36=0,0,N23/TrRoad_act!N36*1000
)</f>
        <v>297.34158080247431</v>
      </c>
      <c r="O60" s="87">
        <f>IF(TrRoad_act!O36=0,0,O23/TrRoad_act!O36*1000
)</f>
        <v>336.67543957444553</v>
      </c>
      <c r="P60" s="87">
        <f>IF(TrRoad_act!P36=0,0,P23/TrRoad_act!P36*1000
)</f>
        <v>330.13237797665306</v>
      </c>
      <c r="Q60" s="87">
        <f>IF(TrRoad_act!Q36=0,0,Q23/TrRoad_act!Q36*1000
)</f>
        <v>354.42507012707296</v>
      </c>
      <c r="R60" s="87">
        <f>IF(TrRoad_act!R36=0,0,R23/TrRoad_act!R36*1000
)</f>
        <v>357.04594767592653</v>
      </c>
      <c r="S60" s="87">
        <f>IF(TrRoad_act!S36=0,0,S23/TrRoad_act!S36*1000
)</f>
        <v>320.92381807130306</v>
      </c>
      <c r="T60" s="87">
        <f>IF(TrRoad_act!T36=0,0,T23/TrRoad_act!T36*1000
)</f>
        <v>226.8500941570255</v>
      </c>
      <c r="U60" s="87">
        <f>IF(TrRoad_act!U36=0,0,U23/TrRoad_act!U36*1000
)</f>
        <v>224.19735174618259</v>
      </c>
      <c r="V60" s="87">
        <f>IF(TrRoad_act!V36=0,0,V23/TrRoad_act!V36*1000
)</f>
        <v>232.67614577688454</v>
      </c>
      <c r="W60" s="87">
        <f>IF(TrRoad_act!W36=0,0,W23/TrRoad_act!W36*1000
)</f>
        <v>222.79038727851704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183.5904980018006</v>
      </c>
      <c r="G61" s="87">
        <f>IF(TrRoad_act!G37=0,0,G24/TrRoad_act!G37*1000
)</f>
        <v>183.64433443077948</v>
      </c>
      <c r="H61" s="87">
        <f>IF(TrRoad_act!H37=0,0,H24/TrRoad_act!H37*1000
)</f>
        <v>182.4733054297304</v>
      </c>
      <c r="I61" s="87">
        <f>IF(TrRoad_act!I37=0,0,I24/TrRoad_act!I37*1000
)</f>
        <v>182.45633026418025</v>
      </c>
      <c r="J61" s="87">
        <f>IF(TrRoad_act!J37=0,0,J24/TrRoad_act!J37*1000
)</f>
        <v>182.23635248635816</v>
      </c>
      <c r="K61" s="87">
        <f>IF(TrRoad_act!K37=0,0,K24/TrRoad_act!K37*1000
)</f>
        <v>181.81287464158831</v>
      </c>
      <c r="L61" s="87">
        <f>IF(TrRoad_act!L37=0,0,L24/TrRoad_act!L37*1000
)</f>
        <v>179.9986849850612</v>
      </c>
      <c r="M61" s="87">
        <f>IF(TrRoad_act!M37=0,0,M24/TrRoad_act!M37*1000
)</f>
        <v>179.50838541657268</v>
      </c>
      <c r="N61" s="87">
        <f>IF(TrRoad_act!N37=0,0,N24/TrRoad_act!N37*1000
)</f>
        <v>162.53231956569371</v>
      </c>
      <c r="O61" s="87">
        <f>IF(TrRoad_act!O37=0,0,O24/TrRoad_act!O37*1000
)</f>
        <v>158.87347636574893</v>
      </c>
      <c r="P61" s="87">
        <f>IF(TrRoad_act!P37=0,0,P24/TrRoad_act!P37*1000
)</f>
        <v>157.649619870896</v>
      </c>
      <c r="Q61" s="87">
        <f>IF(TrRoad_act!Q37=0,0,Q24/TrRoad_act!Q37*1000
)</f>
        <v>157.22299085074826</v>
      </c>
      <c r="R61" s="87">
        <f>IF(TrRoad_act!R37=0,0,R24/TrRoad_act!R37*1000
)</f>
        <v>154.93020032140961</v>
      </c>
      <c r="S61" s="87">
        <f>IF(TrRoad_act!S37=0,0,S24/TrRoad_act!S37*1000
)</f>
        <v>149.61511888554182</v>
      </c>
      <c r="T61" s="87">
        <f>IF(TrRoad_act!T37=0,0,T24/TrRoad_act!T37*1000
)</f>
        <v>148.73727374226263</v>
      </c>
      <c r="U61" s="87">
        <f>IF(TrRoad_act!U37=0,0,U24/TrRoad_act!U37*1000
)</f>
        <v>135.28528637757753</v>
      </c>
      <c r="V61" s="87">
        <f>IF(TrRoad_act!V37=0,0,V24/TrRoad_act!V37*1000
)</f>
        <v>131.53187872020067</v>
      </c>
      <c r="W61" s="87">
        <f>IF(TrRoad_act!W37=0,0,W24/TrRoad_act!W37*1000
)</f>
        <v>128.42726980462731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68.958230298186621</v>
      </c>
      <c r="N62" s="87">
        <f>IF(TrRoad_act!N38=0,0,N25/TrRoad_act!N38*1000
)</f>
        <v>48.525876085179682</v>
      </c>
      <c r="O62" s="87">
        <f>IF(TrRoad_act!O38=0,0,O25/TrRoad_act!O38*1000
)</f>
        <v>63.314056610580153</v>
      </c>
      <c r="P62" s="87">
        <f>IF(TrRoad_act!P38=0,0,P25/TrRoad_act!P38*1000
)</f>
        <v>56.217163865199609</v>
      </c>
      <c r="Q62" s="87">
        <f>IF(TrRoad_act!Q38=0,0,Q25/TrRoad_act!Q38*1000
)</f>
        <v>50.519714386107552</v>
      </c>
      <c r="R62" s="87">
        <f>IF(TrRoad_act!R38=0,0,R25/TrRoad_act!R38*1000
)</f>
        <v>60.727591528821705</v>
      </c>
      <c r="S62" s="87">
        <f>IF(TrRoad_act!S38=0,0,S25/TrRoad_act!S38*1000
)</f>
        <v>64.159537598806651</v>
      </c>
      <c r="T62" s="87">
        <f>IF(TrRoad_act!T38=0,0,T25/TrRoad_act!T38*1000
)</f>
        <v>65.843920233205267</v>
      </c>
      <c r="U62" s="87">
        <f>IF(TrRoad_act!U38=0,0,U25/TrRoad_act!U38*1000
)</f>
        <v>66.92912408014358</v>
      </c>
      <c r="V62" s="87">
        <f>IF(TrRoad_act!V38=0,0,V25/TrRoad_act!V38*1000
)</f>
        <v>76.326609908944334</v>
      </c>
      <c r="W62" s="87">
        <f>IF(TrRoad_act!W38=0,0,W25/TrRoad_act!W38*1000
)</f>
        <v>65.308061784427011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1855.3511637909351</v>
      </c>
      <c r="C64" s="116">
        <f>IF(TrRoad_act!C40=0,0,C27/TrRoad_act!C40*1000
)</f>
        <v>1799.060054715047</v>
      </c>
      <c r="D64" s="116">
        <f>IF(TrRoad_act!D40=0,0,D27/TrRoad_act!D40*1000
)</f>
        <v>1781.0770112739647</v>
      </c>
      <c r="E64" s="116">
        <f>IF(TrRoad_act!E40=0,0,E27/TrRoad_act!E40*1000
)</f>
        <v>1754.651809924487</v>
      </c>
      <c r="F64" s="116">
        <f>IF(TrRoad_act!F40=0,0,F27/TrRoad_act!F40*1000
)</f>
        <v>1730.8332022359809</v>
      </c>
      <c r="G64" s="116">
        <f>IF(TrRoad_act!G40=0,0,G27/TrRoad_act!G40*1000
)</f>
        <v>1710.4338221849266</v>
      </c>
      <c r="H64" s="116">
        <f>IF(TrRoad_act!H40=0,0,H27/TrRoad_act!H40*1000
)</f>
        <v>1701.1430381124276</v>
      </c>
      <c r="I64" s="116">
        <f>IF(TrRoad_act!I40=0,0,I27/TrRoad_act!I40*1000
)</f>
        <v>1682.9421313181992</v>
      </c>
      <c r="J64" s="116">
        <f>IF(TrRoad_act!J40=0,0,J27/TrRoad_act!J40*1000
)</f>
        <v>1658.0935166152074</v>
      </c>
      <c r="K64" s="116">
        <f>IF(TrRoad_act!K40=0,0,K27/TrRoad_act!K40*1000
)</f>
        <v>1628.7889362081974</v>
      </c>
      <c r="L64" s="116">
        <f>IF(TrRoad_act!L40=0,0,L27/TrRoad_act!L40*1000
)</f>
        <v>1615.2873886480809</v>
      </c>
      <c r="M64" s="116">
        <f>IF(TrRoad_act!M40=0,0,M27/TrRoad_act!M40*1000
)</f>
        <v>1591.1818976238651</v>
      </c>
      <c r="N64" s="116">
        <f>IF(TrRoad_act!N40=0,0,N27/TrRoad_act!N40*1000
)</f>
        <v>1548.778415221115</v>
      </c>
      <c r="O64" s="116">
        <f>IF(TrRoad_act!O40=0,0,O27/TrRoad_act!O40*1000
)</f>
        <v>1647.6149685925559</v>
      </c>
      <c r="P64" s="116">
        <f>IF(TrRoad_act!P40=0,0,P27/TrRoad_act!P40*1000
)</f>
        <v>1657.009724425991</v>
      </c>
      <c r="Q64" s="116">
        <f>IF(TrRoad_act!Q40=0,0,Q27/TrRoad_act!Q40*1000
)</f>
        <v>1615.2058115440273</v>
      </c>
      <c r="R64" s="116">
        <f>IF(TrRoad_act!R40=0,0,R27/TrRoad_act!R40*1000
)</f>
        <v>1620.5026252483194</v>
      </c>
      <c r="S64" s="116">
        <f>IF(TrRoad_act!S40=0,0,S27/TrRoad_act!S40*1000
)</f>
        <v>1618.4249446909778</v>
      </c>
      <c r="T64" s="116">
        <f>IF(TrRoad_act!T40=0,0,T27/TrRoad_act!T40*1000
)</f>
        <v>1557.2587313303952</v>
      </c>
      <c r="U64" s="116">
        <f>IF(TrRoad_act!U40=0,0,U27/TrRoad_act!U40*1000
)</f>
        <v>1552.9709455672835</v>
      </c>
      <c r="V64" s="116">
        <f>IF(TrRoad_act!V40=0,0,V27/TrRoad_act!V40*1000
)</f>
        <v>1664.345132192946</v>
      </c>
      <c r="W64" s="116">
        <f>IF(TrRoad_act!W40=0,0,W27/TrRoad_act!W40*1000
)</f>
        <v>1665.9539754143916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543.4311444488693</v>
      </c>
      <c r="C65" s="101">
        <f>IF(TrRoad_act!C41=0,0,C28/TrRoad_act!C41*1000
)</f>
        <v>531.80164299541798</v>
      </c>
      <c r="D65" s="101">
        <f>IF(TrRoad_act!D41=0,0,D28/TrRoad_act!D41*1000
)</f>
        <v>515.919802985459</v>
      </c>
      <c r="E65" s="101">
        <f>IF(TrRoad_act!E41=0,0,E28/TrRoad_act!E41*1000
)</f>
        <v>508.33894787409287</v>
      </c>
      <c r="F65" s="101">
        <f>IF(TrRoad_act!F41=0,0,F28/TrRoad_act!F41*1000
)</f>
        <v>503.3220535311703</v>
      </c>
      <c r="G65" s="101">
        <f>IF(TrRoad_act!G41=0,0,G28/TrRoad_act!G41*1000
)</f>
        <v>498.48306050301909</v>
      </c>
      <c r="H65" s="101">
        <f>IF(TrRoad_act!H41=0,0,H28/TrRoad_act!H41*1000
)</f>
        <v>492.08462981243002</v>
      </c>
      <c r="I65" s="101">
        <f>IF(TrRoad_act!I41=0,0,I28/TrRoad_act!I41*1000
)</f>
        <v>481.59610508489209</v>
      </c>
      <c r="J65" s="101">
        <f>IF(TrRoad_act!J41=0,0,J28/TrRoad_act!J41*1000
)</f>
        <v>478.82863179953245</v>
      </c>
      <c r="K65" s="101">
        <f>IF(TrRoad_act!K41=0,0,K28/TrRoad_act!K41*1000
)</f>
        <v>469.89564353294315</v>
      </c>
      <c r="L65" s="101">
        <f>IF(TrRoad_act!L41=0,0,L28/TrRoad_act!L41*1000
)</f>
        <v>456.93398991029471</v>
      </c>
      <c r="M65" s="101">
        <f>IF(TrRoad_act!M41=0,0,M28/TrRoad_act!M41*1000
)</f>
        <v>449.20105655150525</v>
      </c>
      <c r="N65" s="101">
        <f>IF(TrRoad_act!N41=0,0,N28/TrRoad_act!N41*1000
)</f>
        <v>443.78097435520692</v>
      </c>
      <c r="O65" s="101">
        <f>IF(TrRoad_act!O41=0,0,O28/TrRoad_act!O41*1000
)</f>
        <v>439.64798410775268</v>
      </c>
      <c r="P65" s="101">
        <f>IF(TrRoad_act!P41=0,0,P28/TrRoad_act!P41*1000
)</f>
        <v>433.35233249952717</v>
      </c>
      <c r="Q65" s="101">
        <f>IF(TrRoad_act!Q41=0,0,Q28/TrRoad_act!Q41*1000
)</f>
        <v>427.1435366355542</v>
      </c>
      <c r="R65" s="101">
        <f>IF(TrRoad_act!R41=0,0,R28/TrRoad_act!R41*1000
)</f>
        <v>429.92519625057719</v>
      </c>
      <c r="S65" s="101">
        <f>IF(TrRoad_act!S41=0,0,S28/TrRoad_act!S41*1000
)</f>
        <v>427.01645716122101</v>
      </c>
      <c r="T65" s="101">
        <f>IF(TrRoad_act!T41=0,0,T28/TrRoad_act!T41*1000
)</f>
        <v>424.50151157888985</v>
      </c>
      <c r="U65" s="101">
        <f>IF(TrRoad_act!U41=0,0,U28/TrRoad_act!U41*1000
)</f>
        <v>425.97334688530236</v>
      </c>
      <c r="V65" s="101">
        <f>IF(TrRoad_act!V41=0,0,V28/TrRoad_act!V41*1000
)</f>
        <v>425.56625867117077</v>
      </c>
      <c r="W65" s="101">
        <f>IF(TrRoad_act!W41=0,0,W28/TrRoad_act!W41*1000
)</f>
        <v>421.62027638988297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1866.7744109987805</v>
      </c>
      <c r="C66" s="101">
        <f>IF(TrRoad_act!C42=0,0,C29/TrRoad_act!C42*1000
)</f>
        <v>1806.2751619966577</v>
      </c>
      <c r="D66" s="101">
        <f>IF(TrRoad_act!D42=0,0,D29/TrRoad_act!D42*1000
)</f>
        <v>1779.0768200263469</v>
      </c>
      <c r="E66" s="101">
        <f>IF(TrRoad_act!E42=0,0,E29/TrRoad_act!E42*1000
)</f>
        <v>1758.353356432804</v>
      </c>
      <c r="F66" s="101">
        <f>IF(TrRoad_act!F42=0,0,F29/TrRoad_act!F42*1000
)</f>
        <v>1734.4860373824849</v>
      </c>
      <c r="G66" s="101">
        <f>IF(TrRoad_act!G42=0,0,G29/TrRoad_act!G42*1000
)</f>
        <v>1711.9335924559311</v>
      </c>
      <c r="H66" s="101">
        <f>IF(TrRoad_act!H42=0,0,H29/TrRoad_act!H42*1000
)</f>
        <v>1701.1850553911906</v>
      </c>
      <c r="I66" s="101">
        <f>IF(TrRoad_act!I42=0,0,I29/TrRoad_act!I42*1000
)</f>
        <v>1675.1284091272219</v>
      </c>
      <c r="J66" s="101">
        <f>IF(TrRoad_act!J42=0,0,J29/TrRoad_act!J42*1000
)</f>
        <v>1646.261645561251</v>
      </c>
      <c r="K66" s="101">
        <f>IF(TrRoad_act!K42=0,0,K29/TrRoad_act!K42*1000
)</f>
        <v>1607.7068500476919</v>
      </c>
      <c r="L66" s="101">
        <f>IF(TrRoad_act!L42=0,0,L29/TrRoad_act!L42*1000
)</f>
        <v>1578.6209048126093</v>
      </c>
      <c r="M66" s="101">
        <f>IF(TrRoad_act!M42=0,0,M29/TrRoad_act!M42*1000
)</f>
        <v>1548.1963243944203</v>
      </c>
      <c r="N66" s="101">
        <f>IF(TrRoad_act!N42=0,0,N29/TrRoad_act!N42*1000
)</f>
        <v>1501.432657978118</v>
      </c>
      <c r="O66" s="101">
        <f>IF(TrRoad_act!O42=0,0,O29/TrRoad_act!O42*1000
)</f>
        <v>1592.1461574896744</v>
      </c>
      <c r="P66" s="101">
        <f>IF(TrRoad_act!P42=0,0,P29/TrRoad_act!P42*1000
)</f>
        <v>1594.0431305494508</v>
      </c>
      <c r="Q66" s="101">
        <f>IF(TrRoad_act!Q42=0,0,Q29/TrRoad_act!Q42*1000
)</f>
        <v>1600.3191793145722</v>
      </c>
      <c r="R66" s="101">
        <f>IF(TrRoad_act!R42=0,0,R29/TrRoad_act!R42*1000
)</f>
        <v>1595.326159243768</v>
      </c>
      <c r="S66" s="101">
        <f>IF(TrRoad_act!S42=0,0,S29/TrRoad_act!S42*1000
)</f>
        <v>1606.5788204175292</v>
      </c>
      <c r="T66" s="101">
        <f>IF(TrRoad_act!T42=0,0,T29/TrRoad_act!T42*1000
)</f>
        <v>1587.3973166167405</v>
      </c>
      <c r="U66" s="101">
        <f>IF(TrRoad_act!U42=0,0,U29/TrRoad_act!U42*1000
)</f>
        <v>1594.3336148881774</v>
      </c>
      <c r="V66" s="101">
        <f>IF(TrRoad_act!V42=0,0,V29/TrRoad_act!V42*1000
)</f>
        <v>1593.3985289030018</v>
      </c>
      <c r="W66" s="101">
        <f>IF(TrRoad_act!W42=0,0,W29/TrRoad_act!W42*1000
)</f>
        <v>1610.3724993672517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1224.3468060408422</v>
      </c>
      <c r="Q67" s="101">
        <f>IF(TrRoad_act!Q43=0,0,Q30/TrRoad_act!Q43*1000
)</f>
        <v>1235.9438870826325</v>
      </c>
      <c r="R67" s="101">
        <f>IF(TrRoad_act!R43=0,0,R30/TrRoad_act!R43*1000
)</f>
        <v>1236.1042597843934</v>
      </c>
      <c r="S67" s="101">
        <f>IF(TrRoad_act!S43=0,0,S30/TrRoad_act!S43*1000
)</f>
        <v>1236.1042597843932</v>
      </c>
      <c r="T67" s="101">
        <f>IF(TrRoad_act!T43=0,0,T30/TrRoad_act!T43*1000
)</f>
        <v>1236.1980700895806</v>
      </c>
      <c r="U67" s="101">
        <f>IF(TrRoad_act!U43=0,0,U30/TrRoad_act!U43*1000
)</f>
        <v>1239.7931709191062</v>
      </c>
      <c r="V67" s="101">
        <f>IF(TrRoad_act!V43=0,0,V30/TrRoad_act!V43*1000
)</f>
        <v>1242.5607563635215</v>
      </c>
      <c r="W67" s="101">
        <f>IF(TrRoad_act!W43=0,0,W30/TrRoad_act!W43*1000
)</f>
        <v>1246.5220405441594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2377.6181164592394</v>
      </c>
      <c r="C68" s="101">
        <f>IF(TrRoad_act!C44=0,0,C31/TrRoad_act!C44*1000
)</f>
        <v>3460.1817483129967</v>
      </c>
      <c r="D68" s="101">
        <f>IF(TrRoad_act!D44=0,0,D31/TrRoad_act!D44*1000
)</f>
        <v>67736.832816563139</v>
      </c>
      <c r="E68" s="101">
        <f>IF(TrRoad_act!E44=0,0,E31/TrRoad_act!E44*1000
)</f>
        <v>3465.5660565627945</v>
      </c>
      <c r="F68" s="101">
        <f>IF(TrRoad_act!F44=0,0,F31/TrRoad_act!F44*1000
)</f>
        <v>3020.0289995383</v>
      </c>
      <c r="G68" s="101">
        <f>IF(TrRoad_act!G44=0,0,G31/TrRoad_act!G44*1000
)</f>
        <v>2937.3351730227582</v>
      </c>
      <c r="H68" s="101">
        <f>IF(TrRoad_act!H44=0,0,H31/TrRoad_act!H44*1000
)</f>
        <v>2966.9134956194457</v>
      </c>
      <c r="I68" s="101">
        <f>IF(TrRoad_act!I44=0,0,I31/TrRoad_act!I44*1000
)</f>
        <v>3542.2547967903456</v>
      </c>
      <c r="J68" s="101">
        <f>IF(TrRoad_act!J44=0,0,J31/TrRoad_act!J44*1000
)</f>
        <v>3957.1811604290997</v>
      </c>
      <c r="K68" s="101">
        <f>IF(TrRoad_act!K44=0,0,K31/TrRoad_act!K44*1000
)</f>
        <v>4747.3890577299399</v>
      </c>
      <c r="L68" s="101">
        <f>IF(TrRoad_act!L44=0,0,L31/TrRoad_act!L44*1000
)</f>
        <v>6219.4518641164414</v>
      </c>
      <c r="M68" s="101">
        <f>IF(TrRoad_act!M44=0,0,M31/TrRoad_act!M44*1000
)</f>
        <v>6779.3423096537135</v>
      </c>
      <c r="N68" s="101">
        <f>IF(TrRoad_act!N44=0,0,N31/TrRoad_act!N44*1000
)</f>
        <v>6999.2558584581766</v>
      </c>
      <c r="O68" s="101">
        <f>IF(TrRoad_act!O44=0,0,O31/TrRoad_act!O44*1000
)</f>
        <v>7851.7234151990633</v>
      </c>
      <c r="P68" s="101">
        <f>IF(TrRoad_act!P44=0,0,P31/TrRoad_act!P44*1000
)</f>
        <v>9524.7835719281757</v>
      </c>
      <c r="Q68" s="101">
        <f>IF(TrRoad_act!Q44=0,0,Q31/TrRoad_act!Q44*1000
)</f>
        <v>2279.3901363706864</v>
      </c>
      <c r="R68" s="101">
        <f>IF(TrRoad_act!R44=0,0,R31/TrRoad_act!R44*1000
)</f>
        <v>2401.3611973647917</v>
      </c>
      <c r="S68" s="101">
        <f>IF(TrRoad_act!S44=0,0,S31/TrRoad_act!S44*1000
)</f>
        <v>1904.2074607280554</v>
      </c>
      <c r="T68" s="101">
        <f>IF(TrRoad_act!T44=0,0,T31/TrRoad_act!T44*1000
)</f>
        <v>1534.1182622325282</v>
      </c>
      <c r="U68" s="101">
        <f>IF(TrRoad_act!U44=0,0,U31/TrRoad_act!U44*1000
)</f>
        <v>1533.9293841422259</v>
      </c>
      <c r="V68" s="101">
        <f>IF(TrRoad_act!V44=0,0,V31/TrRoad_act!V44*1000
)</f>
        <v>2188.8244045572592</v>
      </c>
      <c r="W68" s="101">
        <f>IF(TrRoad_act!W44=0,0,W31/TrRoad_act!W44*1000
)</f>
        <v>2146.0762152736747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826.42559628404081</v>
      </c>
      <c r="C70" s="29">
        <f>IF(TrRoad_act!C46=0,0,C33/TrRoad_act!C46*1000
)</f>
        <v>766.2899293663362</v>
      </c>
      <c r="D70" s="29">
        <f>IF(TrRoad_act!D46=0,0,D33/TrRoad_act!D46*1000
)</f>
        <v>777.81784677590304</v>
      </c>
      <c r="E70" s="29">
        <f>IF(TrRoad_act!E46=0,0,E33/TrRoad_act!E46*1000
)</f>
        <v>759.3457666478231</v>
      </c>
      <c r="F70" s="29">
        <f>IF(TrRoad_act!F46=0,0,F33/TrRoad_act!F46*1000
)</f>
        <v>738.91665666639244</v>
      </c>
      <c r="G70" s="29">
        <f>IF(TrRoad_act!G46=0,0,G33/TrRoad_act!G46*1000
)</f>
        <v>753.468992164616</v>
      </c>
      <c r="H70" s="29">
        <f>IF(TrRoad_act!H46=0,0,H33/TrRoad_act!H46*1000
)</f>
        <v>729.0354282388605</v>
      </c>
      <c r="I70" s="29">
        <f>IF(TrRoad_act!I46=0,0,I33/TrRoad_act!I46*1000
)</f>
        <v>673.29744802338712</v>
      </c>
      <c r="J70" s="29">
        <f>IF(TrRoad_act!J46=0,0,J33/TrRoad_act!J46*1000
)</f>
        <v>663.83568075068388</v>
      </c>
      <c r="K70" s="29">
        <f>IF(TrRoad_act!K46=0,0,K33/TrRoad_act!K46*1000
)</f>
        <v>635.40211763118248</v>
      </c>
      <c r="L70" s="29">
        <f>IF(TrRoad_act!L46=0,0,L33/TrRoad_act!L46*1000
)</f>
        <v>617.1077748916058</v>
      </c>
      <c r="M70" s="29">
        <f>IF(TrRoad_act!M46=0,0,M33/TrRoad_act!M46*1000
)</f>
        <v>583.60482642456395</v>
      </c>
      <c r="N70" s="29">
        <f>IF(TrRoad_act!N46=0,0,N33/TrRoad_act!N46*1000
)</f>
        <v>529.23461141382359</v>
      </c>
      <c r="O70" s="29">
        <f>IF(TrRoad_act!O46=0,0,O33/TrRoad_act!O46*1000
)</f>
        <v>553.58140148543941</v>
      </c>
      <c r="P70" s="29">
        <f>IF(TrRoad_act!P46=0,0,P33/TrRoad_act!P46*1000
)</f>
        <v>563.59680021215286</v>
      </c>
      <c r="Q70" s="29">
        <f>IF(TrRoad_act!Q46=0,0,Q33/TrRoad_act!Q46*1000
)</f>
        <v>566.01275084124188</v>
      </c>
      <c r="R70" s="29">
        <f>IF(TrRoad_act!R46=0,0,R33/TrRoad_act!R46*1000
)</f>
        <v>614.88182397583557</v>
      </c>
      <c r="S70" s="29">
        <f>IF(TrRoad_act!S46=0,0,S33/TrRoad_act!S46*1000
)</f>
        <v>628.81316124489433</v>
      </c>
      <c r="T70" s="29">
        <f>IF(TrRoad_act!T46=0,0,T33/TrRoad_act!T46*1000
)</f>
        <v>619.13239933398665</v>
      </c>
      <c r="U70" s="29">
        <f>IF(TrRoad_act!U46=0,0,U33/TrRoad_act!U46*1000
)</f>
        <v>584.04580225922905</v>
      </c>
      <c r="V70" s="29">
        <f>IF(TrRoad_act!V46=0,0,V33/TrRoad_act!V46*1000
)</f>
        <v>641.54515729599211</v>
      </c>
      <c r="W70" s="29">
        <f>IF(TrRoad_act!W46=0,0,W33/TrRoad_act!W46*1000
)</f>
        <v>613.47952360913303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390.91475040159094</v>
      </c>
      <c r="C71" s="152">
        <f>IF(TrRoad_act!C47=0,0,C34/TrRoad_act!C47*1000
)</f>
        <v>375.87077890334444</v>
      </c>
      <c r="D71" s="152">
        <f>IF(TrRoad_act!D47=0,0,D34/TrRoad_act!D47*1000
)</f>
        <v>366.54557632371694</v>
      </c>
      <c r="E71" s="152">
        <f>IF(TrRoad_act!E47=0,0,E34/TrRoad_act!E47*1000
)</f>
        <v>350.93857353574469</v>
      </c>
      <c r="F71" s="152">
        <f>IF(TrRoad_act!F47=0,0,F34/TrRoad_act!F47*1000
)</f>
        <v>333.47890966243244</v>
      </c>
      <c r="G71" s="152">
        <f>IF(TrRoad_act!G47=0,0,G34/TrRoad_act!G47*1000
)</f>
        <v>321.32667743979033</v>
      </c>
      <c r="H71" s="152">
        <f>IF(TrRoad_act!H47=0,0,H34/TrRoad_act!H47*1000
)</f>
        <v>312.84497027726792</v>
      </c>
      <c r="I71" s="152">
        <f>IF(TrRoad_act!I47=0,0,I34/TrRoad_act!I47*1000
)</f>
        <v>295.28754861801957</v>
      </c>
      <c r="J71" s="152">
        <f>IF(TrRoad_act!J47=0,0,J34/TrRoad_act!J47*1000
)</f>
        <v>283.63843693826135</v>
      </c>
      <c r="K71" s="152">
        <f>IF(TrRoad_act!K47=0,0,K34/TrRoad_act!K47*1000
)</f>
        <v>264.32488172590394</v>
      </c>
      <c r="L71" s="152">
        <f>IF(TrRoad_act!L47=0,0,L34/TrRoad_act!L47*1000
)</f>
        <v>254.99202957202232</v>
      </c>
      <c r="M71" s="152">
        <f>IF(TrRoad_act!M47=0,0,M34/TrRoad_act!M47*1000
)</f>
        <v>249.01385339848028</v>
      </c>
      <c r="N71" s="152">
        <f>IF(TrRoad_act!N47=0,0,N34/TrRoad_act!N47*1000
)</f>
        <v>242.0729455379749</v>
      </c>
      <c r="O71" s="152">
        <f>IF(TrRoad_act!O47=0,0,O34/TrRoad_act!O47*1000
)</f>
        <v>255.42475772302532</v>
      </c>
      <c r="P71" s="152">
        <f>IF(TrRoad_act!P47=0,0,P34/TrRoad_act!P47*1000
)</f>
        <v>253.54721613205689</v>
      </c>
      <c r="Q71" s="152">
        <f>IF(TrRoad_act!Q47=0,0,Q34/TrRoad_act!Q47*1000
)</f>
        <v>252.04445213536647</v>
      </c>
      <c r="R71" s="152">
        <f>IF(TrRoad_act!R47=0,0,R34/TrRoad_act!R47*1000
)</f>
        <v>248.73248246749344</v>
      </c>
      <c r="S71" s="152">
        <f>IF(TrRoad_act!S47=0,0,S34/TrRoad_act!S47*1000
)</f>
        <v>245.20925882651829</v>
      </c>
      <c r="T71" s="152">
        <f>IF(TrRoad_act!T47=0,0,T34/TrRoad_act!T47*1000
)</f>
        <v>238.58431081025657</v>
      </c>
      <c r="U71" s="152">
        <f>IF(TrRoad_act!U47=0,0,U34/TrRoad_act!U47*1000
)</f>
        <v>237.68262386247497</v>
      </c>
      <c r="V71" s="152">
        <f>IF(TrRoad_act!V47=0,0,V34/TrRoad_act!V47*1000
)</f>
        <v>236.60352697912501</v>
      </c>
      <c r="W71" s="152">
        <f>IF(TrRoad_act!W47=0,0,W34/TrRoad_act!W47*1000
)</f>
        <v>238.03521852032401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367.46166945656336</v>
      </c>
      <c r="C72" s="87">
        <f>IF(TrRoad_act!C48=0,0,C35/TrRoad_act!C48*1000
)</f>
        <v>367.16130369118599</v>
      </c>
      <c r="D72" s="87">
        <f>IF(TrRoad_act!D48=0,0,D35/TrRoad_act!D48*1000
)</f>
        <v>364.00825357529249</v>
      </c>
      <c r="E72" s="87">
        <f>IF(TrRoad_act!E48=0,0,E35/TrRoad_act!E48*1000
)</f>
        <v>362.70452464723962</v>
      </c>
      <c r="F72" s="87">
        <f>IF(TrRoad_act!F48=0,0,F35/TrRoad_act!F48*1000
)</f>
        <v>363.55002336233275</v>
      </c>
      <c r="G72" s="87">
        <f>IF(TrRoad_act!G48=0,0,G35/TrRoad_act!G48*1000
)</f>
        <v>361.50567843508315</v>
      </c>
      <c r="H72" s="87">
        <f>IF(TrRoad_act!H48=0,0,H35/TrRoad_act!H48*1000
)</f>
        <v>361.09783193230885</v>
      </c>
      <c r="I72" s="87">
        <f>IF(TrRoad_act!I48=0,0,I35/TrRoad_act!I48*1000
)</f>
        <v>360.90298906866929</v>
      </c>
      <c r="J72" s="87">
        <f>IF(TrRoad_act!J48=0,0,J35/TrRoad_act!J48*1000
)</f>
        <v>361.46100305568046</v>
      </c>
      <c r="K72" s="87">
        <f>IF(TrRoad_act!K48=0,0,K35/TrRoad_act!K48*1000
)</f>
        <v>357.57157615007151</v>
      </c>
      <c r="L72" s="87">
        <f>IF(TrRoad_act!L48=0,0,L35/TrRoad_act!L48*1000
)</f>
        <v>352.00053678571265</v>
      </c>
      <c r="M72" s="87">
        <f>IF(TrRoad_act!M48=0,0,M35/TrRoad_act!M48*1000
)</f>
        <v>347.00414416728046</v>
      </c>
      <c r="N72" s="87">
        <f>IF(TrRoad_act!N48=0,0,N35/TrRoad_act!N48*1000
)</f>
        <v>322.40204734882781</v>
      </c>
      <c r="O72" s="87">
        <f>IF(TrRoad_act!O48=0,0,O35/TrRoad_act!O48*1000
)</f>
        <v>304.1133538113794</v>
      </c>
      <c r="P72" s="87">
        <f>IF(TrRoad_act!P48=0,0,P35/TrRoad_act!P48*1000
)</f>
        <v>287.60706337407657</v>
      </c>
      <c r="Q72" s="87">
        <f>IF(TrRoad_act!Q48=0,0,Q35/TrRoad_act!Q48*1000
)</f>
        <v>281.4981946677571</v>
      </c>
      <c r="R72" s="87">
        <f>IF(TrRoad_act!R48=0,0,R35/TrRoad_act!R48*1000
)</f>
        <v>270.68769397973159</v>
      </c>
      <c r="S72" s="87">
        <f>IF(TrRoad_act!S48=0,0,S35/TrRoad_act!S48*1000
)</f>
        <v>252.2986695488658</v>
      </c>
      <c r="T72" s="87">
        <f>IF(TrRoad_act!T48=0,0,T35/TrRoad_act!T48*1000
)</f>
        <v>240.17872301441039</v>
      </c>
      <c r="U72" s="87">
        <f>IF(TrRoad_act!U48=0,0,U35/TrRoad_act!U48*1000
)</f>
        <v>234.55663968572458</v>
      </c>
      <c r="V72" s="87">
        <f>IF(TrRoad_act!V48=0,0,V35/TrRoad_act!V48*1000
)</f>
        <v>231.20647731512636</v>
      </c>
      <c r="W72" s="87">
        <f>IF(TrRoad_act!W48=0,0,W35/TrRoad_act!W48*1000
)</f>
        <v>226.71375084839562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393.03160110837484</v>
      </c>
      <c r="C73" s="87">
        <f>IF(TrRoad_act!C49=0,0,C36/TrRoad_act!C49*1000
)</f>
        <v>376.55841236146955</v>
      </c>
      <c r="D73" s="87">
        <f>IF(TrRoad_act!D49=0,0,D36/TrRoad_act!D49*1000
)</f>
        <v>366.70002183983041</v>
      </c>
      <c r="E73" s="87">
        <f>IF(TrRoad_act!E49=0,0,E36/TrRoad_act!E49*1000
)</f>
        <v>350.36346237812609</v>
      </c>
      <c r="F73" s="87">
        <f>IF(TrRoad_act!F49=0,0,F36/TrRoad_act!F49*1000
)</f>
        <v>332.31743287699322</v>
      </c>
      <c r="G73" s="87">
        <f>IF(TrRoad_act!G49=0,0,G36/TrRoad_act!G49*1000
)</f>
        <v>320.09483625678848</v>
      </c>
      <c r="H73" s="87">
        <f>IF(TrRoad_act!H49=0,0,H36/TrRoad_act!H49*1000
)</f>
        <v>311.6481331557394</v>
      </c>
      <c r="I73" s="87">
        <f>IF(TrRoad_act!I49=0,0,I36/TrRoad_act!I49*1000
)</f>
        <v>294.04332535084649</v>
      </c>
      <c r="J73" s="87">
        <f>IF(TrRoad_act!J49=0,0,J36/TrRoad_act!J49*1000
)</f>
        <v>282.35258762957181</v>
      </c>
      <c r="K73" s="87">
        <f>IF(TrRoad_act!K49=0,0,K36/TrRoad_act!K49*1000
)</f>
        <v>262.80305472199586</v>
      </c>
      <c r="L73" s="87">
        <f>IF(TrRoad_act!L49=0,0,L36/TrRoad_act!L49*1000
)</f>
        <v>253.50808102719401</v>
      </c>
      <c r="M73" s="87">
        <f>IF(TrRoad_act!M49=0,0,M36/TrRoad_act!M49*1000
)</f>
        <v>247.47064480006753</v>
      </c>
      <c r="N73" s="87">
        <f>IF(TrRoad_act!N49=0,0,N36/TrRoad_act!N49*1000
)</f>
        <v>240.65915580786958</v>
      </c>
      <c r="O73" s="87">
        <f>IF(TrRoad_act!O49=0,0,O36/TrRoad_act!O49*1000
)</f>
        <v>254.5303561996634</v>
      </c>
      <c r="P73" s="87">
        <f>IF(TrRoad_act!P49=0,0,P36/TrRoad_act!P49*1000
)</f>
        <v>253.12687717722432</v>
      </c>
      <c r="Q73" s="87">
        <f>IF(TrRoad_act!Q49=0,0,Q36/TrRoad_act!Q49*1000
)</f>
        <v>251.72760866844717</v>
      </c>
      <c r="R73" s="87">
        <f>IF(TrRoad_act!R49=0,0,R36/TrRoad_act!R49*1000
)</f>
        <v>248.5379951041503</v>
      </c>
      <c r="S73" s="87">
        <f>IF(TrRoad_act!S49=0,0,S36/TrRoad_act!S49*1000
)</f>
        <v>245.25756106329155</v>
      </c>
      <c r="T73" s="87">
        <f>IF(TrRoad_act!T49=0,0,T36/TrRoad_act!T49*1000
)</f>
        <v>238.87666088674524</v>
      </c>
      <c r="U73" s="87">
        <f>IF(TrRoad_act!U49=0,0,U36/TrRoad_act!U49*1000
)</f>
        <v>238.31806148172723</v>
      </c>
      <c r="V73" s="87">
        <f>IF(TrRoad_act!V49=0,0,V36/TrRoad_act!V49*1000
)</f>
        <v>237.43958899991634</v>
      </c>
      <c r="W73" s="87">
        <f>IF(TrRoad_act!W49=0,0,W36/TrRoad_act!W49*1000
)</f>
        <v>239.1778451820218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334.83733292206978</v>
      </c>
      <c r="P74" s="87">
        <f>IF(TrRoad_act!P50=0,0,P37/TrRoad_act!P50*1000
)</f>
        <v>229.12404813658478</v>
      </c>
      <c r="Q74" s="87">
        <f>IF(TrRoad_act!Q50=0,0,Q37/TrRoad_act!Q50*1000
)</f>
        <v>251.32701715158845</v>
      </c>
      <c r="R74" s="87">
        <f>IF(TrRoad_act!R50=0,0,R37/TrRoad_act!R50*1000
)</f>
        <v>338.86256295231982</v>
      </c>
      <c r="S74" s="87">
        <f>IF(TrRoad_act!S50=0,0,S37/TrRoad_act!S50*1000
)</f>
        <v>300.07716525247201</v>
      </c>
      <c r="T74" s="87">
        <f>IF(TrRoad_act!T50=0,0,T37/TrRoad_act!T50*1000
)</f>
        <v>250.63819400801779</v>
      </c>
      <c r="U74" s="87">
        <f>IF(TrRoad_act!U50=0,0,U37/TrRoad_act!U50*1000
)</f>
        <v>207.24594472984288</v>
      </c>
      <c r="V74" s="87">
        <f>IF(TrRoad_act!V50=0,0,V37/TrRoad_act!V50*1000
)</f>
        <v>208.96518135533361</v>
      </c>
      <c r="W74" s="87">
        <f>IF(TrRoad_act!W50=0,0,W37/TrRoad_act!W50*1000
)</f>
        <v>209.67040820422872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343.34186763552378</v>
      </c>
      <c r="O75" s="87">
        <f>IF(TrRoad_act!O51=0,0,O38/TrRoad_act!O51*1000
)</f>
        <v>352.99809497149397</v>
      </c>
      <c r="P75" s="87">
        <f>IF(TrRoad_act!P51=0,0,P38/TrRoad_act!P51*1000
)</f>
        <v>283.73494400817748</v>
      </c>
      <c r="Q75" s="87">
        <f>IF(TrRoad_act!Q51=0,0,Q38/TrRoad_act!Q51*1000
)</f>
        <v>292.4341154708905</v>
      </c>
      <c r="R75" s="87">
        <f>IF(TrRoad_act!R51=0,0,R38/TrRoad_act!R51*1000
)</f>
        <v>261.787227025471</v>
      </c>
      <c r="S75" s="87">
        <f>IF(TrRoad_act!S51=0,0,S38/TrRoad_act!S51*1000
)</f>
        <v>245.76775133308189</v>
      </c>
      <c r="T75" s="87">
        <f>IF(TrRoad_act!T51=0,0,T38/TrRoad_act!T51*1000
)</f>
        <v>208.32040824523165</v>
      </c>
      <c r="U75" s="87">
        <f>IF(TrRoad_act!U51=0,0,U38/TrRoad_act!U51*1000
)</f>
        <v>204.47998147242379</v>
      </c>
      <c r="V75" s="87">
        <f>IF(TrRoad_act!V51=0,0,V38/TrRoad_act!V51*1000
)</f>
        <v>216.18230000471573</v>
      </c>
      <c r="W75" s="87">
        <f>IF(TrRoad_act!W51=0,0,W38/TrRoad_act!W51*1000
)</f>
        <v>226.09377873526518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1582.2905578242057</v>
      </c>
      <c r="C77" s="116">
        <f>IF(TrRoad_act!C53=0,0,C40/TrRoad_act!C53*1000
)</f>
        <v>1541.8948421453238</v>
      </c>
      <c r="D77" s="116">
        <f>IF(TrRoad_act!D53=0,0,D40/TrRoad_act!D53*1000
)</f>
        <v>1448.4040427590178</v>
      </c>
      <c r="E77" s="116">
        <f>IF(TrRoad_act!E53=0,0,E40/TrRoad_act!E53*1000
)</f>
        <v>1450.9008449500398</v>
      </c>
      <c r="F77" s="116">
        <f>IF(TrRoad_act!F53=0,0,F40/TrRoad_act!F53*1000
)</f>
        <v>1386.202944584915</v>
      </c>
      <c r="G77" s="116">
        <f>IF(TrRoad_act!G53=0,0,G40/TrRoad_act!G53*1000
)</f>
        <v>1364.9031895307173</v>
      </c>
      <c r="H77" s="116">
        <f>IF(TrRoad_act!H53=0,0,H40/TrRoad_act!H53*1000
)</f>
        <v>1333.5474462663751</v>
      </c>
      <c r="I77" s="116">
        <f>IF(TrRoad_act!I53=0,0,I40/TrRoad_act!I53*1000
)</f>
        <v>1274.8208806399532</v>
      </c>
      <c r="J77" s="116">
        <f>IF(TrRoad_act!J53=0,0,J40/TrRoad_act!J53*1000
)</f>
        <v>1275.7099916421466</v>
      </c>
      <c r="K77" s="116">
        <f>IF(TrRoad_act!K53=0,0,K40/TrRoad_act!K53*1000
)</f>
        <v>1232.8238192176711</v>
      </c>
      <c r="L77" s="116">
        <f>IF(TrRoad_act!L53=0,0,L40/TrRoad_act!L53*1000
)</f>
        <v>1235.6823897479785</v>
      </c>
      <c r="M77" s="116">
        <f>IF(TrRoad_act!M53=0,0,M40/TrRoad_act!M53*1000
)</f>
        <v>1163.066187295922</v>
      </c>
      <c r="N77" s="116">
        <f>IF(TrRoad_act!N53=0,0,N40/TrRoad_act!N53*1000
)</f>
        <v>1015.8163192278359</v>
      </c>
      <c r="O77" s="116">
        <f>IF(TrRoad_act!O53=0,0,O40/TrRoad_act!O53*1000
)</f>
        <v>1078.454987425868</v>
      </c>
      <c r="P77" s="116">
        <f>IF(TrRoad_act!P53=0,0,P40/TrRoad_act!P53*1000
)</f>
        <v>1088.5671814144166</v>
      </c>
      <c r="Q77" s="116">
        <f>IF(TrRoad_act!Q53=0,0,Q40/TrRoad_act!Q53*1000
)</f>
        <v>1088.2617562813232</v>
      </c>
      <c r="R77" s="116">
        <f>IF(TrRoad_act!R53=0,0,R40/TrRoad_act!R53*1000
)</f>
        <v>1178.1375162916434</v>
      </c>
      <c r="S77" s="116">
        <f>IF(TrRoad_act!S53=0,0,S40/TrRoad_act!S53*1000
)</f>
        <v>1234.3204096246034</v>
      </c>
      <c r="T77" s="116">
        <f>IF(TrRoad_act!T53=0,0,T40/TrRoad_act!T53*1000
)</f>
        <v>1220.0811943206793</v>
      </c>
      <c r="U77" s="116">
        <f>IF(TrRoad_act!U53=0,0,U40/TrRoad_act!U53*1000
)</f>
        <v>1111.6259522811683</v>
      </c>
      <c r="V77" s="116">
        <f>IF(TrRoad_act!V53=0,0,V40/TrRoad_act!V53*1000
)</f>
        <v>1059.6682909628541</v>
      </c>
      <c r="W77" s="116">
        <f>IF(TrRoad_act!W53=0,0,W40/TrRoad_act!W53*1000
)</f>
        <v>1128.7095329623878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1558.0537219652442</v>
      </c>
      <c r="C78" s="101">
        <f>IF(TrRoad_act!C54=0,0,C41/TrRoad_act!C54*1000
)</f>
        <v>1521.0828313991751</v>
      </c>
      <c r="D78" s="101">
        <f>IF(TrRoad_act!D54=0,0,D41/TrRoad_act!D54*1000
)</f>
        <v>1431.9710094482225</v>
      </c>
      <c r="E78" s="101">
        <f>IF(TrRoad_act!E54=0,0,E41/TrRoad_act!E54*1000
)</f>
        <v>1436.2157093473093</v>
      </c>
      <c r="F78" s="101">
        <f>IF(TrRoad_act!F54=0,0,F41/TrRoad_act!F54*1000
)</f>
        <v>1374.4894719424171</v>
      </c>
      <c r="G78" s="101">
        <f>IF(TrRoad_act!G54=0,0,G41/TrRoad_act!G54*1000
)</f>
        <v>1354.6352016394442</v>
      </c>
      <c r="H78" s="101">
        <f>IF(TrRoad_act!H54=0,0,H41/TrRoad_act!H54*1000
)</f>
        <v>1324.4440039337499</v>
      </c>
      <c r="I78" s="101">
        <f>IF(TrRoad_act!I54=0,0,I41/TrRoad_act!I54*1000
)</f>
        <v>1266.9664863938287</v>
      </c>
      <c r="J78" s="101">
        <f>IF(TrRoad_act!J54=0,0,J41/TrRoad_act!J54*1000
)</f>
        <v>1267.9856162758133</v>
      </c>
      <c r="K78" s="101">
        <f>IF(TrRoad_act!K54=0,0,K41/TrRoad_act!K54*1000
)</f>
        <v>1225.5469150849356</v>
      </c>
      <c r="L78" s="101">
        <f>IF(TrRoad_act!L54=0,0,L41/TrRoad_act!L54*1000
)</f>
        <v>1228.8471260402714</v>
      </c>
      <c r="M78" s="101">
        <f>IF(TrRoad_act!M54=0,0,M41/TrRoad_act!M54*1000
)</f>
        <v>1155.9232557313046</v>
      </c>
      <c r="N78" s="101">
        <f>IF(TrRoad_act!N54=0,0,N41/TrRoad_act!N54*1000
)</f>
        <v>1008.5318455795502</v>
      </c>
      <c r="O78" s="101">
        <f>IF(TrRoad_act!O54=0,0,O41/TrRoad_act!O54*1000
)</f>
        <v>1066.1982288613733</v>
      </c>
      <c r="P78" s="101">
        <f>IF(TrRoad_act!P54=0,0,P41/TrRoad_act!P54*1000
)</f>
        <v>1076.5969110951396</v>
      </c>
      <c r="Q78" s="101">
        <f>IF(TrRoad_act!Q54=0,0,Q41/TrRoad_act!Q54*1000
)</f>
        <v>1076.46341884037</v>
      </c>
      <c r="R78" s="101">
        <f>IF(TrRoad_act!R54=0,0,R41/TrRoad_act!R54*1000
)</f>
        <v>1163.8502214547239</v>
      </c>
      <c r="S78" s="101">
        <f>IF(TrRoad_act!S54=0,0,S41/TrRoad_act!S54*1000
)</f>
        <v>1216.1268628612256</v>
      </c>
      <c r="T78" s="101">
        <f>IF(TrRoad_act!T54=0,0,T41/TrRoad_act!T54*1000
)</f>
        <v>1198.1728613095556</v>
      </c>
      <c r="U78" s="101">
        <f>IF(TrRoad_act!U54=0,0,U41/TrRoad_act!U54*1000
)</f>
        <v>1088.5380098388434</v>
      </c>
      <c r="V78" s="101">
        <f>IF(TrRoad_act!V54=0,0,V41/TrRoad_act!V54*1000
)</f>
        <v>1036.2392362341277</v>
      </c>
      <c r="W78" s="101">
        <f>IF(TrRoad_act!W54=0,0,W41/TrRoad_act!W54*1000
)</f>
        <v>1101.1224510016657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1693.222625115066</v>
      </c>
      <c r="C79" s="88">
        <f>IF(TrRoad_act!C55=0,0,C42/TrRoad_act!C55*1000
)</f>
        <v>1638.2489684851616</v>
      </c>
      <c r="D79" s="88">
        <f>IF(TrRoad_act!D55=0,0,D42/TrRoad_act!D55*1000
)</f>
        <v>1530.6867316684334</v>
      </c>
      <c r="E79" s="88">
        <f>IF(TrRoad_act!E55=0,0,E42/TrRoad_act!E55*1000
)</f>
        <v>1527.3717962171593</v>
      </c>
      <c r="F79" s="88">
        <f>IF(TrRoad_act!F55=0,0,F42/TrRoad_act!F55*1000
)</f>
        <v>1443.6614037630029</v>
      </c>
      <c r="G79" s="88">
        <f>IF(TrRoad_act!G55=0,0,G42/TrRoad_act!G55*1000
)</f>
        <v>1416.714315640585</v>
      </c>
      <c r="H79" s="88">
        <f>IF(TrRoad_act!H55=0,0,H42/TrRoad_act!H55*1000
)</f>
        <v>1380.6637977106004</v>
      </c>
      <c r="I79" s="88">
        <f>IF(TrRoad_act!I55=0,0,I42/TrRoad_act!I55*1000
)</f>
        <v>1317.6086016114277</v>
      </c>
      <c r="J79" s="88">
        <f>IF(TrRoad_act!J55=0,0,J42/TrRoad_act!J55*1000
)</f>
        <v>1317.6840515773358</v>
      </c>
      <c r="K79" s="88">
        <f>IF(TrRoad_act!K55=0,0,K42/TrRoad_act!K55*1000
)</f>
        <v>1270.4114440762576</v>
      </c>
      <c r="L79" s="88">
        <f>IF(TrRoad_act!L55=0,0,L42/TrRoad_act!L55*1000
)</f>
        <v>1270.3012034813323</v>
      </c>
      <c r="M79" s="88">
        <f>IF(TrRoad_act!M55=0,0,M42/TrRoad_act!M55*1000
)</f>
        <v>1198.6013769347453</v>
      </c>
      <c r="N79" s="88">
        <f>IF(TrRoad_act!N55=0,0,N42/TrRoad_act!N55*1000
)</f>
        <v>1050.7734335291116</v>
      </c>
      <c r="O79" s="88">
        <f>IF(TrRoad_act!O55=0,0,O42/TrRoad_act!O55*1000
)</f>
        <v>1130.0788113113974</v>
      </c>
      <c r="P79" s="88">
        <f>IF(TrRoad_act!P55=0,0,P42/TrRoad_act!P55*1000
)</f>
        <v>1140.4624201086874</v>
      </c>
      <c r="Q79" s="88">
        <f>IF(TrRoad_act!Q55=0,0,Q42/TrRoad_act!Q55*1000
)</f>
        <v>1139.5788281015011</v>
      </c>
      <c r="R79" s="88">
        <f>IF(TrRoad_act!R55=0,0,R42/TrRoad_act!R55*1000
)</f>
        <v>1241.3888819680296</v>
      </c>
      <c r="S79" s="88">
        <f>IF(TrRoad_act!S55=0,0,S42/TrRoad_act!S55*1000
)</f>
        <v>1317.1536846526242</v>
      </c>
      <c r="T79" s="88">
        <f>IF(TrRoad_act!T55=0,0,T42/TrRoad_act!T55*1000
)</f>
        <v>1318.5702613602339</v>
      </c>
      <c r="U79" s="88">
        <f>IF(TrRoad_act!U55=0,0,U42/TrRoad_act!U55*1000
)</f>
        <v>1216.165823902254</v>
      </c>
      <c r="V79" s="88">
        <f>IF(TrRoad_act!V55=0,0,V42/TrRoad_act!V55*1000
)</f>
        <v>1169.1207380247445</v>
      </c>
      <c r="W79" s="88">
        <f>IF(TrRoad_act!W55=0,0,W42/TrRoad_act!W55*1000
)</f>
        <v>1257.7047012868688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141.75891556695436</v>
      </c>
      <c r="C82" s="29">
        <f>IF(TrRoad_act!C4=0,0,C18/TrRoad_act!C4*1000)</f>
        <v>142.58008622771615</v>
      </c>
      <c r="D82" s="29">
        <f>IF(TrRoad_act!D4=0,0,D18/TrRoad_act!D4*1000)</f>
        <v>146.21233293096125</v>
      </c>
      <c r="E82" s="29">
        <f>IF(TrRoad_act!E4=0,0,E18/TrRoad_act!E4*1000)</f>
        <v>149.49297576397316</v>
      </c>
      <c r="F82" s="29">
        <f>IF(TrRoad_act!F4=0,0,F18/TrRoad_act!F4*1000)</f>
        <v>149.10807348081846</v>
      </c>
      <c r="G82" s="29">
        <f>IF(TrRoad_act!G4=0,0,G18/TrRoad_act!G4*1000)</f>
        <v>152.40215124484712</v>
      </c>
      <c r="H82" s="29">
        <f>IF(TrRoad_act!H4=0,0,H18/TrRoad_act!H4*1000)</f>
        <v>158.43760407196908</v>
      </c>
      <c r="I82" s="29">
        <f>IF(TrRoad_act!I4=0,0,I18/TrRoad_act!I4*1000)</f>
        <v>156.66423538518742</v>
      </c>
      <c r="J82" s="29">
        <f>IF(TrRoad_act!J4=0,0,J18/TrRoad_act!J4*1000)</f>
        <v>151.40509946193168</v>
      </c>
      <c r="K82" s="29">
        <f>IF(TrRoad_act!K4=0,0,K18/TrRoad_act!K4*1000)</f>
        <v>145.90297293661021</v>
      </c>
      <c r="L82" s="29">
        <f>IF(TrRoad_act!L4=0,0,L18/TrRoad_act!L4*1000)</f>
        <v>145.49198712887218</v>
      </c>
      <c r="M82" s="29">
        <f>IF(TrRoad_act!M4=0,0,M18/TrRoad_act!M4*1000)</f>
        <v>140.21527279922378</v>
      </c>
      <c r="N82" s="29">
        <f>IF(TrRoad_act!N4=0,0,N18/TrRoad_act!N4*1000)</f>
        <v>133.10921150162125</v>
      </c>
      <c r="O82" s="29">
        <f>IF(TrRoad_act!O4=0,0,O18/TrRoad_act!O4*1000)</f>
        <v>139.40698153626226</v>
      </c>
      <c r="P82" s="29">
        <f>IF(TrRoad_act!P4=0,0,P18/TrRoad_act!P4*1000)</f>
        <v>148.73188392597913</v>
      </c>
      <c r="Q82" s="29">
        <f>IF(TrRoad_act!Q4=0,0,Q18/TrRoad_act!Q4*1000)</f>
        <v>145.01391033279882</v>
      </c>
      <c r="R82" s="29">
        <f>IF(TrRoad_act!R4=0,0,R18/TrRoad_act!R4*1000)</f>
        <v>140.60195233319939</v>
      </c>
      <c r="S82" s="29">
        <f>IF(TrRoad_act!S4=0,0,S18/TrRoad_act!S4*1000)</f>
        <v>143.45306258081408</v>
      </c>
      <c r="T82" s="29">
        <f>IF(TrRoad_act!T4=0,0,T18/TrRoad_act!T4*1000)</f>
        <v>141.44786751451261</v>
      </c>
      <c r="U82" s="29">
        <f>IF(TrRoad_act!U4=0,0,U18/TrRoad_act!U4*1000)</f>
        <v>144.63629774530187</v>
      </c>
      <c r="V82" s="29">
        <f>IF(TrRoad_act!V4=0,0,V18/TrRoad_act!V4*1000)</f>
        <v>151.90744917420352</v>
      </c>
      <c r="W82" s="29">
        <f>IF(TrRoad_act!W4=0,0,W18/TrRoad_act!W4*1000)</f>
        <v>157.91465546542935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103.01609221204598</v>
      </c>
      <c r="C83" s="152">
        <f>IF(TrRoad_act!C5=0,0,C19/TrRoad_act!C5*1000)</f>
        <v>102.43146653718853</v>
      </c>
      <c r="D83" s="152">
        <f>IF(TrRoad_act!D5=0,0,D19/TrRoad_act!D5*1000)</f>
        <v>100.01058891779367</v>
      </c>
      <c r="E83" s="152">
        <f>IF(TrRoad_act!E5=0,0,E19/TrRoad_act!E5*1000)</f>
        <v>98.25798637930238</v>
      </c>
      <c r="F83" s="152">
        <f>IF(TrRoad_act!F5=0,0,F19/TrRoad_act!F5*1000)</f>
        <v>98.988698167652828</v>
      </c>
      <c r="G83" s="152">
        <f>IF(TrRoad_act!G5=0,0,G19/TrRoad_act!G5*1000)</f>
        <v>96.982726649694641</v>
      </c>
      <c r="H83" s="152">
        <f>IF(TrRoad_act!H5=0,0,H19/TrRoad_act!H5*1000)</f>
        <v>97.06455239603595</v>
      </c>
      <c r="I83" s="152">
        <f>IF(TrRoad_act!I5=0,0,I19/TrRoad_act!I5*1000)</f>
        <v>95.455567816048273</v>
      </c>
      <c r="J83" s="152">
        <f>IF(TrRoad_act!J5=0,0,J19/TrRoad_act!J5*1000)</f>
        <v>95.702010029501608</v>
      </c>
      <c r="K83" s="152">
        <f>IF(TrRoad_act!K5=0,0,K19/TrRoad_act!K5*1000)</f>
        <v>93.813255457237773</v>
      </c>
      <c r="L83" s="152">
        <f>IF(TrRoad_act!L5=0,0,L19/TrRoad_act!L5*1000)</f>
        <v>92.308291661864047</v>
      </c>
      <c r="M83" s="152">
        <f>IF(TrRoad_act!M5=0,0,M19/TrRoad_act!M5*1000)</f>
        <v>90.673669441727313</v>
      </c>
      <c r="N83" s="152">
        <f>IF(TrRoad_act!N5=0,0,N19/TrRoad_act!N5*1000)</f>
        <v>90.581320642469521</v>
      </c>
      <c r="O83" s="152">
        <f>IF(TrRoad_act!O5=0,0,O19/TrRoad_act!O5*1000)</f>
        <v>91.064573679506609</v>
      </c>
      <c r="P83" s="152">
        <f>IF(TrRoad_act!P5=0,0,P19/TrRoad_act!P5*1000)</f>
        <v>90.73691079604005</v>
      </c>
      <c r="Q83" s="152">
        <f>IF(TrRoad_act!Q5=0,0,Q19/TrRoad_act!Q5*1000)</f>
        <v>89.104335139141284</v>
      </c>
      <c r="R83" s="152">
        <f>IF(TrRoad_act!R5=0,0,R19/TrRoad_act!R5*1000)</f>
        <v>91.227305951068601</v>
      </c>
      <c r="S83" s="152">
        <f>IF(TrRoad_act!S5=0,0,S19/TrRoad_act!S5*1000)</f>
        <v>91.491507664544713</v>
      </c>
      <c r="T83" s="152">
        <f>IF(TrRoad_act!T5=0,0,T19/TrRoad_act!T5*1000)</f>
        <v>90.809540685242212</v>
      </c>
      <c r="U83" s="152">
        <f>IF(TrRoad_act!U5=0,0,U19/TrRoad_act!U5*1000)</f>
        <v>90.400954191787619</v>
      </c>
      <c r="V83" s="152">
        <f>IF(TrRoad_act!V5=0,0,V19/TrRoad_act!V5*1000)</f>
        <v>86.05064405364773</v>
      </c>
      <c r="W83" s="152">
        <f>IF(TrRoad_act!W5=0,0,W19/TrRoad_act!W5*1000)</f>
        <v>84.227887085139372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154.60742773206107</v>
      </c>
      <c r="C84" s="116">
        <f>IF(TrRoad_act!C6=0,0,C20/TrRoad_act!C6*1000)</f>
        <v>156.2082471145564</v>
      </c>
      <c r="D84" s="116">
        <f>IF(TrRoad_act!D6=0,0,D20/TrRoad_act!D6*1000)</f>
        <v>159.65365247268073</v>
      </c>
      <c r="E84" s="116">
        <f>IF(TrRoad_act!E6=0,0,E20/TrRoad_act!E6*1000)</f>
        <v>163.26310670016628</v>
      </c>
      <c r="F84" s="116">
        <f>IF(TrRoad_act!F6=0,0,F20/TrRoad_act!F6*1000)</f>
        <v>164.00733459266647</v>
      </c>
      <c r="G84" s="116">
        <f>IF(TrRoad_act!G6=0,0,G20/TrRoad_act!G6*1000)</f>
        <v>167.97377483607255</v>
      </c>
      <c r="H84" s="116">
        <f>IF(TrRoad_act!H6=0,0,H20/TrRoad_act!H6*1000)</f>
        <v>172.83673047439672</v>
      </c>
      <c r="I84" s="116">
        <f>IF(TrRoad_act!I6=0,0,I20/TrRoad_act!I6*1000)</f>
        <v>175.29329300260662</v>
      </c>
      <c r="J84" s="116">
        <f>IF(TrRoad_act!J6=0,0,J20/TrRoad_act!J6*1000)</f>
        <v>169.85456175744599</v>
      </c>
      <c r="K84" s="116">
        <f>IF(TrRoad_act!K6=0,0,K20/TrRoad_act!K6*1000)</f>
        <v>161.65092514071114</v>
      </c>
      <c r="L84" s="116">
        <f>IF(TrRoad_act!L6=0,0,L20/TrRoad_act!L6*1000)</f>
        <v>159.33461858283292</v>
      </c>
      <c r="M84" s="116">
        <f>IF(TrRoad_act!M6=0,0,M20/TrRoad_act!M6*1000)</f>
        <v>155.47606280516479</v>
      </c>
      <c r="N84" s="116">
        <f>IF(TrRoad_act!N6=0,0,N20/TrRoad_act!N6*1000)</f>
        <v>147.30667210843586</v>
      </c>
      <c r="O84" s="116">
        <f>IF(TrRoad_act!O6=0,0,O20/TrRoad_act!O6*1000)</f>
        <v>154.82493320186001</v>
      </c>
      <c r="P84" s="116">
        <f>IF(TrRoad_act!P6=0,0,P20/TrRoad_act!P6*1000)</f>
        <v>160.14909744891102</v>
      </c>
      <c r="Q84" s="116">
        <f>IF(TrRoad_act!Q6=0,0,Q20/TrRoad_act!Q6*1000)</f>
        <v>158.93008342414794</v>
      </c>
      <c r="R84" s="116">
        <f>IF(TrRoad_act!R6=0,0,R20/TrRoad_act!R6*1000)</f>
        <v>153.62124427699683</v>
      </c>
      <c r="S84" s="116">
        <f>IF(TrRoad_act!S6=0,0,S20/TrRoad_act!S6*1000)</f>
        <v>152.90054066523379</v>
      </c>
      <c r="T84" s="116">
        <f>IF(TrRoad_act!T6=0,0,T20/TrRoad_act!T6*1000)</f>
        <v>151.0605201101327</v>
      </c>
      <c r="U84" s="116">
        <f>IF(TrRoad_act!U6=0,0,U20/TrRoad_act!U6*1000)</f>
        <v>155.14022758398457</v>
      </c>
      <c r="V84" s="116">
        <f>IF(TrRoad_act!V6=0,0,V20/TrRoad_act!V6*1000)</f>
        <v>160.7985327811719</v>
      </c>
      <c r="W84" s="116">
        <f>IF(TrRoad_act!W6=0,0,W20/TrRoad_act!W6*1000)</f>
        <v>168.42407390483149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161.19216946153904</v>
      </c>
      <c r="C85" s="87">
        <f>IF(TrRoad_act!C7=0,0,C21/TrRoad_act!C7*1000)</f>
        <v>167.21959606631262</v>
      </c>
      <c r="D85" s="87">
        <f>IF(TrRoad_act!D7=0,0,D21/TrRoad_act!D7*1000)</f>
        <v>168.15709859167842</v>
      </c>
      <c r="E85" s="87">
        <f>IF(TrRoad_act!E7=0,0,E21/TrRoad_act!E7*1000)</f>
        <v>173.38357578873544</v>
      </c>
      <c r="F85" s="87">
        <f>IF(TrRoad_act!F7=0,0,F21/TrRoad_act!F7*1000)</f>
        <v>175.65195747333547</v>
      </c>
      <c r="G85" s="87">
        <f>IF(TrRoad_act!G7=0,0,G21/TrRoad_act!G7*1000)</f>
        <v>178.60525462248103</v>
      </c>
      <c r="H85" s="87">
        <f>IF(TrRoad_act!H7=0,0,H21/TrRoad_act!H7*1000)</f>
        <v>183.16991406547345</v>
      </c>
      <c r="I85" s="87">
        <f>IF(TrRoad_act!I7=0,0,I21/TrRoad_act!I7*1000)</f>
        <v>186.11192766797274</v>
      </c>
      <c r="J85" s="87">
        <f>IF(TrRoad_act!J7=0,0,J21/TrRoad_act!J7*1000)</f>
        <v>178.86632281766123</v>
      </c>
      <c r="K85" s="87">
        <f>IF(TrRoad_act!K7=0,0,K21/TrRoad_act!K7*1000)</f>
        <v>170.95954580543395</v>
      </c>
      <c r="L85" s="87">
        <f>IF(TrRoad_act!L7=0,0,L21/TrRoad_act!L7*1000)</f>
        <v>166.88555375554213</v>
      </c>
      <c r="M85" s="87">
        <f>IF(TrRoad_act!M7=0,0,M21/TrRoad_act!M7*1000)</f>
        <v>163.82201907748023</v>
      </c>
      <c r="N85" s="87">
        <f>IF(TrRoad_act!N7=0,0,N21/TrRoad_act!N7*1000)</f>
        <v>156.78853374669225</v>
      </c>
      <c r="O85" s="87">
        <f>IF(TrRoad_act!O7=0,0,O21/TrRoad_act!O7*1000)</f>
        <v>160.58557007926606</v>
      </c>
      <c r="P85" s="87">
        <f>IF(TrRoad_act!P7=0,0,P21/TrRoad_act!P7*1000)</f>
        <v>166.56471711414667</v>
      </c>
      <c r="Q85" s="87">
        <f>IF(TrRoad_act!Q7=0,0,Q21/TrRoad_act!Q7*1000)</f>
        <v>165.36321960359172</v>
      </c>
      <c r="R85" s="87">
        <f>IF(TrRoad_act!R7=0,0,R21/TrRoad_act!R7*1000)</f>
        <v>168.88565686780956</v>
      </c>
      <c r="S85" s="87">
        <f>IF(TrRoad_act!S7=0,0,S21/TrRoad_act!S7*1000)</f>
        <v>172.4500157697652</v>
      </c>
      <c r="T85" s="87">
        <f>IF(TrRoad_act!T7=0,0,T21/TrRoad_act!T7*1000)</f>
        <v>173.83500550718642</v>
      </c>
      <c r="U85" s="87">
        <f>IF(TrRoad_act!U7=0,0,U21/TrRoad_act!U7*1000)</f>
        <v>179.24940119697771</v>
      </c>
      <c r="V85" s="87">
        <f>IF(TrRoad_act!V7=0,0,V21/TrRoad_act!V7*1000)</f>
        <v>206.99786378489046</v>
      </c>
      <c r="W85" s="87">
        <f>IF(TrRoad_act!W7=0,0,W21/TrRoad_act!W7*1000)</f>
        <v>207.77788423347872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147.16564346137258</v>
      </c>
      <c r="C86" s="87">
        <f>IF(TrRoad_act!C8=0,0,C22/TrRoad_act!C8*1000)</f>
        <v>145.7216087400335</v>
      </c>
      <c r="D86" s="87">
        <f>IF(TrRoad_act!D8=0,0,D22/TrRoad_act!D8*1000)</f>
        <v>152.29706750520683</v>
      </c>
      <c r="E86" s="87">
        <f>IF(TrRoad_act!E8=0,0,E22/TrRoad_act!E8*1000)</f>
        <v>155.73955912547711</v>
      </c>
      <c r="F86" s="87">
        <f>IF(TrRoad_act!F8=0,0,F22/TrRoad_act!F8*1000)</f>
        <v>156.43435065472997</v>
      </c>
      <c r="G86" s="87">
        <f>IF(TrRoad_act!G8=0,0,G22/TrRoad_act!G8*1000)</f>
        <v>162.06503331468531</v>
      </c>
      <c r="H86" s="87">
        <f>IF(TrRoad_act!H8=0,0,H22/TrRoad_act!H8*1000)</f>
        <v>167.76598741945239</v>
      </c>
      <c r="I86" s="87">
        <f>IF(TrRoad_act!I8=0,0,I22/TrRoad_act!I8*1000)</f>
        <v>170.46628538064937</v>
      </c>
      <c r="J86" s="87">
        <f>IF(TrRoad_act!J8=0,0,J22/TrRoad_act!J8*1000)</f>
        <v>166.29172038115217</v>
      </c>
      <c r="K86" s="87">
        <f>IF(TrRoad_act!K8=0,0,K22/TrRoad_act!K8*1000)</f>
        <v>158.19304151215323</v>
      </c>
      <c r="L86" s="87">
        <f>IF(TrRoad_act!L8=0,0,L22/TrRoad_act!L8*1000)</f>
        <v>156.64405001374254</v>
      </c>
      <c r="M86" s="87">
        <f>IF(TrRoad_act!M8=0,0,M22/TrRoad_act!M8*1000)</f>
        <v>152.60916981404617</v>
      </c>
      <c r="N86" s="87">
        <f>IF(TrRoad_act!N8=0,0,N22/TrRoad_act!N8*1000)</f>
        <v>144.16199570958352</v>
      </c>
      <c r="O86" s="87">
        <f>IF(TrRoad_act!O8=0,0,O22/TrRoad_act!O8*1000)</f>
        <v>152.93572480619503</v>
      </c>
      <c r="P86" s="87">
        <f>IF(TrRoad_act!P8=0,0,P22/TrRoad_act!P8*1000)</f>
        <v>158.1383985032638</v>
      </c>
      <c r="Q86" s="87">
        <f>IF(TrRoad_act!Q8=0,0,Q22/TrRoad_act!Q8*1000)</f>
        <v>156.93062370794991</v>
      </c>
      <c r="R86" s="87">
        <f>IF(TrRoad_act!R8=0,0,R22/TrRoad_act!R8*1000)</f>
        <v>149.2185566244361</v>
      </c>
      <c r="S86" s="87">
        <f>IF(TrRoad_act!S8=0,0,S22/TrRoad_act!S8*1000)</f>
        <v>147.35659404408204</v>
      </c>
      <c r="T86" s="87">
        <f>IF(TrRoad_act!T8=0,0,T22/TrRoad_act!T8*1000)</f>
        <v>144.62663112454888</v>
      </c>
      <c r="U86" s="87">
        <f>IF(TrRoad_act!U8=0,0,U22/TrRoad_act!U8*1000)</f>
        <v>148.09595933163465</v>
      </c>
      <c r="V86" s="87">
        <f>IF(TrRoad_act!V8=0,0,V22/TrRoad_act!V8*1000)</f>
        <v>149.42313697779355</v>
      </c>
      <c r="W86" s="87">
        <f>IF(TrRoad_act!W8=0,0,W22/TrRoad_act!W8*1000)</f>
        <v>157.05763507138678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344.94443257734935</v>
      </c>
      <c r="C87" s="87">
        <f>IF(TrRoad_act!C9=0,0,C23/TrRoad_act!C9*1000)</f>
        <v>347.94946908636371</v>
      </c>
      <c r="D87" s="87">
        <f>IF(TrRoad_act!D9=0,0,D23/TrRoad_act!D9*1000)</f>
        <v>353.47237434393276</v>
      </c>
      <c r="E87" s="87">
        <f>IF(TrRoad_act!E9=0,0,E23/TrRoad_act!E9*1000)</f>
        <v>382.56420185369342</v>
      </c>
      <c r="F87" s="87">
        <f>IF(TrRoad_act!F9=0,0,F23/TrRoad_act!F9*1000)</f>
        <v>431.43619804012923</v>
      </c>
      <c r="G87" s="87">
        <f>IF(TrRoad_act!G9=0,0,G23/TrRoad_act!G9*1000)</f>
        <v>407.21915698366206</v>
      </c>
      <c r="H87" s="87">
        <f>IF(TrRoad_act!H9=0,0,H23/TrRoad_act!H9*1000)</f>
        <v>434.29902748459676</v>
      </c>
      <c r="I87" s="87">
        <f>IF(TrRoad_act!I9=0,0,I23/TrRoad_act!I9*1000)</f>
        <v>553.24339362357409</v>
      </c>
      <c r="J87" s="87">
        <f>IF(TrRoad_act!J9=0,0,J23/TrRoad_act!J9*1000)</f>
        <v>265.80815579405566</v>
      </c>
      <c r="K87" s="87">
        <f>IF(TrRoad_act!K9=0,0,K23/TrRoad_act!K9*1000)</f>
        <v>244.56043552319119</v>
      </c>
      <c r="L87" s="87">
        <f>IF(TrRoad_act!L9=0,0,L23/TrRoad_act!L9*1000)</f>
        <v>256.52424029994756</v>
      </c>
      <c r="M87" s="87">
        <f>IF(TrRoad_act!M9=0,0,M23/TrRoad_act!M9*1000)</f>
        <v>264.01967236581368</v>
      </c>
      <c r="N87" s="87">
        <f>IF(TrRoad_act!N9=0,0,N23/TrRoad_act!N9*1000)</f>
        <v>233.27652217262263</v>
      </c>
      <c r="O87" s="87">
        <f>IF(TrRoad_act!O9=0,0,O23/TrRoad_act!O9*1000)</f>
        <v>266.15907979031448</v>
      </c>
      <c r="P87" s="87">
        <f>IF(TrRoad_act!P9=0,0,P23/TrRoad_act!P9*1000)</f>
        <v>272.76286200126168</v>
      </c>
      <c r="Q87" s="87">
        <f>IF(TrRoad_act!Q9=0,0,Q23/TrRoad_act!Q9*1000)</f>
        <v>296.61685425935605</v>
      </c>
      <c r="R87" s="87">
        <f>IF(TrRoad_act!R9=0,0,R23/TrRoad_act!R9*1000)</f>
        <v>276.9143124947326</v>
      </c>
      <c r="S87" s="87">
        <f>IF(TrRoad_act!S9=0,0,S23/TrRoad_act!S9*1000)</f>
        <v>248.66077052546115</v>
      </c>
      <c r="T87" s="87">
        <f>IF(TrRoad_act!T9=0,0,T23/TrRoad_act!T9*1000)</f>
        <v>174.88832921331925</v>
      </c>
      <c r="U87" s="87">
        <f>IF(TrRoad_act!U9=0,0,U23/TrRoad_act!U9*1000)</f>
        <v>185.78538881065751</v>
      </c>
      <c r="V87" s="87">
        <f>IF(TrRoad_act!V9=0,0,V23/TrRoad_act!V9*1000)</f>
        <v>201.93984420811819</v>
      </c>
      <c r="W87" s="87">
        <f>IF(TrRoad_act!W9=0,0,W23/TrRoad_act!W9*1000)</f>
        <v>190.16213965573326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127.32838645612837</v>
      </c>
      <c r="G88" s="87">
        <f>IF(TrRoad_act!G10=0,0,G24/TrRoad_act!G10*1000)</f>
        <v>132.34322196508538</v>
      </c>
      <c r="H88" s="87">
        <f>IF(TrRoad_act!H10=0,0,H24/TrRoad_act!H10*1000)</f>
        <v>136.25318064650648</v>
      </c>
      <c r="I88" s="87">
        <f>IF(TrRoad_act!I10=0,0,I24/TrRoad_act!I10*1000)</f>
        <v>140.93601043450417</v>
      </c>
      <c r="J88" s="87">
        <f>IF(TrRoad_act!J10=0,0,J24/TrRoad_act!J10*1000)</f>
        <v>142.09154009177198</v>
      </c>
      <c r="K88" s="87">
        <f>IF(TrRoad_act!K10=0,0,K24/TrRoad_act!K10*1000)</f>
        <v>140.63346181375314</v>
      </c>
      <c r="L88" s="87">
        <f>IF(TrRoad_act!L10=0,0,L24/TrRoad_act!L10*1000)</f>
        <v>139.97020932335744</v>
      </c>
      <c r="M88" s="87">
        <f>IF(TrRoad_act!M10=0,0,M24/TrRoad_act!M10*1000)</f>
        <v>140.49133709961524</v>
      </c>
      <c r="N88" s="87">
        <f>IF(TrRoad_act!N10=0,0,N24/TrRoad_act!N10*1000)</f>
        <v>127.5131925599113</v>
      </c>
      <c r="O88" s="87">
        <f>IF(TrRoad_act!O10=0,0,O24/TrRoad_act!O10*1000)</f>
        <v>125.59757351485042</v>
      </c>
      <c r="P88" s="87">
        <f>IF(TrRoad_act!P10=0,0,P24/TrRoad_act!P10*1000)</f>
        <v>130.25369330007854</v>
      </c>
      <c r="Q88" s="87">
        <f>IF(TrRoad_act!Q10=0,0,Q24/TrRoad_act!Q10*1000)</f>
        <v>131.57926144072226</v>
      </c>
      <c r="R88" s="87">
        <f>IF(TrRoad_act!R10=0,0,R24/TrRoad_act!R10*1000)</f>
        <v>120.15929654413773</v>
      </c>
      <c r="S88" s="87">
        <f>IF(TrRoad_act!S10=0,0,S24/TrRoad_act!S10*1000)</f>
        <v>115.92598819222394</v>
      </c>
      <c r="T88" s="87">
        <f>IF(TrRoad_act!T10=0,0,T24/TrRoad_act!T10*1000)</f>
        <v>114.66785320583837</v>
      </c>
      <c r="U88" s="87">
        <f>IF(TrRoad_act!U10=0,0,U24/TrRoad_act!U10*1000)</f>
        <v>112.10671907701224</v>
      </c>
      <c r="V88" s="87">
        <f>IF(TrRoad_act!V10=0,0,V24/TrRoad_act!V10*1000)</f>
        <v>114.15664037442211</v>
      </c>
      <c r="W88" s="87">
        <f>IF(TrRoad_act!W10=0,0,W24/TrRoad_act!W10*1000)</f>
        <v>109.6187529207056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53.969812920622559</v>
      </c>
      <c r="N89" s="87">
        <f>IF(TrRoad_act!N11=0,0,N25/TrRoad_act!N11*1000)</f>
        <v>38.070516669682547</v>
      </c>
      <c r="O89" s="87">
        <f>IF(TrRoad_act!O11=0,0,O25/TrRoad_act!O11*1000)</f>
        <v>50.052985945645936</v>
      </c>
      <c r="P89" s="87">
        <f>IF(TrRoad_act!P11=0,0,P25/TrRoad_act!P11*1000)</f>
        <v>46.447896457311963</v>
      </c>
      <c r="Q89" s="87">
        <f>IF(TrRoad_act!Q11=0,0,Q25/TrRoad_act!Q11*1000)</f>
        <v>42.279737022879736</v>
      </c>
      <c r="R89" s="87">
        <f>IF(TrRoad_act!R11=0,0,R25/TrRoad_act!R11*1000)</f>
        <v>47.098529943064904</v>
      </c>
      <c r="S89" s="87">
        <f>IF(TrRoad_act!S11=0,0,S25/TrRoad_act!S11*1000)</f>
        <v>49.712608281171256</v>
      </c>
      <c r="T89" s="87">
        <f>IF(TrRoad_act!T11=0,0,T25/TrRoad_act!T11*1000)</f>
        <v>50.761862106477359</v>
      </c>
      <c r="U89" s="87">
        <f>IF(TrRoad_act!U11=0,0,U25/TrRoad_act!U11*1000)</f>
        <v>55.462088392834616</v>
      </c>
      <c r="V89" s="87">
        <f>IF(TrRoad_act!V11=0,0,V25/TrRoad_act!V11*1000)</f>
        <v>66.24393601880476</v>
      </c>
      <c r="W89" s="87">
        <f>IF(TrRoad_act!W11=0,0,W25/TrRoad_act!W11*1000)</f>
        <v>55.743521600732009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72.59822515030146</v>
      </c>
      <c r="C91" s="116">
        <f>IF(TrRoad_act!C13=0,0,C27/TrRoad_act!C13*1000)</f>
        <v>70.173208649572359</v>
      </c>
      <c r="D91" s="116">
        <f>IF(TrRoad_act!D13=0,0,D27/TrRoad_act!D13*1000)</f>
        <v>71.285300265965446</v>
      </c>
      <c r="E91" s="116">
        <f>IF(TrRoad_act!E13=0,0,E27/TrRoad_act!E13*1000)</f>
        <v>71.842292828849821</v>
      </c>
      <c r="F91" s="116">
        <f>IF(TrRoad_act!F13=0,0,F27/TrRoad_act!F13*1000)</f>
        <v>67.83519446057133</v>
      </c>
      <c r="G91" s="116">
        <f>IF(TrRoad_act!G13=0,0,G27/TrRoad_act!G13*1000)</f>
        <v>67.340179260789256</v>
      </c>
      <c r="H91" s="116">
        <f>IF(TrRoad_act!H13=0,0,H27/TrRoad_act!H13*1000)</f>
        <v>75.755307379914811</v>
      </c>
      <c r="I91" s="116">
        <f>IF(TrRoad_act!I13=0,0,I27/TrRoad_act!I13*1000)</f>
        <v>64.579945070602676</v>
      </c>
      <c r="J91" s="116">
        <f>IF(TrRoad_act!J13=0,0,J27/TrRoad_act!J13*1000)</f>
        <v>61.704394436942628</v>
      </c>
      <c r="K91" s="116">
        <f>IF(TrRoad_act!K13=0,0,K27/TrRoad_act!K13*1000)</f>
        <v>63.874635806281887</v>
      </c>
      <c r="L91" s="116">
        <f>IF(TrRoad_act!L13=0,0,L27/TrRoad_act!L13*1000)</f>
        <v>69.622815030723544</v>
      </c>
      <c r="M91" s="116">
        <f>IF(TrRoad_act!M13=0,0,M27/TrRoad_act!M13*1000)</f>
        <v>62.262492418544817</v>
      </c>
      <c r="N91" s="116">
        <f>IF(TrRoad_act!N13=0,0,N27/TrRoad_act!N13*1000)</f>
        <v>60.734417871449345</v>
      </c>
      <c r="O91" s="116">
        <f>IF(TrRoad_act!O13=0,0,O27/TrRoad_act!O13*1000)</f>
        <v>61.49959992514119</v>
      </c>
      <c r="P91" s="116">
        <f>IF(TrRoad_act!P13=0,0,P27/TrRoad_act!P13*1000)</f>
        <v>82.575168633629346</v>
      </c>
      <c r="Q91" s="116">
        <f>IF(TrRoad_act!Q13=0,0,Q27/TrRoad_act!Q13*1000)</f>
        <v>70.438279694616554</v>
      </c>
      <c r="R91" s="116">
        <f>IF(TrRoad_act!R13=0,0,R27/TrRoad_act!R13*1000)</f>
        <v>68.805965370759608</v>
      </c>
      <c r="S91" s="116">
        <f>IF(TrRoad_act!S13=0,0,S27/TrRoad_act!S13*1000)</f>
        <v>68.535071404154152</v>
      </c>
      <c r="T91" s="116">
        <f>IF(TrRoad_act!T13=0,0,T27/TrRoad_act!T13*1000)</f>
        <v>64.539056405950873</v>
      </c>
      <c r="U91" s="116">
        <f>IF(TrRoad_act!U13=0,0,U27/TrRoad_act!U13*1000)</f>
        <v>63.9403676535823</v>
      </c>
      <c r="V91" s="116">
        <f>IF(TrRoad_act!V13=0,0,V27/TrRoad_act!V13*1000)</f>
        <v>79.368046339842095</v>
      </c>
      <c r="W91" s="116">
        <f>IF(TrRoad_act!W13=0,0,W27/TrRoad_act!W13*1000)</f>
        <v>81.433086311414371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55.286329135781578</v>
      </c>
      <c r="C92" s="101">
        <f>IF(TrRoad_act!C14=0,0,C28/TrRoad_act!C14*1000)</f>
        <v>53.932269601770244</v>
      </c>
      <c r="D92" s="101">
        <f>IF(TrRoad_act!D14=0,0,D28/TrRoad_act!D14*1000)</f>
        <v>53.687456732116338</v>
      </c>
      <c r="E92" s="101">
        <f>IF(TrRoad_act!E14=0,0,E28/TrRoad_act!E14*1000)</f>
        <v>54.114788980689205</v>
      </c>
      <c r="F92" s="101">
        <f>IF(TrRoad_act!F14=0,0,F28/TrRoad_act!F14*1000)</f>
        <v>51.288401601627946</v>
      </c>
      <c r="G92" s="101">
        <f>IF(TrRoad_act!G14=0,0,G28/TrRoad_act!G14*1000)</f>
        <v>51.02602589186192</v>
      </c>
      <c r="H92" s="101">
        <f>IF(TrRoad_act!H14=0,0,H28/TrRoad_act!H14*1000)</f>
        <v>56.975137327259958</v>
      </c>
      <c r="I92" s="101">
        <f>IF(TrRoad_act!I14=0,0,I28/TrRoad_act!I14*1000)</f>
        <v>48.049049654142259</v>
      </c>
      <c r="J92" s="101">
        <f>IF(TrRoad_act!J14=0,0,J28/TrRoad_act!J14*1000)</f>
        <v>46.329811447482527</v>
      </c>
      <c r="K92" s="101">
        <f>IF(TrRoad_act!K14=0,0,K28/TrRoad_act!K14*1000)</f>
        <v>47.911348314715291</v>
      </c>
      <c r="L92" s="101">
        <f>IF(TrRoad_act!L14=0,0,L28/TrRoad_act!L14*1000)</f>
        <v>51.206912342231831</v>
      </c>
      <c r="M92" s="101">
        <f>IF(TrRoad_act!M14=0,0,M28/TrRoad_act!M14*1000)</f>
        <v>45.700482949960424</v>
      </c>
      <c r="N92" s="101">
        <f>IF(TrRoad_act!N14=0,0,N28/TrRoad_act!N14*1000)</f>
        <v>45.246773247226756</v>
      </c>
      <c r="O92" s="101">
        <f>IF(TrRoad_act!O14=0,0,O28/TrRoad_act!O14*1000)</f>
        <v>42.667283727950121</v>
      </c>
      <c r="P92" s="101">
        <f>IF(TrRoad_act!P14=0,0,P28/TrRoad_act!P14*1000)</f>
        <v>56.148595664056806</v>
      </c>
      <c r="Q92" s="101">
        <f>IF(TrRoad_act!Q14=0,0,Q28/TrRoad_act!Q14*1000)</f>
        <v>48.431515531606365</v>
      </c>
      <c r="R92" s="101">
        <f>IF(TrRoad_act!R14=0,0,R28/TrRoad_act!R14*1000)</f>
        <v>47.461624579487122</v>
      </c>
      <c r="S92" s="101">
        <f>IF(TrRoad_act!S14=0,0,S28/TrRoad_act!S14*1000)</f>
        <v>47.015197735036821</v>
      </c>
      <c r="T92" s="101">
        <f>IF(TrRoad_act!T14=0,0,T28/TrRoad_act!T14*1000)</f>
        <v>45.741923784025765</v>
      </c>
      <c r="U92" s="101">
        <f>IF(TrRoad_act!U14=0,0,U28/TrRoad_act!U14*1000)</f>
        <v>45.600286643715634</v>
      </c>
      <c r="V92" s="101">
        <f>IF(TrRoad_act!V14=0,0,V28/TrRoad_act!V14*1000)</f>
        <v>52.764622494731881</v>
      </c>
      <c r="W92" s="101">
        <f>IF(TrRoad_act!W14=0,0,W28/TrRoad_act!W14*1000)</f>
        <v>53.58370414064688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72.597036301285499</v>
      </c>
      <c r="C93" s="101">
        <f>IF(TrRoad_act!C15=0,0,C29/TrRoad_act!C15*1000)</f>
        <v>70.022746363389189</v>
      </c>
      <c r="D93" s="101">
        <f>IF(TrRoad_act!D15=0,0,D29/TrRoad_act!D15*1000)</f>
        <v>70.753536825820589</v>
      </c>
      <c r="E93" s="101">
        <f>IF(TrRoad_act!E15=0,0,E29/TrRoad_act!E15*1000)</f>
        <v>71.53840280605371</v>
      </c>
      <c r="F93" s="101">
        <f>IF(TrRoad_act!F15=0,0,F29/TrRoad_act!F15*1000)</f>
        <v>67.560567697343757</v>
      </c>
      <c r="G93" s="101">
        <f>IF(TrRoad_act!G15=0,0,G29/TrRoad_act!G15*1000)</f>
        <v>67.027713895540217</v>
      </c>
      <c r="H93" s="101">
        <f>IF(TrRoad_act!H15=0,0,H29/TrRoad_act!H15*1000)</f>
        <v>75.363790640608457</v>
      </c>
      <c r="I93" s="101">
        <f>IF(TrRoad_act!I15=0,0,I29/TrRoad_act!I15*1000)</f>
        <v>63.912916910558323</v>
      </c>
      <c r="J93" s="101">
        <f>IF(TrRoad_act!J15=0,0,J29/TrRoad_act!J15*1000)</f>
        <v>60.944391592907238</v>
      </c>
      <c r="K93" s="101">
        <f>IF(TrRoad_act!K15=0,0,K29/TrRoad_act!K15*1000)</f>
        <v>62.744738208567327</v>
      </c>
      <c r="L93" s="101">
        <f>IF(TrRoad_act!L15=0,0,L29/TrRoad_act!L15*1000)</f>
        <v>67.732256361775725</v>
      </c>
      <c r="M93" s="101">
        <f>IF(TrRoad_act!M15=0,0,M29/TrRoad_act!M15*1000)</f>
        <v>60.315559373251794</v>
      </c>
      <c r="N93" s="101">
        <f>IF(TrRoad_act!N15=0,0,N29/TrRoad_act!N15*1000)</f>
        <v>58.633738123463672</v>
      </c>
      <c r="O93" s="101">
        <f>IF(TrRoad_act!O15=0,0,O29/TrRoad_act!O15*1000)</f>
        <v>59.184336941337229</v>
      </c>
      <c r="P93" s="101">
        <f>IF(TrRoad_act!P15=0,0,P29/TrRoad_act!P15*1000)</f>
        <v>79.122830856791936</v>
      </c>
      <c r="Q93" s="101">
        <f>IF(TrRoad_act!Q15=0,0,Q29/TrRoad_act!Q15*1000)</f>
        <v>69.525273080577989</v>
      </c>
      <c r="R93" s="101">
        <f>IF(TrRoad_act!R15=0,0,R29/TrRoad_act!R15*1000)</f>
        <v>67.493859212531447</v>
      </c>
      <c r="S93" s="101">
        <f>IF(TrRoad_act!S15=0,0,S29/TrRoad_act!S15*1000)</f>
        <v>67.717329059356004</v>
      </c>
      <c r="T93" s="101">
        <f>IF(TrRoad_act!T15=0,0,T29/TrRoad_act!T15*1000)</f>
        <v>65.508907732477738</v>
      </c>
      <c r="U93" s="101">
        <f>IF(TrRoad_act!U15=0,0,U29/TrRoad_act!U15*1000)</f>
        <v>65.389127782942694</v>
      </c>
      <c r="V93" s="101">
        <f>IF(TrRoad_act!V15=0,0,V29/TrRoad_act!V15*1000)</f>
        <v>75.712952333839567</v>
      </c>
      <c r="W93" s="101">
        <f>IF(TrRoad_act!W15=0,0,W29/TrRoad_act!W15*1000)</f>
        <v>78.455360948478685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60.772373963953903</v>
      </c>
      <c r="Q94" s="101">
        <f>IF(TrRoad_act!Q16=0,0,Q30/TrRoad_act!Q16*1000)</f>
        <v>53.695123680574262</v>
      </c>
      <c r="R94" s="101">
        <f>IF(TrRoad_act!R16=0,0,R30/TrRoad_act!R16*1000)</f>
        <v>52.296169280798537</v>
      </c>
      <c r="S94" s="101">
        <f>IF(TrRoad_act!S16=0,0,S30/TrRoad_act!S16*1000)</f>
        <v>52.101819000537681</v>
      </c>
      <c r="T94" s="101">
        <f>IF(TrRoad_act!T16=0,0,T30/TrRoad_act!T16*1000)</f>
        <v>51.015574024759154</v>
      </c>
      <c r="U94" s="101">
        <f>IF(TrRoad_act!U16=0,0,U30/TrRoad_act!U16*1000)</f>
        <v>50.848199724707634</v>
      </c>
      <c r="V94" s="101">
        <f>IF(TrRoad_act!V16=0,0,V30/TrRoad_act!V16*1000)</f>
        <v>59.042318423138184</v>
      </c>
      <c r="W94" s="101">
        <f>IF(TrRoad_act!W16=0,0,W30/TrRoad_act!W16*1000)</f>
        <v>60.729015590835296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92.463249814333494</v>
      </c>
      <c r="C95" s="101">
        <f>IF(TrRoad_act!C17=0,0,C31/TrRoad_act!C17*1000)</f>
        <v>134.13871487083975</v>
      </c>
      <c r="D95" s="101">
        <f>IF(TrRoad_act!D17=0,0,D31/TrRoad_act!D17*1000)</f>
        <v>2693.8805796369024</v>
      </c>
      <c r="E95" s="101">
        <f>IF(TrRoad_act!E17=0,0,E31/TrRoad_act!E17*1000)</f>
        <v>140.99615392911539</v>
      </c>
      <c r="F95" s="101">
        <f>IF(TrRoad_act!F17=0,0,F31/TrRoad_act!F17*1000)</f>
        <v>117.63419783946951</v>
      </c>
      <c r="G95" s="101">
        <f>IF(TrRoad_act!G17=0,0,G31/TrRoad_act!G17*1000)</f>
        <v>115.00613251605712</v>
      </c>
      <c r="H95" s="101">
        <f>IF(TrRoad_act!H17=0,0,H31/TrRoad_act!H17*1000)</f>
        <v>131.43652233721448</v>
      </c>
      <c r="I95" s="101">
        <f>IF(TrRoad_act!I17=0,0,I31/TrRoad_act!I17*1000)</f>
        <v>135.15133244098297</v>
      </c>
      <c r="J95" s="101">
        <f>IF(TrRoad_act!J17=0,0,J31/TrRoad_act!J17*1000)</f>
        <v>146.49433089540639</v>
      </c>
      <c r="K95" s="101">
        <f>IF(TrRoad_act!K17=0,0,K31/TrRoad_act!K17*1000)</f>
        <v>185.27860573129107</v>
      </c>
      <c r="L95" s="101">
        <f>IF(TrRoad_act!L17=0,0,L31/TrRoad_act!L17*1000)</f>
        <v>266.85159610252612</v>
      </c>
      <c r="M95" s="101">
        <f>IF(TrRoad_act!M17=0,0,M31/TrRoad_act!M17*1000)</f>
        <v>264.11367676477238</v>
      </c>
      <c r="N95" s="101">
        <f>IF(TrRoad_act!N17=0,0,N31/TrRoad_act!N17*1000)</f>
        <v>273.33396065635378</v>
      </c>
      <c r="O95" s="101">
        <f>IF(TrRoad_act!O17=0,0,O31/TrRoad_act!O17*1000)</f>
        <v>291.86958872420115</v>
      </c>
      <c r="P95" s="101">
        <f>IF(TrRoad_act!P17=0,0,P31/TrRoad_act!P17*1000)</f>
        <v>472.77757111217909</v>
      </c>
      <c r="Q95" s="101">
        <f>IF(TrRoad_act!Q17=0,0,Q31/TrRoad_act!Q17*1000)</f>
        <v>99.027258897330654</v>
      </c>
      <c r="R95" s="101">
        <f>IF(TrRoad_act!R17=0,0,R31/TrRoad_act!R17*1000)</f>
        <v>101.59498334196728</v>
      </c>
      <c r="S95" s="101">
        <f>IF(TrRoad_act!S17=0,0,S31/TrRoad_act!S17*1000)</f>
        <v>80.262382135655542</v>
      </c>
      <c r="T95" s="101">
        <f>IF(TrRoad_act!T17=0,0,T31/TrRoad_act!T17*1000)</f>
        <v>63.310181162139394</v>
      </c>
      <c r="U95" s="101">
        <f>IF(TrRoad_act!U17=0,0,U31/TrRoad_act!U17*1000)</f>
        <v>62.911741666264483</v>
      </c>
      <c r="V95" s="101">
        <f>IF(TrRoad_act!V17=0,0,V31/TrRoad_act!V17*1000)</f>
        <v>104.00559232565786</v>
      </c>
      <c r="W95" s="101">
        <f>IF(TrRoad_act!W17=0,0,W31/TrRoad_act!W17*1000)</f>
        <v>104.55418492205855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192.69845535051334</v>
      </c>
      <c r="C97" s="29">
        <f>IF(TrRoad_act!C19=0,0,C33/TrRoad_act!C19*1000)</f>
        <v>196.53104672198185</v>
      </c>
      <c r="D97" s="29">
        <f>IF(TrRoad_act!D19=0,0,D33/TrRoad_act!D19*1000)</f>
        <v>178.15782382937508</v>
      </c>
      <c r="E97" s="29">
        <f>IF(TrRoad_act!E19=0,0,E33/TrRoad_act!E19*1000)</f>
        <v>177.66896243203774</v>
      </c>
      <c r="F97" s="29">
        <f>IF(TrRoad_act!F19=0,0,F33/TrRoad_act!F19*1000)</f>
        <v>166.62225314901019</v>
      </c>
      <c r="G97" s="29">
        <f>IF(TrRoad_act!G19=0,0,G33/TrRoad_act!G19*1000)</f>
        <v>157.98267833815399</v>
      </c>
      <c r="H97" s="29">
        <f>IF(TrRoad_act!H19=0,0,H33/TrRoad_act!H19*1000)</f>
        <v>154.83343062959605</v>
      </c>
      <c r="I97" s="29">
        <f>IF(TrRoad_act!I19=0,0,I33/TrRoad_act!I19*1000)</f>
        <v>149.0483775452723</v>
      </c>
      <c r="J97" s="29">
        <f>IF(TrRoad_act!J19=0,0,J33/TrRoad_act!J19*1000)</f>
        <v>147.63248537086326</v>
      </c>
      <c r="K97" s="29">
        <f>IF(TrRoad_act!K19=0,0,K33/TrRoad_act!K19*1000)</f>
        <v>143.34999325595979</v>
      </c>
      <c r="L97" s="29">
        <f>IF(TrRoad_act!L19=0,0,L33/TrRoad_act!L19*1000)</f>
        <v>140.61869745716686</v>
      </c>
      <c r="M97" s="29">
        <f>IF(TrRoad_act!M19=0,0,M33/TrRoad_act!M19*1000)</f>
        <v>133.54779312395743</v>
      </c>
      <c r="N97" s="29">
        <f>IF(TrRoad_act!N19=0,0,N33/TrRoad_act!N19*1000)</f>
        <v>119.61320603343734</v>
      </c>
      <c r="O97" s="29">
        <f>IF(TrRoad_act!O19=0,0,O33/TrRoad_act!O19*1000)</f>
        <v>126.25328568606071</v>
      </c>
      <c r="P97" s="29">
        <f>IF(TrRoad_act!P19=0,0,P33/TrRoad_act!P19*1000)</f>
        <v>126.87799023967698</v>
      </c>
      <c r="Q97" s="29">
        <f>IF(TrRoad_act!Q19=0,0,Q33/TrRoad_act!Q19*1000)</f>
        <v>125.3682658370119</v>
      </c>
      <c r="R97" s="29">
        <f>IF(TrRoad_act!R19=0,0,R33/TrRoad_act!R19*1000)</f>
        <v>129.67163889572493</v>
      </c>
      <c r="S97" s="29">
        <f>IF(TrRoad_act!S19=0,0,S33/TrRoad_act!S19*1000)</f>
        <v>133.71917994842846</v>
      </c>
      <c r="T97" s="29">
        <f>IF(TrRoad_act!T19=0,0,T33/TrRoad_act!T19*1000)</f>
        <v>131.17376111799462</v>
      </c>
      <c r="U97" s="29">
        <f>IF(TrRoad_act!U19=0,0,U33/TrRoad_act!U19*1000)</f>
        <v>121.47408980679344</v>
      </c>
      <c r="V97" s="29">
        <f>IF(TrRoad_act!V19=0,0,V33/TrRoad_act!V19*1000)</f>
        <v>108.86351593186255</v>
      </c>
      <c r="W97" s="29">
        <f>IF(TrRoad_act!W19=0,0,W33/TrRoad_act!W19*1000)</f>
        <v>118.86195320760359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1069.5392968278954</v>
      </c>
      <c r="C98" s="152">
        <f>IF(TrRoad_act!C20=0,0,C34/TrRoad_act!C20*1000)</f>
        <v>1065.2550993515536</v>
      </c>
      <c r="D98" s="152">
        <f>IF(TrRoad_act!D20=0,0,D34/TrRoad_act!D20*1000)</f>
        <v>1024.2728908742711</v>
      </c>
      <c r="E98" s="152">
        <f>IF(TrRoad_act!E20=0,0,E34/TrRoad_act!E20*1000)</f>
        <v>991.20200721767606</v>
      </c>
      <c r="F98" s="152">
        <f>IF(TrRoad_act!F20=0,0,F34/TrRoad_act!F20*1000)</f>
        <v>938.74929415745544</v>
      </c>
      <c r="G98" s="152">
        <f>IF(TrRoad_act!G20=0,0,G34/TrRoad_act!G20*1000)</f>
        <v>888.15853402949654</v>
      </c>
      <c r="H98" s="152">
        <f>IF(TrRoad_act!H20=0,0,H34/TrRoad_act!H20*1000)</f>
        <v>873.17727662805123</v>
      </c>
      <c r="I98" s="152">
        <f>IF(TrRoad_act!I20=0,0,I34/TrRoad_act!I20*1000)</f>
        <v>821.04422302350724</v>
      </c>
      <c r="J98" s="152">
        <f>IF(TrRoad_act!J20=0,0,J34/TrRoad_act!J20*1000)</f>
        <v>789.49365898673557</v>
      </c>
      <c r="K98" s="152">
        <f>IF(TrRoad_act!K20=0,0,K34/TrRoad_act!K20*1000)</f>
        <v>741.38433656129337</v>
      </c>
      <c r="L98" s="152">
        <f>IF(TrRoad_act!L20=0,0,L34/TrRoad_act!L20*1000)</f>
        <v>723.94541828070362</v>
      </c>
      <c r="M98" s="152">
        <f>IF(TrRoad_act!M20=0,0,M34/TrRoad_act!M20*1000)</f>
        <v>711.46255483148525</v>
      </c>
      <c r="N98" s="152">
        <f>IF(TrRoad_act!N20=0,0,N34/TrRoad_act!N20*1000)</f>
        <v>692.22067427103377</v>
      </c>
      <c r="O98" s="152">
        <f>IF(TrRoad_act!O20=0,0,O34/TrRoad_act!O20*1000)</f>
        <v>735.86506336326158</v>
      </c>
      <c r="P98" s="152">
        <f>IF(TrRoad_act!P20=0,0,P34/TrRoad_act!P20*1000)</f>
        <v>721.16255068854923</v>
      </c>
      <c r="Q98" s="152">
        <f>IF(TrRoad_act!Q20=0,0,Q34/TrRoad_act!Q20*1000)</f>
        <v>708.91069916818412</v>
      </c>
      <c r="R98" s="152">
        <f>IF(TrRoad_act!R20=0,0,R34/TrRoad_act!R20*1000)</f>
        <v>698.09306305131213</v>
      </c>
      <c r="S98" s="152">
        <f>IF(TrRoad_act!S20=0,0,S34/TrRoad_act!S20*1000)</f>
        <v>696.45846006782824</v>
      </c>
      <c r="T98" s="152">
        <f>IF(TrRoad_act!T20=0,0,T34/TrRoad_act!T20*1000)</f>
        <v>678.42182296509168</v>
      </c>
      <c r="U98" s="152">
        <f>IF(TrRoad_act!U20=0,0,U34/TrRoad_act!U20*1000)</f>
        <v>675.78233845558293</v>
      </c>
      <c r="V98" s="152">
        <f>IF(TrRoad_act!V20=0,0,V34/TrRoad_act!V20*1000)</f>
        <v>653.94358377855053</v>
      </c>
      <c r="W98" s="152">
        <f>IF(TrRoad_act!W20=0,0,W34/TrRoad_act!W20*1000)</f>
        <v>670.82889357793874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1128.3911727519549</v>
      </c>
      <c r="C99" s="87">
        <f>IF(TrRoad_act!C21=0,0,C35/TrRoad_act!C21*1000)</f>
        <v>1160.2889830851013</v>
      </c>
      <c r="D99" s="87">
        <f>IF(TrRoad_act!D21=0,0,D35/TrRoad_act!D21*1000)</f>
        <v>1148.2057522880239</v>
      </c>
      <c r="E99" s="87">
        <f>IF(TrRoad_act!E21=0,0,E35/TrRoad_act!E21*1000)</f>
        <v>1154.5118357902832</v>
      </c>
      <c r="F99" s="87">
        <f>IF(TrRoad_act!F21=0,0,F35/TrRoad_act!F21*1000)</f>
        <v>1150.3536074976835</v>
      </c>
      <c r="G99" s="87">
        <f>IF(TrRoad_act!G21=0,0,G35/TrRoad_act!G21*1000)</f>
        <v>1117.6146240459564</v>
      </c>
      <c r="H99" s="87">
        <f>IF(TrRoad_act!H21=0,0,H35/TrRoad_act!H21*1000)</f>
        <v>1122.378352703146</v>
      </c>
      <c r="I99" s="87">
        <f>IF(TrRoad_act!I21=0,0,I35/TrRoad_act!I21*1000)</f>
        <v>1113.878709715136</v>
      </c>
      <c r="J99" s="87">
        <f>IF(TrRoad_act!J21=0,0,J35/TrRoad_act!J21*1000)</f>
        <v>1106.3894750429477</v>
      </c>
      <c r="K99" s="87">
        <f>IF(TrRoad_act!K21=0,0,K35/TrRoad_act!K21*1000)</f>
        <v>1092.5396802205926</v>
      </c>
      <c r="L99" s="87">
        <f>IF(TrRoad_act!L21=0,0,L35/TrRoad_act!L21*1000)</f>
        <v>1078.8517378366312</v>
      </c>
      <c r="M99" s="87">
        <f>IF(TrRoad_act!M21=0,0,M35/TrRoad_act!M21*1000)</f>
        <v>1060.0257142595058</v>
      </c>
      <c r="N99" s="87">
        <f>IF(TrRoad_act!N21=0,0,N35/TrRoad_act!N21*1000)</f>
        <v>991.17004783889195</v>
      </c>
      <c r="O99" s="87">
        <f>IF(TrRoad_act!O21=0,0,O35/TrRoad_act!O21*1000)</f>
        <v>950.74027568863403</v>
      </c>
      <c r="P99" s="87">
        <f>IF(TrRoad_act!P21=0,0,P35/TrRoad_act!P21*1000)</f>
        <v>897.22821284230918</v>
      </c>
      <c r="Q99" s="87">
        <f>IF(TrRoad_act!Q21=0,0,Q35/TrRoad_act!Q21*1000)</f>
        <v>876.885495568995</v>
      </c>
      <c r="R99" s="87">
        <f>IF(TrRoad_act!R21=0,0,R35/TrRoad_act!R21*1000)</f>
        <v>846.94244682800229</v>
      </c>
      <c r="S99" s="87">
        <f>IF(TrRoad_act!S21=0,0,S35/TrRoad_act!S21*1000)</f>
        <v>798.99394309503487</v>
      </c>
      <c r="T99" s="87">
        <f>IF(TrRoad_act!T21=0,0,T35/TrRoad_act!T21*1000)</f>
        <v>759.08033247732465</v>
      </c>
      <c r="U99" s="87">
        <f>IF(TrRoad_act!U21=0,0,U35/TrRoad_act!U21*1000)</f>
        <v>748.1024298641745</v>
      </c>
      <c r="V99" s="87">
        <f>IF(TrRoad_act!V21=0,0,V35/TrRoad_act!V21*1000)</f>
        <v>710.44599255131823</v>
      </c>
      <c r="W99" s="87">
        <f>IF(TrRoad_act!W21=0,0,W35/TrRoad_act!W21*1000)</f>
        <v>725.98170896689135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1064.8526197034105</v>
      </c>
      <c r="C100" s="87">
        <f>IF(TrRoad_act!C22=0,0,C36/TrRoad_act!C22*1000)</f>
        <v>1058.5804914712198</v>
      </c>
      <c r="D100" s="87">
        <f>IF(TrRoad_act!D22=0,0,D36/TrRoad_act!D22*1000)</f>
        <v>1017.6360845628665</v>
      </c>
      <c r="E100" s="87">
        <f>IF(TrRoad_act!E22=0,0,E36/TrRoad_act!E22*1000)</f>
        <v>984.15771195796106</v>
      </c>
      <c r="F100" s="87">
        <f>IF(TrRoad_act!F22=0,0,F36/TrRoad_act!F22*1000)</f>
        <v>931.50906492350691</v>
      </c>
      <c r="G100" s="87">
        <f>IF(TrRoad_act!G22=0,0,G36/TrRoad_act!G22*1000)</f>
        <v>881.88931226549857</v>
      </c>
      <c r="H100" s="87">
        <f>IF(TrRoad_act!H22=0,0,H36/TrRoad_act!H22*1000)</f>
        <v>867.64093358413425</v>
      </c>
      <c r="I100" s="87">
        <f>IF(TrRoad_act!I22=0,0,I36/TrRoad_act!I22*1000)</f>
        <v>816.05109051598777</v>
      </c>
      <c r="J100" s="87">
        <f>IF(TrRoad_act!J22=0,0,J36/TrRoad_act!J22*1000)</f>
        <v>784.73934235772685</v>
      </c>
      <c r="K100" s="87">
        <f>IF(TrRoad_act!K22=0,0,K36/TrRoad_act!K22*1000)</f>
        <v>736.13044309974191</v>
      </c>
      <c r="L100" s="87">
        <f>IF(TrRoad_act!L22=0,0,L36/TrRoad_act!L22*1000)</f>
        <v>718.92205814691306</v>
      </c>
      <c r="M100" s="87">
        <f>IF(TrRoad_act!M22=0,0,M36/TrRoad_act!M22*1000)</f>
        <v>706.3329389210146</v>
      </c>
      <c r="N100" s="87">
        <f>IF(TrRoad_act!N22=0,0,N36/TrRoad_act!N22*1000)</f>
        <v>687.32407164855488</v>
      </c>
      <c r="O100" s="87">
        <f>IF(TrRoad_act!O22=0,0,O36/TrRoad_act!O22*1000)</f>
        <v>732.22508770250863</v>
      </c>
      <c r="P100" s="87">
        <f>IF(TrRoad_act!P22=0,0,P36/TrRoad_act!P22*1000)</f>
        <v>719.1178169907306</v>
      </c>
      <c r="Q100" s="87">
        <f>IF(TrRoad_act!Q22=0,0,Q36/TrRoad_act!Q22*1000)</f>
        <v>707.08006119102663</v>
      </c>
      <c r="R100" s="87">
        <f>IF(TrRoad_act!R22=0,0,R36/TrRoad_act!R22*1000)</f>
        <v>696.54257605643579</v>
      </c>
      <c r="S100" s="87">
        <f>IF(TrRoad_act!S22=0,0,S36/TrRoad_act!S22*1000)</f>
        <v>695.46590455070054</v>
      </c>
      <c r="T100" s="87">
        <f>IF(TrRoad_act!T22=0,0,T36/TrRoad_act!T22*1000)</f>
        <v>678.04741594252039</v>
      </c>
      <c r="U100" s="87">
        <f>IF(TrRoad_act!U22=0,0,U36/TrRoad_act!U22*1000)</f>
        <v>675.98524832528756</v>
      </c>
      <c r="V100" s="87">
        <f>IF(TrRoad_act!V22=0,0,V36/TrRoad_act!V22*1000)</f>
        <v>654.69113917762115</v>
      </c>
      <c r="W100" s="87">
        <f>IF(TrRoad_act!W22=0,0,W36/TrRoad_act!W22*1000)</f>
        <v>671.87769073442519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1068.4909134646582</v>
      </c>
      <c r="P101" s="87">
        <f>IF(TrRoad_act!P23=0,0,P37/TrRoad_act!P23*1000)</f>
        <v>722.15317708022667</v>
      </c>
      <c r="Q101" s="87">
        <f>IF(TrRoad_act!Q23=0,0,Q37/TrRoad_act!Q23*1000)</f>
        <v>782.90028198923608</v>
      </c>
      <c r="R101" s="87">
        <f>IF(TrRoad_act!R23=0,0,R37/TrRoad_act!R23*1000)</f>
        <v>1053.2127716391076</v>
      </c>
      <c r="S101" s="87">
        <f>IF(TrRoad_act!S23=0,0,S37/TrRoad_act!S23*1000)</f>
        <v>944.12852567609366</v>
      </c>
      <c r="T101" s="87">
        <f>IF(TrRoad_act!T23=0,0,T37/TrRoad_act!T23*1000)</f>
        <v>789.2931131923765</v>
      </c>
      <c r="U101" s="87">
        <f>IF(TrRoad_act!U23=0,0,U37/TrRoad_act!U23*1000)</f>
        <v>652.22789458045236</v>
      </c>
      <c r="V101" s="87">
        <f>IF(TrRoad_act!V23=0,0,V37/TrRoad_act!V23*1000)</f>
        <v>638.40390322251778</v>
      </c>
      <c r="W101" s="87">
        <f>IF(TrRoad_act!W23=0,0,W37/TrRoad_act!W23*1000)</f>
        <v>653.2683470901851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1087.1080767167505</v>
      </c>
      <c r="O102" s="87">
        <f>IF(TrRoad_act!O24=0,0,O38/TrRoad_act!O24*1000)</f>
        <v>1126.4432602417114</v>
      </c>
      <c r="P102" s="87">
        <f>IF(TrRoad_act!P24=0,0,P38/TrRoad_act!P24*1000)</f>
        <v>894.27579920393669</v>
      </c>
      <c r="Q102" s="87">
        <f>IF(TrRoad_act!Q24=0,0,Q38/TrRoad_act!Q24*1000)</f>
        <v>910.95161220706825</v>
      </c>
      <c r="R102" s="87">
        <f>IF(TrRoad_act!R24=0,0,R38/TrRoad_act!R24*1000)</f>
        <v>813.65627572735991</v>
      </c>
      <c r="S102" s="87">
        <f>IF(TrRoad_act!S24=0,0,S38/TrRoad_act!S24*1000)</f>
        <v>773.2555875406448</v>
      </c>
      <c r="T102" s="87">
        <f>IF(TrRoad_act!T24=0,0,T38/TrRoad_act!T24*1000)</f>
        <v>656.02875976725954</v>
      </c>
      <c r="U102" s="87">
        <f>IF(TrRoad_act!U24=0,0,U38/TrRoad_act!U24*1000)</f>
        <v>643.523075799921</v>
      </c>
      <c r="V102" s="87">
        <f>IF(TrRoad_act!V24=0,0,V38/TrRoad_act!V24*1000)</f>
        <v>660.4527282272486</v>
      </c>
      <c r="W102" s="87">
        <f>IF(TrRoad_act!W24=0,0,W38/TrRoad_act!W24*1000)</f>
        <v>704.43850606659828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142.57777841609862</v>
      </c>
      <c r="C104" s="116">
        <f>IF(TrRoad_act!C26=0,0,C40/TrRoad_act!C26*1000)</f>
        <v>140.8894168224497</v>
      </c>
      <c r="D104" s="116">
        <f>IF(TrRoad_act!D26=0,0,D40/TrRoad_act!D26*1000)</f>
        <v>132.86823709646177</v>
      </c>
      <c r="E104" s="116">
        <f>IF(TrRoad_act!E26=0,0,E40/TrRoad_act!E26*1000)</f>
        <v>132.97030680726974</v>
      </c>
      <c r="F104" s="116">
        <f>IF(TrRoad_act!F26=0,0,F40/TrRoad_act!F26*1000)</f>
        <v>126.62204542758509</v>
      </c>
      <c r="G104" s="116">
        <f>IF(TrRoad_act!G26=0,0,G40/TrRoad_act!G26*1000)</f>
        <v>124.02032928528405</v>
      </c>
      <c r="H104" s="116">
        <f>IF(TrRoad_act!H26=0,0,H40/TrRoad_act!H26*1000)</f>
        <v>120.93281176879682</v>
      </c>
      <c r="I104" s="116">
        <f>IF(TrRoad_act!I26=0,0,I40/TrRoad_act!I26*1000)</f>
        <v>114.50469244794762</v>
      </c>
      <c r="J104" s="116">
        <f>IF(TrRoad_act!J26=0,0,J40/TrRoad_act!J26*1000)</f>
        <v>114.36310098768</v>
      </c>
      <c r="K104" s="116">
        <f>IF(TrRoad_act!K26=0,0,K40/TrRoad_act!K26*1000)</f>
        <v>112.12856906610409</v>
      </c>
      <c r="L104" s="116">
        <f>IF(TrRoad_act!L26=0,0,L40/TrRoad_act!L26*1000)</f>
        <v>109.51321127914375</v>
      </c>
      <c r="M104" s="116">
        <f>IF(TrRoad_act!M26=0,0,M40/TrRoad_act!M26*1000)</f>
        <v>102.63509188206035</v>
      </c>
      <c r="N104" s="116">
        <f>IF(TrRoad_act!N26=0,0,N40/TrRoad_act!N26*1000)</f>
        <v>89.663709420856421</v>
      </c>
      <c r="O104" s="116">
        <f>IF(TrRoad_act!O26=0,0,O40/TrRoad_act!O26*1000)</f>
        <v>93.840482614358493</v>
      </c>
      <c r="P104" s="116">
        <f>IF(TrRoad_act!P26=0,0,P40/TrRoad_act!P26*1000)</f>
        <v>95.757775360981896</v>
      </c>
      <c r="Q104" s="116">
        <f>IF(TrRoad_act!Q26=0,0,Q40/TrRoad_act!Q26*1000)</f>
        <v>95.18400831455908</v>
      </c>
      <c r="R104" s="116">
        <f>IF(TrRoad_act!R26=0,0,R40/TrRoad_act!R26*1000)</f>
        <v>102.55194080809628</v>
      </c>
      <c r="S104" s="116">
        <f>IF(TrRoad_act!S26=0,0,S40/TrRoad_act!S26*1000)</f>
        <v>106.68760933783358</v>
      </c>
      <c r="T104" s="116">
        <f>IF(TrRoad_act!T26=0,0,T40/TrRoad_act!T26*1000)</f>
        <v>105.01501642807669</v>
      </c>
      <c r="U104" s="116">
        <f>IF(TrRoad_act!U26=0,0,U40/TrRoad_act!U26*1000)</f>
        <v>95.864724318780304</v>
      </c>
      <c r="V104" s="116">
        <f>IF(TrRoad_act!V26=0,0,V40/TrRoad_act!V26*1000)</f>
        <v>91.315515433879597</v>
      </c>
      <c r="W104" s="116">
        <f>IF(TrRoad_act!W26=0,0,W40/TrRoad_act!W26*1000)</f>
        <v>96.00111126153638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149.70638506389693</v>
      </c>
      <c r="C105" s="101">
        <f>IF(TrRoad_act!C27=0,0,C41/TrRoad_act!C27*1000)</f>
        <v>148.67395872321154</v>
      </c>
      <c r="D105" s="101">
        <f>IF(TrRoad_act!D27=0,0,D41/TrRoad_act!D27*1000)</f>
        <v>140.18964117669688</v>
      </c>
      <c r="E105" s="101">
        <f>IF(TrRoad_act!E27=0,0,E41/TrRoad_act!E27*1000)</f>
        <v>139.85185878915303</v>
      </c>
      <c r="F105" s="101">
        <f>IF(TrRoad_act!F27=0,0,F41/TrRoad_act!F27*1000)</f>
        <v>133.10063260949093</v>
      </c>
      <c r="G105" s="101">
        <f>IF(TrRoad_act!G27=0,0,G41/TrRoad_act!G27*1000)</f>
        <v>130.10151408290551</v>
      </c>
      <c r="H105" s="101">
        <f>IF(TrRoad_act!H27=0,0,H41/TrRoad_act!H27*1000)</f>
        <v>126.91564246002953</v>
      </c>
      <c r="I105" s="101">
        <f>IF(TrRoad_act!I27=0,0,I41/TrRoad_act!I27*1000)</f>
        <v>119.68353638566127</v>
      </c>
      <c r="J105" s="101">
        <f>IF(TrRoad_act!J27=0,0,J41/TrRoad_act!J27*1000)</f>
        <v>119.09441119167408</v>
      </c>
      <c r="K105" s="101">
        <f>IF(TrRoad_act!K27=0,0,K41/TrRoad_act!K27*1000)</f>
        <v>117.11088123428469</v>
      </c>
      <c r="L105" s="101">
        <f>IF(TrRoad_act!L27=0,0,L41/TrRoad_act!L27*1000)</f>
        <v>114.71952047414823</v>
      </c>
      <c r="M105" s="101">
        <f>IF(TrRoad_act!M27=0,0,M41/TrRoad_act!M27*1000)</f>
        <v>107.33810942535587</v>
      </c>
      <c r="N105" s="101">
        <f>IF(TrRoad_act!N27=0,0,N41/TrRoad_act!N27*1000)</f>
        <v>93.776643700377917</v>
      </c>
      <c r="O105" s="101">
        <f>IF(TrRoad_act!O27=0,0,O41/TrRoad_act!O27*1000)</f>
        <v>98.067367822308412</v>
      </c>
      <c r="P105" s="101">
        <f>IF(TrRoad_act!P27=0,0,P41/TrRoad_act!P27*1000)</f>
        <v>100.34528042191562</v>
      </c>
      <c r="Q105" s="101">
        <f>IF(TrRoad_act!Q27=0,0,Q41/TrRoad_act!Q27*1000)</f>
        <v>99.287897896189051</v>
      </c>
      <c r="R105" s="101">
        <f>IF(TrRoad_act!R27=0,0,R41/TrRoad_act!R27*1000)</f>
        <v>106.41975932396177</v>
      </c>
      <c r="S105" s="101">
        <f>IF(TrRoad_act!S27=0,0,S41/TrRoad_act!S27*1000)</f>
        <v>110.30894804986315</v>
      </c>
      <c r="T105" s="101">
        <f>IF(TrRoad_act!T27=0,0,T41/TrRoad_act!T27*1000)</f>
        <v>108.39625124684557</v>
      </c>
      <c r="U105" s="101">
        <f>IF(TrRoad_act!U27=0,0,U41/TrRoad_act!U27*1000)</f>
        <v>98.579251388274514</v>
      </c>
      <c r="V105" s="101">
        <f>IF(TrRoad_act!V27=0,0,V41/TrRoad_act!V27*1000)</f>
        <v>93.221140709103821</v>
      </c>
      <c r="W105" s="101">
        <f>IF(TrRoad_act!W27=0,0,W41/TrRoad_act!W27*1000)</f>
        <v>97.713408123261161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118.76078497455099</v>
      </c>
      <c r="C106" s="88">
        <f>IF(TrRoad_act!C28=0,0,C42/TrRoad_act!C28*1000)</f>
        <v>115.00472120828847</v>
      </c>
      <c r="D106" s="88">
        <f>IF(TrRoad_act!D28=0,0,D42/TrRoad_act!D28*1000)</f>
        <v>106.75284461440138</v>
      </c>
      <c r="E106" s="88">
        <f>IF(TrRoad_act!E28=0,0,E42/TrRoad_act!E28*1000)</f>
        <v>107.1527610524909</v>
      </c>
      <c r="F106" s="88">
        <f>IF(TrRoad_act!F28=0,0,F42/TrRoad_act!F28*1000)</f>
        <v>103.16924006395875</v>
      </c>
      <c r="G106" s="88">
        <f>IF(TrRoad_act!G28=0,0,G42/TrRoad_act!G28*1000)</f>
        <v>101.19818990502935</v>
      </c>
      <c r="H106" s="88">
        <f>IF(TrRoad_act!H28=0,0,H42/TrRoad_act!H28*1000)</f>
        <v>97.99691883558782</v>
      </c>
      <c r="I106" s="88">
        <f>IF(TrRoad_act!I28=0,0,I42/TrRoad_act!I28*1000)</f>
        <v>93.346378832383181</v>
      </c>
      <c r="J106" s="88">
        <f>IF(TrRoad_act!J28=0,0,J42/TrRoad_act!J28*1000)</f>
        <v>94.692175943064868</v>
      </c>
      <c r="K106" s="88">
        <f>IF(TrRoad_act!K28=0,0,K42/TrRoad_act!K28*1000)</f>
        <v>92.516006651575822</v>
      </c>
      <c r="L106" s="88">
        <f>IF(TrRoad_act!L28=0,0,L42/TrRoad_act!L28*1000)</f>
        <v>89.592218405819125</v>
      </c>
      <c r="M106" s="88">
        <f>IF(TrRoad_act!M28=0,0,M42/TrRoad_act!M28*1000)</f>
        <v>84.807479244088768</v>
      </c>
      <c r="N106" s="88">
        <f>IF(TrRoad_act!N28=0,0,N42/TrRoad_act!N28*1000)</f>
        <v>74.594749587094</v>
      </c>
      <c r="O106" s="88">
        <f>IF(TrRoad_act!O28=0,0,O42/TrRoad_act!O28*1000)</f>
        <v>80.118077995608175</v>
      </c>
      <c r="P106" s="88">
        <f>IF(TrRoad_act!P28=0,0,P42/TrRoad_act!P28*1000)</f>
        <v>80.665253474969504</v>
      </c>
      <c r="Q106" s="88">
        <f>IF(TrRoad_act!Q28=0,0,Q42/TrRoad_act!Q28*1000)</f>
        <v>81.366195119157197</v>
      </c>
      <c r="R106" s="88">
        <f>IF(TrRoad_act!R28=0,0,R42/TrRoad_act!R28*1000)</f>
        <v>89.109531422356071</v>
      </c>
      <c r="S106" s="88">
        <f>IF(TrRoad_act!S28=0,0,S42/TrRoad_act!S28*1000)</f>
        <v>93.749854993359051</v>
      </c>
      <c r="T106" s="88">
        <f>IF(TrRoad_act!T28=0,0,T42/TrRoad_act!T28*1000)</f>
        <v>93.145868128355431</v>
      </c>
      <c r="U106" s="88">
        <f>IF(TrRoad_act!U28=0,0,U42/TrRoad_act!U28*1000)</f>
        <v>86.240465613795081</v>
      </c>
      <c r="V106" s="88">
        <f>IF(TrRoad_act!V28=0,0,V42/TrRoad_act!V28*1000)</f>
        <v>84.189414675403668</v>
      </c>
      <c r="W106" s="88">
        <f>IF(TrRoad_act!W28=0,0,W42/TrRoad_act!W28*1000)</f>
        <v>89.575164465471417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336.93529553621818</v>
      </c>
      <c r="C110" s="152">
        <f>IF(C19=0,0,1000000*C19/TrRoad_act!C59)</f>
        <v>350.92365197792896</v>
      </c>
      <c r="D110" s="152">
        <f>IF(D19=0,0,1000000*D19/TrRoad_act!D59)</f>
        <v>293.98858424862055</v>
      </c>
      <c r="E110" s="152">
        <f>IF(E19=0,0,1000000*E19/TrRoad_act!E59)</f>
        <v>320.86853901597635</v>
      </c>
      <c r="F110" s="152">
        <f>IF(F19=0,0,1000000*F19/TrRoad_act!F59)</f>
        <v>294.62510536670123</v>
      </c>
      <c r="G110" s="152">
        <f>IF(G19=0,0,1000000*G19/TrRoad_act!G59)</f>
        <v>313.13622245035151</v>
      </c>
      <c r="H110" s="152">
        <f>IF(H19=0,0,1000000*H19/TrRoad_act!H59)</f>
        <v>297.27290735036763</v>
      </c>
      <c r="I110" s="152">
        <f>IF(I19=0,0,1000000*I19/TrRoad_act!I59)</f>
        <v>311.53712866559351</v>
      </c>
      <c r="J110" s="152">
        <f>IF(J19=0,0,1000000*J19/TrRoad_act!J59)</f>
        <v>301.33864910466366</v>
      </c>
      <c r="K110" s="152">
        <f>IF(K19=0,0,1000000*K19/TrRoad_act!K59)</f>
        <v>304.69670409289563</v>
      </c>
      <c r="L110" s="152">
        <f>IF(L19=0,0,1000000*L19/TrRoad_act!L59)</f>
        <v>301.15361233980116</v>
      </c>
      <c r="M110" s="152">
        <f>IF(M19=0,0,1000000*M19/TrRoad_act!M59)</f>
        <v>273.83216953319987</v>
      </c>
      <c r="N110" s="152">
        <f>IF(N19=0,0,1000000*N19/TrRoad_act!N59)</f>
        <v>259.2888174222457</v>
      </c>
      <c r="O110" s="152">
        <f>IF(O19=0,0,1000000*O19/TrRoad_act!O59)</f>
        <v>258.59688198186888</v>
      </c>
      <c r="P110" s="152">
        <f>IF(P19=0,0,1000000*P19/TrRoad_act!P59)</f>
        <v>283.92897991576461</v>
      </c>
      <c r="Q110" s="152">
        <f>IF(Q19=0,0,1000000*Q19/TrRoad_act!Q59)</f>
        <v>299.72312843570546</v>
      </c>
      <c r="R110" s="152">
        <f>IF(R19=0,0,1000000*R19/TrRoad_act!R59)</f>
        <v>307.62629238477291</v>
      </c>
      <c r="S110" s="152">
        <f>IF(S19=0,0,1000000*S19/TrRoad_act!S59)</f>
        <v>286.16917732113814</v>
      </c>
      <c r="T110" s="152">
        <f>IF(T19=0,0,1000000*T19/TrRoad_act!T59)</f>
        <v>265.37862565069611</v>
      </c>
      <c r="U110" s="152">
        <f>IF(U19=0,0,1000000*U19/TrRoad_act!U59)</f>
        <v>274.77368996391647</v>
      </c>
      <c r="V110" s="152">
        <f>IF(V19=0,0,1000000*V19/TrRoad_act!V59)</f>
        <v>229.35241560905206</v>
      </c>
      <c r="W110" s="152">
        <f>IF(W19=0,0,1000000*W19/TrRoad_act!W59)</f>
        <v>228.97268150183973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2678.5599430684224</v>
      </c>
      <c r="C111" s="116">
        <f>IF(C20=0,0,1000000*C20/TrRoad_act!C60)</f>
        <v>2650.2733039591867</v>
      </c>
      <c r="D111" s="116">
        <f>IF(D20=0,0,1000000*D20/TrRoad_act!D60)</f>
        <v>2684.615412848686</v>
      </c>
      <c r="E111" s="116">
        <f>IF(E20=0,0,1000000*E20/TrRoad_act!E60)</f>
        <v>2812.4446390074445</v>
      </c>
      <c r="F111" s="116">
        <f>IF(F20=0,0,1000000*F20/TrRoad_act!F60)</f>
        <v>2771.154939301081</v>
      </c>
      <c r="G111" s="116">
        <f>IF(G20=0,0,1000000*G20/TrRoad_act!G60)</f>
        <v>2801.9743641464456</v>
      </c>
      <c r="H111" s="116">
        <f>IF(H20=0,0,1000000*H20/TrRoad_act!H60)</f>
        <v>2798.9567462000373</v>
      </c>
      <c r="I111" s="116">
        <f>IF(I20=0,0,1000000*I20/TrRoad_act!I60)</f>
        <v>2765.4853140966829</v>
      </c>
      <c r="J111" s="116">
        <f>IF(J20=0,0,1000000*J20/TrRoad_act!J60)</f>
        <v>2627.8636829207639</v>
      </c>
      <c r="K111" s="116">
        <f>IF(K20=0,0,1000000*K20/TrRoad_act!K60)</f>
        <v>2576.5395660585118</v>
      </c>
      <c r="L111" s="116">
        <f>IF(L20=0,0,1000000*L20/TrRoad_act!L60)</f>
        <v>2457.7084347044706</v>
      </c>
      <c r="M111" s="116">
        <f>IF(M20=0,0,1000000*M20/TrRoad_act!M60)</f>
        <v>2331.2057267246014</v>
      </c>
      <c r="N111" s="116">
        <f>IF(N20=0,0,1000000*N20/TrRoad_act!N60)</f>
        <v>2125.677388846314</v>
      </c>
      <c r="O111" s="116">
        <f>IF(O20=0,0,1000000*O20/TrRoad_act!O60)</f>
        <v>2225.1603884169358</v>
      </c>
      <c r="P111" s="116">
        <f>IF(P20=0,0,1000000*P20/TrRoad_act!P60)</f>
        <v>2244.2016409110029</v>
      </c>
      <c r="Q111" s="116">
        <f>IF(Q20=0,0,1000000*Q20/TrRoad_act!Q60)</f>
        <v>2257.547993189004</v>
      </c>
      <c r="R111" s="116">
        <f>IF(R20=0,0,1000000*R20/TrRoad_act!R60)</f>
        <v>2215.1922299591211</v>
      </c>
      <c r="S111" s="116">
        <f>IF(S20=0,0,1000000*S20/TrRoad_act!S60)</f>
        <v>2165.6723289423189</v>
      </c>
      <c r="T111" s="116">
        <f>IF(T20=0,0,1000000*T20/TrRoad_act!T60)</f>
        <v>2136.9213180820525</v>
      </c>
      <c r="U111" s="116">
        <f>IF(U20=0,0,1000000*U20/TrRoad_act!U60)</f>
        <v>2160.5367418857873</v>
      </c>
      <c r="V111" s="116">
        <f>IF(V20=0,0,1000000*V20/TrRoad_act!V60)</f>
        <v>1727.4870332695803</v>
      </c>
      <c r="W111" s="116">
        <f>IF(W20=0,0,1000000*W20/TrRoad_act!W60)</f>
        <v>1901.770038759423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1914.5318099057022</v>
      </c>
      <c r="C112" s="87">
        <f>IF(C21=0,0,1000000*C21/TrRoad_act!C61)</f>
        <v>1889.0144880299522</v>
      </c>
      <c r="D112" s="87">
        <f>IF(D21=0,0,1000000*D21/TrRoad_act!D61)</f>
        <v>1830.1076159711004</v>
      </c>
      <c r="E112" s="87">
        <f>IF(E21=0,0,1000000*E21/TrRoad_act!E61)</f>
        <v>1867.2574080049108</v>
      </c>
      <c r="F112" s="87">
        <f>IF(F21=0,0,1000000*F21/TrRoad_act!F61)</f>
        <v>1795.8296193345968</v>
      </c>
      <c r="G112" s="87">
        <f>IF(G21=0,0,1000000*G21/TrRoad_act!G61)</f>
        <v>1748.0813361768439</v>
      </c>
      <c r="H112" s="87">
        <f>IF(H21=0,0,1000000*H21/TrRoad_act!H61)</f>
        <v>1688.9454378722271</v>
      </c>
      <c r="I112" s="87">
        <f>IF(I21=0,0,1000000*I21/TrRoad_act!I61)</f>
        <v>1631.4998616876612</v>
      </c>
      <c r="J112" s="87">
        <f>IF(J21=0,0,1000000*J21/TrRoad_act!J61)</f>
        <v>1514.7644598046165</v>
      </c>
      <c r="K112" s="87">
        <f>IF(K21=0,0,1000000*K21/TrRoad_act!K61)</f>
        <v>1469.2529930556391</v>
      </c>
      <c r="L112" s="87">
        <f>IF(L21=0,0,1000000*L21/TrRoad_act!L61)</f>
        <v>1370.8562102698129</v>
      </c>
      <c r="M112" s="87">
        <f>IF(M21=0,0,1000000*M21/TrRoad_act!M61)</f>
        <v>1296.2919985147373</v>
      </c>
      <c r="N112" s="87">
        <f>IF(N21=0,0,1000000*N21/TrRoad_act!N61)</f>
        <v>1185.0069365411998</v>
      </c>
      <c r="O112" s="87">
        <f>IF(O21=0,0,1000000*O21/TrRoad_act!O61)</f>
        <v>1196.6372305693731</v>
      </c>
      <c r="P112" s="87">
        <f>IF(P21=0,0,1000000*P21/TrRoad_act!P61)</f>
        <v>1198.0281867658796</v>
      </c>
      <c r="Q112" s="87">
        <f>IF(Q21=0,0,1000000*Q21/TrRoad_act!Q61)</f>
        <v>1198.0173784592025</v>
      </c>
      <c r="R112" s="87">
        <f>IF(R21=0,0,1000000*R21/TrRoad_act!R61)</f>
        <v>1237.3408874628369</v>
      </c>
      <c r="S112" s="87">
        <f>IF(S21=0,0,1000000*S21/TrRoad_act!S61)</f>
        <v>1241.291041571908</v>
      </c>
      <c r="T112" s="87">
        <f>IF(T21=0,0,1000000*T21/TrRoad_act!T61)</f>
        <v>1256.9618375351229</v>
      </c>
      <c r="U112" s="87">
        <f>IF(U21=0,0,1000000*U21/TrRoad_act!U61)</f>
        <v>1286.4270839398648</v>
      </c>
      <c r="V112" s="87">
        <f>IF(V21=0,0,1000000*V21/TrRoad_act!V61)</f>
        <v>995.00320452687288</v>
      </c>
      <c r="W112" s="87">
        <f>IF(W21=0,0,1000000*W21/TrRoad_act!W61)</f>
        <v>1222.1433634127984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4712.3615497317587</v>
      </c>
      <c r="C113" s="87">
        <f>IF(C22=0,0,1000000*C22/TrRoad_act!C62)</f>
        <v>4437.9826481844702</v>
      </c>
      <c r="D113" s="87">
        <f>IF(D22=0,0,1000000*D22/TrRoad_act!D62)</f>
        <v>4468.5486234063046</v>
      </c>
      <c r="E113" s="87">
        <f>IF(E22=0,0,1000000*E22/TrRoad_act!E62)</f>
        <v>4521.7724199249697</v>
      </c>
      <c r="F113" s="87">
        <f>IF(F22=0,0,1000000*F22/TrRoad_act!F62)</f>
        <v>4311.791818093564</v>
      </c>
      <c r="G113" s="87">
        <f>IF(G22=0,0,1000000*G22/TrRoad_act!G62)</f>
        <v>4276.3205379995152</v>
      </c>
      <c r="H113" s="87">
        <f>IF(H22=0,0,1000000*H22/TrRoad_act!H62)</f>
        <v>4170.411594473383</v>
      </c>
      <c r="I113" s="87">
        <f>IF(I22=0,0,1000000*I22/TrRoad_act!I62)</f>
        <v>4028.6993219961705</v>
      </c>
      <c r="J113" s="87">
        <f>IF(J22=0,0,1000000*J22/TrRoad_act!J62)</f>
        <v>3796.6510107497256</v>
      </c>
      <c r="K113" s="87">
        <f>IF(K22=0,0,1000000*K22/TrRoad_act!K62)</f>
        <v>3665.2544427555717</v>
      </c>
      <c r="L113" s="87">
        <f>IF(L22=0,0,1000000*L22/TrRoad_act!L62)</f>
        <v>3468.9703423487085</v>
      </c>
      <c r="M113" s="87">
        <f>IF(M22=0,0,1000000*M22/TrRoad_act!M62)</f>
        <v>3255.552624137194</v>
      </c>
      <c r="N113" s="87">
        <f>IF(N22=0,0,1000000*N22/TrRoad_act!N62)</f>
        <v>2937.452845251124</v>
      </c>
      <c r="O113" s="87">
        <f>IF(O22=0,0,1000000*O22/TrRoad_act!O62)</f>
        <v>3072.4049957516991</v>
      </c>
      <c r="P113" s="87">
        <f>IF(P22=0,0,1000000*P22/TrRoad_act!P62)</f>
        <v>3066.4429187731939</v>
      </c>
      <c r="Q113" s="87">
        <f>IF(Q22=0,0,1000000*Q22/TrRoad_act!Q62)</f>
        <v>3065.1054717465163</v>
      </c>
      <c r="R113" s="87">
        <f>IF(R22=0,0,1000000*R22/TrRoad_act!R62)</f>
        <v>2947.3584421585088</v>
      </c>
      <c r="S113" s="87">
        <f>IF(S22=0,0,1000000*S22/TrRoad_act!S62)</f>
        <v>2859.5222585348683</v>
      </c>
      <c r="T113" s="87">
        <f>IF(T22=0,0,1000000*T22/TrRoad_act!T62)</f>
        <v>2819.3347910616467</v>
      </c>
      <c r="U113" s="87">
        <f>IF(U22=0,0,1000000*U22/TrRoad_act!U62)</f>
        <v>2865.3929943148819</v>
      </c>
      <c r="V113" s="87">
        <f>IF(V22=0,0,1000000*V22/TrRoad_act!V62)</f>
        <v>2335.6404440204465</v>
      </c>
      <c r="W113" s="87">
        <f>IF(W22=0,0,1000000*W22/TrRoad_act!W62)</f>
        <v>2490.5508418541281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12565.809235432807</v>
      </c>
      <c r="C114" s="87">
        <f>IF(C23=0,0,1000000*C23/TrRoad_act!C63)</f>
        <v>12072.660674157303</v>
      </c>
      <c r="D114" s="87">
        <f>IF(D23=0,0,1000000*D23/TrRoad_act!D63)</f>
        <v>11831.380278588338</v>
      </c>
      <c r="E114" s="87">
        <f>IF(E23=0,0,1000000*E23/TrRoad_act!E63)</f>
        <v>12691.423894112717</v>
      </c>
      <c r="F114" s="87">
        <f>IF(F23=0,0,1000000*F23/TrRoad_act!F63)</f>
        <v>13607.170574569076</v>
      </c>
      <c r="G114" s="87">
        <f>IF(G23=0,0,1000000*G23/TrRoad_act!G63)</f>
        <v>12311.701347511233</v>
      </c>
      <c r="H114" s="87">
        <f>IF(H23=0,0,1000000*H23/TrRoad_act!H63)</f>
        <v>12385.600105263156</v>
      </c>
      <c r="I114" s="87">
        <f>IF(I23=0,0,1000000*I23/TrRoad_act!I63)</f>
        <v>15015.130293044902</v>
      </c>
      <c r="J114" s="87">
        <f>IF(J23=0,0,1000000*J23/TrRoad_act!J63)</f>
        <v>6973.4527246585221</v>
      </c>
      <c r="K114" s="87">
        <f>IF(K23=0,0,1000000*K23/TrRoad_act!K63)</f>
        <v>6514.874422919509</v>
      </c>
      <c r="L114" s="87">
        <f>IF(L23=0,0,1000000*L23/TrRoad_act!L63)</f>
        <v>6534.6848628716289</v>
      </c>
      <c r="M114" s="87">
        <f>IF(M23=0,0,1000000*M23/TrRoad_act!M63)</f>
        <v>6480.953957191603</v>
      </c>
      <c r="N114" s="87">
        <f>IF(N23=0,0,1000000*N23/TrRoad_act!N63)</f>
        <v>5470.9781979695435</v>
      </c>
      <c r="O114" s="87">
        <f>IF(O23=0,0,1000000*O23/TrRoad_act!O63)</f>
        <v>6156.6819511333624</v>
      </c>
      <c r="P114" s="87">
        <f>IF(P23=0,0,1000000*P23/TrRoad_act!P63)</f>
        <v>5815.3509885086623</v>
      </c>
      <c r="Q114" s="87">
        <f>IF(Q23=0,0,1000000*Q23/TrRoad_act!Q63)</f>
        <v>6067.8740171025574</v>
      </c>
      <c r="R114" s="87">
        <f>IF(R23=0,0,1000000*R23/TrRoad_act!R63)</f>
        <v>6015.9382307627338</v>
      </c>
      <c r="S114" s="87">
        <f>IF(S23=0,0,1000000*S23/TrRoad_act!S63)</f>
        <v>5559.9202196509395</v>
      </c>
      <c r="T114" s="87">
        <f>IF(T23=0,0,1000000*T23/TrRoad_act!T63)</f>
        <v>3927.1014401664602</v>
      </c>
      <c r="U114" s="87">
        <f>IF(U23=0,0,1000000*U23/TrRoad_act!U63)</f>
        <v>4139.1595023994842</v>
      </c>
      <c r="V114" s="87">
        <f>IF(V23=0,0,1000000*V23/TrRoad_act!V63)</f>
        <v>3017.1977365837274</v>
      </c>
      <c r="W114" s="87">
        <f>IF(W23=0,0,1000000*W23/TrRoad_act!W63)</f>
        <v>3470.4618454349434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2068.5277519284787</v>
      </c>
      <c r="G115" s="87">
        <f>IF(G24=0,0,1000000*G24/TrRoad_act!G64)</f>
        <v>2060.9926477494541</v>
      </c>
      <c r="H115" s="87">
        <f>IF(H24=0,0,1000000*H24/TrRoad_act!H64)</f>
        <v>2001.5189831973507</v>
      </c>
      <c r="I115" s="87">
        <f>IF(I24=0,0,1000000*I24/TrRoad_act!I64)</f>
        <v>1970.2426199144229</v>
      </c>
      <c r="J115" s="87">
        <f>IF(J24=0,0,1000000*J24/TrRoad_act!J64)</f>
        <v>1920.1389071828376</v>
      </c>
      <c r="K115" s="87">
        <f>IF(K24=0,0,1000000*K24/TrRoad_act!K64)</f>
        <v>1929.7159417955484</v>
      </c>
      <c r="L115" s="87">
        <f>IF(L24=0,0,1000000*L24/TrRoad_act!L64)</f>
        <v>1836.6090409583944</v>
      </c>
      <c r="M115" s="87">
        <f>IF(M24=0,0,1000000*M24/TrRoad_act!M64)</f>
        <v>1808.5957075134997</v>
      </c>
      <c r="N115" s="87">
        <f>IF(N24=0,0,1000000*N24/TrRoad_act!N64)</f>
        <v>1650.8771932356522</v>
      </c>
      <c r="O115" s="87">
        <f>IF(O24=0,0,1000000*O24/TrRoad_act!O64)</f>
        <v>1688.2189571985334</v>
      </c>
      <c r="P115" s="87">
        <f>IF(P24=0,0,1000000*P24/TrRoad_act!P64)</f>
        <v>1779.518926838264</v>
      </c>
      <c r="Q115" s="87">
        <f>IF(Q24=0,0,1000000*Q24/TrRoad_act!Q64)</f>
        <v>1906.4075114806994</v>
      </c>
      <c r="R115" s="87">
        <f>IF(R24=0,0,1000000*R24/TrRoad_act!R64)</f>
        <v>1848.8552383157028</v>
      </c>
      <c r="S115" s="87">
        <f>IF(S24=0,0,1000000*S24/TrRoad_act!S64)</f>
        <v>1839.9904547557592</v>
      </c>
      <c r="T115" s="87">
        <f>IF(T24=0,0,1000000*T24/TrRoad_act!T64)</f>
        <v>1919.1801817749085</v>
      </c>
      <c r="U115" s="87">
        <f>IF(U24=0,0,1000000*U24/TrRoad_act!U64)</f>
        <v>1929.7825533138941</v>
      </c>
      <c r="V115" s="87">
        <f>IF(V24=0,0,1000000*V24/TrRoad_act!V64)</f>
        <v>1317.8290047044507</v>
      </c>
      <c r="W115" s="87">
        <f>IF(W24=0,0,1000000*W24/TrRoad_act!W64)</f>
        <v>1545.6964243920343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608.13525626916282</v>
      </c>
      <c r="N116" s="87">
        <f>IF(N25=0,0,1000000*N25/TrRoad_act!N65)</f>
        <v>409.85415679914365</v>
      </c>
      <c r="O116" s="87">
        <f>IF(O25=0,0,1000000*O25/TrRoad_act!O65)</f>
        <v>531.47402565734922</v>
      </c>
      <c r="P116" s="87">
        <f>IF(P25=0,0,1000000*P25/TrRoad_act!P65)</f>
        <v>476.21903518987813</v>
      </c>
      <c r="Q116" s="87">
        <f>IF(Q25=0,0,1000000*Q25/TrRoad_act!Q65)</f>
        <v>436.72928457513882</v>
      </c>
      <c r="R116" s="87">
        <f>IF(R25=0,0,1000000*R25/TrRoad_act!R65)</f>
        <v>492.05689812720703</v>
      </c>
      <c r="S116" s="87">
        <f>IF(S25=0,0,1000000*S25/TrRoad_act!S65)</f>
        <v>510.23994594172336</v>
      </c>
      <c r="T116" s="87">
        <f>IF(T25=0,0,1000000*T25/TrRoad_act!T65)</f>
        <v>523.23339771506141</v>
      </c>
      <c r="U116" s="87">
        <f>IF(U25=0,0,1000000*U25/TrRoad_act!U65)</f>
        <v>567.20943506760761</v>
      </c>
      <c r="V116" s="87">
        <f>IF(V25=0,0,1000000*V25/TrRoad_act!V65)</f>
        <v>454.33323441314059</v>
      </c>
      <c r="W116" s="87">
        <f>IF(W25=0,0,1000000*W25/TrRoad_act!W65)</f>
        <v>466.98640958648269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66549.255471609853</v>
      </c>
      <c r="C118" s="116">
        <f>IF(C27=0,0,1000000*C27/TrRoad_act!C67)</f>
        <v>64498.18644354424</v>
      </c>
      <c r="D118" s="116">
        <f>IF(D27=0,0,1000000*D27/TrRoad_act!D67)</f>
        <v>62640.106989209606</v>
      </c>
      <c r="E118" s="116">
        <f>IF(E27=0,0,1000000*E27/TrRoad_act!E67)</f>
        <v>62926.74370009204</v>
      </c>
      <c r="F118" s="116">
        <f>IF(F27=0,0,1000000*F27/TrRoad_act!F67)</f>
        <v>63396.33617372463</v>
      </c>
      <c r="G118" s="116">
        <f>IF(G27=0,0,1000000*G27/TrRoad_act!G67)</f>
        <v>61476.469104033262</v>
      </c>
      <c r="H118" s="116">
        <f>IF(H27=0,0,1000000*H27/TrRoad_act!H67)</f>
        <v>61810.431355694622</v>
      </c>
      <c r="I118" s="116">
        <f>IF(I27=0,0,1000000*I27/TrRoad_act!I67)</f>
        <v>62432.486195824466</v>
      </c>
      <c r="J118" s="116">
        <f>IF(J27=0,0,1000000*J27/TrRoad_act!J67)</f>
        <v>60354.781245642051</v>
      </c>
      <c r="K118" s="116">
        <f>IF(K27=0,0,1000000*K27/TrRoad_act!K67)</f>
        <v>58145.968917826111</v>
      </c>
      <c r="L118" s="116">
        <f>IF(L27=0,0,1000000*L27/TrRoad_act!L67)</f>
        <v>56752.991123290733</v>
      </c>
      <c r="M118" s="116">
        <f>IF(M27=0,0,1000000*M27/TrRoad_act!M67)</f>
        <v>55656.625491428946</v>
      </c>
      <c r="N118" s="116">
        <f>IF(N27=0,0,1000000*N27/TrRoad_act!N67)</f>
        <v>53111.205313640654</v>
      </c>
      <c r="O118" s="116">
        <f>IF(O27=0,0,1000000*O27/TrRoad_act!O67)</f>
        <v>55281.046910604113</v>
      </c>
      <c r="P118" s="116">
        <f>IF(P27=0,0,1000000*P27/TrRoad_act!P67)</f>
        <v>54501.903556927638</v>
      </c>
      <c r="Q118" s="116">
        <f>IF(Q27=0,0,1000000*Q27/TrRoad_act!Q67)</f>
        <v>54231.583296049379</v>
      </c>
      <c r="R118" s="116">
        <f>IF(R27=0,0,1000000*R27/TrRoad_act!R67)</f>
        <v>53144.980820912569</v>
      </c>
      <c r="S118" s="116">
        <f>IF(S27=0,0,1000000*S27/TrRoad_act!S67)</f>
        <v>45965.246500203189</v>
      </c>
      <c r="T118" s="116">
        <f>IF(T27=0,0,1000000*T27/TrRoad_act!T67)</f>
        <v>44601.050896252375</v>
      </c>
      <c r="U118" s="116">
        <f>IF(U27=0,0,1000000*U27/TrRoad_act!U67)</f>
        <v>44842.277625057715</v>
      </c>
      <c r="V118" s="116">
        <f>IF(V27=0,0,1000000*V27/TrRoad_act!V67)</f>
        <v>32401.443896885088</v>
      </c>
      <c r="W118" s="116">
        <f>IF(W27=0,0,1000000*W27/TrRoad_act!W67)</f>
        <v>40860.306503646476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11015.084580039264</v>
      </c>
      <c r="C119" s="101">
        <f>IF(C28=0,0,1000000*C28/TrRoad_act!C68)</f>
        <v>10773.752313068451</v>
      </c>
      <c r="D119" s="101">
        <f>IF(D28=0,0,1000000*D28/TrRoad_act!D68)</f>
        <v>10243.558641202791</v>
      </c>
      <c r="E119" s="101">
        <f>IF(E28=0,0,1000000*E28/TrRoad_act!E68)</f>
        <v>10301.970188368461</v>
      </c>
      <c r="F119" s="101">
        <f>IF(F28=0,0,1000000*F28/TrRoad_act!F68)</f>
        <v>10428.83332663777</v>
      </c>
      <c r="G119" s="101">
        <f>IF(G28=0,0,1000000*G28/TrRoad_act!G68)</f>
        <v>10125.664987248949</v>
      </c>
      <c r="H119" s="101">
        <f>IF(H28=0,0,1000000*H28/TrRoad_act!H68)</f>
        <v>10110.372740420984</v>
      </c>
      <c r="I119" s="101">
        <f>IF(I28=0,0,1000000*I28/TrRoad_act!I68)</f>
        <v>10113.043209369042</v>
      </c>
      <c r="J119" s="101">
        <f>IF(J28=0,0,1000000*J28/TrRoad_act!J68)</f>
        <v>9856.6260668430041</v>
      </c>
      <c r="K119" s="101">
        <f>IF(K28=0,0,1000000*K28/TrRoad_act!K68)</f>
        <v>9477.1845428429133</v>
      </c>
      <c r="L119" s="101">
        <f>IF(L28=0,0,1000000*L28/TrRoad_act!L68)</f>
        <v>9062.9533311452233</v>
      </c>
      <c r="M119" s="101">
        <f>IF(M28=0,0,1000000*M28/TrRoad_act!M68)</f>
        <v>8867.8439193862614</v>
      </c>
      <c r="N119" s="101">
        <f>IF(N28=0,0,1000000*N28/TrRoad_act!N68)</f>
        <v>8580.5627273752671</v>
      </c>
      <c r="O119" s="101">
        <f>IF(O28=0,0,1000000*O28/TrRoad_act!O68)</f>
        <v>8308.1058390700873</v>
      </c>
      <c r="P119" s="101">
        <f>IF(P28=0,0,1000000*P28/TrRoad_act!P68)</f>
        <v>8019.9647695625899</v>
      </c>
      <c r="Q119" s="101">
        <f>IF(Q28=0,0,1000000*Q28/TrRoad_act!Q68)</f>
        <v>8159.3330057144967</v>
      </c>
      <c r="R119" s="101">
        <f>IF(R28=0,0,1000000*R28/TrRoad_act!R68)</f>
        <v>8092.3115858834835</v>
      </c>
      <c r="S119" s="101">
        <f>IF(S28=0,0,1000000*S28/TrRoad_act!S68)</f>
        <v>6910.7479115632104</v>
      </c>
      <c r="T119" s="101">
        <f>IF(T28=0,0,1000000*T28/TrRoad_act!T68)</f>
        <v>6930.8951803581167</v>
      </c>
      <c r="U119" s="101">
        <f>IF(U28=0,0,1000000*U28/TrRoad_act!U68)</f>
        <v>7014.7069446498117</v>
      </c>
      <c r="V119" s="101">
        <f>IF(V28=0,0,1000000*V28/TrRoad_act!V68)</f>
        <v>4632.6636157732628</v>
      </c>
      <c r="W119" s="101">
        <f>IF(W28=0,0,1000000*W28/TrRoad_act!W68)</f>
        <v>5849.498006917167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67395.520468153903</v>
      </c>
      <c r="C120" s="101">
        <f>IF(C29=0,0,1000000*C29/TrRoad_act!C69)</f>
        <v>65180.57653216894</v>
      </c>
      <c r="D120" s="101">
        <f>IF(D29=0,0,1000000*D29/TrRoad_act!D69)</f>
        <v>63069.050725541107</v>
      </c>
      <c r="E120" s="101">
        <f>IF(E29=0,0,1000000*E29/TrRoad_act!E69)</f>
        <v>63439.549906013854</v>
      </c>
      <c r="F120" s="101">
        <f>IF(F29=0,0,1000000*F29/TrRoad_act!F69)</f>
        <v>63868.990050734123</v>
      </c>
      <c r="G120" s="101">
        <f>IF(G29=0,0,1000000*G29/TrRoad_act!G69)</f>
        <v>61784.339136585477</v>
      </c>
      <c r="H120" s="101">
        <f>IF(H29=0,0,1000000*H29/TrRoad_act!H69)</f>
        <v>62034.959266069774</v>
      </c>
      <c r="I120" s="101">
        <f>IF(I29=0,0,1000000*I29/TrRoad_act!I69)</f>
        <v>62365.000400649871</v>
      </c>
      <c r="J120" s="101">
        <f>IF(J29=0,0,1000000*J29/TrRoad_act!J69)</f>
        <v>60111.756735647868</v>
      </c>
      <c r="K120" s="101">
        <f>IF(K29=0,0,1000000*K29/TrRoad_act!K69)</f>
        <v>57535.578204516132</v>
      </c>
      <c r="L120" s="101">
        <f>IF(L29=0,0,1000000*L29/TrRoad_act!L69)</f>
        <v>55577.854767157645</v>
      </c>
      <c r="M120" s="101">
        <f>IF(M29=0,0,1000000*M29/TrRoad_act!M69)</f>
        <v>54249.364381493797</v>
      </c>
      <c r="N120" s="101">
        <f>IF(N29=0,0,1000000*N29/TrRoad_act!N69)</f>
        <v>51556.1057921713</v>
      </c>
      <c r="O120" s="101">
        <f>IF(O29=0,0,1000000*O29/TrRoad_act!O69)</f>
        <v>53480.578917115512</v>
      </c>
      <c r="P120" s="101">
        <f>IF(P29=0,0,1000000*P29/TrRoad_act!P69)</f>
        <v>52464.895709935947</v>
      </c>
      <c r="Q120" s="101">
        <f>IF(Q29=0,0,1000000*Q29/TrRoad_act!Q69)</f>
        <v>53092.123653090821</v>
      </c>
      <c r="R120" s="101">
        <f>IF(R29=0,0,1000000*R29/TrRoad_act!R69)</f>
        <v>51450.523797577087</v>
      </c>
      <c r="S120" s="101">
        <f>IF(S29=0,0,1000000*S29/TrRoad_act!S69)</f>
        <v>42558.75065716447</v>
      </c>
      <c r="T120" s="101">
        <f>IF(T29=0,0,1000000*T29/TrRoad_act!T69)</f>
        <v>41818.354708430539</v>
      </c>
      <c r="U120" s="101">
        <f>IF(U29=0,0,1000000*U29/TrRoad_act!U69)</f>
        <v>41224.917202358884</v>
      </c>
      <c r="V120" s="101">
        <f>IF(V29=0,0,1000000*V29/TrRoad_act!V69)</f>
        <v>27045.316599225225</v>
      </c>
      <c r="W120" s="101">
        <f>IF(W29=0,0,1000000*W29/TrRoad_act!W69)</f>
        <v>34210.098537092374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23217.948525110587</v>
      </c>
      <c r="Q121" s="101">
        <f>IF(Q30=0,0,1000000*Q30/TrRoad_act!Q70)</f>
        <v>24191.769860157645</v>
      </c>
      <c r="R121" s="101">
        <f>IF(R30=0,0,1000000*R30/TrRoad_act!R70)</f>
        <v>23368.815056617772</v>
      </c>
      <c r="S121" s="101">
        <f>IF(S30=0,0,1000000*S30/TrRoad_act!S70)</f>
        <v>20092.65981840347</v>
      </c>
      <c r="T121" s="101">
        <f>IF(T30=0,0,1000000*T30/TrRoad_act!T70)</f>
        <v>20272.160745083303</v>
      </c>
      <c r="U121" s="101">
        <f>IF(U30=0,0,1000000*U30/TrRoad_act!U70)</f>
        <v>20505.871706785496</v>
      </c>
      <c r="V121" s="101">
        <f>IF(V30=0,0,1000000*V30/TrRoad_act!V70)</f>
        <v>13585.733862124207</v>
      </c>
      <c r="W121" s="101">
        <f>IF(W30=0,0,1000000*W30/TrRoad_act!W70)</f>
        <v>17369.965699150351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135798.94862068965</v>
      </c>
      <c r="C122" s="101">
        <f>IF(C31=0,0,1000000*C31/TrRoad_act!C71)</f>
        <v>197605.67275862067</v>
      </c>
      <c r="D122" s="101">
        <f>IF(D31=0,0,1000000*D31/TrRoad_act!D71)</f>
        <v>3849837.2550000004</v>
      </c>
      <c r="E122" s="101">
        <f>IF(E31=0,0,1000000*E31/TrRoad_act!E71)</f>
        <v>197929.39404255315</v>
      </c>
      <c r="F122" s="101">
        <f>IF(F31=0,0,1000000*F31/TrRoad_act!F71)</f>
        <v>173395.72466393656</v>
      </c>
      <c r="G122" s="101">
        <f>IF(G31=0,0,1000000*G31/TrRoad_act!G71)</f>
        <v>167853.03648887278</v>
      </c>
      <c r="H122" s="101">
        <f>IF(H31=0,0,1000000*H31/TrRoad_act!H71)</f>
        <v>170004.39770259874</v>
      </c>
      <c r="I122" s="101">
        <f>IF(I31=0,0,1000000*I31/TrRoad_act!I71)</f>
        <v>204028.19860259964</v>
      </c>
      <c r="J122" s="101">
        <f>IF(J31=0,0,1000000*J31/TrRoad_act!J71)</f>
        <v>226848.87710323921</v>
      </c>
      <c r="K122" s="101">
        <f>IF(K31=0,0,1000000*K31/TrRoad_act!K71)</f>
        <v>270827.99903828278</v>
      </c>
      <c r="L122" s="101">
        <f>IF(L31=0,0,1000000*L31/TrRoad_act!L71)</f>
        <v>353396.20832852775</v>
      </c>
      <c r="M122" s="101">
        <f>IF(M31=0,0,1000000*M31/TrRoad_act!M71)</f>
        <v>384779.44163394847</v>
      </c>
      <c r="N122" s="101">
        <f>IF(N31=0,0,1000000*N31/TrRoad_act!N71)</f>
        <v>395299.37101065047</v>
      </c>
      <c r="O122" s="101">
        <f>IF(O31=0,0,1000000*O31/TrRoad_act!O71)</f>
        <v>441032.06077703612</v>
      </c>
      <c r="P122" s="101">
        <f>IF(P31=0,0,1000000*P31/TrRoad_act!P71)</f>
        <v>532355.57425681211</v>
      </c>
      <c r="Q122" s="101">
        <f>IF(Q31=0,0,1000000*Q31/TrRoad_act!Q71)</f>
        <v>128055.96250194382</v>
      </c>
      <c r="R122" s="101">
        <f>IF(R31=0,0,1000000*R31/TrRoad_act!R71)</f>
        <v>134117.56317791625</v>
      </c>
      <c r="S122" s="101">
        <f>IF(S31=0,0,1000000*S31/TrRoad_act!S71)</f>
        <v>134606.15127856733</v>
      </c>
      <c r="T122" s="101">
        <f>IF(T31=0,0,1000000*T31/TrRoad_act!T71)</f>
        <v>109405.4951297029</v>
      </c>
      <c r="U122" s="101">
        <f>IF(U31=0,0,1000000*U31/TrRoad_act!U71)</f>
        <v>110332.30191089523</v>
      </c>
      <c r="V122" s="101">
        <f>IF(V31=0,0,1000000*V31/TrRoad_act!V71)</f>
        <v>104074.58981751521</v>
      </c>
      <c r="W122" s="101">
        <f>IF(W31=0,0,1000000*W31/TrRoad_act!W71)</f>
        <v>130050.62879796642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2937.3483300729872</v>
      </c>
      <c r="C125" s="152">
        <f>IF(C34=0,0,1000000*C34/TrRoad_act!C74)</f>
        <v>3391.8241878082072</v>
      </c>
      <c r="D125" s="152">
        <f>IF(D34=0,0,1000000*D34/TrRoad_act!D74)</f>
        <v>3127.377069621577</v>
      </c>
      <c r="E125" s="152">
        <f>IF(E34=0,0,1000000*E34/TrRoad_act!E74)</f>
        <v>3186.2058868559848</v>
      </c>
      <c r="F125" s="152">
        <f>IF(F34=0,0,1000000*F34/TrRoad_act!F74)</f>
        <v>3000.2533944477036</v>
      </c>
      <c r="G125" s="152">
        <f>IF(G34=0,0,1000000*G34/TrRoad_act!G74)</f>
        <v>2654.0786832783492</v>
      </c>
      <c r="H125" s="152">
        <f>IF(H34=0,0,1000000*H34/TrRoad_act!H74)</f>
        <v>2725.0926319082732</v>
      </c>
      <c r="I125" s="152">
        <f>IF(I34=0,0,1000000*I34/TrRoad_act!I74)</f>
        <v>2535.4821735442029</v>
      </c>
      <c r="J125" s="152">
        <f>IF(J34=0,0,1000000*J34/TrRoad_act!J74)</f>
        <v>2452.5278548463343</v>
      </c>
      <c r="K125" s="152">
        <f>IF(K34=0,0,1000000*K34/TrRoad_act!K74)</f>
        <v>2374.046991550957</v>
      </c>
      <c r="L125" s="152">
        <f>IF(L34=0,0,1000000*L34/TrRoad_act!L74)</f>
        <v>2434.7767840588353</v>
      </c>
      <c r="M125" s="152">
        <f>IF(M34=0,0,1000000*M34/TrRoad_act!M74)</f>
        <v>2451.8557095390929</v>
      </c>
      <c r="N125" s="152">
        <f>IF(N34=0,0,1000000*N34/TrRoad_act!N74)</f>
        <v>2389.8791264151041</v>
      </c>
      <c r="O125" s="152">
        <f>IF(O34=0,0,1000000*O34/TrRoad_act!O74)</f>
        <v>2617.2204221300794</v>
      </c>
      <c r="P125" s="152">
        <f>IF(P34=0,0,1000000*P34/TrRoad_act!P74)</f>
        <v>2449.2051965507212</v>
      </c>
      <c r="Q125" s="152">
        <f>IF(Q34=0,0,1000000*Q34/TrRoad_act!Q74)</f>
        <v>2302.4955633103937</v>
      </c>
      <c r="R125" s="152">
        <f>IF(R34=0,0,1000000*R34/TrRoad_act!R74)</f>
        <v>2248.0838808045446</v>
      </c>
      <c r="S125" s="152">
        <f>IF(S34=0,0,1000000*S34/TrRoad_act!S74)</f>
        <v>2348.9936888786574</v>
      </c>
      <c r="T125" s="152">
        <f>IF(T34=0,0,1000000*T34/TrRoad_act!T74)</f>
        <v>2295.3967956497554</v>
      </c>
      <c r="U125" s="152">
        <f>IF(U34=0,0,1000000*U34/TrRoad_act!U74)</f>
        <v>2279.7686805519338</v>
      </c>
      <c r="V125" s="152">
        <f>IF(V34=0,0,1000000*V34/TrRoad_act!V74)</f>
        <v>1492.3580182056041</v>
      </c>
      <c r="W125" s="152">
        <f>IF(W34=0,0,1000000*W34/TrRoad_act!W74)</f>
        <v>2176.5975060976803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2264.4050834096847</v>
      </c>
      <c r="C126" s="87">
        <f>IF(C35=0,0,1000000*C35/TrRoad_act!C75)</f>
        <v>2611.6028041063046</v>
      </c>
      <c r="D126" s="87">
        <f>IF(D35=0,0,1000000*D35/TrRoad_act!D75)</f>
        <v>2565.4146074467385</v>
      </c>
      <c r="E126" s="87">
        <f>IF(E35=0,0,1000000*E35/TrRoad_act!E75)</f>
        <v>2674.7546457082608</v>
      </c>
      <c r="F126" s="87">
        <f>IF(F35=0,0,1000000*F35/TrRoad_act!F75)</f>
        <v>2602.5793662986011</v>
      </c>
      <c r="G126" s="87">
        <f>IF(G35=0,0,1000000*G35/TrRoad_act!G75)</f>
        <v>2304.1130393711937</v>
      </c>
      <c r="H126" s="87">
        <f>IF(H35=0,0,1000000*H35/TrRoad_act!H75)</f>
        <v>2364.2901984952332</v>
      </c>
      <c r="I126" s="87">
        <f>IF(I35=0,0,1000000*I35/TrRoad_act!I75)</f>
        <v>2281.0326171628017</v>
      </c>
      <c r="J126" s="87">
        <f>IF(J35=0,0,1000000*J35/TrRoad_act!J75)</f>
        <v>2191.786647855939</v>
      </c>
      <c r="K126" s="87">
        <f>IF(K35=0,0,1000000*K35/TrRoad_act!K75)</f>
        <v>2149.0080213809456</v>
      </c>
      <c r="L126" s="87">
        <f>IF(L35=0,0,1000000*L35/TrRoad_act!L75)</f>
        <v>2148.520096855309</v>
      </c>
      <c r="M126" s="87">
        <f>IF(M35=0,0,1000000*M35/TrRoad_act!M75)</f>
        <v>2083.2781216725602</v>
      </c>
      <c r="N126" s="87">
        <f>IF(N35=0,0,1000000*N35/TrRoad_act!N75)</f>
        <v>1998.267292622123</v>
      </c>
      <c r="O126" s="87">
        <f>IF(O35=0,0,1000000*O35/TrRoad_act!O75)</f>
        <v>2049.6107656438089</v>
      </c>
      <c r="P126" s="87">
        <f>IF(P35=0,0,1000000*P35/TrRoad_act!P75)</f>
        <v>1917.8750592157976</v>
      </c>
      <c r="Q126" s="87">
        <f>IF(Q35=0,0,1000000*Q35/TrRoad_act!Q75)</f>
        <v>1863.4419705842572</v>
      </c>
      <c r="R126" s="87">
        <f>IF(R35=0,0,1000000*R35/TrRoad_act!R75)</f>
        <v>1831.8897942105957</v>
      </c>
      <c r="S126" s="87">
        <f>IF(S35=0,0,1000000*S35/TrRoad_act!S75)</f>
        <v>1813.6834499156923</v>
      </c>
      <c r="T126" s="87">
        <f>IF(T35=0,0,1000000*T35/TrRoad_act!T75)</f>
        <v>1709.2455818785538</v>
      </c>
      <c r="U126" s="87">
        <f>IF(U35=0,0,1000000*U35/TrRoad_act!U75)</f>
        <v>1747.1021491631732</v>
      </c>
      <c r="V126" s="87">
        <f>IF(V35=0,0,1000000*V35/TrRoad_act!V75)</f>
        <v>1164.4376651998559</v>
      </c>
      <c r="W126" s="87">
        <f>IF(W35=0,0,1000000*W35/TrRoad_act!W75)</f>
        <v>1722.7443790412181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3012.9071143512297</v>
      </c>
      <c r="C127" s="87">
        <f>IF(C36=0,0,1000000*C36/TrRoad_act!C76)</f>
        <v>3471.6674742685359</v>
      </c>
      <c r="D127" s="87">
        <f>IF(D36=0,0,1000000*D36/TrRoad_act!D76)</f>
        <v>3169.3255743495838</v>
      </c>
      <c r="E127" s="87">
        <f>IF(E36=0,0,1000000*E36/TrRoad_act!E76)</f>
        <v>3217.3356325521245</v>
      </c>
      <c r="F127" s="87">
        <f>IF(F36=0,0,1000000*F36/TrRoad_act!F76)</f>
        <v>3019.7503300523445</v>
      </c>
      <c r="G127" s="87">
        <f>IF(G36=0,0,1000000*G36/TrRoad_act!G76)</f>
        <v>2668.1106162447236</v>
      </c>
      <c r="H127" s="87">
        <f>IF(H36=0,0,1000000*H36/TrRoad_act!H76)</f>
        <v>2737.0967748093854</v>
      </c>
      <c r="I127" s="87">
        <f>IF(I36=0,0,1000000*I36/TrRoad_act!I76)</f>
        <v>2542.0819796712913</v>
      </c>
      <c r="J127" s="87">
        <f>IF(J36=0,0,1000000*J36/TrRoad_act!J76)</f>
        <v>2458.7147641501119</v>
      </c>
      <c r="K127" s="87">
        <f>IF(K36=0,0,1000000*K36/TrRoad_act!K76)</f>
        <v>2379.5802949004519</v>
      </c>
      <c r="L127" s="87">
        <f>IF(L36=0,0,1000000*L36/TrRoad_act!L76)</f>
        <v>2441.686603189441</v>
      </c>
      <c r="M127" s="87">
        <f>IF(M36=0,0,1000000*M36/TrRoad_act!M76)</f>
        <v>2461.5045600152962</v>
      </c>
      <c r="N127" s="87">
        <f>IF(N36=0,0,1000000*N36/TrRoad_act!N76)</f>
        <v>2401.2994527153937</v>
      </c>
      <c r="O127" s="87">
        <f>IF(O36=0,0,1000000*O36/TrRoad_act!O76)</f>
        <v>2633.375491787092</v>
      </c>
      <c r="P127" s="87">
        <f>IF(P36=0,0,1000000*P36/TrRoad_act!P76)</f>
        <v>2459.7745680470516</v>
      </c>
      <c r="Q127" s="87">
        <f>IF(Q36=0,0,1000000*Q36/TrRoad_act!Q76)</f>
        <v>2311.3603574291369</v>
      </c>
      <c r="R127" s="87">
        <f>IF(R36=0,0,1000000*R36/TrRoad_act!R76)</f>
        <v>2256.3958015460539</v>
      </c>
      <c r="S127" s="87">
        <f>IF(S36=0,0,1000000*S36/TrRoad_act!S76)</f>
        <v>2361.2267972507193</v>
      </c>
      <c r="T127" s="87">
        <f>IF(T36=0,0,1000000*T36/TrRoad_act!T76)</f>
        <v>2311.2852838885715</v>
      </c>
      <c r="U127" s="87">
        <f>IF(U36=0,0,1000000*U36/TrRoad_act!U76)</f>
        <v>2297.7690203856073</v>
      </c>
      <c r="V127" s="87">
        <f>IF(V36=0,0,1000000*V36/TrRoad_act!V76)</f>
        <v>1504.5331220595197</v>
      </c>
      <c r="W127" s="87">
        <f>IF(W36=0,0,1000000*W36/TrRoad_act!W76)</f>
        <v>2196.9259340279386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3585.6401594947697</v>
      </c>
      <c r="P128" s="87">
        <f>IF(P37=0,0,1000000*P37/TrRoad_act!P77)</f>
        <v>2306.2796626788145</v>
      </c>
      <c r="Q128" s="87">
        <f>IF(Q37=0,0,1000000*Q37/TrRoad_act!Q77)</f>
        <v>2385.7425317647671</v>
      </c>
      <c r="R128" s="87">
        <f>IF(R37=0,0,1000000*R37/TrRoad_act!R77)</f>
        <v>3180.7845443864448</v>
      </c>
      <c r="S128" s="87">
        <f>IF(S37=0,0,1000000*S37/TrRoad_act!S77)</f>
        <v>2994.1381619432591</v>
      </c>
      <c r="T128" s="87">
        <f>IF(T37=0,0,1000000*T37/TrRoad_act!T77)</f>
        <v>2512.1790544996911</v>
      </c>
      <c r="U128" s="87">
        <f>IF(U37=0,0,1000000*U37/TrRoad_act!U77)</f>
        <v>2070.6214668652206</v>
      </c>
      <c r="V128" s="87">
        <f>IF(V37=0,0,1000000*V37/TrRoad_act!V77)</f>
        <v>1344.451008537359</v>
      </c>
      <c r="W128" s="87">
        <f>IF(W37=0,0,1000000*W37/TrRoad_act!W77)</f>
        <v>1992.3129095692384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3695.6140018156129</v>
      </c>
      <c r="O129" s="87">
        <f>IF(O38=0,0,1000000*O38/TrRoad_act!O78)</f>
        <v>3950.8197008467282</v>
      </c>
      <c r="P129" s="87">
        <f>IF(P38=0,0,1000000*P38/TrRoad_act!P78)</f>
        <v>2984.9436772191402</v>
      </c>
      <c r="Q129" s="87">
        <f>IF(Q38=0,0,1000000*Q38/TrRoad_act!Q78)</f>
        <v>2901.3121185497639</v>
      </c>
      <c r="R129" s="87">
        <f>IF(R38=0,0,1000000*R38/TrRoad_act!R78)</f>
        <v>2568.2726907295742</v>
      </c>
      <c r="S129" s="87">
        <f>IF(S38=0,0,1000000*S38/TrRoad_act!S78)</f>
        <v>2562.9834612993941</v>
      </c>
      <c r="T129" s="87">
        <f>IF(T38=0,0,1000000*T38/TrRoad_act!T78)</f>
        <v>2182.3136819825786</v>
      </c>
      <c r="U129" s="87">
        <f>IF(U38=0,0,1000000*U38/TrRoad_act!U78)</f>
        <v>2135.2438897241091</v>
      </c>
      <c r="V129" s="87">
        <f>IF(V38=0,0,1000000*V38/TrRoad_act!V78)</f>
        <v>1453.6946960141158</v>
      </c>
      <c r="W129" s="87">
        <f>IF(W38=0,0,1000000*W38/TrRoad_act!W78)</f>
        <v>2245.3861546282906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32301.386086271134</v>
      </c>
      <c r="C131" s="116">
        <f>IF(C40=0,0,1000000*C40/TrRoad_act!C80)</f>
        <v>32683.007945376794</v>
      </c>
      <c r="D131" s="116">
        <f>IF(D40=0,0,1000000*D40/TrRoad_act!D80)</f>
        <v>33549.002631712581</v>
      </c>
      <c r="E131" s="116">
        <f>IF(E40=0,0,1000000*E40/TrRoad_act!E80)</f>
        <v>34022.388772080783</v>
      </c>
      <c r="F131" s="116">
        <f>IF(F40=0,0,1000000*F40/TrRoad_act!F80)</f>
        <v>35822.891922839364</v>
      </c>
      <c r="G131" s="116">
        <f>IF(G40=0,0,1000000*G40/TrRoad_act!G80)</f>
        <v>36470.105972052304</v>
      </c>
      <c r="H131" s="116">
        <f>IF(H40=0,0,1000000*H40/TrRoad_act!H80)</f>
        <v>36187.931316539019</v>
      </c>
      <c r="I131" s="116">
        <f>IF(I40=0,0,1000000*I40/TrRoad_act!I80)</f>
        <v>35758.542839029353</v>
      </c>
      <c r="J131" s="116">
        <f>IF(J40=0,0,1000000*J40/TrRoad_act!J80)</f>
        <v>32745.700343856493</v>
      </c>
      <c r="K131" s="116">
        <f>IF(K40=0,0,1000000*K40/TrRoad_act!K80)</f>
        <v>28587.34194630303</v>
      </c>
      <c r="L131" s="116">
        <f>IF(L40=0,0,1000000*L40/TrRoad_act!L80)</f>
        <v>27962.723801204349</v>
      </c>
      <c r="M131" s="116">
        <f>IF(M40=0,0,1000000*M40/TrRoad_act!M80)</f>
        <v>26186.125109088956</v>
      </c>
      <c r="N131" s="116">
        <f>IF(N40=0,0,1000000*N40/TrRoad_act!N80)</f>
        <v>22434.238919333871</v>
      </c>
      <c r="O131" s="116">
        <f>IF(O40=0,0,1000000*O40/TrRoad_act!O80)</f>
        <v>31078.348707466928</v>
      </c>
      <c r="P131" s="116">
        <f>IF(P40=0,0,1000000*P40/TrRoad_act!P80)</f>
        <v>31824.189132259573</v>
      </c>
      <c r="Q131" s="116">
        <f>IF(Q40=0,0,1000000*Q40/TrRoad_act!Q80)</f>
        <v>33232.091967712506</v>
      </c>
      <c r="R131" s="116">
        <f>IF(R40=0,0,1000000*R40/TrRoad_act!R80)</f>
        <v>36434.774217811282</v>
      </c>
      <c r="S131" s="116">
        <f>IF(S40=0,0,1000000*S40/TrRoad_act!S80)</f>
        <v>39349.233509622689</v>
      </c>
      <c r="T131" s="116">
        <f>IF(T40=0,0,1000000*T40/TrRoad_act!T80)</f>
        <v>39057.092686839635</v>
      </c>
      <c r="U131" s="116">
        <f>IF(U40=0,0,1000000*U40/TrRoad_act!U80)</f>
        <v>36461.490377609392</v>
      </c>
      <c r="V131" s="116">
        <f>IF(V40=0,0,1000000*V40/TrRoad_act!V80)</f>
        <v>33483.829819400285</v>
      </c>
      <c r="W131" s="116">
        <f>IF(W40=0,0,1000000*W40/TrRoad_act!W80)</f>
        <v>39150.806586301223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27278.152251214702</v>
      </c>
      <c r="C132" s="101">
        <f>IF(C41=0,0,1000000*C41/TrRoad_act!C81)</f>
        <v>27743.737380314877</v>
      </c>
      <c r="D132" s="101">
        <f>IF(D41=0,0,1000000*D41/TrRoad_act!D81)</f>
        <v>28960.616010671256</v>
      </c>
      <c r="E132" s="101">
        <f>IF(E41=0,0,1000000*E41/TrRoad_act!E81)</f>
        <v>29566.559692842457</v>
      </c>
      <c r="F132" s="101">
        <f>IF(F41=0,0,1000000*F41/TrRoad_act!F81)</f>
        <v>31106.761202039601</v>
      </c>
      <c r="G132" s="101">
        <f>IF(G41=0,0,1000000*G41/TrRoad_act!G81)</f>
        <v>31865.746123258839</v>
      </c>
      <c r="H132" s="101">
        <f>IF(H41=0,0,1000000*H41/TrRoad_act!H81)</f>
        <v>31763.15933052031</v>
      </c>
      <c r="I132" s="101">
        <f>IF(I41=0,0,1000000*I41/TrRoad_act!I81)</f>
        <v>31646.085617707384</v>
      </c>
      <c r="J132" s="101">
        <f>IF(J41=0,0,1000000*J41/TrRoad_act!J81)</f>
        <v>28842.475413560413</v>
      </c>
      <c r="K132" s="101">
        <f>IF(K41=0,0,1000000*K41/TrRoad_act!K81)</f>
        <v>24911.489511650499</v>
      </c>
      <c r="L132" s="101">
        <f>IF(L41=0,0,1000000*L41/TrRoad_act!L81)</f>
        <v>24289.061614680668</v>
      </c>
      <c r="M132" s="101">
        <f>IF(M41=0,0,1000000*M41/TrRoad_act!M81)</f>
        <v>22674.749637087982</v>
      </c>
      <c r="N132" s="101">
        <f>IF(N41=0,0,1000000*N41/TrRoad_act!N81)</f>
        <v>19296.989481967907</v>
      </c>
      <c r="O132" s="101">
        <f>IF(O41=0,0,1000000*O41/TrRoad_act!O81)</f>
        <v>26557.476754336134</v>
      </c>
      <c r="P132" s="101">
        <f>IF(P41=0,0,1000000*P41/TrRoad_act!P81)</f>
        <v>27337.341344023371</v>
      </c>
      <c r="Q132" s="101">
        <f>IF(Q41=0,0,1000000*Q41/TrRoad_act!Q81)</f>
        <v>28651.126218107616</v>
      </c>
      <c r="R132" s="101">
        <f>IF(R41=0,0,1000000*R41/TrRoad_act!R81)</f>
        <v>31470.617097907438</v>
      </c>
      <c r="S132" s="101">
        <f>IF(S41=0,0,1000000*S41/TrRoad_act!S81)</f>
        <v>34089.906646286174</v>
      </c>
      <c r="T132" s="101">
        <f>IF(T41=0,0,1000000*T41/TrRoad_act!T81)</f>
        <v>33684.735009108575</v>
      </c>
      <c r="U132" s="101">
        <f>IF(U41=0,0,1000000*U41/TrRoad_act!U81)</f>
        <v>31440.01337514105</v>
      </c>
      <c r="V132" s="101">
        <f>IF(V41=0,0,1000000*V41/TrRoad_act!V81)</f>
        <v>28862.063868371682</v>
      </c>
      <c r="W132" s="101">
        <f>IF(W41=0,0,1000000*W41/TrRoad_act!W81)</f>
        <v>33902.208239911641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143922.88747273583</v>
      </c>
      <c r="C133" s="88">
        <f>IF(C42=0,0,1000000*C42/TrRoad_act!C82)</f>
        <v>139249.56705584942</v>
      </c>
      <c r="D133" s="88">
        <f>IF(D42=0,0,1000000*D42/TrRoad_act!D82)</f>
        <v>130109.8200898061</v>
      </c>
      <c r="E133" s="88">
        <f>IF(E42=0,0,1000000*E42/TrRoad_act!E82)</f>
        <v>129826.81128980062</v>
      </c>
      <c r="F133" s="88">
        <f>IF(F42=0,0,1000000*F42/TrRoad_act!F82)</f>
        <v>122710.02231452169</v>
      </c>
      <c r="G133" s="88">
        <f>IF(G42=0,0,1000000*G42/TrRoad_act!G82)</f>
        <v>120420.89068519379</v>
      </c>
      <c r="H133" s="88">
        <f>IF(H42=0,0,1000000*H42/TrRoad_act!H82)</f>
        <v>117355.36965766466</v>
      </c>
      <c r="I133" s="88">
        <f>IF(I42=0,0,1000000*I42/TrRoad_act!I82)</f>
        <v>111996.36748670113</v>
      </c>
      <c r="J133" s="88">
        <f>IF(J42=0,0,1000000*J42/TrRoad_act!J82)</f>
        <v>112004.29673183936</v>
      </c>
      <c r="K133" s="88">
        <f>IF(K42=0,0,1000000*K42/TrRoad_act!K82)</f>
        <v>107983.54083937188</v>
      </c>
      <c r="L133" s="88">
        <f>IF(L42=0,0,1000000*L42/TrRoad_act!L82)</f>
        <v>107977.22307091489</v>
      </c>
      <c r="M133" s="88">
        <f>IF(M42=0,0,1000000*M42/TrRoad_act!M82)</f>
        <v>101879.55660991093</v>
      </c>
      <c r="N133" s="88">
        <f>IF(N42=0,0,1000000*N42/TrRoad_act!N82)</f>
        <v>89315.377655091579</v>
      </c>
      <c r="O133" s="88">
        <f>IF(O42=0,0,1000000*O42/TrRoad_act!O82)</f>
        <v>96055.837575324374</v>
      </c>
      <c r="P133" s="88">
        <f>IF(P42=0,0,1000000*P42/TrRoad_act!P82)</f>
        <v>96938.780401693759</v>
      </c>
      <c r="Q133" s="88">
        <f>IF(Q42=0,0,1000000*Q42/TrRoad_act!Q82)</f>
        <v>96863.469683447765</v>
      </c>
      <c r="R133" s="88">
        <f>IF(R42=0,0,1000000*R42/TrRoad_act!R82)</f>
        <v>105519.54073089703</v>
      </c>
      <c r="S133" s="88">
        <f>IF(S42=0,0,1000000*S42/TrRoad_act!S82)</f>
        <v>111958.15006220748</v>
      </c>
      <c r="T133" s="88">
        <f>IF(T42=0,0,1000000*T42/TrRoad_act!T82)</f>
        <v>112077.91477939057</v>
      </c>
      <c r="U133" s="88">
        <f>IF(U42=0,0,1000000*U42/TrRoad_act!U82)</f>
        <v>103374.12813846515</v>
      </c>
      <c r="V133" s="88">
        <f>IF(V42=0,0,1000000*V42/TrRoad_act!V82)</f>
        <v>99375.839214634965</v>
      </c>
      <c r="W133" s="88">
        <f>IF(W42=0,0,1000000*W42/TrRoad_act!W82)</f>
        <v>106905.7677281152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0.64545346889465627</v>
      </c>
      <c r="C136" s="46">
        <f t="shared" si="40"/>
        <v>0.63038589115574473</v>
      </c>
      <c r="D136" s="46">
        <f t="shared" si="40"/>
        <v>0.63822634321641869</v>
      </c>
      <c r="E136" s="46">
        <f t="shared" si="40"/>
        <v>0.63542167533201788</v>
      </c>
      <c r="F136" s="46">
        <f t="shared" si="40"/>
        <v>0.62952826944536755</v>
      </c>
      <c r="G136" s="46">
        <f t="shared" si="40"/>
        <v>0.63878989737911385</v>
      </c>
      <c r="H136" s="46">
        <f t="shared" si="40"/>
        <v>0.64188743791527259</v>
      </c>
      <c r="I136" s="46">
        <f t="shared" si="40"/>
        <v>0.63780323691515495</v>
      </c>
      <c r="J136" s="46">
        <f t="shared" si="40"/>
        <v>0.65272901276913453</v>
      </c>
      <c r="K136" s="46">
        <f t="shared" si="40"/>
        <v>0.68382143824730712</v>
      </c>
      <c r="L136" s="46">
        <f t="shared" si="41"/>
        <v>0.68531710584247363</v>
      </c>
      <c r="M136" s="46">
        <f t="shared" si="40"/>
        <v>0.69171255631364992</v>
      </c>
      <c r="N136" s="46">
        <f t="shared" si="40"/>
        <v>0.70837499681716254</v>
      </c>
      <c r="O136" s="46">
        <f t="shared" si="40"/>
        <v>0.70821731969182178</v>
      </c>
      <c r="P136" s="46">
        <f t="shared" si="40"/>
        <v>0.70809686523574067</v>
      </c>
      <c r="Q136" s="46">
        <f t="shared" si="40"/>
        <v>0.70192120991554008</v>
      </c>
      <c r="R136" s="46">
        <f t="shared" si="40"/>
        <v>0.68657196059151615</v>
      </c>
      <c r="S136" s="46">
        <f t="shared" si="40"/>
        <v>0.66266594804739876</v>
      </c>
      <c r="T136" s="46">
        <f t="shared" si="40"/>
        <v>0.66256719416314247</v>
      </c>
      <c r="U136" s="46">
        <f t="shared" si="40"/>
        <v>0.67716265733719805</v>
      </c>
      <c r="V136" s="46">
        <f t="shared" si="40"/>
        <v>0.66118698736720138</v>
      </c>
      <c r="W136" s="46">
        <f t="shared" si="42"/>
        <v>0.63892380360097467</v>
      </c>
      <c r="DA136" s="211"/>
    </row>
    <row r="137" spans="1:105" ht="11.45" customHeight="1" x14ac:dyDescent="0.25">
      <c r="A137" s="153" t="s">
        <v>180</v>
      </c>
      <c r="B137" s="154">
        <f t="shared" si="40"/>
        <v>1.3683733527886091E-2</v>
      </c>
      <c r="C137" s="154">
        <f t="shared" si="40"/>
        <v>1.3761951905133452E-2</v>
      </c>
      <c r="D137" s="154">
        <f t="shared" si="40"/>
        <v>1.2170613797804949E-2</v>
      </c>
      <c r="E137" s="154">
        <f t="shared" si="40"/>
        <v>1.3020224070708119E-2</v>
      </c>
      <c r="F137" s="154">
        <f t="shared" si="40"/>
        <v>1.2133318266470667E-2</v>
      </c>
      <c r="G137" s="154">
        <f t="shared" si="40"/>
        <v>1.33682701202572E-2</v>
      </c>
      <c r="H137" s="154">
        <f t="shared" si="40"/>
        <v>1.3127180056254592E-2</v>
      </c>
      <c r="I137" s="154">
        <f t="shared" si="40"/>
        <v>1.4390006980746026E-2</v>
      </c>
      <c r="J137" s="154">
        <f t="shared" si="40"/>
        <v>1.5230353565741135E-2</v>
      </c>
      <c r="K137" s="154">
        <f t="shared" si="40"/>
        <v>1.6719572803129471E-2</v>
      </c>
      <c r="L137" s="154">
        <f t="shared" si="41"/>
        <v>1.7340468942337383E-2</v>
      </c>
      <c r="M137" s="154">
        <f t="shared" si="40"/>
        <v>1.6771295551372006E-2</v>
      </c>
      <c r="N137" s="154">
        <f t="shared" si="40"/>
        <v>1.7770601938834119E-2</v>
      </c>
      <c r="O137" s="154">
        <f t="shared" si="40"/>
        <v>1.7074788890587778E-2</v>
      </c>
      <c r="P137" s="154">
        <f t="shared" si="40"/>
        <v>1.8695375919226532E-2</v>
      </c>
      <c r="Q137" s="154">
        <f t="shared" si="40"/>
        <v>1.9424549824705737E-2</v>
      </c>
      <c r="R137" s="154">
        <f t="shared" si="40"/>
        <v>1.9762871879072923E-2</v>
      </c>
      <c r="S137" s="154">
        <f t="shared" si="40"/>
        <v>1.8389488322010775E-2</v>
      </c>
      <c r="T137" s="154">
        <f t="shared" si="40"/>
        <v>1.7256374944352497E-2</v>
      </c>
      <c r="U137" s="154">
        <f t="shared" si="40"/>
        <v>1.8100253310136101E-2</v>
      </c>
      <c r="V137" s="154">
        <f t="shared" si="40"/>
        <v>1.8759841416768196E-2</v>
      </c>
      <c r="W137" s="154">
        <f t="shared" si="42"/>
        <v>1.6545697123907663E-2</v>
      </c>
      <c r="DA137" s="212"/>
    </row>
    <row r="138" spans="1:105" ht="11.45" customHeight="1" x14ac:dyDescent="0.25">
      <c r="A138" s="155" t="s">
        <v>20</v>
      </c>
      <c r="B138" s="156">
        <f t="shared" si="40"/>
        <v>0.58604805721593045</v>
      </c>
      <c r="C138" s="156">
        <f t="shared" si="40"/>
        <v>0.57337178261003785</v>
      </c>
      <c r="D138" s="156">
        <f t="shared" si="40"/>
        <v>0.58458083787675552</v>
      </c>
      <c r="E138" s="156">
        <f t="shared" si="40"/>
        <v>0.58317518669932655</v>
      </c>
      <c r="F138" s="156">
        <f t="shared" si="40"/>
        <v>0.5786467553643273</v>
      </c>
      <c r="G138" s="156">
        <f t="shared" si="40"/>
        <v>0.58829481320430577</v>
      </c>
      <c r="H138" s="156">
        <f t="shared" si="40"/>
        <v>0.591235514473609</v>
      </c>
      <c r="I138" s="156">
        <f t="shared" si="40"/>
        <v>0.58619467713229489</v>
      </c>
      <c r="J138" s="156">
        <f t="shared" si="40"/>
        <v>0.59885153064957786</v>
      </c>
      <c r="K138" s="156">
        <f t="shared" si="40"/>
        <v>0.626783334130536</v>
      </c>
      <c r="L138" s="156">
        <f t="shared" si="41"/>
        <v>0.627145642237804</v>
      </c>
      <c r="M138" s="156">
        <f t="shared" si="40"/>
        <v>0.63266053012349555</v>
      </c>
      <c r="N138" s="156">
        <f t="shared" si="40"/>
        <v>0.64540600069995224</v>
      </c>
      <c r="O138" s="156">
        <f t="shared" si="40"/>
        <v>0.64740511928320932</v>
      </c>
      <c r="P138" s="156">
        <f t="shared" si="40"/>
        <v>0.64676463967929176</v>
      </c>
      <c r="Q138" s="156">
        <f t="shared" si="40"/>
        <v>0.64099584429413259</v>
      </c>
      <c r="R138" s="156">
        <f t="shared" si="40"/>
        <v>0.62619997850854314</v>
      </c>
      <c r="S138" s="156">
        <f t="shared" si="40"/>
        <v>0.6188507559697034</v>
      </c>
      <c r="T138" s="156">
        <f t="shared" si="40"/>
        <v>0.62026393976153382</v>
      </c>
      <c r="U138" s="156">
        <f t="shared" si="40"/>
        <v>0.63367172990623</v>
      </c>
      <c r="V138" s="156">
        <f t="shared" si="40"/>
        <v>0.62059128731891244</v>
      </c>
      <c r="W138" s="156">
        <f t="shared" si="42"/>
        <v>0.59805638125929839</v>
      </c>
      <c r="DA138" s="213"/>
    </row>
    <row r="139" spans="1:105" ht="11.45" customHeight="1" x14ac:dyDescent="0.25">
      <c r="A139" s="157" t="s">
        <v>110</v>
      </c>
      <c r="B139" s="103">
        <f t="shared" si="40"/>
        <v>0.30569528305572141</v>
      </c>
      <c r="C139" s="103">
        <f t="shared" si="40"/>
        <v>0.28782498938792744</v>
      </c>
      <c r="D139" s="103">
        <f t="shared" si="40"/>
        <v>0.27052336629601098</v>
      </c>
      <c r="E139" s="103">
        <f t="shared" si="40"/>
        <v>0.25038598187303041</v>
      </c>
      <c r="F139" s="103">
        <f t="shared" si="40"/>
        <v>0.23072861050029422</v>
      </c>
      <c r="G139" s="103">
        <f t="shared" si="40"/>
        <v>0.21459943959295391</v>
      </c>
      <c r="H139" s="103">
        <f t="shared" si="40"/>
        <v>0.19763932591355723</v>
      </c>
      <c r="I139" s="103">
        <f t="shared" si="40"/>
        <v>0.18273143434472491</v>
      </c>
      <c r="J139" s="103">
        <f t="shared" si="40"/>
        <v>0.17684954945510784</v>
      </c>
      <c r="K139" s="103">
        <f t="shared" si="40"/>
        <v>0.17727127675200194</v>
      </c>
      <c r="L139" s="103">
        <f t="shared" si="41"/>
        <v>0.16872083082464026</v>
      </c>
      <c r="M139" s="103">
        <f t="shared" si="40"/>
        <v>0.16613335859136202</v>
      </c>
      <c r="N139" s="103">
        <f t="shared" si="40"/>
        <v>0.16683949682731622</v>
      </c>
      <c r="O139" s="103">
        <f t="shared" si="40"/>
        <v>0.15744816827915434</v>
      </c>
      <c r="P139" s="103">
        <f t="shared" si="40"/>
        <v>0.15214356662006706</v>
      </c>
      <c r="Q139" s="103">
        <f t="shared" si="40"/>
        <v>0.14738096874634643</v>
      </c>
      <c r="R139" s="103">
        <f t="shared" si="40"/>
        <v>0.15001420034752283</v>
      </c>
      <c r="S139" s="103">
        <f t="shared" si="40"/>
        <v>0.15220150149855891</v>
      </c>
      <c r="T139" s="103">
        <f t="shared" si="40"/>
        <v>0.15896577551810623</v>
      </c>
      <c r="U139" s="103">
        <f t="shared" si="40"/>
        <v>0.16779189584683984</v>
      </c>
      <c r="V139" s="103">
        <f t="shared" si="40"/>
        <v>0.16039176734352364</v>
      </c>
      <c r="W139" s="103">
        <f t="shared" si="42"/>
        <v>0.174607754642505</v>
      </c>
      <c r="DA139" s="191"/>
    </row>
    <row r="140" spans="1:105" ht="11.45" customHeight="1" x14ac:dyDescent="0.25">
      <c r="A140" s="157" t="s">
        <v>111</v>
      </c>
      <c r="B140" s="103">
        <f t="shared" si="40"/>
        <v>0.27754882538417247</v>
      </c>
      <c r="C140" s="103">
        <f t="shared" si="40"/>
        <v>0.28298544813842919</v>
      </c>
      <c r="D140" s="103">
        <f t="shared" si="40"/>
        <v>0.31155955368462779</v>
      </c>
      <c r="E140" s="103">
        <f t="shared" si="40"/>
        <v>0.33043794282011441</v>
      </c>
      <c r="F140" s="103">
        <f t="shared" si="40"/>
        <v>0.34555282604439586</v>
      </c>
      <c r="G140" s="103">
        <f t="shared" si="40"/>
        <v>0.3722240914684235</v>
      </c>
      <c r="H140" s="103">
        <f t="shared" si="40"/>
        <v>0.39224565581836013</v>
      </c>
      <c r="I140" s="103">
        <f t="shared" si="40"/>
        <v>0.40218486529801495</v>
      </c>
      <c r="J140" s="103">
        <f t="shared" si="40"/>
        <v>0.4214800169822609</v>
      </c>
      <c r="K140" s="103">
        <f t="shared" si="40"/>
        <v>0.44884850728175202</v>
      </c>
      <c r="L140" s="103">
        <f t="shared" si="41"/>
        <v>0.45763345152719614</v>
      </c>
      <c r="M140" s="103">
        <f t="shared" si="40"/>
        <v>0.4656212176306076</v>
      </c>
      <c r="N140" s="103">
        <f t="shared" si="40"/>
        <v>0.47726365354875144</v>
      </c>
      <c r="O140" s="103">
        <f t="shared" si="40"/>
        <v>0.48846204907773155</v>
      </c>
      <c r="P140" s="103">
        <f t="shared" si="40"/>
        <v>0.49299217600225032</v>
      </c>
      <c r="Q140" s="103">
        <f t="shared" si="40"/>
        <v>0.49175409140027121</v>
      </c>
      <c r="R140" s="103">
        <f t="shared" si="40"/>
        <v>0.47428105122047731</v>
      </c>
      <c r="S140" s="103">
        <f t="shared" si="40"/>
        <v>0.4646088407724176</v>
      </c>
      <c r="T140" s="103">
        <f t="shared" si="40"/>
        <v>0.45879842411243771</v>
      </c>
      <c r="U140" s="103">
        <f t="shared" si="40"/>
        <v>0.46261769570250255</v>
      </c>
      <c r="V140" s="103">
        <f t="shared" si="40"/>
        <v>0.45702990273816024</v>
      </c>
      <c r="W140" s="103">
        <f t="shared" si="42"/>
        <v>0.41995824212228744</v>
      </c>
      <c r="DA140" s="191"/>
    </row>
    <row r="141" spans="1:105" ht="11.45" customHeight="1" x14ac:dyDescent="0.25">
      <c r="A141" s="157" t="s">
        <v>112</v>
      </c>
      <c r="B141" s="103">
        <f t="shared" si="40"/>
        <v>2.8039487760364748E-3</v>
      </c>
      <c r="C141" s="103">
        <f t="shared" si="40"/>
        <v>2.5613450836812811E-3</v>
      </c>
      <c r="D141" s="103">
        <f t="shared" si="40"/>
        <v>2.4979178961167209E-3</v>
      </c>
      <c r="E141" s="103">
        <f t="shared" si="40"/>
        <v>2.3512620061818409E-3</v>
      </c>
      <c r="F141" s="103">
        <f t="shared" si="40"/>
        <v>2.3280757934930614E-3</v>
      </c>
      <c r="G141" s="103">
        <f t="shared" si="40"/>
        <v>1.3925178239347436E-3</v>
      </c>
      <c r="H141" s="103">
        <f t="shared" si="40"/>
        <v>1.2277906853413523E-3</v>
      </c>
      <c r="I141" s="103">
        <f t="shared" si="40"/>
        <v>1.1629538521886458E-3</v>
      </c>
      <c r="J141" s="103">
        <f t="shared" si="40"/>
        <v>3.9927822726590307E-4</v>
      </c>
      <c r="K141" s="103">
        <f t="shared" si="40"/>
        <v>5.2842570129419016E-4</v>
      </c>
      <c r="L141" s="103">
        <f t="shared" si="41"/>
        <v>6.5335290784426412E-4</v>
      </c>
      <c r="M141" s="103">
        <f t="shared" si="40"/>
        <v>7.6356102830078322E-4</v>
      </c>
      <c r="N141" s="103">
        <f t="shared" si="40"/>
        <v>1.0590302779980583E-3</v>
      </c>
      <c r="O141" s="103">
        <f t="shared" si="40"/>
        <v>1.2221570214582824E-3</v>
      </c>
      <c r="P141" s="103">
        <f t="shared" si="40"/>
        <v>1.3581330744195513E-3</v>
      </c>
      <c r="Q141" s="103">
        <f t="shared" si="40"/>
        <v>1.5811872229272693E-3</v>
      </c>
      <c r="R141" s="103">
        <f t="shared" si="40"/>
        <v>1.6308205848866799E-3</v>
      </c>
      <c r="S141" s="103">
        <f t="shared" si="40"/>
        <v>1.7293663543858568E-3</v>
      </c>
      <c r="T141" s="103">
        <f t="shared" si="40"/>
        <v>2.0596735791582953E-3</v>
      </c>
      <c r="U141" s="103">
        <f t="shared" si="40"/>
        <v>2.7679682738555697E-3</v>
      </c>
      <c r="V141" s="103">
        <f t="shared" si="40"/>
        <v>2.5801871408094525E-3</v>
      </c>
      <c r="W141" s="103">
        <f t="shared" si="42"/>
        <v>2.6627619892769052E-3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3.7243026144178906E-5</v>
      </c>
      <c r="G142" s="103">
        <f t="shared" si="40"/>
        <v>7.8764318993596247E-5</v>
      </c>
      <c r="H142" s="103">
        <f t="shared" si="40"/>
        <v>1.227420563503212E-4</v>
      </c>
      <c r="I142" s="103">
        <f t="shared" si="40"/>
        <v>1.1542363736634022E-4</v>
      </c>
      <c r="J142" s="103">
        <f t="shared" si="40"/>
        <v>1.2268598494316645E-4</v>
      </c>
      <c r="K142" s="103">
        <f t="shared" si="40"/>
        <v>1.351243954878614E-4</v>
      </c>
      <c r="L142" s="103">
        <f t="shared" si="41"/>
        <v>1.3800697812334865E-4</v>
      </c>
      <c r="M142" s="103">
        <f t="shared" si="40"/>
        <v>1.4233360477053806E-4</v>
      </c>
      <c r="N142" s="103">
        <f t="shared" si="40"/>
        <v>2.4321036790296251E-4</v>
      </c>
      <c r="O142" s="103">
        <f t="shared" si="40"/>
        <v>2.7141094228442088E-4</v>
      </c>
      <c r="P142" s="103">
        <f t="shared" si="40"/>
        <v>2.6695123818430949E-4</v>
      </c>
      <c r="Q142" s="103">
        <f t="shared" si="40"/>
        <v>2.7200885518946461E-4</v>
      </c>
      <c r="R142" s="103">
        <f t="shared" si="40"/>
        <v>2.5486910727546435E-4</v>
      </c>
      <c r="S142" s="103">
        <f t="shared" si="40"/>
        <v>2.7020447770315114E-4</v>
      </c>
      <c r="T142" s="103">
        <f t="shared" si="40"/>
        <v>3.6250240647565625E-4</v>
      </c>
      <c r="U142" s="103">
        <f t="shared" si="40"/>
        <v>3.6057149949669874E-4</v>
      </c>
      <c r="V142" s="103">
        <f t="shared" si="40"/>
        <v>3.0230513968121944E-4</v>
      </c>
      <c r="W142" s="103">
        <f t="shared" si="42"/>
        <v>3.1775649124700096E-4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5.9268454671263404E-8</v>
      </c>
      <c r="N143" s="103">
        <f t="shared" si="40"/>
        <v>6.096779835892672E-7</v>
      </c>
      <c r="O143" s="103">
        <f t="shared" si="40"/>
        <v>1.333962580728456E-6</v>
      </c>
      <c r="P143" s="103">
        <f t="shared" si="40"/>
        <v>3.8127443706118824E-6</v>
      </c>
      <c r="Q143" s="103">
        <f t="shared" si="40"/>
        <v>7.5880693982541908E-6</v>
      </c>
      <c r="R143" s="103">
        <f t="shared" si="40"/>
        <v>1.9037248380944363E-5</v>
      </c>
      <c r="S143" s="103">
        <f t="shared" si="40"/>
        <v>4.0842866637875327E-5</v>
      </c>
      <c r="T143" s="103">
        <f t="shared" si="40"/>
        <v>7.7564145355896107E-5</v>
      </c>
      <c r="U143" s="103">
        <f t="shared" si="40"/>
        <v>1.3359858353528757E-4</v>
      </c>
      <c r="V143" s="103">
        <f t="shared" si="40"/>
        <v>2.8712495673794498E-4</v>
      </c>
      <c r="W143" s="103">
        <f t="shared" si="42"/>
        <v>5.0986601398217836E-4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4.5721678150839752E-2</v>
      </c>
      <c r="C145" s="156">
        <f t="shared" si="40"/>
        <v>4.3252156640573462E-2</v>
      </c>
      <c r="D145" s="156">
        <f t="shared" si="40"/>
        <v>4.1474891541858107E-2</v>
      </c>
      <c r="E145" s="156">
        <f t="shared" si="40"/>
        <v>3.9226264561983214E-2</v>
      </c>
      <c r="F145" s="156">
        <f t="shared" si="40"/>
        <v>3.8748195814569605E-2</v>
      </c>
      <c r="G145" s="156">
        <f t="shared" si="40"/>
        <v>3.7126814054550872E-2</v>
      </c>
      <c r="H145" s="156">
        <f t="shared" si="40"/>
        <v>3.7524743385408982E-2</v>
      </c>
      <c r="I145" s="156">
        <f t="shared" si="40"/>
        <v>3.7218552802114099E-2</v>
      </c>
      <c r="J145" s="156">
        <f t="shared" si="40"/>
        <v>3.8647128553815559E-2</v>
      </c>
      <c r="K145" s="156">
        <f t="shared" si="40"/>
        <v>4.0318531313641687E-2</v>
      </c>
      <c r="L145" s="156">
        <f t="shared" si="41"/>
        <v>4.0830994662332157E-2</v>
      </c>
      <c r="M145" s="156">
        <f t="shared" si="40"/>
        <v>4.2280730638782307E-2</v>
      </c>
      <c r="N145" s="156">
        <f t="shared" si="40"/>
        <v>4.519839417837615E-2</v>
      </c>
      <c r="O145" s="156">
        <f t="shared" si="40"/>
        <v>4.3737411518024731E-2</v>
      </c>
      <c r="P145" s="156">
        <f t="shared" si="40"/>
        <v>4.2636849637222259E-2</v>
      </c>
      <c r="Q145" s="156">
        <f t="shared" si="40"/>
        <v>4.1500815796701666E-2</v>
      </c>
      <c r="R145" s="156">
        <f t="shared" si="40"/>
        <v>4.0609110203900074E-2</v>
      </c>
      <c r="S145" s="156">
        <f t="shared" si="40"/>
        <v>2.5425703755684665E-2</v>
      </c>
      <c r="T145" s="156">
        <f t="shared" si="40"/>
        <v>2.5046879457256217E-2</v>
      </c>
      <c r="U145" s="156">
        <f t="shared" si="40"/>
        <v>2.5390674120831944E-2</v>
      </c>
      <c r="V145" s="156">
        <f t="shared" si="40"/>
        <v>2.1835858631520755E-2</v>
      </c>
      <c r="W145" s="156">
        <f t="shared" si="42"/>
        <v>2.4321725217768615E-2</v>
      </c>
      <c r="DA145" s="213"/>
    </row>
    <row r="146" spans="1:105" ht="11.45" customHeight="1" x14ac:dyDescent="0.25">
      <c r="A146" s="157" t="s">
        <v>110</v>
      </c>
      <c r="B146" s="103">
        <f t="shared" si="40"/>
        <v>1.3300961467835898E-4</v>
      </c>
      <c r="C146" s="103">
        <f t="shared" si="40"/>
        <v>1.2687294735230152E-4</v>
      </c>
      <c r="D146" s="103">
        <f t="shared" si="40"/>
        <v>1.2335756169466411E-4</v>
      </c>
      <c r="E146" s="103">
        <f t="shared" si="40"/>
        <v>1.1636444326496794E-4</v>
      </c>
      <c r="F146" s="103">
        <f t="shared" si="40"/>
        <v>1.12103045742119E-4</v>
      </c>
      <c r="G146" s="103">
        <f t="shared" si="40"/>
        <v>9.658487693446639E-5</v>
      </c>
      <c r="H146" s="103">
        <f t="shared" si="40"/>
        <v>9.1297736916327551E-5</v>
      </c>
      <c r="I146" s="103">
        <f t="shared" si="40"/>
        <v>9.8512986633308156E-5</v>
      </c>
      <c r="J146" s="103">
        <f t="shared" si="40"/>
        <v>9.4330443392028767E-5</v>
      </c>
      <c r="K146" s="103">
        <f t="shared" si="40"/>
        <v>9.0608092741555494E-5</v>
      </c>
      <c r="L146" s="103">
        <f t="shared" si="41"/>
        <v>8.5309094900777577E-5</v>
      </c>
      <c r="M146" s="103">
        <f t="shared" si="40"/>
        <v>8.4588872738572488E-5</v>
      </c>
      <c r="N146" s="103">
        <f t="shared" si="40"/>
        <v>8.7006010329225715E-5</v>
      </c>
      <c r="O146" s="103">
        <f t="shared" si="40"/>
        <v>7.792348566070724E-5</v>
      </c>
      <c r="P146" s="103">
        <f t="shared" si="40"/>
        <v>7.1554401039394835E-5</v>
      </c>
      <c r="Q146" s="103">
        <f t="shared" si="40"/>
        <v>6.7256186339349151E-5</v>
      </c>
      <c r="R146" s="103">
        <f t="shared" si="40"/>
        <v>6.2696878830508242E-5</v>
      </c>
      <c r="S146" s="103">
        <f t="shared" si="40"/>
        <v>5.0503029244554282E-5</v>
      </c>
      <c r="T146" s="103">
        <f t="shared" si="40"/>
        <v>4.6963739225784458E-5</v>
      </c>
      <c r="U146" s="103">
        <f t="shared" si="40"/>
        <v>4.3730806603838256E-5</v>
      </c>
      <c r="V146" s="103">
        <f t="shared" si="40"/>
        <v>3.2387151701692332E-5</v>
      </c>
      <c r="W146" s="103">
        <f t="shared" si="42"/>
        <v>3.3079002876197408E-5</v>
      </c>
      <c r="DA146" s="191"/>
    </row>
    <row r="147" spans="1:105" ht="11.45" customHeight="1" x14ac:dyDescent="0.25">
      <c r="A147" s="157" t="s">
        <v>111</v>
      </c>
      <c r="B147" s="103">
        <f t="shared" si="40"/>
        <v>4.5391347875003242E-2</v>
      </c>
      <c r="C147" s="103">
        <f t="shared" si="40"/>
        <v>4.2852069979509265E-2</v>
      </c>
      <c r="D147" s="103">
        <f t="shared" si="40"/>
        <v>4.099353027539001E-2</v>
      </c>
      <c r="E147" s="103">
        <f t="shared" si="40"/>
        <v>3.8697023419984072E-2</v>
      </c>
      <c r="F147" s="103">
        <f t="shared" si="40"/>
        <v>3.8184016285217545E-2</v>
      </c>
      <c r="G147" s="103">
        <f t="shared" si="40"/>
        <v>3.654468231261257E-2</v>
      </c>
      <c r="H147" s="103">
        <f t="shared" si="40"/>
        <v>3.6909786292503459E-2</v>
      </c>
      <c r="I147" s="103">
        <f t="shared" si="40"/>
        <v>3.6329024503800156E-2</v>
      </c>
      <c r="J147" s="103">
        <f t="shared" si="40"/>
        <v>3.768673171082474E-2</v>
      </c>
      <c r="K147" s="103">
        <f t="shared" si="40"/>
        <v>3.9107094961831929E-2</v>
      </c>
      <c r="L147" s="103">
        <f t="shared" si="41"/>
        <v>3.922290606660582E-2</v>
      </c>
      <c r="M147" s="103">
        <f t="shared" si="40"/>
        <v>4.0447688105424484E-2</v>
      </c>
      <c r="N147" s="103">
        <f t="shared" si="40"/>
        <v>4.3088359387756847E-2</v>
      </c>
      <c r="O147" s="103">
        <f t="shared" si="40"/>
        <v>4.1556264824087974E-2</v>
      </c>
      <c r="P147" s="103">
        <f t="shared" si="40"/>
        <v>4.0300662704341329E-2</v>
      </c>
      <c r="Q147" s="103">
        <f t="shared" si="40"/>
        <v>3.9082637411793963E-2</v>
      </c>
      <c r="R147" s="103">
        <f t="shared" ref="R147:V147" si="43">IF(R29=0,0,R29/R$17)</f>
        <v>3.7647370868018525E-2</v>
      </c>
      <c r="S147" s="103">
        <f t="shared" si="43"/>
        <v>2.2022031049483557E-2</v>
      </c>
      <c r="T147" s="103">
        <f t="shared" si="43"/>
        <v>2.1813260964094482E-2</v>
      </c>
      <c r="U147" s="103">
        <f t="shared" si="43"/>
        <v>2.1325811373846357E-2</v>
      </c>
      <c r="V147" s="103">
        <f t="shared" si="43"/>
        <v>1.6392132349583179E-2</v>
      </c>
      <c r="W147" s="103">
        <f t="shared" ref="W147" si="44">IF(W29=0,0,W29/W$17)</f>
        <v>1.8182521498181066E-2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1.2149638353602014E-6</v>
      </c>
      <c r="Q148" s="103">
        <f t="shared" si="47"/>
        <v>3.164737911250396E-5</v>
      </c>
      <c r="R148" s="103">
        <f t="shared" si="47"/>
        <v>3.0320179961858201E-5</v>
      </c>
      <c r="S148" s="103">
        <f t="shared" si="47"/>
        <v>2.5653382449833132E-5</v>
      </c>
      <c r="T148" s="103">
        <f t="shared" si="47"/>
        <v>2.346433744895787E-5</v>
      </c>
      <c r="U148" s="103">
        <f t="shared" si="47"/>
        <v>2.9877586977734287E-5</v>
      </c>
      <c r="V148" s="103">
        <f t="shared" si="47"/>
        <v>3.0803822599908522E-5</v>
      </c>
      <c r="W148" s="103">
        <f t="shared" ref="W148" si="48">IF(W30=0,0,W30/W$17)</f>
        <v>7.3232055825289249E-5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1.9732066115815222E-4</v>
      </c>
      <c r="C149" s="103">
        <f t="shared" si="49"/>
        <v>2.7321371371189743E-4</v>
      </c>
      <c r="D149" s="103">
        <f t="shared" si="49"/>
        <v>3.5800370477343261E-4</v>
      </c>
      <c r="E149" s="103">
        <f t="shared" si="49"/>
        <v>4.1287669873417486E-4</v>
      </c>
      <c r="F149" s="103">
        <f t="shared" si="49"/>
        <v>4.5207648360994326E-4</v>
      </c>
      <c r="G149" s="103">
        <f t="shared" si="49"/>
        <v>4.8554686500383966E-4</v>
      </c>
      <c r="H149" s="103">
        <f t="shared" si="49"/>
        <v>5.2365935598920144E-4</v>
      </c>
      <c r="I149" s="103">
        <f t="shared" si="49"/>
        <v>7.9101531168063925E-4</v>
      </c>
      <c r="J149" s="103">
        <f t="shared" si="49"/>
        <v>8.6606639959878762E-4</v>
      </c>
      <c r="K149" s="103">
        <f t="shared" si="49"/>
        <v>1.1208282590682026E-3</v>
      </c>
      <c r="L149" s="103">
        <f t="shared" si="46"/>
        <v>1.5227795008255572E-3</v>
      </c>
      <c r="M149" s="103">
        <f t="shared" ref="M149:V149" si="50">IF(M31=0,0,M31/M$17)</f>
        <v>1.7484536606192532E-3</v>
      </c>
      <c r="N149" s="103">
        <f t="shared" si="50"/>
        <v>2.0230287802900765E-3</v>
      </c>
      <c r="O149" s="103">
        <f t="shared" si="50"/>
        <v>2.103223208276047E-3</v>
      </c>
      <c r="P149" s="103">
        <f t="shared" si="50"/>
        <v>2.2634175680061666E-3</v>
      </c>
      <c r="Q149" s="103">
        <f t="shared" si="50"/>
        <v>2.3192748194558474E-3</v>
      </c>
      <c r="R149" s="103">
        <f t="shared" si="50"/>
        <v>2.8687222770891825E-3</v>
      </c>
      <c r="S149" s="103">
        <f t="shared" si="50"/>
        <v>3.3275162945067198E-3</v>
      </c>
      <c r="T149" s="103">
        <f t="shared" si="50"/>
        <v>3.1631904164869948E-3</v>
      </c>
      <c r="U149" s="103">
        <f t="shared" si="50"/>
        <v>3.9912543534040175E-3</v>
      </c>
      <c r="V149" s="103">
        <f t="shared" si="50"/>
        <v>5.3805353076359754E-3</v>
      </c>
      <c r="W149" s="103">
        <f t="shared" ref="W149" si="51">IF(W31=0,0,W31/W$17)</f>
        <v>6.0328926608860618E-3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0.35454653110534384</v>
      </c>
      <c r="C151" s="46">
        <f t="shared" si="55"/>
        <v>0.36961410884425533</v>
      </c>
      <c r="D151" s="46">
        <f t="shared" si="55"/>
        <v>0.36177365678358137</v>
      </c>
      <c r="E151" s="46">
        <f t="shared" si="55"/>
        <v>0.36457832466798223</v>
      </c>
      <c r="F151" s="46">
        <f t="shared" si="55"/>
        <v>0.37047173055463245</v>
      </c>
      <c r="G151" s="46">
        <f t="shared" si="55"/>
        <v>0.3612101026208861</v>
      </c>
      <c r="H151" s="46">
        <f t="shared" si="55"/>
        <v>0.35811256208472741</v>
      </c>
      <c r="I151" s="46">
        <f t="shared" si="55"/>
        <v>0.36219676308484505</v>
      </c>
      <c r="J151" s="46">
        <f t="shared" si="55"/>
        <v>0.34727098723086541</v>
      </c>
      <c r="K151" s="46">
        <f t="shared" si="55"/>
        <v>0.31617856175269277</v>
      </c>
      <c r="L151" s="46">
        <f t="shared" ref="L151" si="56">IF(L33=0,0,L33/L$17)</f>
        <v>0.31468289415752637</v>
      </c>
      <c r="M151" s="46">
        <f t="shared" ref="M151:V151" si="57">IF(M33=0,0,M33/M$17)</f>
        <v>0.30828744368635008</v>
      </c>
      <c r="N151" s="46">
        <f t="shared" si="57"/>
        <v>0.29162500318283752</v>
      </c>
      <c r="O151" s="46">
        <f t="shared" si="57"/>
        <v>0.29178268030817811</v>
      </c>
      <c r="P151" s="46">
        <f t="shared" si="57"/>
        <v>0.29190313476425939</v>
      </c>
      <c r="Q151" s="46">
        <f t="shared" si="57"/>
        <v>0.29807879008445992</v>
      </c>
      <c r="R151" s="46">
        <f t="shared" si="57"/>
        <v>0.31342803940848379</v>
      </c>
      <c r="S151" s="46">
        <f t="shared" si="57"/>
        <v>0.33733405195260119</v>
      </c>
      <c r="T151" s="46">
        <f t="shared" si="57"/>
        <v>0.33743280583685753</v>
      </c>
      <c r="U151" s="46">
        <f t="shared" si="57"/>
        <v>0.32283734266280201</v>
      </c>
      <c r="V151" s="46">
        <f t="shared" si="57"/>
        <v>0.33881301263279867</v>
      </c>
      <c r="W151" s="46">
        <f t="shared" ref="W151" si="58">IF(W33=0,0,W33/W$17)</f>
        <v>0.36107619639902538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0.10640131019496547</v>
      </c>
      <c r="C152" s="154">
        <f t="shared" si="59"/>
        <v>0.12059436770262302</v>
      </c>
      <c r="D152" s="154">
        <f t="shared" si="59"/>
        <v>0.1056747379893293</v>
      </c>
      <c r="E152" s="154">
        <f t="shared" si="59"/>
        <v>0.10593302179764605</v>
      </c>
      <c r="F152" s="154">
        <f t="shared" si="59"/>
        <v>0.10280396353520248</v>
      </c>
      <c r="G152" s="154">
        <f t="shared" si="59"/>
        <v>9.025405365327123E-2</v>
      </c>
      <c r="H152" s="154">
        <f t="shared" si="59"/>
        <v>9.1013511343736656E-2</v>
      </c>
      <c r="I152" s="154">
        <f t="shared" si="59"/>
        <v>9.7547481690172008E-2</v>
      </c>
      <c r="J152" s="154">
        <f t="shared" si="59"/>
        <v>9.1514985644865932E-2</v>
      </c>
      <c r="K152" s="154">
        <f t="shared" si="59"/>
        <v>8.1134143177433171E-2</v>
      </c>
      <c r="L152" s="154">
        <f t="shared" ref="L152" si="60">IF(L34=0,0,L34/L$17)</f>
        <v>8.2016061536217114E-2</v>
      </c>
      <c r="M152" s="154">
        <f t="shared" ref="M152:V152" si="61">IF(M34=0,0,M34/M$17)</f>
        <v>8.3389984048632945E-2</v>
      </c>
      <c r="N152" s="154">
        <f t="shared" si="61"/>
        <v>8.388447831847487E-2</v>
      </c>
      <c r="O152" s="154">
        <f t="shared" si="61"/>
        <v>8.5857836223060591E-2</v>
      </c>
      <c r="P152" s="154">
        <f t="shared" si="61"/>
        <v>8.2559495099286007E-2</v>
      </c>
      <c r="Q152" s="154">
        <f t="shared" si="61"/>
        <v>8.2897316787404071E-2</v>
      </c>
      <c r="R152" s="154">
        <f t="shared" si="61"/>
        <v>7.6838568267770482E-2</v>
      </c>
      <c r="S152" s="154">
        <f t="shared" si="61"/>
        <v>8.0528511750549481E-2</v>
      </c>
      <c r="T152" s="154">
        <f t="shared" si="61"/>
        <v>7.9614871206463114E-2</v>
      </c>
      <c r="U152" s="154">
        <f t="shared" si="61"/>
        <v>7.9312103054658453E-2</v>
      </c>
      <c r="V152" s="154">
        <f t="shared" si="61"/>
        <v>6.3478148634545012E-2</v>
      </c>
      <c r="W152" s="154">
        <f t="shared" ref="W152" si="62">IF(W34=0,0,W34/W$17)</f>
        <v>8.1044253696230389E-2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8.2801389427896183E-3</v>
      </c>
      <c r="C153" s="103">
        <f t="shared" si="63"/>
        <v>8.6200168526312758E-3</v>
      </c>
      <c r="D153" s="103">
        <f t="shared" si="63"/>
        <v>6.0213249320182852E-3</v>
      </c>
      <c r="E153" s="103">
        <f t="shared" si="63"/>
        <v>5.1021412484794837E-3</v>
      </c>
      <c r="F153" s="103">
        <f t="shared" si="63"/>
        <v>4.1678126645287366E-3</v>
      </c>
      <c r="G153" s="103">
        <f t="shared" si="63"/>
        <v>3.0204782540338292E-3</v>
      </c>
      <c r="H153" s="103">
        <f t="shared" si="63"/>
        <v>2.5425703274210591E-3</v>
      </c>
      <c r="I153" s="103">
        <f t="shared" si="63"/>
        <v>2.218684437406534E-3</v>
      </c>
      <c r="J153" s="103">
        <f t="shared" si="63"/>
        <v>1.8956404711687614E-3</v>
      </c>
      <c r="K153" s="103">
        <f t="shared" si="63"/>
        <v>1.7625026461510792E-3</v>
      </c>
      <c r="L153" s="103">
        <f t="shared" ref="L153" si="64">IF(L35=0,0,L35/L$17)</f>
        <v>1.7058133409904106E-3</v>
      </c>
      <c r="M153" s="103">
        <f t="shared" ref="M153:V153" si="65">IF(M35=0,0,M35/M$17)</f>
        <v>1.8035843081113841E-3</v>
      </c>
      <c r="N153" s="103">
        <f t="shared" si="65"/>
        <v>1.9528636599668381E-3</v>
      </c>
      <c r="O153" s="103">
        <f t="shared" si="65"/>
        <v>1.8528159553221017E-3</v>
      </c>
      <c r="P153" s="103">
        <f t="shared" si="65"/>
        <v>1.2204756154256546E-3</v>
      </c>
      <c r="Q153" s="103">
        <f t="shared" si="65"/>
        <v>1.2119552092041375E-3</v>
      </c>
      <c r="R153" s="103">
        <f t="shared" si="65"/>
        <v>1.0773512836739791E-3</v>
      </c>
      <c r="S153" s="103">
        <f t="shared" si="65"/>
        <v>1.1837487668049538E-3</v>
      </c>
      <c r="T153" s="103">
        <f t="shared" si="65"/>
        <v>1.2127347302217154E-3</v>
      </c>
      <c r="U153" s="103">
        <f t="shared" si="65"/>
        <v>1.3221957321917488E-3</v>
      </c>
      <c r="V153" s="103">
        <f t="shared" si="65"/>
        <v>1.0631905049519772E-3</v>
      </c>
      <c r="W153" s="103">
        <f t="shared" ref="W153" si="66">IF(W35=0,0,W35/W$17)</f>
        <v>1.5566558299237407E-3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9.8121171252175843E-2</v>
      </c>
      <c r="C154" s="103">
        <f t="shared" si="67"/>
        <v>0.11197435084999173</v>
      </c>
      <c r="D154" s="103">
        <f t="shared" si="67"/>
        <v>9.9653413057311013E-2</v>
      </c>
      <c r="E154" s="103">
        <f t="shared" si="67"/>
        <v>0.10083088054916657</v>
      </c>
      <c r="F154" s="103">
        <f t="shared" si="67"/>
        <v>9.8636150870673747E-2</v>
      </c>
      <c r="G154" s="103">
        <f t="shared" si="67"/>
        <v>8.7233575399237415E-2</v>
      </c>
      <c r="H154" s="103">
        <f t="shared" si="67"/>
        <v>8.8470941016315599E-2</v>
      </c>
      <c r="I154" s="103">
        <f t="shared" si="67"/>
        <v>9.5328797252765482E-2</v>
      </c>
      <c r="J154" s="103">
        <f t="shared" si="67"/>
        <v>8.9619345173697171E-2</v>
      </c>
      <c r="K154" s="103">
        <f t="shared" si="67"/>
        <v>7.9371640531282095E-2</v>
      </c>
      <c r="L154" s="103">
        <f t="shared" ref="L154" si="68">IF(L36=0,0,L36/L$17)</f>
        <v>8.0310248195226711E-2</v>
      </c>
      <c r="M154" s="103">
        <f t="shared" ref="M154:V154" si="69">IF(M36=0,0,M36/M$17)</f>
        <v>8.1586399740521551E-2</v>
      </c>
      <c r="N154" s="103">
        <f t="shared" si="69"/>
        <v>8.1930858134816376E-2</v>
      </c>
      <c r="O154" s="103">
        <f t="shared" si="69"/>
        <v>8.3999758629819857E-2</v>
      </c>
      <c r="P154" s="103">
        <f t="shared" si="69"/>
        <v>8.1325061897413647E-2</v>
      </c>
      <c r="Q154" s="103">
        <f t="shared" si="69"/>
        <v>8.1648208698341676E-2</v>
      </c>
      <c r="R154" s="103">
        <f t="shared" si="69"/>
        <v>7.5665618273012991E-2</v>
      </c>
      <c r="S154" s="103">
        <f t="shared" si="69"/>
        <v>7.9215150853586366E-2</v>
      </c>
      <c r="T154" s="103">
        <f t="shared" si="69"/>
        <v>7.8200997206132217E-2</v>
      </c>
      <c r="U154" s="103">
        <f t="shared" si="69"/>
        <v>7.7628241895859429E-2</v>
      </c>
      <c r="V154" s="103">
        <f t="shared" si="69"/>
        <v>6.2054999586594148E-2</v>
      </c>
      <c r="W154" s="103">
        <f t="shared" ref="W154" si="70">IF(W36=0,0,W36/W$17)</f>
        <v>7.8928894148404469E-2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9.4733743866158211E-8</v>
      </c>
      <c r="P155" s="103">
        <f t="shared" si="73"/>
        <v>7.2410696785317422E-6</v>
      </c>
      <c r="Q155" s="103">
        <f t="shared" si="73"/>
        <v>1.7180646988900126E-5</v>
      </c>
      <c r="R155" s="103">
        <f t="shared" si="73"/>
        <v>7.2241298497042E-5</v>
      </c>
      <c r="S155" s="103">
        <f t="shared" si="73"/>
        <v>9.5860701114957304E-5</v>
      </c>
      <c r="T155" s="103">
        <f t="shared" si="73"/>
        <v>1.479626769076132E-4</v>
      </c>
      <c r="U155" s="103">
        <f t="shared" si="73"/>
        <v>2.6761823034069195E-4</v>
      </c>
      <c r="V155" s="103">
        <f t="shared" si="73"/>
        <v>2.5207606115562278E-4</v>
      </c>
      <c r="W155" s="103">
        <f t="shared" ref="W155" si="74">IF(W37=0,0,W37/W$17)</f>
        <v>3.9780012821539774E-4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7.5652369164174906E-7</v>
      </c>
      <c r="O156" s="103">
        <f t="shared" si="77"/>
        <v>5.1669041747566415E-6</v>
      </c>
      <c r="P156" s="103">
        <f t="shared" si="77"/>
        <v>6.7165167681762826E-6</v>
      </c>
      <c r="Q156" s="103">
        <f t="shared" si="77"/>
        <v>1.9972232869347779E-5</v>
      </c>
      <c r="R156" s="103">
        <f t="shared" si="77"/>
        <v>2.3357412586467222E-5</v>
      </c>
      <c r="S156" s="103">
        <f t="shared" si="77"/>
        <v>3.3751429043210027E-5</v>
      </c>
      <c r="T156" s="103">
        <f t="shared" si="77"/>
        <v>5.3176593201558269E-5</v>
      </c>
      <c r="U156" s="103">
        <f t="shared" si="77"/>
        <v>9.4047196266562873E-5</v>
      </c>
      <c r="V156" s="103">
        <f t="shared" si="77"/>
        <v>1.0788248184326789E-4</v>
      </c>
      <c r="W156" s="103">
        <f t="shared" ref="W156" si="78">IF(W38=0,0,W38/W$17)</f>
        <v>1.6090358968679072E-4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0.24814522091037838</v>
      </c>
      <c r="C158" s="156">
        <f t="shared" si="83"/>
        <v>0.24901974114163233</v>
      </c>
      <c r="D158" s="156">
        <f t="shared" si="83"/>
        <v>0.25609891879425206</v>
      </c>
      <c r="E158" s="156">
        <f t="shared" si="83"/>
        <v>0.25864530287033621</v>
      </c>
      <c r="F158" s="156">
        <f t="shared" si="83"/>
        <v>0.26766776701942996</v>
      </c>
      <c r="G158" s="156">
        <f t="shared" si="83"/>
        <v>0.27095604896761488</v>
      </c>
      <c r="H158" s="156">
        <f t="shared" si="83"/>
        <v>0.26709905074099077</v>
      </c>
      <c r="I158" s="156">
        <f t="shared" si="83"/>
        <v>0.26464928139467309</v>
      </c>
      <c r="J158" s="156">
        <f t="shared" si="83"/>
        <v>0.25575600158599948</v>
      </c>
      <c r="K158" s="156">
        <f t="shared" si="83"/>
        <v>0.23504441857525962</v>
      </c>
      <c r="L158" s="156">
        <f t="shared" ref="L158" si="84">IF(L40=0,0,L40/L$17)</f>
        <v>0.23266683262130924</v>
      </c>
      <c r="M158" s="156">
        <f t="shared" ref="M158:V158" si="85">IF(M40=0,0,M40/M$17)</f>
        <v>0.22489745963771715</v>
      </c>
      <c r="N158" s="156">
        <f t="shared" si="85"/>
        <v>0.2077405248643627</v>
      </c>
      <c r="O158" s="156">
        <f t="shared" si="85"/>
        <v>0.20592484408511752</v>
      </c>
      <c r="P158" s="156">
        <f t="shared" si="85"/>
        <v>0.20934363966497338</v>
      </c>
      <c r="Q158" s="156">
        <f t="shared" si="85"/>
        <v>0.21518147329705586</v>
      </c>
      <c r="R158" s="156">
        <f t="shared" si="85"/>
        <v>0.23658947114071335</v>
      </c>
      <c r="S158" s="156">
        <f t="shared" si="85"/>
        <v>0.25680554020205171</v>
      </c>
      <c r="T158" s="156">
        <f t="shared" si="85"/>
        <v>0.25781793463039443</v>
      </c>
      <c r="U158" s="156">
        <f t="shared" si="85"/>
        <v>0.24352523960814357</v>
      </c>
      <c r="V158" s="156">
        <f t="shared" si="85"/>
        <v>0.27533486399825369</v>
      </c>
      <c r="W158" s="156">
        <f t="shared" ref="W158" si="86">IF(W40=0,0,W40/W$17)</f>
        <v>0.28003194270279502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0.20053141756327017</v>
      </c>
      <c r="C159" s="103">
        <f t="shared" si="87"/>
        <v>0.20202266338720745</v>
      </c>
      <c r="D159" s="103">
        <f t="shared" si="87"/>
        <v>0.21104467106974165</v>
      </c>
      <c r="E159" s="103">
        <f t="shared" si="87"/>
        <v>0.2147817388154431</v>
      </c>
      <c r="F159" s="103">
        <f t="shared" si="87"/>
        <v>0.22046250990509741</v>
      </c>
      <c r="G159" s="103">
        <f t="shared" si="87"/>
        <v>0.224438253750668</v>
      </c>
      <c r="H159" s="103">
        <f t="shared" si="87"/>
        <v>0.22232068831273641</v>
      </c>
      <c r="I159" s="103">
        <f t="shared" si="87"/>
        <v>0.2222255531880411</v>
      </c>
      <c r="J159" s="103">
        <f t="shared" si="87"/>
        <v>0.21469724239717283</v>
      </c>
      <c r="K159" s="103">
        <f t="shared" si="87"/>
        <v>0.19575850434598588</v>
      </c>
      <c r="L159" s="103">
        <f t="shared" ref="L159" si="88">IF(L41=0,0,L41/L$17)</f>
        <v>0.19322815451646075</v>
      </c>
      <c r="M159" s="103">
        <f t="shared" ref="M159:V159" si="89">IF(M41=0,0,M41/M$17)</f>
        <v>0.18610689611391165</v>
      </c>
      <c r="N159" s="103">
        <f t="shared" si="89"/>
        <v>0.17068328541242439</v>
      </c>
      <c r="O159" s="103">
        <f t="shared" si="89"/>
        <v>0.16452275849993606</v>
      </c>
      <c r="P159" s="103">
        <f t="shared" si="89"/>
        <v>0.16823594774988287</v>
      </c>
      <c r="Q159" s="103">
        <f t="shared" si="89"/>
        <v>0.17306021933912108</v>
      </c>
      <c r="R159" s="103">
        <f t="shared" si="89"/>
        <v>0.19065497129422776</v>
      </c>
      <c r="S159" s="103">
        <f t="shared" si="89"/>
        <v>0.20745480688005519</v>
      </c>
      <c r="T159" s="103">
        <f t="shared" si="89"/>
        <v>0.20711654140828861</v>
      </c>
      <c r="U159" s="103">
        <f t="shared" si="89"/>
        <v>0.19532846263158121</v>
      </c>
      <c r="V159" s="103">
        <f t="shared" si="89"/>
        <v>0.22177482663029954</v>
      </c>
      <c r="W159" s="103">
        <f t="shared" ref="W159" si="90">IF(W41=0,0,W41/W$17)</f>
        <v>0.22505668174324692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4.761380334710822E-2</v>
      </c>
      <c r="C160" s="105">
        <f t="shared" si="91"/>
        <v>4.6997077754424875E-2</v>
      </c>
      <c r="D160" s="105">
        <f t="shared" si="91"/>
        <v>4.5054247724510457E-2</v>
      </c>
      <c r="E160" s="105">
        <f t="shared" si="91"/>
        <v>4.3863564054893084E-2</v>
      </c>
      <c r="F160" s="105">
        <f t="shared" si="91"/>
        <v>4.7205257114332558E-2</v>
      </c>
      <c r="G160" s="105">
        <f t="shared" si="91"/>
        <v>4.6517795216946906E-2</v>
      </c>
      <c r="H160" s="105">
        <f t="shared" si="91"/>
        <v>4.4778362428254379E-2</v>
      </c>
      <c r="I160" s="105">
        <f t="shared" si="91"/>
        <v>4.2423728206631983E-2</v>
      </c>
      <c r="J160" s="105">
        <f t="shared" si="91"/>
        <v>4.1058759188826628E-2</v>
      </c>
      <c r="K160" s="105">
        <f t="shared" si="91"/>
        <v>3.9285914229273744E-2</v>
      </c>
      <c r="L160" s="105">
        <f t="shared" ref="L160" si="92">IF(L42=0,0,L42/L$17)</f>
        <v>3.943867810484851E-2</v>
      </c>
      <c r="M160" s="105">
        <f t="shared" ref="M160:V160" si="93">IF(M42=0,0,M42/M$17)</f>
        <v>3.8790563523805527E-2</v>
      </c>
      <c r="N160" s="105">
        <f t="shared" si="93"/>
        <v>3.7057239451938298E-2</v>
      </c>
      <c r="O160" s="105">
        <f t="shared" si="93"/>
        <v>4.1402085585181464E-2</v>
      </c>
      <c r="P160" s="105">
        <f t="shared" si="93"/>
        <v>4.1107691915090491E-2</v>
      </c>
      <c r="Q160" s="105">
        <f t="shared" si="93"/>
        <v>4.2121253957934764E-2</v>
      </c>
      <c r="R160" s="105">
        <f t="shared" si="93"/>
        <v>4.5934499846485587E-2</v>
      </c>
      <c r="S160" s="105">
        <f t="shared" si="93"/>
        <v>4.9350733321996493E-2</v>
      </c>
      <c r="T160" s="105">
        <f t="shared" si="93"/>
        <v>5.0701393222105817E-2</v>
      </c>
      <c r="U160" s="105">
        <f t="shared" si="93"/>
        <v>4.8196776976562335E-2</v>
      </c>
      <c r="V160" s="105">
        <f t="shared" si="93"/>
        <v>5.3560037367954109E-2</v>
      </c>
      <c r="W160" s="105">
        <f t="shared" ref="W160" si="94">IF(W42=0,0,W42/W$17)</f>
        <v>5.4975260959548064E-2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24268988</v>
      </c>
      <c r="C3" s="54">
        <f>TrRoad_act!C57</f>
        <v>25119674</v>
      </c>
      <c r="D3" s="54">
        <f>TrRoad_act!D57</f>
        <v>25915058</v>
      </c>
      <c r="E3" s="54">
        <f>TrRoad_act!E57</f>
        <v>26082891</v>
      </c>
      <c r="F3" s="54">
        <f>TrRoad_act!F57</f>
        <v>27359383</v>
      </c>
      <c r="G3" s="54">
        <f>TrRoad_act!G57</f>
        <v>28422663</v>
      </c>
      <c r="H3" s="54">
        <f>TrRoad_act!H57</f>
        <v>29578978</v>
      </c>
      <c r="I3" s="54">
        <f>TrRoad_act!I57</f>
        <v>31272239</v>
      </c>
      <c r="J3" s="54">
        <f>TrRoad_act!J57</f>
        <v>31503792</v>
      </c>
      <c r="K3" s="54">
        <f>TrRoad_act!K57</f>
        <v>30837014</v>
      </c>
      <c r="L3" s="54">
        <f>TrRoad_act!L57</f>
        <v>30854047</v>
      </c>
      <c r="M3" s="54">
        <f>TrRoad_act!M57</f>
        <v>30863612</v>
      </c>
      <c r="N3" s="54">
        <f>TrRoad_act!N57</f>
        <v>30582788</v>
      </c>
      <c r="O3" s="54">
        <f>TrRoad_act!O57</f>
        <v>30067647</v>
      </c>
      <c r="P3" s="54">
        <f>TrRoad_act!P57</f>
        <v>30202043</v>
      </c>
      <c r="Q3" s="54">
        <f>TrRoad_act!Q57</f>
        <v>30863003</v>
      </c>
      <c r="R3" s="54">
        <f>TrRoad_act!R57</f>
        <v>31429237</v>
      </c>
      <c r="S3" s="54">
        <f>TrRoad_act!S57</f>
        <v>32186775</v>
      </c>
      <c r="T3" s="54">
        <f>TrRoad_act!T57</f>
        <v>32938151</v>
      </c>
      <c r="U3" s="54">
        <f>TrRoad_act!U57</f>
        <v>33593505</v>
      </c>
      <c r="V3" s="54">
        <f>TrRoad_act!V57</f>
        <v>33883234</v>
      </c>
      <c r="W3" s="54">
        <f>TrRoad_act!W57</f>
        <v>34201310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20763863</v>
      </c>
      <c r="C4" s="28">
        <f>TrRoad_act!C58</f>
        <v>21497462</v>
      </c>
      <c r="D4" s="28">
        <f>TrRoad_act!D58</f>
        <v>22351411</v>
      </c>
      <c r="E4" s="28">
        <f>TrRoad_act!E58</f>
        <v>22401300</v>
      </c>
      <c r="F4" s="28">
        <f>TrRoad_act!F58</f>
        <v>23453329</v>
      </c>
      <c r="G4" s="28">
        <f>TrRoad_act!G58</f>
        <v>24426225</v>
      </c>
      <c r="H4" s="28">
        <f>TrRoad_act!H58</f>
        <v>25514653</v>
      </c>
      <c r="I4" s="28">
        <f>TrRoad_act!I58</f>
        <v>26562958</v>
      </c>
      <c r="J4" s="28">
        <f>TrRoad_act!J58</f>
        <v>27118729</v>
      </c>
      <c r="K4" s="28">
        <f>TrRoad_act!K58</f>
        <v>27005542</v>
      </c>
      <c r="L4" s="28">
        <f>TrRoad_act!L58</f>
        <v>27208134</v>
      </c>
      <c r="M4" s="28">
        <f>TrRoad_act!M58</f>
        <v>27366819</v>
      </c>
      <c r="N4" s="28">
        <f>TrRoad_act!N58</f>
        <v>27332323</v>
      </c>
      <c r="O4" s="28">
        <f>TrRoad_act!O58</f>
        <v>27082750</v>
      </c>
      <c r="P4" s="28">
        <f>TrRoad_act!P58</f>
        <v>27122520</v>
      </c>
      <c r="Q4" s="28">
        <f>TrRoad_act!Q58</f>
        <v>27518475</v>
      </c>
      <c r="R4" s="28">
        <f>TrRoad_act!R58</f>
        <v>28137680</v>
      </c>
      <c r="S4" s="28">
        <f>TrRoad_act!S58</f>
        <v>28830696</v>
      </c>
      <c r="T4" s="28">
        <f>TrRoad_act!T58</f>
        <v>29513929</v>
      </c>
      <c r="U4" s="28">
        <f>TrRoad_act!U58</f>
        <v>30121255</v>
      </c>
      <c r="V4" s="28">
        <f>TrRoad_act!V58</f>
        <v>30390939</v>
      </c>
      <c r="W4" s="28">
        <f>TrRoad_act!W58</f>
        <v>30684894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3242201</v>
      </c>
      <c r="C5" s="137">
        <f>TrRoad_act!C59</f>
        <v>3290200</v>
      </c>
      <c r="D5" s="137">
        <f>TrRoad_act!D59</f>
        <v>3561450</v>
      </c>
      <c r="E5" s="137">
        <f>TrRoad_act!E59</f>
        <v>3657119</v>
      </c>
      <c r="F5" s="137">
        <f>TrRoad_act!F59</f>
        <v>3854128</v>
      </c>
      <c r="G5" s="137">
        <f>TrRoad_act!G59</f>
        <v>4117600.0000000005</v>
      </c>
      <c r="H5" s="137">
        <f>TrRoad_act!H59</f>
        <v>4401146</v>
      </c>
      <c r="I5" s="137">
        <f>TrRoad_act!I59</f>
        <v>4741760</v>
      </c>
      <c r="J5" s="137">
        <f>TrRoad_act!J59</f>
        <v>4911504</v>
      </c>
      <c r="K5" s="137">
        <f>TrRoad_act!K59</f>
        <v>4958879</v>
      </c>
      <c r="L5" s="137">
        <f>TrRoad_act!L59</f>
        <v>4997689</v>
      </c>
      <c r="M5" s="137">
        <f>TrRoad_act!M59</f>
        <v>5027461</v>
      </c>
      <c r="N5" s="137">
        <f>TrRoad_act!N59</f>
        <v>5021965</v>
      </c>
      <c r="O5" s="137">
        <f>TrRoad_act!O59</f>
        <v>4998320</v>
      </c>
      <c r="P5" s="137">
        <f>TrRoad_act!P59</f>
        <v>5033209</v>
      </c>
      <c r="Q5" s="137">
        <f>TrRoad_act!Q59</f>
        <v>5102674</v>
      </c>
      <c r="R5" s="137">
        <f>TrRoad_act!R59</f>
        <v>5199012</v>
      </c>
      <c r="S5" s="137">
        <f>TrRoad_act!S59</f>
        <v>5284804</v>
      </c>
      <c r="T5" s="137">
        <f>TrRoad_act!T59</f>
        <v>5393201</v>
      </c>
      <c r="U5" s="137">
        <f>TrRoad_act!U59</f>
        <v>5515718</v>
      </c>
      <c r="V5" s="137">
        <f>TrRoad_act!V59</f>
        <v>5627674</v>
      </c>
      <c r="W5" s="137">
        <f>TrRoad_act!W59</f>
        <v>5724606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17466814</v>
      </c>
      <c r="C6" s="110">
        <f>TrRoad_act!C60</f>
        <v>18151000</v>
      </c>
      <c r="D6" s="110">
        <f>TrRoad_act!D60</f>
        <v>18733000</v>
      </c>
      <c r="E6" s="110">
        <f>TrRoad_act!E60</f>
        <v>18688000</v>
      </c>
      <c r="F6" s="110">
        <f>TrRoad_act!F60</f>
        <v>19542000</v>
      </c>
      <c r="G6" s="110">
        <f>TrRoad_act!G60</f>
        <v>20250377</v>
      </c>
      <c r="H6" s="110">
        <f>TrRoad_act!H60</f>
        <v>21053000</v>
      </c>
      <c r="I6" s="110">
        <f>TrRoad_act!I60</f>
        <v>21760000</v>
      </c>
      <c r="J6" s="110">
        <f>TrRoad_act!J60</f>
        <v>22145000</v>
      </c>
      <c r="K6" s="110">
        <f>TrRoad_act!K60</f>
        <v>21984000</v>
      </c>
      <c r="L6" s="110">
        <f>TrRoad_act!L60</f>
        <v>22148000</v>
      </c>
      <c r="M6" s="110">
        <f>TrRoad_act!M60</f>
        <v>22277000</v>
      </c>
      <c r="N6" s="110">
        <f>TrRoad_act!N60</f>
        <v>22248000</v>
      </c>
      <c r="O6" s="110">
        <f>TrRoad_act!O60</f>
        <v>22024538</v>
      </c>
      <c r="P6" s="110">
        <f>TrRoad_act!P60</f>
        <v>22029512</v>
      </c>
      <c r="Q6" s="110">
        <f>TrRoad_act!Q60</f>
        <v>22355549</v>
      </c>
      <c r="R6" s="110">
        <f>TrRoad_act!R60</f>
        <v>22876830</v>
      </c>
      <c r="S6" s="110">
        <f>TrRoad_act!S60</f>
        <v>23500401</v>
      </c>
      <c r="T6" s="110">
        <f>TrRoad_act!T60</f>
        <v>24074151</v>
      </c>
      <c r="U6" s="110">
        <f>TrRoad_act!U60</f>
        <v>24558126</v>
      </c>
      <c r="V6" s="110">
        <f>TrRoad_act!V60</f>
        <v>24716898</v>
      </c>
      <c r="W6" s="110">
        <f>TrRoad_act!W60</f>
        <v>24913132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12747000</v>
      </c>
      <c r="C7" s="84">
        <f>TrRoad_act!C61</f>
        <v>12783451</v>
      </c>
      <c r="D7" s="84">
        <f>TrRoad_act!D61</f>
        <v>12716658</v>
      </c>
      <c r="E7" s="84">
        <f>TrRoad_act!E61</f>
        <v>12085193</v>
      </c>
      <c r="F7" s="84">
        <f>TrRoad_act!F61</f>
        <v>12024101</v>
      </c>
      <c r="G7" s="84">
        <f>TrRoad_act!G61</f>
        <v>11840477</v>
      </c>
      <c r="H7" s="84">
        <f>TrRoad_act!H61</f>
        <v>11662923</v>
      </c>
      <c r="I7" s="84">
        <f>TrRoad_act!I61</f>
        <v>11497796</v>
      </c>
      <c r="J7" s="84">
        <f>TrRoad_act!J61</f>
        <v>11345358</v>
      </c>
      <c r="K7" s="84">
        <f>TrRoad_act!K61</f>
        <v>10903549</v>
      </c>
      <c r="L7" s="84">
        <f>TrRoad_act!L61</f>
        <v>10682509</v>
      </c>
      <c r="M7" s="84">
        <f>TrRoad_act!M61</f>
        <v>10520117</v>
      </c>
      <c r="N7" s="84">
        <f>TrRoad_act!N61</f>
        <v>10316522</v>
      </c>
      <c r="O7" s="84">
        <f>TrRoad_act!O61</f>
        <v>9960178</v>
      </c>
      <c r="P7" s="84">
        <f>TrRoad_act!P61</f>
        <v>9707492</v>
      </c>
      <c r="Q7" s="84">
        <f>TrRoad_act!Q61</f>
        <v>9686021</v>
      </c>
      <c r="R7" s="84">
        <f>TrRoad_act!R61</f>
        <v>9811541</v>
      </c>
      <c r="S7" s="84">
        <f>TrRoad_act!S61</f>
        <v>10083874</v>
      </c>
      <c r="T7" s="84">
        <f>TrRoad_act!T61</f>
        <v>10489252</v>
      </c>
      <c r="U7" s="84">
        <f>TrRoad_act!U61</f>
        <v>10921401</v>
      </c>
      <c r="V7" s="84">
        <f>TrRoad_act!V61</f>
        <v>11090744</v>
      </c>
      <c r="W7" s="84">
        <f>TrRoad_act!W61</f>
        <v>11318414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4702000</v>
      </c>
      <c r="C8" s="84">
        <f>TrRoad_act!C62</f>
        <v>5349749</v>
      </c>
      <c r="D8" s="84">
        <f>TrRoad_act!D62</f>
        <v>5998179</v>
      </c>
      <c r="E8" s="84">
        <f>TrRoad_act!E62</f>
        <v>6586110</v>
      </c>
      <c r="F8" s="84">
        <f>TrRoad_act!F62</f>
        <v>7500202</v>
      </c>
      <c r="G8" s="84">
        <f>TrRoad_act!G62</f>
        <v>8395305</v>
      </c>
      <c r="H8" s="84">
        <f>TrRoad_act!H62</f>
        <v>9374085</v>
      </c>
      <c r="I8" s="84">
        <f>TrRoad_act!I62</f>
        <v>10248239</v>
      </c>
      <c r="J8" s="84">
        <f>TrRoad_act!J62</f>
        <v>10787869</v>
      </c>
      <c r="K8" s="84">
        <f>TrRoad_act!K62</f>
        <v>11066792</v>
      </c>
      <c r="L8" s="84">
        <f>TrRoad_act!L62</f>
        <v>11450215</v>
      </c>
      <c r="M8" s="84">
        <f>TrRoad_act!M62</f>
        <v>11740176</v>
      </c>
      <c r="N8" s="84">
        <f>TrRoad_act!N62</f>
        <v>11905367</v>
      </c>
      <c r="O8" s="84">
        <f>TrRoad_act!O62</f>
        <v>12034952</v>
      </c>
      <c r="P8" s="84">
        <f>TrRoad_act!P62</f>
        <v>12289257</v>
      </c>
      <c r="Q8" s="84">
        <f>TrRoad_act!Q62</f>
        <v>12631929</v>
      </c>
      <c r="R8" s="84">
        <f>TrRoad_act!R62</f>
        <v>13022580</v>
      </c>
      <c r="S8" s="84">
        <f>TrRoad_act!S62</f>
        <v>13362142</v>
      </c>
      <c r="T8" s="84">
        <f>TrRoad_act!T62</f>
        <v>13497031</v>
      </c>
      <c r="U8" s="84">
        <f>TrRoad_act!U62</f>
        <v>13518565</v>
      </c>
      <c r="V8" s="84">
        <f>TrRoad_act!V62</f>
        <v>13462996</v>
      </c>
      <c r="W8" s="84">
        <f>TrRoad_act!W62</f>
        <v>13358414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17814</v>
      </c>
      <c r="C9" s="84">
        <f>TrRoad_act!C63</f>
        <v>17800</v>
      </c>
      <c r="D9" s="84">
        <f>TrRoad_act!D63</f>
        <v>18163</v>
      </c>
      <c r="E9" s="84">
        <f>TrRoad_act!E63</f>
        <v>16697</v>
      </c>
      <c r="F9" s="84">
        <f>TrRoad_act!F63</f>
        <v>16012</v>
      </c>
      <c r="G9" s="84">
        <f>TrRoad_act!G63</f>
        <v>10909</v>
      </c>
      <c r="H9" s="84">
        <f>TrRoad_act!H63</f>
        <v>9880</v>
      </c>
      <c r="I9" s="84">
        <f>TrRoad_act!I63</f>
        <v>7951</v>
      </c>
      <c r="J9" s="84">
        <f>TrRoad_act!J63</f>
        <v>5564</v>
      </c>
      <c r="K9" s="84">
        <f>TrRoad_act!K63</f>
        <v>7330</v>
      </c>
      <c r="L9" s="84">
        <f>TrRoad_act!L63</f>
        <v>8678</v>
      </c>
      <c r="M9" s="84">
        <f>TrRoad_act!M63</f>
        <v>9671</v>
      </c>
      <c r="N9" s="84">
        <f>TrRoad_act!N63</f>
        <v>14184</v>
      </c>
      <c r="O9" s="84">
        <f>TrRoad_act!O63</f>
        <v>15027</v>
      </c>
      <c r="P9" s="84">
        <f>TrRoad_act!P63</f>
        <v>17852</v>
      </c>
      <c r="Q9" s="84">
        <f>TrRoad_act!Q63</f>
        <v>20517</v>
      </c>
      <c r="R9" s="84">
        <f>TrRoad_act!R63</f>
        <v>21938</v>
      </c>
      <c r="S9" s="84">
        <f>TrRoad_act!S63</f>
        <v>25580</v>
      </c>
      <c r="T9" s="84">
        <f>TrRoad_act!T63</f>
        <v>43500</v>
      </c>
      <c r="U9" s="84">
        <f>TrRoad_act!U63</f>
        <v>55994</v>
      </c>
      <c r="V9" s="84">
        <f>TrRoad_act!V63</f>
        <v>58837</v>
      </c>
      <c r="W9" s="84">
        <f>TrRoad_act!W63</f>
        <v>60784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1685</v>
      </c>
      <c r="G10" s="84">
        <f>TrRoad_act!G64</f>
        <v>3686</v>
      </c>
      <c r="H10" s="84">
        <f>TrRoad_act!H64</f>
        <v>6112</v>
      </c>
      <c r="I10" s="84">
        <f>TrRoad_act!I64</f>
        <v>6014</v>
      </c>
      <c r="J10" s="84">
        <f>TrRoad_act!J64</f>
        <v>6209</v>
      </c>
      <c r="K10" s="84">
        <f>TrRoad_act!K64</f>
        <v>6328</v>
      </c>
      <c r="L10" s="84">
        <f>TrRoad_act!L64</f>
        <v>6522</v>
      </c>
      <c r="M10" s="84">
        <f>TrRoad_act!M64</f>
        <v>6460</v>
      </c>
      <c r="N10" s="84">
        <f>TrRoad_act!N64</f>
        <v>10795</v>
      </c>
      <c r="O10" s="84">
        <f>TrRoad_act!O64</f>
        <v>12170</v>
      </c>
      <c r="P10" s="84">
        <f>TrRoad_act!P64</f>
        <v>11467</v>
      </c>
      <c r="Q10" s="84">
        <f>TrRoad_act!Q64</f>
        <v>11234</v>
      </c>
      <c r="R10" s="84">
        <f>TrRoad_act!R64</f>
        <v>11156</v>
      </c>
      <c r="S10" s="84">
        <f>TrRoad_act!S64</f>
        <v>12077</v>
      </c>
      <c r="T10" s="84">
        <f>TrRoad_act!T64</f>
        <v>15666</v>
      </c>
      <c r="U10" s="84">
        <f>TrRoad_act!U64</f>
        <v>15645</v>
      </c>
      <c r="V10" s="84">
        <f>TrRoad_act!V64</f>
        <v>15783</v>
      </c>
      <c r="W10" s="84">
        <f>TrRoad_act!W64</f>
        <v>16286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8</v>
      </c>
      <c r="N11" s="84">
        <f>TrRoad_act!N65</f>
        <v>109</v>
      </c>
      <c r="O11" s="84">
        <f>TrRoad_act!O65</f>
        <v>190</v>
      </c>
      <c r="P11" s="84">
        <f>TrRoad_act!P65</f>
        <v>612</v>
      </c>
      <c r="Q11" s="84">
        <f>TrRoad_act!Q65</f>
        <v>1368</v>
      </c>
      <c r="R11" s="84">
        <f>TrRoad_act!R65</f>
        <v>3131</v>
      </c>
      <c r="S11" s="84">
        <f>TrRoad_act!S65</f>
        <v>6583</v>
      </c>
      <c r="T11" s="84">
        <f>TrRoad_act!T65</f>
        <v>12295</v>
      </c>
      <c r="U11" s="84">
        <f>TrRoad_act!U65</f>
        <v>19722</v>
      </c>
      <c r="V11" s="84">
        <f>TrRoad_act!V65</f>
        <v>43481</v>
      </c>
      <c r="W11" s="84">
        <f>TrRoad_act!W65</f>
        <v>86496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1</v>
      </c>
      <c r="L12" s="84">
        <f>TrRoad_act!L66</f>
        <v>76</v>
      </c>
      <c r="M12" s="84">
        <f>TrRoad_act!M66</f>
        <v>568</v>
      </c>
      <c r="N12" s="84">
        <f>TrRoad_act!N66</f>
        <v>1023</v>
      </c>
      <c r="O12" s="84">
        <f>TrRoad_act!O66</f>
        <v>2021</v>
      </c>
      <c r="P12" s="84">
        <f>TrRoad_act!P66</f>
        <v>2832</v>
      </c>
      <c r="Q12" s="84">
        <f>TrRoad_act!Q66</f>
        <v>4480</v>
      </c>
      <c r="R12" s="84">
        <f>TrRoad_act!R66</f>
        <v>6484</v>
      </c>
      <c r="S12" s="84">
        <f>TrRoad_act!S66</f>
        <v>10145</v>
      </c>
      <c r="T12" s="84">
        <f>TrRoad_act!T66</f>
        <v>16407</v>
      </c>
      <c r="U12" s="84">
        <f>TrRoad_act!U66</f>
        <v>26799</v>
      </c>
      <c r="V12" s="84">
        <f>TrRoad_act!V66</f>
        <v>45057</v>
      </c>
      <c r="W12" s="84">
        <f>TrRoad_act!W66</f>
        <v>72738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54848</v>
      </c>
      <c r="C13" s="110">
        <f>TrRoad_act!C67</f>
        <v>56262</v>
      </c>
      <c r="D13" s="110">
        <f>TrRoad_act!D67</f>
        <v>56961</v>
      </c>
      <c r="E13" s="110">
        <f>TrRoad_act!E67</f>
        <v>56181</v>
      </c>
      <c r="F13" s="110">
        <f>TrRoad_act!F67</f>
        <v>57201</v>
      </c>
      <c r="G13" s="110">
        <f>TrRoad_act!G67</f>
        <v>58248</v>
      </c>
      <c r="H13" s="110">
        <f>TrRoad_act!H67</f>
        <v>60507</v>
      </c>
      <c r="I13" s="110">
        <f>TrRoad_act!I67</f>
        <v>61198</v>
      </c>
      <c r="J13" s="110">
        <f>TrRoad_act!J67</f>
        <v>62225</v>
      </c>
      <c r="K13" s="110">
        <f>TrRoad_act!K67</f>
        <v>62663</v>
      </c>
      <c r="L13" s="110">
        <f>TrRoad_act!L67</f>
        <v>62445</v>
      </c>
      <c r="M13" s="110">
        <f>TrRoad_act!M67</f>
        <v>62358</v>
      </c>
      <c r="N13" s="110">
        <f>TrRoad_act!N67</f>
        <v>62358</v>
      </c>
      <c r="O13" s="110">
        <f>TrRoad_act!O67</f>
        <v>59892</v>
      </c>
      <c r="P13" s="110">
        <f>TrRoad_act!P67</f>
        <v>59799</v>
      </c>
      <c r="Q13" s="110">
        <f>TrRoad_act!Q67</f>
        <v>60252</v>
      </c>
      <c r="R13" s="110">
        <f>TrRoad_act!R67</f>
        <v>61838</v>
      </c>
      <c r="S13" s="110">
        <f>TrRoad_act!S67</f>
        <v>45491</v>
      </c>
      <c r="T13" s="110">
        <f>TrRoad_act!T67</f>
        <v>46577</v>
      </c>
      <c r="U13" s="110">
        <f>TrRoad_act!U67</f>
        <v>47411</v>
      </c>
      <c r="V13" s="110">
        <f>TrRoad_act!V67</f>
        <v>46367</v>
      </c>
      <c r="W13" s="110">
        <f>TrRoad_act!W67</f>
        <v>47156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964</v>
      </c>
      <c r="C14" s="102">
        <f>TrRoad_act!C68</f>
        <v>988</v>
      </c>
      <c r="D14" s="102">
        <f>TrRoad_act!D68</f>
        <v>1036</v>
      </c>
      <c r="E14" s="102">
        <f>TrRoad_act!E68</f>
        <v>1018</v>
      </c>
      <c r="F14" s="102">
        <f>TrRoad_act!F68</f>
        <v>1006</v>
      </c>
      <c r="G14" s="102">
        <f>TrRoad_act!G68</f>
        <v>920</v>
      </c>
      <c r="H14" s="102">
        <f>TrRoad_act!H68</f>
        <v>900</v>
      </c>
      <c r="I14" s="102">
        <f>TrRoad_act!I68</f>
        <v>1000</v>
      </c>
      <c r="J14" s="102">
        <f>TrRoad_act!J68</f>
        <v>930</v>
      </c>
      <c r="K14" s="102">
        <f>TrRoad_act!K68</f>
        <v>864</v>
      </c>
      <c r="L14" s="102">
        <f>TrRoad_act!L68</f>
        <v>817</v>
      </c>
      <c r="M14" s="102">
        <f>TrRoad_act!M68</f>
        <v>783</v>
      </c>
      <c r="N14" s="102">
        <f>TrRoad_act!N68</f>
        <v>743</v>
      </c>
      <c r="O14" s="102">
        <f>TrRoad_act!O68</f>
        <v>710</v>
      </c>
      <c r="P14" s="102">
        <f>TrRoad_act!P68</f>
        <v>682</v>
      </c>
      <c r="Q14" s="102">
        <f>TrRoad_act!Q68</f>
        <v>649</v>
      </c>
      <c r="R14" s="102">
        <f>TrRoad_act!R68</f>
        <v>627</v>
      </c>
      <c r="S14" s="102">
        <f>TrRoad_act!S68</f>
        <v>601</v>
      </c>
      <c r="T14" s="102">
        <f>TrRoad_act!T68</f>
        <v>562</v>
      </c>
      <c r="U14" s="102">
        <f>TrRoad_act!U68</f>
        <v>522</v>
      </c>
      <c r="V14" s="102">
        <f>TrRoad_act!V68</f>
        <v>481</v>
      </c>
      <c r="W14" s="102">
        <f>TrRoad_act!W68</f>
        <v>448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53768</v>
      </c>
      <c r="C15" s="102">
        <f>TrRoad_act!C69</f>
        <v>55158</v>
      </c>
      <c r="D15" s="102">
        <f>TrRoad_act!D69</f>
        <v>55917</v>
      </c>
      <c r="E15" s="102">
        <f>TrRoad_act!E69</f>
        <v>54975</v>
      </c>
      <c r="F15" s="102">
        <f>TrRoad_act!F69</f>
        <v>55951</v>
      </c>
      <c r="G15" s="102">
        <f>TrRoad_act!G69</f>
        <v>57049</v>
      </c>
      <c r="H15" s="102">
        <f>TrRoad_act!H69</f>
        <v>59300</v>
      </c>
      <c r="I15" s="102">
        <f>TrRoad_act!I69</f>
        <v>59800</v>
      </c>
      <c r="J15" s="102">
        <f>TrRoad_act!J69</f>
        <v>60924</v>
      </c>
      <c r="K15" s="102">
        <f>TrRoad_act!K69</f>
        <v>61425</v>
      </c>
      <c r="L15" s="102">
        <f>TrRoad_act!L69</f>
        <v>61254</v>
      </c>
      <c r="M15" s="102">
        <f>TrRoad_act!M69</f>
        <v>61202</v>
      </c>
      <c r="N15" s="102">
        <f>TrRoad_act!N69</f>
        <v>61240</v>
      </c>
      <c r="O15" s="102">
        <f>TrRoad_act!O69</f>
        <v>58821</v>
      </c>
      <c r="P15" s="102">
        <f>TrRoad_act!P69</f>
        <v>58717</v>
      </c>
      <c r="Q15" s="102">
        <f>TrRoad_act!Q69</f>
        <v>57959</v>
      </c>
      <c r="R15" s="102">
        <f>TrRoad_act!R69</f>
        <v>59216</v>
      </c>
      <c r="S15" s="102">
        <f>TrRoad_act!S69</f>
        <v>42555</v>
      </c>
      <c r="T15" s="102">
        <f>TrRoad_act!T69</f>
        <v>43263</v>
      </c>
      <c r="U15" s="102">
        <f>TrRoad_act!U69</f>
        <v>43315</v>
      </c>
      <c r="V15" s="102">
        <f>TrRoad_act!V69</f>
        <v>41701</v>
      </c>
      <c r="W15" s="102">
        <f>TrRoad_act!W69</f>
        <v>42106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4</v>
      </c>
      <c r="Q16" s="102">
        <f>TrRoad_act!Q70</f>
        <v>103</v>
      </c>
      <c r="R16" s="102">
        <f>TrRoad_act!R70</f>
        <v>105</v>
      </c>
      <c r="S16" s="102">
        <f>TrRoad_act!S70</f>
        <v>105</v>
      </c>
      <c r="T16" s="102">
        <f>TrRoad_act!T70</f>
        <v>96</v>
      </c>
      <c r="U16" s="102">
        <f>TrRoad_act!U70</f>
        <v>122</v>
      </c>
      <c r="V16" s="102">
        <f>TrRoad_act!V70</f>
        <v>156</v>
      </c>
      <c r="W16" s="102">
        <f>TrRoad_act!W70</f>
        <v>334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116</v>
      </c>
      <c r="C17" s="102">
        <f>TrRoad_act!C71</f>
        <v>116</v>
      </c>
      <c r="D17" s="102">
        <f>TrRoad_act!D71</f>
        <v>8</v>
      </c>
      <c r="E17" s="102">
        <f>TrRoad_act!E71</f>
        <v>188</v>
      </c>
      <c r="F17" s="102">
        <f>TrRoad_act!F71</f>
        <v>244</v>
      </c>
      <c r="G17" s="102">
        <f>TrRoad_act!G71</f>
        <v>279</v>
      </c>
      <c r="H17" s="102">
        <f>TrRoad_act!H71</f>
        <v>307</v>
      </c>
      <c r="I17" s="102">
        <f>TrRoad_act!I71</f>
        <v>398</v>
      </c>
      <c r="J17" s="102">
        <f>TrRoad_act!J71</f>
        <v>371</v>
      </c>
      <c r="K17" s="102">
        <f>TrRoad_act!K71</f>
        <v>374</v>
      </c>
      <c r="L17" s="102">
        <f>TrRoad_act!L71</f>
        <v>374</v>
      </c>
      <c r="M17" s="102">
        <f>TrRoad_act!M71</f>
        <v>373</v>
      </c>
      <c r="N17" s="102">
        <f>TrRoad_act!N71</f>
        <v>375</v>
      </c>
      <c r="O17" s="102">
        <f>TrRoad_act!O71</f>
        <v>361</v>
      </c>
      <c r="P17" s="102">
        <f>TrRoad_act!P71</f>
        <v>325</v>
      </c>
      <c r="Q17" s="102">
        <f>TrRoad_act!Q71</f>
        <v>1426</v>
      </c>
      <c r="R17" s="102">
        <f>TrRoad_act!R71</f>
        <v>1731</v>
      </c>
      <c r="S17" s="102">
        <f>TrRoad_act!S71</f>
        <v>2033</v>
      </c>
      <c r="T17" s="102">
        <f>TrRoad_act!T71</f>
        <v>2398</v>
      </c>
      <c r="U17" s="102">
        <f>TrRoad_act!U71</f>
        <v>3029</v>
      </c>
      <c r="V17" s="102">
        <f>TrRoad_act!V71</f>
        <v>3557</v>
      </c>
      <c r="W17" s="102">
        <f>TrRoad_act!W71</f>
        <v>3675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0</v>
      </c>
      <c r="P18" s="102">
        <f>TrRoad_act!P72</f>
        <v>71</v>
      </c>
      <c r="Q18" s="102">
        <f>TrRoad_act!Q72</f>
        <v>115</v>
      </c>
      <c r="R18" s="102">
        <f>TrRoad_act!R72</f>
        <v>159</v>
      </c>
      <c r="S18" s="102">
        <f>TrRoad_act!S72</f>
        <v>197</v>
      </c>
      <c r="T18" s="102">
        <f>TrRoad_act!T72</f>
        <v>258</v>
      </c>
      <c r="U18" s="102">
        <f>TrRoad_act!U72</f>
        <v>423</v>
      </c>
      <c r="V18" s="102">
        <f>TrRoad_act!V72</f>
        <v>472</v>
      </c>
      <c r="W18" s="102">
        <f>TrRoad_act!W72</f>
        <v>593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3505125</v>
      </c>
      <c r="C19" s="28">
        <f>TrRoad_act!C73</f>
        <v>3622212</v>
      </c>
      <c r="D19" s="28">
        <f>TrRoad_act!D73</f>
        <v>3563647</v>
      </c>
      <c r="E19" s="28">
        <f>TrRoad_act!E73</f>
        <v>3681591</v>
      </c>
      <c r="F19" s="28">
        <f>TrRoad_act!F73</f>
        <v>3906054</v>
      </c>
      <c r="G19" s="28">
        <f>TrRoad_act!G73</f>
        <v>3996438</v>
      </c>
      <c r="H19" s="28">
        <f>TrRoad_act!H73</f>
        <v>4064325</v>
      </c>
      <c r="I19" s="28">
        <f>TrRoad_act!I73</f>
        <v>4709281</v>
      </c>
      <c r="J19" s="28">
        <f>TrRoad_act!J73</f>
        <v>4385063</v>
      </c>
      <c r="K19" s="28">
        <f>TrRoad_act!K73</f>
        <v>3831472</v>
      </c>
      <c r="L19" s="28">
        <f>TrRoad_act!L73</f>
        <v>3645913</v>
      </c>
      <c r="M19" s="28">
        <f>TrRoad_act!M73</f>
        <v>3496793</v>
      </c>
      <c r="N19" s="28">
        <f>TrRoad_act!N73</f>
        <v>3250465</v>
      </c>
      <c r="O19" s="28">
        <f>TrRoad_act!O73</f>
        <v>2984897</v>
      </c>
      <c r="P19" s="28">
        <f>TrRoad_act!P73</f>
        <v>3079523</v>
      </c>
      <c r="Q19" s="28">
        <f>TrRoad_act!Q73</f>
        <v>3344528</v>
      </c>
      <c r="R19" s="28">
        <f>TrRoad_act!R73</f>
        <v>3291557</v>
      </c>
      <c r="S19" s="28">
        <f>TrRoad_act!S73</f>
        <v>3356079</v>
      </c>
      <c r="T19" s="28">
        <f>TrRoad_act!T73</f>
        <v>3424222</v>
      </c>
      <c r="U19" s="28">
        <f>TrRoad_act!U73</f>
        <v>3472250</v>
      </c>
      <c r="V19" s="28">
        <f>TrRoad_act!V73</f>
        <v>3492295</v>
      </c>
      <c r="W19" s="28">
        <f>TrRoad_act!W73</f>
        <v>3516416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2891834</v>
      </c>
      <c r="C20" s="137">
        <f>TrRoad_act!C74</f>
        <v>2982968</v>
      </c>
      <c r="D20" s="137">
        <f>TrRoad_act!D74</f>
        <v>2906938</v>
      </c>
      <c r="E20" s="137">
        <f>TrRoad_act!E74</f>
        <v>2996438</v>
      </c>
      <c r="F20" s="137">
        <f>TrRoad_act!F74</f>
        <v>3206773</v>
      </c>
      <c r="G20" s="137">
        <f>TrRoad_act!G74</f>
        <v>3279859</v>
      </c>
      <c r="H20" s="137">
        <f>TrRoad_act!H74</f>
        <v>3328697</v>
      </c>
      <c r="I20" s="137">
        <f>TrRoad_act!I74</f>
        <v>3949516</v>
      </c>
      <c r="J20" s="137">
        <f>TrRoad_act!J74</f>
        <v>3626082</v>
      </c>
      <c r="K20" s="137">
        <f>TrRoad_act!K74</f>
        <v>3088449</v>
      </c>
      <c r="L20" s="137">
        <f>TrRoad_act!L74</f>
        <v>2923723</v>
      </c>
      <c r="M20" s="137">
        <f>TrRoad_act!M74</f>
        <v>2791808</v>
      </c>
      <c r="N20" s="137">
        <f>TrRoad_act!N74</f>
        <v>2571941</v>
      </c>
      <c r="O20" s="137">
        <f>TrRoad_act!O74</f>
        <v>2483314</v>
      </c>
      <c r="P20" s="137">
        <f>TrRoad_act!P74</f>
        <v>2576691</v>
      </c>
      <c r="Q20" s="137">
        <f>TrRoad_act!Q74</f>
        <v>2834711</v>
      </c>
      <c r="R20" s="137">
        <f>TrRoad_act!R74</f>
        <v>2766056</v>
      </c>
      <c r="S20" s="137">
        <f>TrRoad_act!S74</f>
        <v>2819356</v>
      </c>
      <c r="T20" s="137">
        <f>TrRoad_act!T74</f>
        <v>2876732</v>
      </c>
      <c r="U20" s="137">
        <f>TrRoad_act!U74</f>
        <v>2913005</v>
      </c>
      <c r="V20" s="137">
        <f>TrRoad_act!V74</f>
        <v>2926539</v>
      </c>
      <c r="W20" s="137">
        <f>TrRoad_act!W74</f>
        <v>2949771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291921</v>
      </c>
      <c r="C21" s="84">
        <f>TrRoad_act!C75</f>
        <v>276921</v>
      </c>
      <c r="D21" s="84">
        <f>TrRoad_act!D75</f>
        <v>201920</v>
      </c>
      <c r="E21" s="84">
        <f>TrRoad_act!E75</f>
        <v>171916</v>
      </c>
      <c r="F21" s="84">
        <f>TrRoad_act!F75</f>
        <v>149872</v>
      </c>
      <c r="G21" s="84">
        <f>TrRoad_act!G75</f>
        <v>126437</v>
      </c>
      <c r="H21" s="84">
        <f>TrRoad_act!H75</f>
        <v>107182</v>
      </c>
      <c r="I21" s="84">
        <f>TrRoad_act!I75</f>
        <v>99851</v>
      </c>
      <c r="J21" s="84">
        <f>TrRoad_act!J75</f>
        <v>84046</v>
      </c>
      <c r="K21" s="84">
        <f>TrRoad_act!K75</f>
        <v>74117</v>
      </c>
      <c r="L21" s="84">
        <f>TrRoad_act!L75</f>
        <v>68911</v>
      </c>
      <c r="M21" s="84">
        <f>TrRoad_act!M75</f>
        <v>71065</v>
      </c>
      <c r="N21" s="84">
        <f>TrRoad_act!N75</f>
        <v>71610</v>
      </c>
      <c r="O21" s="84">
        <f>TrRoad_act!O75</f>
        <v>68431</v>
      </c>
      <c r="P21" s="84">
        <f>TrRoad_act!P75</f>
        <v>48644</v>
      </c>
      <c r="Q21" s="84">
        <f>TrRoad_act!Q75</f>
        <v>51208</v>
      </c>
      <c r="R21" s="84">
        <f>TrRoad_act!R75</f>
        <v>47594</v>
      </c>
      <c r="S21" s="84">
        <f>TrRoad_act!S75</f>
        <v>53676</v>
      </c>
      <c r="T21" s="84">
        <f>TrRoad_act!T75</f>
        <v>58847</v>
      </c>
      <c r="U21" s="84">
        <f>TrRoad_act!U75</f>
        <v>63368</v>
      </c>
      <c r="V21" s="84">
        <f>TrRoad_act!V75</f>
        <v>62820</v>
      </c>
      <c r="W21" s="84">
        <f>TrRoad_act!W75</f>
        <v>71584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2599913</v>
      </c>
      <c r="C22" s="84">
        <f>TrRoad_act!C76</f>
        <v>2706047</v>
      </c>
      <c r="D22" s="84">
        <f>TrRoad_act!D76</f>
        <v>2705018</v>
      </c>
      <c r="E22" s="84">
        <f>TrRoad_act!E76</f>
        <v>2824522</v>
      </c>
      <c r="F22" s="84">
        <f>TrRoad_act!F76</f>
        <v>3056901</v>
      </c>
      <c r="G22" s="84">
        <f>TrRoad_act!G76</f>
        <v>3153422</v>
      </c>
      <c r="H22" s="84">
        <f>TrRoad_act!H76</f>
        <v>3221515</v>
      </c>
      <c r="I22" s="84">
        <f>TrRoad_act!I76</f>
        <v>3849665</v>
      </c>
      <c r="J22" s="84">
        <f>TrRoad_act!J76</f>
        <v>3542036</v>
      </c>
      <c r="K22" s="84">
        <f>TrRoad_act!K76</f>
        <v>3014332</v>
      </c>
      <c r="L22" s="84">
        <f>TrRoad_act!L76</f>
        <v>2854812</v>
      </c>
      <c r="M22" s="84">
        <f>TrRoad_act!M76</f>
        <v>2720719</v>
      </c>
      <c r="N22" s="84">
        <f>TrRoad_act!N76</f>
        <v>2500095</v>
      </c>
      <c r="O22" s="84">
        <f>TrRoad_act!O76</f>
        <v>2414667</v>
      </c>
      <c r="P22" s="84">
        <f>TrRoad_act!P76</f>
        <v>2527258</v>
      </c>
      <c r="Q22" s="84">
        <f>TrRoad_act!Q76</f>
        <v>2781289</v>
      </c>
      <c r="R22" s="84">
        <f>TrRoad_act!R76</f>
        <v>2713798</v>
      </c>
      <c r="S22" s="84">
        <f>TrRoad_act!S76</f>
        <v>2759006</v>
      </c>
      <c r="T22" s="84">
        <f>TrRoad_act!T76</f>
        <v>2806220</v>
      </c>
      <c r="U22" s="84">
        <f>TrRoad_act!U76</f>
        <v>2828824</v>
      </c>
      <c r="V22" s="84">
        <f>TrRoad_act!V76</f>
        <v>2837776</v>
      </c>
      <c r="W22" s="84">
        <f>TrRoad_act!W76</f>
        <v>2846196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2</v>
      </c>
      <c r="P23" s="84">
        <f>TrRoad_act!P77</f>
        <v>240</v>
      </c>
      <c r="Q23" s="84">
        <f>TrRoad_act!Q77</f>
        <v>567</v>
      </c>
      <c r="R23" s="84">
        <f>TrRoad_act!R77</f>
        <v>1838</v>
      </c>
      <c r="S23" s="84">
        <f>TrRoad_act!S77</f>
        <v>2633</v>
      </c>
      <c r="T23" s="84">
        <f>TrRoad_act!T77</f>
        <v>4885</v>
      </c>
      <c r="U23" s="84">
        <f>TrRoad_act!U77</f>
        <v>10822</v>
      </c>
      <c r="V23" s="84">
        <f>TrRoad_act!V77</f>
        <v>12900</v>
      </c>
      <c r="W23" s="84">
        <f>TrRoad_act!W77</f>
        <v>15818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15</v>
      </c>
      <c r="O24" s="84">
        <f>TrRoad_act!O78</f>
        <v>99</v>
      </c>
      <c r="P24" s="84">
        <f>TrRoad_act!P78</f>
        <v>172</v>
      </c>
      <c r="Q24" s="84">
        <f>TrRoad_act!Q78</f>
        <v>542</v>
      </c>
      <c r="R24" s="84">
        <f>TrRoad_act!R78</f>
        <v>736</v>
      </c>
      <c r="S24" s="84">
        <f>TrRoad_act!S78</f>
        <v>1083</v>
      </c>
      <c r="T24" s="84">
        <f>TrRoad_act!T78</f>
        <v>2021</v>
      </c>
      <c r="U24" s="84">
        <f>TrRoad_act!U78</f>
        <v>3688</v>
      </c>
      <c r="V24" s="84">
        <f>TrRoad_act!V78</f>
        <v>5106</v>
      </c>
      <c r="W24" s="84">
        <f>TrRoad_act!W78</f>
        <v>5677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24</v>
      </c>
      <c r="N25" s="84">
        <f>TrRoad_act!N79</f>
        <v>221</v>
      </c>
      <c r="O25" s="84">
        <f>TrRoad_act!O79</f>
        <v>115</v>
      </c>
      <c r="P25" s="84">
        <f>TrRoad_act!P79</f>
        <v>377</v>
      </c>
      <c r="Q25" s="84">
        <f>TrRoad_act!Q79</f>
        <v>1105</v>
      </c>
      <c r="R25" s="84">
        <f>TrRoad_act!R79</f>
        <v>2090</v>
      </c>
      <c r="S25" s="84">
        <f>TrRoad_act!S79</f>
        <v>2958</v>
      </c>
      <c r="T25" s="84">
        <f>TrRoad_act!T79</f>
        <v>4759</v>
      </c>
      <c r="U25" s="84">
        <f>TrRoad_act!U79</f>
        <v>6303</v>
      </c>
      <c r="V25" s="84">
        <f>TrRoad_act!V79</f>
        <v>7937</v>
      </c>
      <c r="W25" s="84">
        <f>TrRoad_act!W79</f>
        <v>10496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613291</v>
      </c>
      <c r="C26" s="110">
        <f>TrRoad_act!C80</f>
        <v>639244</v>
      </c>
      <c r="D26" s="110">
        <f>TrRoad_act!D80</f>
        <v>656709</v>
      </c>
      <c r="E26" s="110">
        <f>TrRoad_act!E80</f>
        <v>685153</v>
      </c>
      <c r="F26" s="110">
        <f>TrRoad_act!F80</f>
        <v>699281</v>
      </c>
      <c r="G26" s="110">
        <f>TrRoad_act!G80</f>
        <v>716579</v>
      </c>
      <c r="H26" s="110">
        <f>TrRoad_act!H80</f>
        <v>735628</v>
      </c>
      <c r="I26" s="110">
        <f>TrRoad_act!I80</f>
        <v>759765</v>
      </c>
      <c r="J26" s="110">
        <f>TrRoad_act!J80</f>
        <v>758981</v>
      </c>
      <c r="K26" s="110">
        <f>TrRoad_act!K80</f>
        <v>743023</v>
      </c>
      <c r="L26" s="110">
        <f>TrRoad_act!L80</f>
        <v>722190</v>
      </c>
      <c r="M26" s="110">
        <f>TrRoad_act!M80</f>
        <v>704985</v>
      </c>
      <c r="N26" s="110">
        <f>TrRoad_act!N80</f>
        <v>678524</v>
      </c>
      <c r="O26" s="110">
        <f>TrRoad_act!O80</f>
        <v>501583</v>
      </c>
      <c r="P26" s="110">
        <f>TrRoad_act!P80</f>
        <v>502832</v>
      </c>
      <c r="Q26" s="110">
        <f>TrRoad_act!Q80</f>
        <v>509817</v>
      </c>
      <c r="R26" s="110">
        <f>TrRoad_act!R80</f>
        <v>525501</v>
      </c>
      <c r="S26" s="110">
        <f>TrRoad_act!S80</f>
        <v>536723</v>
      </c>
      <c r="T26" s="110">
        <f>TrRoad_act!T80</f>
        <v>547490</v>
      </c>
      <c r="U26" s="110">
        <f>TrRoad_act!U80</f>
        <v>559245</v>
      </c>
      <c r="V26" s="110">
        <f>TrRoad_act!V80</f>
        <v>565756</v>
      </c>
      <c r="W26" s="110">
        <f>TrRoad_act!W80</f>
        <v>566645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586880</v>
      </c>
      <c r="C27" s="102">
        <f>TrRoad_act!C81</f>
        <v>610928</v>
      </c>
      <c r="D27" s="102">
        <f>TrRoad_act!D81</f>
        <v>626919</v>
      </c>
      <c r="E27" s="102">
        <f>TrRoad_act!E81</f>
        <v>654703</v>
      </c>
      <c r="F27" s="102">
        <f>TrRoad_act!F81</f>
        <v>663279</v>
      </c>
      <c r="G27" s="102">
        <f>TrRoad_act!G81</f>
        <v>679321</v>
      </c>
      <c r="H27" s="102">
        <f>TrRoad_act!H81</f>
        <v>697599</v>
      </c>
      <c r="I27" s="102">
        <f>TrRoad_act!I81</f>
        <v>720879</v>
      </c>
      <c r="J27" s="102">
        <f>TrRoad_act!J81</f>
        <v>723358</v>
      </c>
      <c r="K27" s="102">
        <f>TrRoad_act!K81</f>
        <v>710145</v>
      </c>
      <c r="L27" s="102">
        <f>TrRoad_act!L81</f>
        <v>690488</v>
      </c>
      <c r="M27" s="102">
        <f>TrRoad_act!M81</f>
        <v>673731</v>
      </c>
      <c r="N27" s="102">
        <f>TrRoad_act!N81</f>
        <v>648122</v>
      </c>
      <c r="O27" s="102">
        <f>TrRoad_act!O81</f>
        <v>468955</v>
      </c>
      <c r="P27" s="102">
        <f>TrRoad_act!P81</f>
        <v>470417</v>
      </c>
      <c r="Q27" s="102">
        <f>TrRoad_act!Q81</f>
        <v>475579</v>
      </c>
      <c r="R27" s="102">
        <f>TrRoad_act!R81</f>
        <v>490272</v>
      </c>
      <c r="S27" s="102">
        <f>TrRoad_act!S81</f>
        <v>500472</v>
      </c>
      <c r="T27" s="102">
        <f>TrRoad_act!T81</f>
        <v>509970</v>
      </c>
      <c r="U27" s="102">
        <f>TrRoad_act!U81</f>
        <v>520206</v>
      </c>
      <c r="V27" s="102">
        <f>TrRoad_act!V81</f>
        <v>528674</v>
      </c>
      <c r="W27" s="102">
        <f>TrRoad_act!W81</f>
        <v>525906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26411</v>
      </c>
      <c r="C28" s="86">
        <f>TrRoad_act!C82</f>
        <v>28316</v>
      </c>
      <c r="D28" s="86">
        <f>TrRoad_act!D82</f>
        <v>29790</v>
      </c>
      <c r="E28" s="86">
        <f>TrRoad_act!E82</f>
        <v>30450</v>
      </c>
      <c r="F28" s="86">
        <f>TrRoad_act!F82</f>
        <v>36002</v>
      </c>
      <c r="G28" s="86">
        <f>TrRoad_act!G82</f>
        <v>37258</v>
      </c>
      <c r="H28" s="86">
        <f>TrRoad_act!H82</f>
        <v>38029</v>
      </c>
      <c r="I28" s="86">
        <f>TrRoad_act!I82</f>
        <v>38886</v>
      </c>
      <c r="J28" s="86">
        <f>TrRoad_act!J82</f>
        <v>35623</v>
      </c>
      <c r="K28" s="86">
        <f>TrRoad_act!K82</f>
        <v>32878</v>
      </c>
      <c r="L28" s="86">
        <f>TrRoad_act!L82</f>
        <v>31702</v>
      </c>
      <c r="M28" s="86">
        <f>TrRoad_act!M82</f>
        <v>31254</v>
      </c>
      <c r="N28" s="86">
        <f>TrRoad_act!N82</f>
        <v>30402</v>
      </c>
      <c r="O28" s="86">
        <f>TrRoad_act!O82</f>
        <v>32628</v>
      </c>
      <c r="P28" s="86">
        <f>TrRoad_act!P82</f>
        <v>32415</v>
      </c>
      <c r="Q28" s="86">
        <f>TrRoad_act!Q82</f>
        <v>34238</v>
      </c>
      <c r="R28" s="86">
        <f>TrRoad_act!R82</f>
        <v>35229</v>
      </c>
      <c r="S28" s="86">
        <f>TrRoad_act!S82</f>
        <v>36251</v>
      </c>
      <c r="T28" s="86">
        <f>TrRoad_act!T82</f>
        <v>37520</v>
      </c>
      <c r="U28" s="86">
        <f>TrRoad_act!U82</f>
        <v>39039</v>
      </c>
      <c r="V28" s="86">
        <f>TrRoad_act!V82</f>
        <v>37082</v>
      </c>
      <c r="W28" s="86">
        <f>TrRoad_act!W82</f>
        <v>40739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1624712</v>
      </c>
      <c r="C30" s="54">
        <f>TrRoad_act!C111</f>
        <v>2003920</v>
      </c>
      <c r="D30" s="54">
        <f>TrRoad_act!D111</f>
        <v>2292543</v>
      </c>
      <c r="E30" s="54">
        <f>TrRoad_act!E111</f>
        <v>2051444</v>
      </c>
      <c r="F30" s="54">
        <f>TrRoad_act!F111</f>
        <v>2355665</v>
      </c>
      <c r="G30" s="54">
        <f>TrRoad_act!G111</f>
        <v>2344612</v>
      </c>
      <c r="H30" s="54">
        <f>TrRoad_act!H111</f>
        <v>2507438</v>
      </c>
      <c r="I30" s="54">
        <f>TrRoad_act!I111</f>
        <v>3138193</v>
      </c>
      <c r="J30" s="54">
        <f>TrRoad_act!J111</f>
        <v>1875828</v>
      </c>
      <c r="K30" s="54">
        <f>TrRoad_act!K111</f>
        <v>1381110</v>
      </c>
      <c r="L30" s="54">
        <f>TrRoad_act!L111</f>
        <v>1438948</v>
      </c>
      <c r="M30" s="54">
        <f>TrRoad_act!M111</f>
        <v>1330301</v>
      </c>
      <c r="N30" s="54">
        <f>TrRoad_act!N111</f>
        <v>1175153</v>
      </c>
      <c r="O30" s="54">
        <f>TrRoad_act!O111</f>
        <v>1006207</v>
      </c>
      <c r="P30" s="54">
        <f>TrRoad_act!P111</f>
        <v>1483988</v>
      </c>
      <c r="Q30" s="54">
        <f>TrRoad_act!Q111</f>
        <v>2216284</v>
      </c>
      <c r="R30" s="54">
        <f>TrRoad_act!R111</f>
        <v>1930936</v>
      </c>
      <c r="S30" s="54">
        <f>TrRoad_act!S111</f>
        <v>2044621</v>
      </c>
      <c r="T30" s="54">
        <f>TrRoad_act!T111</f>
        <v>2206787</v>
      </c>
      <c r="U30" s="54">
        <f>TrRoad_act!U111</f>
        <v>2208039</v>
      </c>
      <c r="V30" s="54">
        <f>TrRoad_act!V111</f>
        <v>1774705</v>
      </c>
      <c r="W30" s="54">
        <f>TrRoad_act!W111</f>
        <v>2025942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1622071</v>
      </c>
      <c r="C31" s="28">
        <f>TrRoad_act!C112</f>
        <v>1708331</v>
      </c>
      <c r="D31" s="28">
        <f>TrRoad_act!D112</f>
        <v>2087786</v>
      </c>
      <c r="E31" s="28">
        <f>TrRoad_act!E112</f>
        <v>1698952</v>
      </c>
      <c r="F31" s="28">
        <f>TrRoad_act!F112</f>
        <v>1875520</v>
      </c>
      <c r="G31" s="28">
        <f>TrRoad_act!G112</f>
        <v>1984340</v>
      </c>
      <c r="H31" s="28">
        <f>TrRoad_act!H112</f>
        <v>2157657</v>
      </c>
      <c r="I31" s="28">
        <f>TrRoad_act!I112</f>
        <v>2207744</v>
      </c>
      <c r="J31" s="28">
        <f>TrRoad_act!J112</f>
        <v>1721629</v>
      </c>
      <c r="K31" s="28">
        <f>TrRoad_act!K112</f>
        <v>1251868</v>
      </c>
      <c r="L31" s="28">
        <f>TrRoad_act!L112</f>
        <v>1295883</v>
      </c>
      <c r="M31" s="28">
        <f>TrRoad_act!M112</f>
        <v>1196725</v>
      </c>
      <c r="N31" s="28">
        <f>TrRoad_act!N112</f>
        <v>1061546</v>
      </c>
      <c r="O31" s="28">
        <f>TrRoad_act!O112</f>
        <v>909787</v>
      </c>
      <c r="P31" s="28">
        <f>TrRoad_act!P112</f>
        <v>1134540</v>
      </c>
      <c r="Q31" s="28">
        <f>TrRoad_act!Q112</f>
        <v>1738103</v>
      </c>
      <c r="R31" s="28">
        <f>TrRoad_act!R112</f>
        <v>1730175</v>
      </c>
      <c r="S31" s="28">
        <f>TrRoad_act!S112</f>
        <v>1816005</v>
      </c>
      <c r="T31" s="28">
        <f>TrRoad_act!T112</f>
        <v>1956737</v>
      </c>
      <c r="U31" s="28">
        <f>TrRoad_act!U112</f>
        <v>1969440</v>
      </c>
      <c r="V31" s="28">
        <f>TrRoad_act!V112</f>
        <v>1602155</v>
      </c>
      <c r="W31" s="28">
        <f>TrRoad_act!W112</f>
        <v>1837289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151246</v>
      </c>
      <c r="C32" s="137">
        <f>TrRoad_act!C113</f>
        <v>202927</v>
      </c>
      <c r="D32" s="137">
        <f>TrRoad_act!D113</f>
        <v>673266</v>
      </c>
      <c r="E32" s="137">
        <f>TrRoad_act!E113</f>
        <v>313091</v>
      </c>
      <c r="F32" s="137">
        <f>TrRoad_act!F113</f>
        <v>352612</v>
      </c>
      <c r="G32" s="137">
        <f>TrRoad_act!G113</f>
        <v>449798</v>
      </c>
      <c r="H32" s="137">
        <f>TrRoad_act!H113</f>
        <v>483434</v>
      </c>
      <c r="I32" s="137">
        <f>TrRoad_act!I113</f>
        <v>569283</v>
      </c>
      <c r="J32" s="137">
        <f>TrRoad_act!J113</f>
        <v>481740</v>
      </c>
      <c r="K32" s="137">
        <f>TrRoad_act!K113</f>
        <v>269280</v>
      </c>
      <c r="L32" s="137">
        <f>TrRoad_act!L113</f>
        <v>270518</v>
      </c>
      <c r="M32" s="137">
        <f>TrRoad_act!M113</f>
        <v>238846</v>
      </c>
      <c r="N32" s="137">
        <f>TrRoad_act!N113</f>
        <v>195862</v>
      </c>
      <c r="O32" s="137">
        <f>TrRoad_act!O113</f>
        <v>185356</v>
      </c>
      <c r="P32" s="137">
        <f>TrRoad_act!P113</f>
        <v>222920</v>
      </c>
      <c r="Q32" s="137">
        <f>TrRoad_act!Q113</f>
        <v>289926</v>
      </c>
      <c r="R32" s="137">
        <f>TrRoad_act!R113</f>
        <v>345756</v>
      </c>
      <c r="S32" s="137">
        <f>TrRoad_act!S113</f>
        <v>327554</v>
      </c>
      <c r="T32" s="137">
        <f>TrRoad_act!T113</f>
        <v>375338</v>
      </c>
      <c r="U32" s="137">
        <f>TrRoad_act!U113</f>
        <v>406830</v>
      </c>
      <c r="V32" s="137">
        <f>TrRoad_act!V113</f>
        <v>389384</v>
      </c>
      <c r="W32" s="137">
        <f>TrRoad_act!W113</f>
        <v>362694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1467160</v>
      </c>
      <c r="C33" s="110">
        <f>TrRoad_act!C114</f>
        <v>1499734</v>
      </c>
      <c r="D33" s="110">
        <f>TrRoad_act!D114</f>
        <v>1409301</v>
      </c>
      <c r="E33" s="110">
        <f>TrRoad_act!E114</f>
        <v>1382109</v>
      </c>
      <c r="F33" s="110">
        <f>TrRoad_act!F114</f>
        <v>1517286</v>
      </c>
      <c r="G33" s="110">
        <f>TrRoad_act!G114</f>
        <v>1528877</v>
      </c>
      <c r="H33" s="110">
        <f>TrRoad_act!H114</f>
        <v>1667373</v>
      </c>
      <c r="I33" s="110">
        <f>TrRoad_act!I114</f>
        <v>1633239</v>
      </c>
      <c r="J33" s="110">
        <f>TrRoad_act!J114</f>
        <v>1234389</v>
      </c>
      <c r="K33" s="110">
        <f>TrRoad_act!K114</f>
        <v>977808</v>
      </c>
      <c r="L33" s="110">
        <f>TrRoad_act!L114</f>
        <v>1021352</v>
      </c>
      <c r="M33" s="110">
        <f>TrRoad_act!M114</f>
        <v>953844</v>
      </c>
      <c r="N33" s="110">
        <f>TrRoad_act!N114</f>
        <v>861642</v>
      </c>
      <c r="O33" s="110">
        <f>TrRoad_act!O114</f>
        <v>722689</v>
      </c>
      <c r="P33" s="110">
        <f>TrRoad_act!P114</f>
        <v>908047</v>
      </c>
      <c r="Q33" s="110">
        <f>TrRoad_act!Q114</f>
        <v>1443879</v>
      </c>
      <c r="R33" s="110">
        <f>TrRoad_act!R114</f>
        <v>1379834</v>
      </c>
      <c r="S33" s="110">
        <f>TrRoad_act!S114</f>
        <v>1484617</v>
      </c>
      <c r="T33" s="110">
        <f>TrRoad_act!T114</f>
        <v>1577694</v>
      </c>
      <c r="U33" s="110">
        <f>TrRoad_act!U114</f>
        <v>1559080</v>
      </c>
      <c r="V33" s="110">
        <f>TrRoad_act!V114</f>
        <v>1210168</v>
      </c>
      <c r="W33" s="110">
        <f>TrRoad_act!W114</f>
        <v>1471824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681967</v>
      </c>
      <c r="C34" s="84">
        <f>TrRoad_act!C115</f>
        <v>718980</v>
      </c>
      <c r="D34" s="84">
        <f>TrRoad_act!D115</f>
        <v>603178</v>
      </c>
      <c r="E34" s="84">
        <f>TrRoad_act!E115</f>
        <v>552217</v>
      </c>
      <c r="F34" s="84">
        <f>TrRoad_act!F115</f>
        <v>562019</v>
      </c>
      <c r="G34" s="84">
        <f>TrRoad_act!G115</f>
        <v>523425</v>
      </c>
      <c r="H34" s="84">
        <f>TrRoad_act!H115</f>
        <v>522869</v>
      </c>
      <c r="I34" s="84">
        <f>TrRoad_act!I115</f>
        <v>499132</v>
      </c>
      <c r="J34" s="84">
        <f>TrRoad_act!J115</f>
        <v>381310</v>
      </c>
      <c r="K34" s="84">
        <f>TrRoad_act!K115</f>
        <v>303568</v>
      </c>
      <c r="L34" s="84">
        <f>TrRoad_act!L115</f>
        <v>306410</v>
      </c>
      <c r="M34" s="84">
        <f>TrRoad_act!M115</f>
        <v>258895</v>
      </c>
      <c r="N34" s="84">
        <f>TrRoad_act!N115</f>
        <v>234071</v>
      </c>
      <c r="O34" s="84">
        <f>TrRoad_act!O115</f>
        <v>225106</v>
      </c>
      <c r="P34" s="84">
        <f>TrRoad_act!P115</f>
        <v>313336</v>
      </c>
      <c r="Q34" s="84">
        <f>TrRoad_act!Q115</f>
        <v>398531</v>
      </c>
      <c r="R34" s="84">
        <f>TrRoad_act!R115</f>
        <v>539336</v>
      </c>
      <c r="S34" s="84">
        <f>TrRoad_act!S115</f>
        <v>685760</v>
      </c>
      <c r="T34" s="84">
        <f>TrRoad_act!T115</f>
        <v>898081</v>
      </c>
      <c r="U34" s="84">
        <f>TrRoad_act!U115</f>
        <v>955983</v>
      </c>
      <c r="V34" s="84">
        <f>TrRoad_act!V115</f>
        <v>650224</v>
      </c>
      <c r="W34" s="84">
        <f>TrRoad_act!W115</f>
        <v>766821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785193</v>
      </c>
      <c r="C35" s="84">
        <f>TrRoad_act!C116</f>
        <v>779869</v>
      </c>
      <c r="D35" s="84">
        <f>TrRoad_act!D116</f>
        <v>805226</v>
      </c>
      <c r="E35" s="84">
        <f>TrRoad_act!E116</f>
        <v>829892</v>
      </c>
      <c r="F35" s="84">
        <f>TrRoad_act!F116</f>
        <v>953582</v>
      </c>
      <c r="G35" s="84">
        <f>TrRoad_act!G116</f>
        <v>1003448</v>
      </c>
      <c r="H35" s="84">
        <f>TrRoad_act!H116</f>
        <v>1142066</v>
      </c>
      <c r="I35" s="84">
        <f>TrRoad_act!I116</f>
        <v>1134107</v>
      </c>
      <c r="J35" s="84">
        <f>TrRoad_act!J116</f>
        <v>852884</v>
      </c>
      <c r="K35" s="84">
        <f>TrRoad_act!K116</f>
        <v>672292</v>
      </c>
      <c r="L35" s="84">
        <f>TrRoad_act!L116</f>
        <v>713222</v>
      </c>
      <c r="M35" s="84">
        <f>TrRoad_act!M116</f>
        <v>693314</v>
      </c>
      <c r="N35" s="84">
        <f>TrRoad_act!N116</f>
        <v>618004</v>
      </c>
      <c r="O35" s="84">
        <f>TrRoad_act!O116</f>
        <v>494006</v>
      </c>
      <c r="P35" s="84">
        <f>TrRoad_act!P116</f>
        <v>590360</v>
      </c>
      <c r="Q35" s="84">
        <f>TrRoad_act!Q116</f>
        <v>1038981</v>
      </c>
      <c r="R35" s="84">
        <f>TrRoad_act!R116</f>
        <v>833450</v>
      </c>
      <c r="S35" s="84">
        <f>TrRoad_act!S116</f>
        <v>783152</v>
      </c>
      <c r="T35" s="84">
        <f>TrRoad_act!T116</f>
        <v>640783</v>
      </c>
      <c r="U35" s="84">
        <f>TrRoad_act!U116</f>
        <v>553563</v>
      </c>
      <c r="V35" s="84">
        <f>TrRoad_act!V116</f>
        <v>502848</v>
      </c>
      <c r="W35" s="84">
        <f>TrRoad_act!W116</f>
        <v>615838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885</v>
      </c>
      <c r="D36" s="84">
        <f>TrRoad_act!D117</f>
        <v>897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1766</v>
      </c>
      <c r="L36" s="84">
        <f>TrRoad_act!L117</f>
        <v>1348</v>
      </c>
      <c r="M36" s="84">
        <f>TrRoad_act!M117</f>
        <v>993</v>
      </c>
      <c r="N36" s="84">
        <f>TrRoad_act!N117</f>
        <v>4513</v>
      </c>
      <c r="O36" s="84">
        <f>TrRoad_act!O117</f>
        <v>933</v>
      </c>
      <c r="P36" s="84">
        <f>TrRoad_act!P117</f>
        <v>2844</v>
      </c>
      <c r="Q36" s="84">
        <f>TrRoad_act!Q117</f>
        <v>2722</v>
      </c>
      <c r="R36" s="84">
        <f>TrRoad_act!R117</f>
        <v>1537</v>
      </c>
      <c r="S36" s="84">
        <f>TrRoad_act!S117</f>
        <v>4024</v>
      </c>
      <c r="T36" s="84">
        <f>TrRoad_act!T117</f>
        <v>18495</v>
      </c>
      <c r="U36" s="84">
        <f>TrRoad_act!U117</f>
        <v>22988</v>
      </c>
      <c r="V36" s="84">
        <f>TrRoad_act!V117</f>
        <v>10563</v>
      </c>
      <c r="W36" s="84">
        <f>TrRoad_act!W117</f>
        <v>13947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1685</v>
      </c>
      <c r="G37" s="84">
        <f>TrRoad_act!G118</f>
        <v>2004</v>
      </c>
      <c r="H37" s="84">
        <f>TrRoad_act!H118</f>
        <v>2438</v>
      </c>
      <c r="I37" s="84">
        <f>TrRoad_act!I118</f>
        <v>0</v>
      </c>
      <c r="J37" s="84">
        <f>TrRoad_act!J118</f>
        <v>195</v>
      </c>
      <c r="K37" s="84">
        <f>TrRoad_act!K118</f>
        <v>181</v>
      </c>
      <c r="L37" s="84">
        <f>TrRoad_act!L118</f>
        <v>296</v>
      </c>
      <c r="M37" s="84">
        <f>TrRoad_act!M118</f>
        <v>66</v>
      </c>
      <c r="N37" s="84">
        <f>TrRoad_act!N118</f>
        <v>4489</v>
      </c>
      <c r="O37" s="84">
        <f>TrRoad_act!O118</f>
        <v>1564</v>
      </c>
      <c r="P37" s="84">
        <f>TrRoad_act!P118</f>
        <v>0</v>
      </c>
      <c r="Q37" s="84">
        <f>TrRoad_act!Q118</f>
        <v>0</v>
      </c>
      <c r="R37" s="84">
        <f>TrRoad_act!R118</f>
        <v>392</v>
      </c>
      <c r="S37" s="84">
        <f>TrRoad_act!S118</f>
        <v>1293</v>
      </c>
      <c r="T37" s="84">
        <f>TrRoad_act!T118</f>
        <v>4048</v>
      </c>
      <c r="U37" s="84">
        <f>TrRoad_act!U118</f>
        <v>6126</v>
      </c>
      <c r="V37" s="84">
        <f>TrRoad_act!V118</f>
        <v>3571</v>
      </c>
      <c r="W37" s="84">
        <f>TrRoad_act!W118</f>
        <v>4337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8</v>
      </c>
      <c r="N38" s="84">
        <f>TrRoad_act!N119</f>
        <v>109</v>
      </c>
      <c r="O38" s="84">
        <f>TrRoad_act!O119</f>
        <v>81</v>
      </c>
      <c r="P38" s="84">
        <f>TrRoad_act!P119</f>
        <v>422</v>
      </c>
      <c r="Q38" s="84">
        <f>TrRoad_act!Q119</f>
        <v>1025</v>
      </c>
      <c r="R38" s="84">
        <f>TrRoad_act!R119</f>
        <v>1765</v>
      </c>
      <c r="S38" s="84">
        <f>TrRoad_act!S119</f>
        <v>3508</v>
      </c>
      <c r="T38" s="84">
        <f>TrRoad_act!T119</f>
        <v>5721</v>
      </c>
      <c r="U38" s="84">
        <f>TrRoad_act!U119</f>
        <v>7445</v>
      </c>
      <c r="V38" s="84">
        <f>TrRoad_act!V119</f>
        <v>24555</v>
      </c>
      <c r="W38" s="84">
        <f>TrRoad_act!W119</f>
        <v>43077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1</v>
      </c>
      <c r="L39" s="84">
        <f>TrRoad_act!L120</f>
        <v>76</v>
      </c>
      <c r="M39" s="84">
        <f>TrRoad_act!M120</f>
        <v>568</v>
      </c>
      <c r="N39" s="84">
        <f>TrRoad_act!N120</f>
        <v>456</v>
      </c>
      <c r="O39" s="84">
        <f>TrRoad_act!O120</f>
        <v>999</v>
      </c>
      <c r="P39" s="84">
        <f>TrRoad_act!P120</f>
        <v>1085</v>
      </c>
      <c r="Q39" s="84">
        <f>TrRoad_act!Q120</f>
        <v>2620</v>
      </c>
      <c r="R39" s="84">
        <f>TrRoad_act!R120</f>
        <v>3354</v>
      </c>
      <c r="S39" s="84">
        <f>TrRoad_act!S120</f>
        <v>6880</v>
      </c>
      <c r="T39" s="84">
        <f>TrRoad_act!T120</f>
        <v>10566</v>
      </c>
      <c r="U39" s="84">
        <f>TrRoad_act!U120</f>
        <v>12975</v>
      </c>
      <c r="V39" s="84">
        <f>TrRoad_act!V120</f>
        <v>18407</v>
      </c>
      <c r="W39" s="84">
        <f>TrRoad_act!W120</f>
        <v>27804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3665</v>
      </c>
      <c r="C40" s="110">
        <f>TrRoad_act!C121</f>
        <v>5670</v>
      </c>
      <c r="D40" s="110">
        <f>TrRoad_act!D121</f>
        <v>5219</v>
      </c>
      <c r="E40" s="110">
        <f>TrRoad_act!E121</f>
        <v>3752</v>
      </c>
      <c r="F40" s="110">
        <f>TrRoad_act!F121</f>
        <v>5622</v>
      </c>
      <c r="G40" s="110">
        <f>TrRoad_act!G121</f>
        <v>5665</v>
      </c>
      <c r="H40" s="110">
        <f>TrRoad_act!H121</f>
        <v>6850</v>
      </c>
      <c r="I40" s="110">
        <f>TrRoad_act!I121</f>
        <v>5222</v>
      </c>
      <c r="J40" s="110">
        <f>TrRoad_act!J121</f>
        <v>5500</v>
      </c>
      <c r="K40" s="110">
        <f>TrRoad_act!K121</f>
        <v>4780</v>
      </c>
      <c r="L40" s="110">
        <f>TrRoad_act!L121</f>
        <v>4013</v>
      </c>
      <c r="M40" s="110">
        <f>TrRoad_act!M121</f>
        <v>4035</v>
      </c>
      <c r="N40" s="110">
        <f>TrRoad_act!N121</f>
        <v>4042</v>
      </c>
      <c r="O40" s="110">
        <f>TrRoad_act!O121</f>
        <v>1742</v>
      </c>
      <c r="P40" s="110">
        <f>TrRoad_act!P121</f>
        <v>3573</v>
      </c>
      <c r="Q40" s="110">
        <f>TrRoad_act!Q121</f>
        <v>4298</v>
      </c>
      <c r="R40" s="110">
        <f>TrRoad_act!R121</f>
        <v>4585</v>
      </c>
      <c r="S40" s="110">
        <f>TrRoad_act!S121</f>
        <v>3834</v>
      </c>
      <c r="T40" s="110">
        <f>TrRoad_act!T121</f>
        <v>3705</v>
      </c>
      <c r="U40" s="110">
        <f>TrRoad_act!U121</f>
        <v>3530</v>
      </c>
      <c r="V40" s="110">
        <f>TrRoad_act!V121</f>
        <v>2603</v>
      </c>
      <c r="W40" s="110">
        <f>TrRoad_act!W121</f>
        <v>2771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104</v>
      </c>
      <c r="D41" s="102">
        <f>TrRoad_act!D122</f>
        <v>131</v>
      </c>
      <c r="E41" s="102">
        <f>TrRoad_act!E122</f>
        <v>66</v>
      </c>
      <c r="F41" s="102">
        <f>TrRoad_act!F122</f>
        <v>74</v>
      </c>
      <c r="G41" s="102">
        <f>TrRoad_act!G122</f>
        <v>0</v>
      </c>
      <c r="H41" s="102">
        <f>TrRoad_act!H122</f>
        <v>65</v>
      </c>
      <c r="I41" s="102">
        <f>TrRoad_act!I122</f>
        <v>182</v>
      </c>
      <c r="J41" s="102">
        <f>TrRoad_act!J122</f>
        <v>10</v>
      </c>
      <c r="K41" s="102">
        <f>TrRoad_act!K122</f>
        <v>10</v>
      </c>
      <c r="L41" s="102">
        <f>TrRoad_act!L122</f>
        <v>26</v>
      </c>
      <c r="M41" s="102">
        <f>TrRoad_act!M122</f>
        <v>35</v>
      </c>
      <c r="N41" s="102">
        <f>TrRoad_act!N122</f>
        <v>26</v>
      </c>
      <c r="O41" s="102">
        <f>TrRoad_act!O122</f>
        <v>28</v>
      </c>
      <c r="P41" s="102">
        <f>TrRoad_act!P122</f>
        <v>30</v>
      </c>
      <c r="Q41" s="102">
        <f>TrRoad_act!Q122</f>
        <v>22</v>
      </c>
      <c r="R41" s="102">
        <f>TrRoad_act!R122</f>
        <v>15</v>
      </c>
      <c r="S41" s="102">
        <f>TrRoad_act!S122</f>
        <v>13</v>
      </c>
      <c r="T41" s="102">
        <f>TrRoad_act!T122</f>
        <v>2</v>
      </c>
      <c r="U41" s="102">
        <f>TrRoad_act!U122</f>
        <v>1</v>
      </c>
      <c r="V41" s="102">
        <f>TrRoad_act!V122</f>
        <v>1</v>
      </c>
      <c r="W41" s="102">
        <f>TrRoad_act!W122</f>
        <v>9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3665</v>
      </c>
      <c r="C42" s="102">
        <f>TrRoad_act!C123</f>
        <v>5556</v>
      </c>
      <c r="D42" s="102">
        <f>TrRoad_act!D123</f>
        <v>5088</v>
      </c>
      <c r="E42" s="102">
        <f>TrRoad_act!E123</f>
        <v>3506</v>
      </c>
      <c r="F42" s="102">
        <f>TrRoad_act!F123</f>
        <v>5492</v>
      </c>
      <c r="G42" s="102">
        <f>TrRoad_act!G123</f>
        <v>5630</v>
      </c>
      <c r="H42" s="102">
        <f>TrRoad_act!H123</f>
        <v>6757</v>
      </c>
      <c r="I42" s="102">
        <f>TrRoad_act!I123</f>
        <v>4949</v>
      </c>
      <c r="J42" s="102">
        <f>TrRoad_act!J123</f>
        <v>5490</v>
      </c>
      <c r="K42" s="102">
        <f>TrRoad_act!K123</f>
        <v>4767</v>
      </c>
      <c r="L42" s="102">
        <f>TrRoad_act!L123</f>
        <v>3987</v>
      </c>
      <c r="M42" s="102">
        <f>TrRoad_act!M123</f>
        <v>4000</v>
      </c>
      <c r="N42" s="102">
        <f>TrRoad_act!N123</f>
        <v>3994</v>
      </c>
      <c r="O42" s="102">
        <f>TrRoad_act!O123</f>
        <v>1706</v>
      </c>
      <c r="P42" s="102">
        <f>TrRoad_act!P123</f>
        <v>3468</v>
      </c>
      <c r="Q42" s="102">
        <f>TrRoad_act!Q123</f>
        <v>3026</v>
      </c>
      <c r="R42" s="102">
        <f>TrRoad_act!R123</f>
        <v>4212</v>
      </c>
      <c r="S42" s="102">
        <f>TrRoad_act!S123</f>
        <v>3462</v>
      </c>
      <c r="T42" s="102">
        <f>TrRoad_act!T123</f>
        <v>3232</v>
      </c>
      <c r="U42" s="102">
        <f>TrRoad_act!U123</f>
        <v>2691</v>
      </c>
      <c r="V42" s="102">
        <f>TrRoad_act!V123</f>
        <v>1967</v>
      </c>
      <c r="W42" s="102">
        <f>TrRoad_act!W123</f>
        <v>2106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4</v>
      </c>
      <c r="Q43" s="102">
        <f>TrRoad_act!Q124</f>
        <v>99</v>
      </c>
      <c r="R43" s="102">
        <f>TrRoad_act!R124</f>
        <v>2</v>
      </c>
      <c r="S43" s="102">
        <f>TrRoad_act!S124</f>
        <v>0</v>
      </c>
      <c r="T43" s="102">
        <f>TrRoad_act!T124</f>
        <v>0</v>
      </c>
      <c r="U43" s="102">
        <f>TrRoad_act!U124</f>
        <v>26</v>
      </c>
      <c r="V43" s="102">
        <f>TrRoad_act!V124</f>
        <v>35</v>
      </c>
      <c r="W43" s="102">
        <f>TrRoad_act!W124</f>
        <v>179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10</v>
      </c>
      <c r="D44" s="102">
        <f>TrRoad_act!D125</f>
        <v>0</v>
      </c>
      <c r="E44" s="102">
        <f>TrRoad_act!E125</f>
        <v>180</v>
      </c>
      <c r="F44" s="102">
        <f>TrRoad_act!F125</f>
        <v>56</v>
      </c>
      <c r="G44" s="102">
        <f>TrRoad_act!G125</f>
        <v>35</v>
      </c>
      <c r="H44" s="102">
        <f>TrRoad_act!H125</f>
        <v>28</v>
      </c>
      <c r="I44" s="102">
        <f>TrRoad_act!I125</f>
        <v>91</v>
      </c>
      <c r="J44" s="102">
        <f>TrRoad_act!J125</f>
        <v>0</v>
      </c>
      <c r="K44" s="102">
        <f>TrRoad_act!K125</f>
        <v>3</v>
      </c>
      <c r="L44" s="102">
        <f>TrRoad_act!L125</f>
        <v>0</v>
      </c>
      <c r="M44" s="102">
        <f>TrRoad_act!M125</f>
        <v>0</v>
      </c>
      <c r="N44" s="102">
        <f>TrRoad_act!N125</f>
        <v>22</v>
      </c>
      <c r="O44" s="102">
        <f>TrRoad_act!O125</f>
        <v>8</v>
      </c>
      <c r="P44" s="102">
        <f>TrRoad_act!P125</f>
        <v>0</v>
      </c>
      <c r="Q44" s="102">
        <f>TrRoad_act!Q125</f>
        <v>1107</v>
      </c>
      <c r="R44" s="102">
        <f>TrRoad_act!R125</f>
        <v>311</v>
      </c>
      <c r="S44" s="102">
        <f>TrRoad_act!S125</f>
        <v>320</v>
      </c>
      <c r="T44" s="102">
        <f>TrRoad_act!T125</f>
        <v>407</v>
      </c>
      <c r="U44" s="102">
        <f>TrRoad_act!U125</f>
        <v>644</v>
      </c>
      <c r="V44" s="102">
        <f>TrRoad_act!V125</f>
        <v>545</v>
      </c>
      <c r="W44" s="102">
        <f>TrRoad_act!W125</f>
        <v>348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71</v>
      </c>
      <c r="Q45" s="102">
        <f>TrRoad_act!Q126</f>
        <v>44</v>
      </c>
      <c r="R45" s="102">
        <f>TrRoad_act!R126</f>
        <v>45</v>
      </c>
      <c r="S45" s="102">
        <f>TrRoad_act!S126</f>
        <v>39</v>
      </c>
      <c r="T45" s="102">
        <f>TrRoad_act!T126</f>
        <v>64</v>
      </c>
      <c r="U45" s="102">
        <f>TrRoad_act!U126</f>
        <v>168</v>
      </c>
      <c r="V45" s="102">
        <f>TrRoad_act!V126</f>
        <v>55</v>
      </c>
      <c r="W45" s="102">
        <f>TrRoad_act!W126</f>
        <v>129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2641</v>
      </c>
      <c r="C46" s="28">
        <f>TrRoad_act!C127</f>
        <v>295589</v>
      </c>
      <c r="D46" s="28">
        <f>TrRoad_act!D127</f>
        <v>204757</v>
      </c>
      <c r="E46" s="28">
        <f>TrRoad_act!E127</f>
        <v>352492</v>
      </c>
      <c r="F46" s="28">
        <f>TrRoad_act!F127</f>
        <v>480145</v>
      </c>
      <c r="G46" s="28">
        <f>TrRoad_act!G127</f>
        <v>360272</v>
      </c>
      <c r="H46" s="28">
        <f>TrRoad_act!H127</f>
        <v>349781</v>
      </c>
      <c r="I46" s="28">
        <f>TrRoad_act!I127</f>
        <v>930449</v>
      </c>
      <c r="J46" s="28">
        <f>TrRoad_act!J127</f>
        <v>154199</v>
      </c>
      <c r="K46" s="28">
        <f>TrRoad_act!K127</f>
        <v>129242</v>
      </c>
      <c r="L46" s="28">
        <f>TrRoad_act!L127</f>
        <v>143065</v>
      </c>
      <c r="M46" s="28">
        <f>TrRoad_act!M127</f>
        <v>133576</v>
      </c>
      <c r="N46" s="28">
        <f>TrRoad_act!N127</f>
        <v>113607</v>
      </c>
      <c r="O46" s="28">
        <f>TrRoad_act!O127</f>
        <v>96420</v>
      </c>
      <c r="P46" s="28">
        <f>TrRoad_act!P127</f>
        <v>349448</v>
      </c>
      <c r="Q46" s="28">
        <f>TrRoad_act!Q127</f>
        <v>478181</v>
      </c>
      <c r="R46" s="28">
        <f>TrRoad_act!R127</f>
        <v>200761</v>
      </c>
      <c r="S46" s="28">
        <f>TrRoad_act!S127</f>
        <v>228616</v>
      </c>
      <c r="T46" s="28">
        <f>TrRoad_act!T127</f>
        <v>250050</v>
      </c>
      <c r="U46" s="28">
        <f>TrRoad_act!U127</f>
        <v>238599</v>
      </c>
      <c r="V46" s="28">
        <f>TrRoad_act!V127</f>
        <v>172550</v>
      </c>
      <c r="W46" s="28">
        <f>TrRoad_act!W127</f>
        <v>188653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244790</v>
      </c>
      <c r="D47" s="137">
        <f>TrRoad_act!D128</f>
        <v>156562</v>
      </c>
      <c r="E47" s="137">
        <f>TrRoad_act!E128</f>
        <v>295348</v>
      </c>
      <c r="F47" s="137">
        <f>TrRoad_act!F128</f>
        <v>424839</v>
      </c>
      <c r="G47" s="137">
        <f>TrRoad_act!G128</f>
        <v>304317</v>
      </c>
      <c r="H47" s="137">
        <f>TrRoad_act!H128</f>
        <v>289598</v>
      </c>
      <c r="I47" s="137">
        <f>TrRoad_act!I128</f>
        <v>861025</v>
      </c>
      <c r="J47" s="137">
        <f>TrRoad_act!J128</f>
        <v>107206</v>
      </c>
      <c r="K47" s="137">
        <f>TrRoad_act!K128</f>
        <v>97460</v>
      </c>
      <c r="L47" s="137">
        <f>TrRoad_act!L128</f>
        <v>107765</v>
      </c>
      <c r="M47" s="137">
        <f>TrRoad_act!M128</f>
        <v>95031</v>
      </c>
      <c r="N47" s="137">
        <f>TrRoad_act!N128</f>
        <v>82795</v>
      </c>
      <c r="O47" s="137">
        <f>TrRoad_act!O128</f>
        <v>84074</v>
      </c>
      <c r="P47" s="137">
        <f>TrRoad_act!P128</f>
        <v>341310</v>
      </c>
      <c r="Q47" s="137">
        <f>TrRoad_act!Q128</f>
        <v>463237</v>
      </c>
      <c r="R47" s="137">
        <f>TrRoad_act!R128</f>
        <v>152378</v>
      </c>
      <c r="S47" s="137">
        <f>TrRoad_act!S128</f>
        <v>166669</v>
      </c>
      <c r="T47" s="137">
        <f>TrRoad_act!T128</f>
        <v>190749</v>
      </c>
      <c r="U47" s="137">
        <f>TrRoad_act!U128</f>
        <v>180614</v>
      </c>
      <c r="V47" s="137">
        <f>TrRoad_act!V128</f>
        <v>135170</v>
      </c>
      <c r="W47" s="137">
        <f>TrRoad_act!W128</f>
        <v>146263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511</v>
      </c>
      <c r="D48" s="84">
        <f>TrRoad_act!D129</f>
        <v>0</v>
      </c>
      <c r="E48" s="84">
        <f>TrRoad_act!E129</f>
        <v>0</v>
      </c>
      <c r="F48" s="84">
        <f>TrRoad_act!F129</f>
        <v>0</v>
      </c>
      <c r="G48" s="84">
        <f>TrRoad_act!G129</f>
        <v>0</v>
      </c>
      <c r="H48" s="84">
        <f>TrRoad_act!H129</f>
        <v>0</v>
      </c>
      <c r="I48" s="84">
        <f>TrRoad_act!I129</f>
        <v>0</v>
      </c>
      <c r="J48" s="84">
        <f>TrRoad_act!J129</f>
        <v>0</v>
      </c>
      <c r="K48" s="84">
        <f>TrRoad_act!K129</f>
        <v>0</v>
      </c>
      <c r="L48" s="84">
        <f>TrRoad_act!L129</f>
        <v>0</v>
      </c>
      <c r="M48" s="84">
        <f>TrRoad_act!M129</f>
        <v>2154</v>
      </c>
      <c r="N48" s="84">
        <f>TrRoad_act!N129</f>
        <v>12797</v>
      </c>
      <c r="O48" s="84">
        <f>TrRoad_act!O129</f>
        <v>10322</v>
      </c>
      <c r="P48" s="84">
        <f>TrRoad_act!P129</f>
        <v>173</v>
      </c>
      <c r="Q48" s="84">
        <f>TrRoad_act!Q129</f>
        <v>3410</v>
      </c>
      <c r="R48" s="84">
        <f>TrRoad_act!R129</f>
        <v>3998</v>
      </c>
      <c r="S48" s="84">
        <f>TrRoad_act!S129</f>
        <v>12164</v>
      </c>
      <c r="T48" s="84">
        <f>TrRoad_act!T129</f>
        <v>10056</v>
      </c>
      <c r="U48" s="84">
        <f>TrRoad_act!U129</f>
        <v>8572</v>
      </c>
      <c r="V48" s="84">
        <f>TrRoad_act!V129</f>
        <v>5064</v>
      </c>
      <c r="W48" s="84">
        <f>TrRoad_act!W129</f>
        <v>8849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244279</v>
      </c>
      <c r="D49" s="84">
        <f>TrRoad_act!D130</f>
        <v>156562</v>
      </c>
      <c r="E49" s="84">
        <f>TrRoad_act!E130</f>
        <v>295348</v>
      </c>
      <c r="F49" s="84">
        <f>TrRoad_act!F130</f>
        <v>424839</v>
      </c>
      <c r="G49" s="84">
        <f>TrRoad_act!G130</f>
        <v>304317</v>
      </c>
      <c r="H49" s="84">
        <f>TrRoad_act!H130</f>
        <v>289598</v>
      </c>
      <c r="I49" s="84">
        <f>TrRoad_act!I130</f>
        <v>861025</v>
      </c>
      <c r="J49" s="84">
        <f>TrRoad_act!J130</f>
        <v>107206</v>
      </c>
      <c r="K49" s="84">
        <f>TrRoad_act!K130</f>
        <v>97460</v>
      </c>
      <c r="L49" s="84">
        <f>TrRoad_act!L130</f>
        <v>107765</v>
      </c>
      <c r="M49" s="84">
        <f>TrRoad_act!M130</f>
        <v>92853</v>
      </c>
      <c r="N49" s="84">
        <f>TrRoad_act!N130</f>
        <v>69762</v>
      </c>
      <c r="O49" s="84">
        <f>TrRoad_act!O130</f>
        <v>73551</v>
      </c>
      <c r="P49" s="84">
        <f>TrRoad_act!P130</f>
        <v>340448</v>
      </c>
      <c r="Q49" s="84">
        <f>TrRoad_act!Q130</f>
        <v>458398</v>
      </c>
      <c r="R49" s="84">
        <f>TrRoad_act!R130</f>
        <v>145922</v>
      </c>
      <c r="S49" s="84">
        <f>TrRoad_act!S130</f>
        <v>152474</v>
      </c>
      <c r="T49" s="84">
        <f>TrRoad_act!T130</f>
        <v>174580</v>
      </c>
      <c r="U49" s="84">
        <f>TrRoad_act!U130</f>
        <v>162813</v>
      </c>
      <c r="V49" s="84">
        <f>TrRoad_act!V130</f>
        <v>124705</v>
      </c>
      <c r="W49" s="84">
        <f>TrRoad_act!W130</f>
        <v>130983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2</v>
      </c>
      <c r="P50" s="84">
        <f>TrRoad_act!P131</f>
        <v>238</v>
      </c>
      <c r="Q50" s="84">
        <f>TrRoad_act!Q131</f>
        <v>328</v>
      </c>
      <c r="R50" s="84">
        <f>TrRoad_act!R131</f>
        <v>1274</v>
      </c>
      <c r="S50" s="84">
        <f>TrRoad_act!S131</f>
        <v>807</v>
      </c>
      <c r="T50" s="84">
        <f>TrRoad_act!T131</f>
        <v>2279</v>
      </c>
      <c r="U50" s="84">
        <f>TrRoad_act!U131</f>
        <v>5991</v>
      </c>
      <c r="V50" s="84">
        <f>TrRoad_act!V131</f>
        <v>2186</v>
      </c>
      <c r="W50" s="84">
        <f>TrRoad_act!W131</f>
        <v>3111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15</v>
      </c>
      <c r="O51" s="84">
        <f>TrRoad_act!O132</f>
        <v>84</v>
      </c>
      <c r="P51" s="84">
        <f>TrRoad_act!P132</f>
        <v>74</v>
      </c>
      <c r="Q51" s="84">
        <f>TrRoad_act!Q132</f>
        <v>371</v>
      </c>
      <c r="R51" s="84">
        <f>TrRoad_act!R132</f>
        <v>195</v>
      </c>
      <c r="S51" s="84">
        <f>TrRoad_act!S132</f>
        <v>349</v>
      </c>
      <c r="T51" s="84">
        <f>TrRoad_act!T132</f>
        <v>2021</v>
      </c>
      <c r="U51" s="84">
        <f>TrRoad_act!U132</f>
        <v>1674</v>
      </c>
      <c r="V51" s="84">
        <f>TrRoad_act!V132</f>
        <v>1432</v>
      </c>
      <c r="W51" s="84">
        <f>TrRoad_act!W132</f>
        <v>718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24</v>
      </c>
      <c r="N52" s="84">
        <f>TrRoad_act!N133</f>
        <v>221</v>
      </c>
      <c r="O52" s="84">
        <f>TrRoad_act!O133</f>
        <v>115</v>
      </c>
      <c r="P52" s="84">
        <f>TrRoad_act!P133</f>
        <v>377</v>
      </c>
      <c r="Q52" s="84">
        <f>TrRoad_act!Q133</f>
        <v>730</v>
      </c>
      <c r="R52" s="84">
        <f>TrRoad_act!R133</f>
        <v>989</v>
      </c>
      <c r="S52" s="84">
        <f>TrRoad_act!S133</f>
        <v>875</v>
      </c>
      <c r="T52" s="84">
        <f>TrRoad_act!T133</f>
        <v>1813</v>
      </c>
      <c r="U52" s="84">
        <f>TrRoad_act!U133</f>
        <v>1564</v>
      </c>
      <c r="V52" s="84">
        <f>TrRoad_act!V133</f>
        <v>1783</v>
      </c>
      <c r="W52" s="84">
        <f>TrRoad_act!W133</f>
        <v>2602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2641</v>
      </c>
      <c r="C53" s="110">
        <f>TrRoad_act!C134</f>
        <v>50799</v>
      </c>
      <c r="D53" s="110">
        <f>TrRoad_act!D134</f>
        <v>48195</v>
      </c>
      <c r="E53" s="110">
        <f>TrRoad_act!E134</f>
        <v>57144</v>
      </c>
      <c r="F53" s="110">
        <f>TrRoad_act!F134</f>
        <v>55306</v>
      </c>
      <c r="G53" s="110">
        <f>TrRoad_act!G134</f>
        <v>55955</v>
      </c>
      <c r="H53" s="110">
        <f>TrRoad_act!H134</f>
        <v>60183</v>
      </c>
      <c r="I53" s="110">
        <f>TrRoad_act!I134</f>
        <v>69424</v>
      </c>
      <c r="J53" s="110">
        <f>TrRoad_act!J134</f>
        <v>46993</v>
      </c>
      <c r="K53" s="110">
        <f>TrRoad_act!K134</f>
        <v>31782</v>
      </c>
      <c r="L53" s="110">
        <f>TrRoad_act!L134</f>
        <v>35300</v>
      </c>
      <c r="M53" s="110">
        <f>TrRoad_act!M134</f>
        <v>38545</v>
      </c>
      <c r="N53" s="110">
        <f>TrRoad_act!N134</f>
        <v>30812</v>
      </c>
      <c r="O53" s="110">
        <f>TrRoad_act!O134</f>
        <v>12346</v>
      </c>
      <c r="P53" s="110">
        <f>TrRoad_act!P134</f>
        <v>8138</v>
      </c>
      <c r="Q53" s="110">
        <f>TrRoad_act!Q134</f>
        <v>14944</v>
      </c>
      <c r="R53" s="110">
        <f>TrRoad_act!R134</f>
        <v>48383</v>
      </c>
      <c r="S53" s="110">
        <f>TrRoad_act!S134</f>
        <v>61947</v>
      </c>
      <c r="T53" s="110">
        <f>TrRoad_act!T134</f>
        <v>59301</v>
      </c>
      <c r="U53" s="110">
        <f>TrRoad_act!U134</f>
        <v>57985</v>
      </c>
      <c r="V53" s="110">
        <f>TrRoad_act!V134</f>
        <v>37380</v>
      </c>
      <c r="W53" s="110">
        <f>TrRoad_act!W134</f>
        <v>42390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46903</v>
      </c>
      <c r="D54" s="102">
        <f>TrRoad_act!D135</f>
        <v>44352</v>
      </c>
      <c r="E54" s="102">
        <f>TrRoad_act!E135</f>
        <v>53755</v>
      </c>
      <c r="F54" s="102">
        <f>TrRoad_act!F135</f>
        <v>46711</v>
      </c>
      <c r="G54" s="102">
        <f>TrRoad_act!G135</f>
        <v>51315</v>
      </c>
      <c r="H54" s="102">
        <f>TrRoad_act!H135</f>
        <v>55745</v>
      </c>
      <c r="I54" s="102">
        <f>TrRoad_act!I135</f>
        <v>64693</v>
      </c>
      <c r="J54" s="102">
        <f>TrRoad_act!J135</f>
        <v>46254</v>
      </c>
      <c r="K54" s="102">
        <f>TrRoad_act!K135</f>
        <v>30517</v>
      </c>
      <c r="L54" s="102">
        <f>TrRoad_act!L135</f>
        <v>32588</v>
      </c>
      <c r="M54" s="102">
        <f>TrRoad_act!M135</f>
        <v>35324</v>
      </c>
      <c r="N54" s="102">
        <f>TrRoad_act!N135</f>
        <v>28040</v>
      </c>
      <c r="O54" s="102">
        <f>TrRoad_act!O135</f>
        <v>6481</v>
      </c>
      <c r="P54" s="102">
        <f>TrRoad_act!P135</f>
        <v>4690</v>
      </c>
      <c r="Q54" s="102">
        <f>TrRoad_act!Q135</f>
        <v>9430</v>
      </c>
      <c r="R54" s="102">
        <f>TrRoad_act!R135</f>
        <v>43653</v>
      </c>
      <c r="S54" s="102">
        <f>TrRoad_act!S135</f>
        <v>57177</v>
      </c>
      <c r="T54" s="102">
        <f>TrRoad_act!T135</f>
        <v>54292</v>
      </c>
      <c r="U54" s="102">
        <f>TrRoad_act!U135</f>
        <v>52724</v>
      </c>
      <c r="V54" s="102">
        <f>TrRoad_act!V135</f>
        <v>35577</v>
      </c>
      <c r="W54" s="102">
        <f>TrRoad_act!W135</f>
        <v>34979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2641</v>
      </c>
      <c r="C55" s="86">
        <f>TrRoad_act!C136</f>
        <v>3896</v>
      </c>
      <c r="D55" s="86">
        <f>TrRoad_act!D136</f>
        <v>3843</v>
      </c>
      <c r="E55" s="86">
        <f>TrRoad_act!E136</f>
        <v>3389</v>
      </c>
      <c r="F55" s="86">
        <f>TrRoad_act!F136</f>
        <v>8595</v>
      </c>
      <c r="G55" s="86">
        <f>TrRoad_act!G136</f>
        <v>4640</v>
      </c>
      <c r="H55" s="86">
        <f>TrRoad_act!H136</f>
        <v>4438</v>
      </c>
      <c r="I55" s="86">
        <f>TrRoad_act!I136</f>
        <v>4731</v>
      </c>
      <c r="J55" s="86">
        <f>TrRoad_act!J136</f>
        <v>739</v>
      </c>
      <c r="K55" s="86">
        <f>TrRoad_act!K136</f>
        <v>1265</v>
      </c>
      <c r="L55" s="86">
        <f>TrRoad_act!L136</f>
        <v>2712</v>
      </c>
      <c r="M55" s="86">
        <f>TrRoad_act!M136</f>
        <v>3221</v>
      </c>
      <c r="N55" s="86">
        <f>TrRoad_act!N136</f>
        <v>2772</v>
      </c>
      <c r="O55" s="86">
        <f>TrRoad_act!O136</f>
        <v>5865</v>
      </c>
      <c r="P55" s="86">
        <f>TrRoad_act!P136</f>
        <v>3448</v>
      </c>
      <c r="Q55" s="86">
        <f>TrRoad_act!Q136</f>
        <v>5514</v>
      </c>
      <c r="R55" s="86">
        <f>TrRoad_act!R136</f>
        <v>4730</v>
      </c>
      <c r="S55" s="86">
        <f>TrRoad_act!S136</f>
        <v>4770</v>
      </c>
      <c r="T55" s="86">
        <f>TrRoad_act!T136</f>
        <v>5009</v>
      </c>
      <c r="U55" s="86">
        <f>TrRoad_act!U136</f>
        <v>5261</v>
      </c>
      <c r="V55" s="86">
        <f>TrRoad_act!V136</f>
        <v>1803</v>
      </c>
      <c r="W55" s="86">
        <f>TrRoad_act!W136</f>
        <v>7411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2950570</v>
      </c>
      <c r="C59" s="54">
        <f t="shared" si="0"/>
        <v>767049</v>
      </c>
      <c r="D59" s="54">
        <f t="shared" si="0"/>
        <v>998156</v>
      </c>
      <c r="E59" s="54">
        <f t="shared" si="0"/>
        <v>909602</v>
      </c>
      <c r="F59" s="54">
        <f t="shared" si="0"/>
        <v>1099166</v>
      </c>
      <c r="G59" s="54">
        <f t="shared" si="0"/>
        <v>1374739</v>
      </c>
      <c r="H59" s="54">
        <f t="shared" si="0"/>
        <v>1637344</v>
      </c>
      <c r="I59" s="54">
        <f t="shared" si="0"/>
        <v>2147577</v>
      </c>
      <c r="J59" s="54">
        <f t="shared" si="0"/>
        <v>1403480</v>
      </c>
      <c r="K59" s="54">
        <f t="shared" si="0"/>
        <v>1088861</v>
      </c>
      <c r="L59" s="54">
        <f t="shared" ref="L59" si="1">L60+L75</f>
        <v>1187279</v>
      </c>
      <c r="M59" s="54">
        <f t="shared" ref="M59:V59" si="2">M60+M75</f>
        <v>1141962</v>
      </c>
      <c r="N59" s="54">
        <f t="shared" si="2"/>
        <v>1036915</v>
      </c>
      <c r="O59" s="54">
        <f t="shared" si="2"/>
        <v>919027</v>
      </c>
      <c r="P59" s="54">
        <f t="shared" si="2"/>
        <v>1381482</v>
      </c>
      <c r="Q59" s="54">
        <f t="shared" si="2"/>
        <v>2110156</v>
      </c>
      <c r="R59" s="54">
        <f t="shared" si="2"/>
        <v>1872377</v>
      </c>
      <c r="S59" s="54">
        <f t="shared" si="2"/>
        <v>2002304</v>
      </c>
      <c r="T59" s="54">
        <f t="shared" si="2"/>
        <v>2180885</v>
      </c>
      <c r="U59" s="54">
        <f t="shared" si="2"/>
        <v>2200558</v>
      </c>
      <c r="V59" s="54">
        <f t="shared" si="2"/>
        <v>1765879</v>
      </c>
      <c r="W59" s="54">
        <f t="shared" ref="W59" si="3">W60+W75</f>
        <v>2025942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2950570</v>
      </c>
      <c r="C60" s="28">
        <f t="shared" si="4"/>
        <v>767049</v>
      </c>
      <c r="D60" s="28">
        <f t="shared" si="4"/>
        <v>998156</v>
      </c>
      <c r="E60" s="28">
        <f t="shared" si="4"/>
        <v>909602</v>
      </c>
      <c r="F60" s="28">
        <f t="shared" si="4"/>
        <v>1089185</v>
      </c>
      <c r="G60" s="28">
        <f t="shared" si="4"/>
        <v>1239518</v>
      </c>
      <c r="H60" s="28">
        <f t="shared" si="4"/>
        <v>1445211</v>
      </c>
      <c r="I60" s="28">
        <f t="shared" si="4"/>
        <v>1577031</v>
      </c>
      <c r="J60" s="28">
        <f t="shared" si="4"/>
        <v>1301625</v>
      </c>
      <c r="K60" s="28">
        <f t="shared" si="4"/>
        <v>996959</v>
      </c>
      <c r="L60" s="28">
        <f t="shared" ref="L60" si="5">L61+L62+L69</f>
        <v>1079066</v>
      </c>
      <c r="M60" s="28">
        <f t="shared" ref="M60:V60" si="6">M61+M62+M69</f>
        <v>1035663</v>
      </c>
      <c r="N60" s="28">
        <f t="shared" si="6"/>
        <v>942317</v>
      </c>
      <c r="O60" s="28">
        <f t="shared" si="6"/>
        <v>834306</v>
      </c>
      <c r="P60" s="28">
        <f t="shared" si="6"/>
        <v>1064718</v>
      </c>
      <c r="Q60" s="28">
        <f t="shared" si="6"/>
        <v>1664352</v>
      </c>
      <c r="R60" s="28">
        <f t="shared" si="6"/>
        <v>1679996</v>
      </c>
      <c r="S60" s="28">
        <f t="shared" si="6"/>
        <v>1779314</v>
      </c>
      <c r="T60" s="28">
        <f t="shared" si="6"/>
        <v>1934340</v>
      </c>
      <c r="U60" s="28">
        <f t="shared" si="6"/>
        <v>1963496</v>
      </c>
      <c r="V60" s="28">
        <f t="shared" si="6"/>
        <v>1595131</v>
      </c>
      <c r="W60" s="28">
        <f t="shared" ref="W60" si="7">W61+W62+W69</f>
        <v>1837289</v>
      </c>
      <c r="DA60" s="173" t="s">
        <v>837</v>
      </c>
    </row>
    <row r="61" spans="1:105" ht="11.45" customHeight="1" x14ac:dyDescent="0.25">
      <c r="A61" s="136" t="s">
        <v>180</v>
      </c>
      <c r="B61" s="137">
        <v>60788</v>
      </c>
      <c r="C61" s="137">
        <v>76692</v>
      </c>
      <c r="D61" s="137">
        <v>288269</v>
      </c>
      <c r="E61" s="137">
        <v>150176</v>
      </c>
      <c r="F61" s="137">
        <v>187470</v>
      </c>
      <c r="G61" s="137">
        <v>262416</v>
      </c>
      <c r="H61" s="137">
        <v>306579</v>
      </c>
      <c r="I61" s="137">
        <v>388958</v>
      </c>
      <c r="J61" s="137">
        <v>351664</v>
      </c>
      <c r="K61" s="137">
        <v>208383</v>
      </c>
      <c r="L61" s="137">
        <v>220304</v>
      </c>
      <c r="M61" s="137">
        <v>203305</v>
      </c>
      <c r="N61" s="137">
        <v>173151</v>
      </c>
      <c r="O61" s="137">
        <v>169184</v>
      </c>
      <c r="P61" s="137">
        <v>208926</v>
      </c>
      <c r="Q61" s="137">
        <v>277597</v>
      </c>
      <c r="R61" s="137">
        <v>336615</v>
      </c>
      <c r="S61" s="137">
        <v>322843</v>
      </c>
      <c r="T61" s="137">
        <v>373011</v>
      </c>
      <c r="U61" s="137">
        <v>406212</v>
      </c>
      <c r="V61" s="137">
        <v>389369</v>
      </c>
      <c r="W61" s="137">
        <v>362694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2889782</v>
      </c>
      <c r="C62" s="110">
        <f t="shared" si="8"/>
        <v>690351</v>
      </c>
      <c r="D62" s="110">
        <f t="shared" si="8"/>
        <v>709843</v>
      </c>
      <c r="E62" s="110">
        <f t="shared" si="8"/>
        <v>759400</v>
      </c>
      <c r="F62" s="110">
        <f t="shared" si="8"/>
        <v>901682</v>
      </c>
      <c r="G62" s="110">
        <f t="shared" si="8"/>
        <v>977102</v>
      </c>
      <c r="H62" s="110">
        <f t="shared" si="8"/>
        <v>1138596</v>
      </c>
      <c r="I62" s="110">
        <f t="shared" si="8"/>
        <v>1186649</v>
      </c>
      <c r="J62" s="110">
        <f t="shared" si="8"/>
        <v>946691</v>
      </c>
      <c r="K62" s="110">
        <f t="shared" si="8"/>
        <v>785286</v>
      </c>
      <c r="L62" s="110">
        <f t="shared" ref="L62" si="9">SUM(L63:L68)</f>
        <v>855774</v>
      </c>
      <c r="M62" s="110">
        <f t="shared" ref="M62:V62" si="10">SUM(M63:M68)</f>
        <v>829151</v>
      </c>
      <c r="N62" s="110">
        <f t="shared" si="10"/>
        <v>765775</v>
      </c>
      <c r="O62" s="110">
        <f t="shared" si="10"/>
        <v>663594</v>
      </c>
      <c r="P62" s="110">
        <f t="shared" si="10"/>
        <v>852550</v>
      </c>
      <c r="Q62" s="110">
        <f t="shared" si="10"/>
        <v>1382712</v>
      </c>
      <c r="R62" s="110">
        <f t="shared" si="10"/>
        <v>1338991</v>
      </c>
      <c r="S62" s="110">
        <f t="shared" si="10"/>
        <v>1452739</v>
      </c>
      <c r="T62" s="110">
        <f t="shared" si="10"/>
        <v>1557677</v>
      </c>
      <c r="U62" s="110">
        <f t="shared" si="10"/>
        <v>1553773</v>
      </c>
      <c r="V62" s="110">
        <f t="shared" si="10"/>
        <v>1203190</v>
      </c>
      <c r="W62" s="110">
        <f t="shared" ref="W62" si="11">SUM(W63:W68)</f>
        <v>1471824</v>
      </c>
      <c r="DA62" s="176" t="s">
        <v>839</v>
      </c>
    </row>
    <row r="63" spans="1:105" ht="11.45" customHeight="1" x14ac:dyDescent="0.25">
      <c r="A63" s="111" t="s">
        <v>110</v>
      </c>
      <c r="B63" s="84">
        <v>2336018</v>
      </c>
      <c r="C63" s="84">
        <v>355178</v>
      </c>
      <c r="D63" s="84">
        <v>323470</v>
      </c>
      <c r="E63" s="84">
        <v>319390</v>
      </c>
      <c r="F63" s="84">
        <v>348407</v>
      </c>
      <c r="G63" s="84">
        <v>345742</v>
      </c>
      <c r="H63" s="84">
        <v>365945</v>
      </c>
      <c r="I63" s="84">
        <v>368169</v>
      </c>
      <c r="J63" s="84">
        <v>294931</v>
      </c>
      <c r="K63" s="84">
        <v>245030</v>
      </c>
      <c r="L63" s="84">
        <v>256923</v>
      </c>
      <c r="M63" s="84">
        <v>224530</v>
      </c>
      <c r="N63" s="84">
        <v>209103</v>
      </c>
      <c r="O63" s="84">
        <v>206329</v>
      </c>
      <c r="P63" s="84">
        <v>293584</v>
      </c>
      <c r="Q63" s="84">
        <v>380363</v>
      </c>
      <c r="R63" s="84">
        <v>522583</v>
      </c>
      <c r="S63" s="84">
        <v>672432</v>
      </c>
      <c r="T63" s="84">
        <v>888518</v>
      </c>
      <c r="U63" s="84">
        <v>951570</v>
      </c>
      <c r="V63" s="84">
        <v>643378</v>
      </c>
      <c r="W63" s="84">
        <v>766821</v>
      </c>
      <c r="DA63" s="171" t="s">
        <v>840</v>
      </c>
    </row>
    <row r="64" spans="1:105" ht="11.45" customHeight="1" x14ac:dyDescent="0.25">
      <c r="A64" s="111" t="s">
        <v>111</v>
      </c>
      <c r="B64" s="84">
        <v>553764</v>
      </c>
      <c r="C64" s="84">
        <v>335173</v>
      </c>
      <c r="D64" s="84">
        <v>386373</v>
      </c>
      <c r="E64" s="84">
        <v>440010</v>
      </c>
      <c r="F64" s="84">
        <v>553275</v>
      </c>
      <c r="G64" s="84">
        <v>631360</v>
      </c>
      <c r="H64" s="84">
        <v>772651</v>
      </c>
      <c r="I64" s="84">
        <v>818480</v>
      </c>
      <c r="J64" s="84">
        <v>651760</v>
      </c>
      <c r="K64" s="84">
        <v>540256</v>
      </c>
      <c r="L64" s="84">
        <v>598851</v>
      </c>
      <c r="M64" s="84">
        <v>604621</v>
      </c>
      <c r="N64" s="84">
        <v>556672</v>
      </c>
      <c r="O64" s="84">
        <v>457265</v>
      </c>
      <c r="P64" s="84">
        <v>558884</v>
      </c>
      <c r="Q64" s="84">
        <v>1001568</v>
      </c>
      <c r="R64" s="84">
        <v>814832</v>
      </c>
      <c r="S64" s="84">
        <v>773645</v>
      </c>
      <c r="T64" s="84">
        <v>637436</v>
      </c>
      <c r="U64" s="84">
        <v>552854</v>
      </c>
      <c r="V64" s="84">
        <v>502846</v>
      </c>
      <c r="W64" s="84">
        <v>615838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13382</v>
      </c>
      <c r="U65" s="84">
        <v>22895</v>
      </c>
      <c r="V65" s="84">
        <v>10560</v>
      </c>
      <c r="W65" s="84">
        <v>13947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2275</v>
      </c>
      <c r="U66" s="84">
        <v>6104</v>
      </c>
      <c r="V66" s="84">
        <v>3570</v>
      </c>
      <c r="W66" s="84">
        <v>4337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82</v>
      </c>
      <c r="Q67" s="84">
        <v>781</v>
      </c>
      <c r="R67" s="84">
        <v>1576</v>
      </c>
      <c r="S67" s="84">
        <v>3373</v>
      </c>
      <c r="T67" s="84">
        <v>5666</v>
      </c>
      <c r="U67" s="84">
        <v>7435</v>
      </c>
      <c r="V67" s="84">
        <v>24506</v>
      </c>
      <c r="W67" s="84">
        <v>43077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3289</v>
      </c>
      <c r="T68" s="84">
        <v>10400</v>
      </c>
      <c r="U68" s="84">
        <v>12915</v>
      </c>
      <c r="V68" s="84">
        <v>18330</v>
      </c>
      <c r="W68" s="84">
        <v>27804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6</v>
      </c>
      <c r="D69" s="110">
        <f t="shared" si="12"/>
        <v>44</v>
      </c>
      <c r="E69" s="110">
        <f t="shared" si="12"/>
        <v>26</v>
      </c>
      <c r="F69" s="110">
        <f t="shared" si="12"/>
        <v>33</v>
      </c>
      <c r="G69" s="110">
        <f t="shared" si="12"/>
        <v>0</v>
      </c>
      <c r="H69" s="110">
        <f t="shared" si="12"/>
        <v>36</v>
      </c>
      <c r="I69" s="110">
        <f t="shared" si="12"/>
        <v>1424</v>
      </c>
      <c r="J69" s="110">
        <f t="shared" si="12"/>
        <v>3270</v>
      </c>
      <c r="K69" s="110">
        <f t="shared" si="12"/>
        <v>3290</v>
      </c>
      <c r="L69" s="110">
        <f t="shared" ref="L69" si="13">SUM(L70:L74)</f>
        <v>2988</v>
      </c>
      <c r="M69" s="110">
        <f t="shared" ref="M69:V69" si="14">SUM(M70:M74)</f>
        <v>3207</v>
      </c>
      <c r="N69" s="110">
        <f t="shared" si="14"/>
        <v>3391</v>
      </c>
      <c r="O69" s="110">
        <f t="shared" si="14"/>
        <v>1528</v>
      </c>
      <c r="P69" s="110">
        <f t="shared" si="14"/>
        <v>3242</v>
      </c>
      <c r="Q69" s="110">
        <f t="shared" si="14"/>
        <v>4043</v>
      </c>
      <c r="R69" s="110">
        <f t="shared" si="14"/>
        <v>4390</v>
      </c>
      <c r="S69" s="110">
        <f t="shared" si="14"/>
        <v>3732</v>
      </c>
      <c r="T69" s="110">
        <f t="shared" si="14"/>
        <v>3652</v>
      </c>
      <c r="U69" s="110">
        <f t="shared" si="14"/>
        <v>3511</v>
      </c>
      <c r="V69" s="110">
        <f t="shared" si="14"/>
        <v>2572</v>
      </c>
      <c r="W69" s="110">
        <f t="shared" ref="W69" si="15">SUM(W70:W74)</f>
        <v>2771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6</v>
      </c>
      <c r="D70" s="102">
        <v>44</v>
      </c>
      <c r="E70" s="102">
        <v>26</v>
      </c>
      <c r="F70" s="102">
        <v>33</v>
      </c>
      <c r="G70" s="102">
        <v>0</v>
      </c>
      <c r="H70" s="102">
        <v>36</v>
      </c>
      <c r="I70" s="102">
        <v>109</v>
      </c>
      <c r="J70" s="102">
        <v>6</v>
      </c>
      <c r="K70" s="102">
        <v>7</v>
      </c>
      <c r="L70" s="102">
        <v>20</v>
      </c>
      <c r="M70" s="102">
        <v>28</v>
      </c>
      <c r="N70" s="102">
        <v>22</v>
      </c>
      <c r="O70" s="102">
        <v>24</v>
      </c>
      <c r="P70" s="102">
        <v>27</v>
      </c>
      <c r="Q70" s="102">
        <v>20</v>
      </c>
      <c r="R70" s="102">
        <v>14</v>
      </c>
      <c r="S70" s="102">
        <v>13</v>
      </c>
      <c r="T70" s="102">
        <v>2</v>
      </c>
      <c r="U70" s="102">
        <v>1</v>
      </c>
      <c r="V70" s="102">
        <v>1</v>
      </c>
      <c r="W70" s="102">
        <v>9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1297</v>
      </c>
      <c r="J71" s="102">
        <v>3264</v>
      </c>
      <c r="K71" s="102">
        <v>3281</v>
      </c>
      <c r="L71" s="102">
        <v>2968</v>
      </c>
      <c r="M71" s="102">
        <v>3179</v>
      </c>
      <c r="N71" s="102">
        <v>3350</v>
      </c>
      <c r="O71" s="102">
        <v>1496</v>
      </c>
      <c r="P71" s="102">
        <v>3151</v>
      </c>
      <c r="Q71" s="102">
        <v>2829</v>
      </c>
      <c r="R71" s="102">
        <v>4027</v>
      </c>
      <c r="S71" s="102">
        <v>3366</v>
      </c>
      <c r="T71" s="102">
        <v>3182</v>
      </c>
      <c r="U71" s="102">
        <v>2673</v>
      </c>
      <c r="V71" s="102">
        <v>1937</v>
      </c>
      <c r="W71" s="102">
        <v>2106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3</v>
      </c>
      <c r="Q72" s="102">
        <v>89</v>
      </c>
      <c r="R72" s="102">
        <v>2</v>
      </c>
      <c r="S72" s="102">
        <v>0</v>
      </c>
      <c r="T72" s="102">
        <v>0</v>
      </c>
      <c r="U72" s="102">
        <v>26</v>
      </c>
      <c r="V72" s="102">
        <v>35</v>
      </c>
      <c r="W72" s="102">
        <v>179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18</v>
      </c>
      <c r="J73" s="102">
        <v>0</v>
      </c>
      <c r="K73" s="102">
        <v>2</v>
      </c>
      <c r="L73" s="102">
        <v>0</v>
      </c>
      <c r="M73" s="102">
        <v>0</v>
      </c>
      <c r="N73" s="102">
        <v>19</v>
      </c>
      <c r="O73" s="102">
        <v>8</v>
      </c>
      <c r="P73" s="102">
        <v>0</v>
      </c>
      <c r="Q73" s="102">
        <v>1065</v>
      </c>
      <c r="R73" s="102">
        <v>305</v>
      </c>
      <c r="S73" s="102">
        <v>316</v>
      </c>
      <c r="T73" s="102">
        <v>405</v>
      </c>
      <c r="U73" s="102">
        <v>644</v>
      </c>
      <c r="V73" s="102">
        <v>545</v>
      </c>
      <c r="W73" s="102">
        <v>348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61</v>
      </c>
      <c r="Q74" s="102">
        <v>40</v>
      </c>
      <c r="R74" s="102">
        <v>42</v>
      </c>
      <c r="S74" s="102">
        <v>37</v>
      </c>
      <c r="T74" s="102">
        <v>63</v>
      </c>
      <c r="U74" s="102">
        <v>167</v>
      </c>
      <c r="V74" s="102">
        <v>54</v>
      </c>
      <c r="W74" s="102">
        <v>129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9981</v>
      </c>
      <c r="G75" s="28">
        <f t="shared" si="16"/>
        <v>135221</v>
      </c>
      <c r="H75" s="28">
        <f t="shared" si="16"/>
        <v>192133</v>
      </c>
      <c r="I75" s="28">
        <f t="shared" si="16"/>
        <v>570546</v>
      </c>
      <c r="J75" s="28">
        <f t="shared" si="16"/>
        <v>101855</v>
      </c>
      <c r="K75" s="28">
        <f t="shared" si="16"/>
        <v>91902</v>
      </c>
      <c r="L75" s="28">
        <f t="shared" ref="L75" si="17">L76+L82</f>
        <v>108213</v>
      </c>
      <c r="M75" s="28">
        <f t="shared" ref="M75:V75" si="18">M76+M82</f>
        <v>106299</v>
      </c>
      <c r="N75" s="28">
        <f t="shared" si="18"/>
        <v>94598</v>
      </c>
      <c r="O75" s="28">
        <f t="shared" si="18"/>
        <v>84721</v>
      </c>
      <c r="P75" s="28">
        <f t="shared" si="18"/>
        <v>316764</v>
      </c>
      <c r="Q75" s="28">
        <f t="shared" si="18"/>
        <v>445804</v>
      </c>
      <c r="R75" s="28">
        <f t="shared" si="18"/>
        <v>192381</v>
      </c>
      <c r="S75" s="28">
        <f t="shared" si="18"/>
        <v>222990</v>
      </c>
      <c r="T75" s="28">
        <f t="shared" si="18"/>
        <v>246545</v>
      </c>
      <c r="U75" s="28">
        <f t="shared" si="18"/>
        <v>237062</v>
      </c>
      <c r="V75" s="28">
        <f t="shared" si="18"/>
        <v>170748</v>
      </c>
      <c r="W75" s="28">
        <f t="shared" ref="W75" si="19">W76+W82</f>
        <v>188653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113516</v>
      </c>
      <c r="H76" s="137">
        <f t="shared" si="20"/>
        <v>164271</v>
      </c>
      <c r="I76" s="137">
        <f t="shared" si="20"/>
        <v>533278</v>
      </c>
      <c r="J76" s="137">
        <f t="shared" si="20"/>
        <v>71809</v>
      </c>
      <c r="K76" s="137">
        <f t="shared" si="20"/>
        <v>69979</v>
      </c>
      <c r="L76" s="137">
        <f t="shared" ref="L76" si="21">SUM(L77:L81)</f>
        <v>82267</v>
      </c>
      <c r="M76" s="137">
        <f t="shared" ref="M76:V76" si="22">SUM(M77:M81)</f>
        <v>74789</v>
      </c>
      <c r="N76" s="137">
        <f t="shared" si="22"/>
        <v>68046</v>
      </c>
      <c r="O76" s="137">
        <f t="shared" si="22"/>
        <v>74772</v>
      </c>
      <c r="P76" s="137">
        <f t="shared" si="22"/>
        <v>309842</v>
      </c>
      <c r="Q76" s="137">
        <f t="shared" si="22"/>
        <v>432489</v>
      </c>
      <c r="R76" s="137">
        <f t="shared" si="22"/>
        <v>145488</v>
      </c>
      <c r="S76" s="137">
        <f t="shared" si="22"/>
        <v>162031</v>
      </c>
      <c r="T76" s="137">
        <f t="shared" si="22"/>
        <v>187919</v>
      </c>
      <c r="U76" s="137">
        <f t="shared" si="22"/>
        <v>179562</v>
      </c>
      <c r="V76" s="137">
        <f t="shared" si="22"/>
        <v>133450</v>
      </c>
      <c r="W76" s="137">
        <f t="shared" ref="W76" si="23">SUM(W77:W81)</f>
        <v>146263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9179</v>
      </c>
      <c r="O77" s="84">
        <v>10178</v>
      </c>
      <c r="P77" s="84">
        <v>171</v>
      </c>
      <c r="Q77" s="84">
        <v>3393</v>
      </c>
      <c r="R77" s="84">
        <v>3987</v>
      </c>
      <c r="S77" s="84">
        <v>12147</v>
      </c>
      <c r="T77" s="84">
        <v>10049</v>
      </c>
      <c r="U77" s="84">
        <v>8570</v>
      </c>
      <c r="V77" s="84">
        <v>5061</v>
      </c>
      <c r="W77" s="84">
        <v>8849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113516</v>
      </c>
      <c r="H78" s="84">
        <v>164271</v>
      </c>
      <c r="I78" s="84">
        <v>533278</v>
      </c>
      <c r="J78" s="84">
        <v>71809</v>
      </c>
      <c r="K78" s="84">
        <v>69979</v>
      </c>
      <c r="L78" s="84">
        <v>82267</v>
      </c>
      <c r="M78" s="84">
        <v>74789</v>
      </c>
      <c r="N78" s="84">
        <v>58867</v>
      </c>
      <c r="O78" s="84">
        <v>64592</v>
      </c>
      <c r="P78" s="84">
        <v>309235</v>
      </c>
      <c r="Q78" s="84">
        <v>428183</v>
      </c>
      <c r="R78" s="84">
        <v>139417</v>
      </c>
      <c r="S78" s="84">
        <v>148255</v>
      </c>
      <c r="T78" s="84">
        <v>171964</v>
      </c>
      <c r="U78" s="84">
        <v>161788</v>
      </c>
      <c r="V78" s="84">
        <v>123003</v>
      </c>
      <c r="W78" s="84">
        <v>130983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2</v>
      </c>
      <c r="P79" s="84">
        <v>122</v>
      </c>
      <c r="Q79" s="84">
        <v>250</v>
      </c>
      <c r="R79" s="84">
        <v>1141</v>
      </c>
      <c r="S79" s="84">
        <v>775</v>
      </c>
      <c r="T79" s="84">
        <v>2253</v>
      </c>
      <c r="U79" s="84">
        <v>5978</v>
      </c>
      <c r="V79" s="84">
        <v>2186</v>
      </c>
      <c r="W79" s="84">
        <v>3111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1859</v>
      </c>
      <c r="U80" s="84">
        <v>1668</v>
      </c>
      <c r="V80" s="84">
        <v>1432</v>
      </c>
      <c r="W80" s="84">
        <v>718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314</v>
      </c>
      <c r="Q81" s="84">
        <v>663</v>
      </c>
      <c r="R81" s="84">
        <v>943</v>
      </c>
      <c r="S81" s="84">
        <v>854</v>
      </c>
      <c r="T81" s="84">
        <v>1794</v>
      </c>
      <c r="U81" s="84">
        <v>1558</v>
      </c>
      <c r="V81" s="84">
        <v>1768</v>
      </c>
      <c r="W81" s="84">
        <v>2602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9981</v>
      </c>
      <c r="G82" s="110">
        <f t="shared" si="24"/>
        <v>21705</v>
      </c>
      <c r="H82" s="110">
        <f t="shared" si="24"/>
        <v>27862</v>
      </c>
      <c r="I82" s="110">
        <f t="shared" si="24"/>
        <v>37268</v>
      </c>
      <c r="J82" s="110">
        <f t="shared" si="24"/>
        <v>30046</v>
      </c>
      <c r="K82" s="110">
        <f t="shared" si="24"/>
        <v>21923</v>
      </c>
      <c r="L82" s="110">
        <f t="shared" ref="L82" si="25">SUM(L83:L84)</f>
        <v>25946</v>
      </c>
      <c r="M82" s="110">
        <f t="shared" ref="M82:V82" si="26">SUM(M83:M84)</f>
        <v>31510</v>
      </c>
      <c r="N82" s="110">
        <f t="shared" si="26"/>
        <v>26552</v>
      </c>
      <c r="O82" s="110">
        <f t="shared" si="26"/>
        <v>9949</v>
      </c>
      <c r="P82" s="110">
        <f t="shared" si="26"/>
        <v>6922</v>
      </c>
      <c r="Q82" s="110">
        <f t="shared" si="26"/>
        <v>13315</v>
      </c>
      <c r="R82" s="110">
        <f t="shared" si="26"/>
        <v>46893</v>
      </c>
      <c r="S82" s="110">
        <f t="shared" si="26"/>
        <v>60959</v>
      </c>
      <c r="T82" s="110">
        <f t="shared" si="26"/>
        <v>58626</v>
      </c>
      <c r="U82" s="110">
        <f t="shared" si="26"/>
        <v>57500</v>
      </c>
      <c r="V82" s="110">
        <f t="shared" si="26"/>
        <v>37298</v>
      </c>
      <c r="W82" s="110">
        <f t="shared" ref="W82" si="27">SUM(W83:W84)</f>
        <v>42390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9981</v>
      </c>
      <c r="G83" s="102">
        <v>21705</v>
      </c>
      <c r="H83" s="102">
        <v>27862</v>
      </c>
      <c r="I83" s="102">
        <v>37268</v>
      </c>
      <c r="J83" s="102">
        <v>30046</v>
      </c>
      <c r="K83" s="102">
        <v>21923</v>
      </c>
      <c r="L83" s="102">
        <v>25449</v>
      </c>
      <c r="M83" s="102">
        <v>29532</v>
      </c>
      <c r="N83" s="102">
        <v>24760</v>
      </c>
      <c r="O83" s="102">
        <v>5972</v>
      </c>
      <c r="P83" s="102">
        <v>4464</v>
      </c>
      <c r="Q83" s="102">
        <v>9186</v>
      </c>
      <c r="R83" s="102">
        <v>43173</v>
      </c>
      <c r="S83" s="102">
        <v>57019</v>
      </c>
      <c r="T83" s="102">
        <v>54286</v>
      </c>
      <c r="U83" s="102">
        <v>52724</v>
      </c>
      <c r="V83" s="102">
        <v>35577</v>
      </c>
      <c r="W83" s="102">
        <v>34979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497</v>
      </c>
      <c r="M84" s="86">
        <v>1978</v>
      </c>
      <c r="N84" s="86">
        <v>1792</v>
      </c>
      <c r="O84" s="86">
        <v>3977</v>
      </c>
      <c r="P84" s="86">
        <v>2458</v>
      </c>
      <c r="Q84" s="86">
        <v>4129</v>
      </c>
      <c r="R84" s="86">
        <v>3720</v>
      </c>
      <c r="S84" s="86">
        <v>3940</v>
      </c>
      <c r="T84" s="86">
        <v>4340</v>
      </c>
      <c r="U84" s="86">
        <v>4776</v>
      </c>
      <c r="V84" s="86">
        <v>1721</v>
      </c>
      <c r="W84" s="86">
        <v>7411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3.7985197065576788</v>
      </c>
      <c r="C90" s="141">
        <v>3.775511716315465</v>
      </c>
      <c r="D90" s="141">
        <v>3.7105617344165718</v>
      </c>
      <c r="E90" s="141">
        <v>3.6809640974454374</v>
      </c>
      <c r="F90" s="141">
        <v>3.6505329403588807</v>
      </c>
      <c r="G90" s="141">
        <v>3.6159341077241525</v>
      </c>
      <c r="H90" s="141">
        <v>3.5773690104299627</v>
      </c>
      <c r="I90" s="141">
        <v>3.5353688996915897</v>
      </c>
      <c r="J90" s="141">
        <v>3.4901555086380247</v>
      </c>
      <c r="K90" s="141">
        <v>3.4568097392018662</v>
      </c>
      <c r="L90" s="141">
        <v>3.4149514344513765</v>
      </c>
      <c r="M90" s="141">
        <v>3.3911896823003955</v>
      </c>
      <c r="N90" s="141">
        <v>3.3532589608215937</v>
      </c>
      <c r="O90" s="141">
        <v>3.3280006760684957</v>
      </c>
      <c r="P90" s="141">
        <v>3.2812814965407497</v>
      </c>
      <c r="Q90" s="141">
        <v>3.2450751920095811</v>
      </c>
      <c r="R90" s="141">
        <v>3.1784991614528977</v>
      </c>
      <c r="S90" s="141">
        <v>3.1329417535307655</v>
      </c>
      <c r="T90" s="141">
        <v>3.0815990601005421</v>
      </c>
      <c r="U90" s="141">
        <v>3.0107148078425285</v>
      </c>
      <c r="V90" s="141">
        <v>2.9636394824815508</v>
      </c>
      <c r="W90" s="141">
        <v>2.7483108037818815</v>
      </c>
      <c r="DA90" s="174" t="s">
        <v>862</v>
      </c>
    </row>
    <row r="91" spans="1:105" ht="11.45" customHeight="1" x14ac:dyDescent="0.25">
      <c r="A91" s="109" t="s">
        <v>20</v>
      </c>
      <c r="B91" s="130">
        <v>7.811403095514331</v>
      </c>
      <c r="C91" s="130">
        <v>7.6124268727300954</v>
      </c>
      <c r="D91" s="130">
        <v>7.5208576468862889</v>
      </c>
      <c r="E91" s="130">
        <v>7.4214504355968343</v>
      </c>
      <c r="F91" s="130">
        <v>7.3321253402676891</v>
      </c>
      <c r="G91" s="130">
        <v>7.2478645821886927</v>
      </c>
      <c r="H91" s="130">
        <v>7.1658030817256639</v>
      </c>
      <c r="I91" s="130">
        <v>7.0925540800828637</v>
      </c>
      <c r="J91" s="130">
        <v>7.0284853603473403</v>
      </c>
      <c r="K91" s="130">
        <v>6.9562650399764516</v>
      </c>
      <c r="L91" s="130">
        <v>6.8829458228406297</v>
      </c>
      <c r="M91" s="130">
        <v>6.811563605752327</v>
      </c>
      <c r="N91" s="130">
        <v>6.7512536010779458</v>
      </c>
      <c r="O91" s="130">
        <v>6.6707999979020869</v>
      </c>
      <c r="P91" s="130">
        <v>6.5741053522793722</v>
      </c>
      <c r="Q91" s="130">
        <v>6.458610264988125</v>
      </c>
      <c r="R91" s="130">
        <v>6.3459580159410418</v>
      </c>
      <c r="S91" s="130">
        <v>6.2353615724525566</v>
      </c>
      <c r="T91" s="130">
        <v>6.1231774952169236</v>
      </c>
      <c r="U91" s="130">
        <v>6.0195873413430112</v>
      </c>
      <c r="V91" s="130">
        <v>5.9218486354794297</v>
      </c>
      <c r="W91" s="130">
        <v>5.8031479100882297</v>
      </c>
      <c r="DA91" s="176" t="s">
        <v>863</v>
      </c>
    </row>
    <row r="92" spans="1:105" ht="11.45" customHeight="1" x14ac:dyDescent="0.25">
      <c r="A92" s="111" t="s">
        <v>110</v>
      </c>
      <c r="B92" s="96">
        <v>8.0547390344507246</v>
      </c>
      <c r="C92" s="96">
        <v>7.8954405414271429</v>
      </c>
      <c r="D92" s="96">
        <v>7.8320439382744205</v>
      </c>
      <c r="E92" s="96">
        <v>7.7628264729463554</v>
      </c>
      <c r="F92" s="96">
        <v>7.697407279649668</v>
      </c>
      <c r="G92" s="96">
        <v>7.6339021900271264</v>
      </c>
      <c r="H92" s="96">
        <v>7.5638901902113114</v>
      </c>
      <c r="I92" s="96">
        <v>7.4980287049376306</v>
      </c>
      <c r="J92" s="96">
        <v>7.4348784563231893</v>
      </c>
      <c r="K92" s="96">
        <v>7.3589067658497083</v>
      </c>
      <c r="L92" s="96">
        <v>7.2775743522271652</v>
      </c>
      <c r="M92" s="96">
        <v>7.2042161024538434</v>
      </c>
      <c r="N92" s="96">
        <v>7.1503769800975814</v>
      </c>
      <c r="O92" s="96">
        <v>7.0518723126940026</v>
      </c>
      <c r="P92" s="96">
        <v>6.9206994992185242</v>
      </c>
      <c r="Q92" s="96">
        <v>6.7915414930838924</v>
      </c>
      <c r="R92" s="96">
        <v>6.6102767999129659</v>
      </c>
      <c r="S92" s="96">
        <v>6.4250345320200788</v>
      </c>
      <c r="T92" s="96">
        <v>6.2084912728623856</v>
      </c>
      <c r="U92" s="96">
        <v>6.0320609411317827</v>
      </c>
      <c r="V92" s="96">
        <v>5.8828061379369139</v>
      </c>
      <c r="W92" s="96">
        <v>5.7307157515262643</v>
      </c>
      <c r="DA92" s="171" t="s">
        <v>864</v>
      </c>
    </row>
    <row r="93" spans="1:105" ht="11.45" customHeight="1" x14ac:dyDescent="0.25">
      <c r="A93" s="111" t="s">
        <v>111</v>
      </c>
      <c r="B93" s="96">
        <v>7.1563011120260871</v>
      </c>
      <c r="C93" s="96">
        <v>6.7721063118284466</v>
      </c>
      <c r="D93" s="96">
        <v>6.6708619575886416</v>
      </c>
      <c r="E93" s="96">
        <v>6.601613996675761</v>
      </c>
      <c r="F93" s="96">
        <v>6.5513911925420132</v>
      </c>
      <c r="G93" s="96">
        <v>6.5147145593726998</v>
      </c>
      <c r="H93" s="96">
        <v>6.4934932513274308</v>
      </c>
      <c r="I93" s="96">
        <v>6.4636929270127315</v>
      </c>
      <c r="J93" s="96">
        <v>6.4289253559319723</v>
      </c>
      <c r="K93" s="96">
        <v>6.3856743407648544</v>
      </c>
      <c r="L93" s="96">
        <v>6.3315372505418974</v>
      </c>
      <c r="M93" s="96">
        <v>6.2727865308771955</v>
      </c>
      <c r="N93" s="96">
        <v>6.2101344556558882</v>
      </c>
      <c r="O93" s="96">
        <v>6.137470450779813</v>
      </c>
      <c r="P93" s="96">
        <v>6.0551357903238463</v>
      </c>
      <c r="Q93" s="96">
        <v>5.9294665063687075</v>
      </c>
      <c r="R93" s="96">
        <v>5.832035560294754</v>
      </c>
      <c r="S93" s="96">
        <v>5.7394569462447897</v>
      </c>
      <c r="T93" s="96">
        <v>5.6743582222730087</v>
      </c>
      <c r="U93" s="96">
        <v>5.6063618748706006</v>
      </c>
      <c r="V93" s="96">
        <v>5.5488569165848745</v>
      </c>
      <c r="W93" s="96">
        <v>5.4580097960681559</v>
      </c>
      <c r="DA93" s="171" t="s">
        <v>865</v>
      </c>
    </row>
    <row r="94" spans="1:105" ht="11.45" customHeight="1" x14ac:dyDescent="0.25">
      <c r="A94" s="111" t="s">
        <v>112</v>
      </c>
      <c r="B94" s="96">
        <v>6.6037188437759013</v>
      </c>
      <c r="C94" s="96">
        <v>6.5237116441431322</v>
      </c>
      <c r="D94" s="96">
        <v>6.4527113347397069</v>
      </c>
      <c r="E94" s="96">
        <v>6.442611129605055</v>
      </c>
      <c r="F94" s="96">
        <v>6.4369196851423043</v>
      </c>
      <c r="G94" s="96">
        <v>6.3779989293034731</v>
      </c>
      <c r="H94" s="96">
        <v>6.357692870325514</v>
      </c>
      <c r="I94" s="96">
        <v>6.3079724948889755</v>
      </c>
      <c r="J94" s="96">
        <v>6.2073891926620739</v>
      </c>
      <c r="K94" s="96">
        <v>6.1949328186693275</v>
      </c>
      <c r="L94" s="96">
        <v>6.2119045734845564</v>
      </c>
      <c r="M94" s="96">
        <v>6.2260417735391833</v>
      </c>
      <c r="N94" s="96">
        <v>6.2644919843166038</v>
      </c>
      <c r="O94" s="96">
        <v>6.2188603257532984</v>
      </c>
      <c r="P94" s="96">
        <v>6.0587323201510346</v>
      </c>
      <c r="Q94" s="96">
        <v>5.9454219129044823</v>
      </c>
      <c r="R94" s="96">
        <v>5.8671590933419697</v>
      </c>
      <c r="S94" s="96">
        <v>5.720827280022319</v>
      </c>
      <c r="T94" s="96">
        <v>5.4415325458895065</v>
      </c>
      <c r="U94" s="96">
        <v>5.3171253205892892</v>
      </c>
      <c r="V94" s="96">
        <v>5.1619664904329277</v>
      </c>
      <c r="W94" s="96">
        <v>5.0425671896519537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7.556104431556836</v>
      </c>
      <c r="G95" s="96">
        <v>7.54787234238478</v>
      </c>
      <c r="H95" s="96">
        <v>7.4875940852348313</v>
      </c>
      <c r="I95" s="96">
        <v>7.4866164364584291</v>
      </c>
      <c r="J95" s="96">
        <v>7.4753254877812658</v>
      </c>
      <c r="K95" s="96">
        <v>7.454966276743181</v>
      </c>
      <c r="L95" s="96">
        <v>7.3750667921086244</v>
      </c>
      <c r="M95" s="96">
        <v>7.353136908329712</v>
      </c>
      <c r="N95" s="96">
        <v>6.5890808597757813</v>
      </c>
      <c r="O95" s="96">
        <v>6.4231437812633674</v>
      </c>
      <c r="P95" s="96">
        <v>6.3677900852080818</v>
      </c>
      <c r="Q95" s="96">
        <v>6.3484977526296307</v>
      </c>
      <c r="R95" s="96">
        <v>6.2449722439093254</v>
      </c>
      <c r="S95" s="96">
        <v>6.0065153691558626</v>
      </c>
      <c r="T95" s="96">
        <v>5.9105166908934708</v>
      </c>
      <c r="U95" s="96">
        <v>5.2887890610612747</v>
      </c>
      <c r="V95" s="96">
        <v>5.113459399630587</v>
      </c>
      <c r="W95" s="96">
        <v>4.9836691224529632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3.1859250973627224</v>
      </c>
      <c r="N96" s="96">
        <v>2.620437816167386</v>
      </c>
      <c r="O96" s="96">
        <v>3.1237492893988521</v>
      </c>
      <c r="P96" s="96">
        <v>2.905194020729061</v>
      </c>
      <c r="Q96" s="96">
        <v>2.7793678726201456</v>
      </c>
      <c r="R96" s="96">
        <v>2.8755765370408861</v>
      </c>
      <c r="S96" s="96">
        <v>3.0112910491118687</v>
      </c>
      <c r="T96" s="96">
        <v>2.9470543755560112</v>
      </c>
      <c r="U96" s="96">
        <v>3.0464848363216404</v>
      </c>
      <c r="V96" s="96">
        <v>3.2208594154859091</v>
      </c>
      <c r="W96" s="96">
        <v>2.918368279306192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1.2208913782356174</v>
      </c>
      <c r="L97" s="96">
        <v>1.2037833190025795</v>
      </c>
      <c r="M97" s="96">
        <v>1.2037833190025795</v>
      </c>
      <c r="N97" s="96">
        <v>1.2037833190025795</v>
      </c>
      <c r="O97" s="96">
        <v>1.2229060912259246</v>
      </c>
      <c r="P97" s="96">
        <v>1.2279431166204944</v>
      </c>
      <c r="Q97" s="96">
        <v>1.2389516368667792</v>
      </c>
      <c r="R97" s="96">
        <v>1.2201143551821827</v>
      </c>
      <c r="S97" s="96">
        <v>1.2199809162464363</v>
      </c>
      <c r="T97" s="96">
        <v>1.306579365273228</v>
      </c>
      <c r="U97" s="96">
        <v>1.3928684051685079</v>
      </c>
      <c r="V97" s="96">
        <v>1.4428138874044885</v>
      </c>
      <c r="W97" s="96">
        <v>1.4441755098130824</v>
      </c>
      <c r="DA97" s="171" t="s">
        <v>869</v>
      </c>
    </row>
    <row r="98" spans="1:105" ht="11.45" customHeight="1" x14ac:dyDescent="0.25">
      <c r="A98" s="109" t="s">
        <v>21</v>
      </c>
      <c r="B98" s="130">
        <v>54.23504059842768</v>
      </c>
      <c r="C98" s="130">
        <v>52.868384401415547</v>
      </c>
      <c r="D98" s="130">
        <v>52.143758711577313</v>
      </c>
      <c r="E98" s="130">
        <v>51.546910744453271</v>
      </c>
      <c r="F98" s="130">
        <v>50.789407511666759</v>
      </c>
      <c r="G98" s="130">
        <v>50.097495015203158</v>
      </c>
      <c r="H98" s="130">
        <v>49.429315206291449</v>
      </c>
      <c r="I98" s="130">
        <v>48.69722395240332</v>
      </c>
      <c r="J98" s="130">
        <v>48.102313780054217</v>
      </c>
      <c r="K98" s="130">
        <v>47.529735271626208</v>
      </c>
      <c r="L98" s="130">
        <v>46.961023110767606</v>
      </c>
      <c r="M98" s="130">
        <v>46.398076512157715</v>
      </c>
      <c r="N98" s="130">
        <v>45.925251651356994</v>
      </c>
      <c r="O98" s="130">
        <v>45.500069739446083</v>
      </c>
      <c r="P98" s="130">
        <v>45.30447398488792</v>
      </c>
      <c r="Q98" s="130">
        <v>44.808980369942603</v>
      </c>
      <c r="R98" s="130">
        <v>44.540206925286597</v>
      </c>
      <c r="S98" s="130">
        <v>43.456529724866854</v>
      </c>
      <c r="T98" s="130">
        <v>43.133425046803204</v>
      </c>
      <c r="U98" s="130">
        <v>42.729874433757381</v>
      </c>
      <c r="V98" s="130">
        <v>42.342851562730175</v>
      </c>
      <c r="W98" s="130">
        <v>42.15439299331279</v>
      </c>
      <c r="DA98" s="176" t="s">
        <v>870</v>
      </c>
    </row>
    <row r="99" spans="1:105" ht="11.45" customHeight="1" x14ac:dyDescent="0.25">
      <c r="A99" s="111" t="s">
        <v>110</v>
      </c>
      <c r="B99" s="97">
        <v>17.026931516516107</v>
      </c>
      <c r="C99" s="97">
        <v>16.655193816729181</v>
      </c>
      <c r="D99" s="97">
        <v>16.274544398820492</v>
      </c>
      <c r="E99" s="97">
        <v>16.073499669862404</v>
      </c>
      <c r="F99" s="97">
        <v>15.847257580204866</v>
      </c>
      <c r="G99" s="97">
        <v>15.775410943626309</v>
      </c>
      <c r="H99" s="97">
        <v>15.535875930244828</v>
      </c>
      <c r="I99" s="97">
        <v>15.071565058953775</v>
      </c>
      <c r="J99" s="97">
        <v>14.929937189759542</v>
      </c>
      <c r="K99" s="97">
        <v>14.775383703578878</v>
      </c>
      <c r="L99" s="97">
        <v>14.538900673082658</v>
      </c>
      <c r="M99" s="97">
        <v>14.239783835410487</v>
      </c>
      <c r="N99" s="97">
        <v>13.977053937903035</v>
      </c>
      <c r="O99" s="97">
        <v>13.677937320451203</v>
      </c>
      <c r="P99" s="97">
        <v>13.460381540551609</v>
      </c>
      <c r="Q99" s="97">
        <v>13.169929333708833</v>
      </c>
      <c r="R99" s="97">
        <v>13.025973180719472</v>
      </c>
      <c r="S99" s="97">
        <v>12.880278098992024</v>
      </c>
      <c r="T99" s="97">
        <v>12.778430303671977</v>
      </c>
      <c r="U99" s="97">
        <v>12.725148242282803</v>
      </c>
      <c r="V99" s="97">
        <v>12.604635494779577</v>
      </c>
      <c r="W99" s="97">
        <v>12.441363042536441</v>
      </c>
      <c r="DA99" s="175" t="s">
        <v>871</v>
      </c>
    </row>
    <row r="100" spans="1:105" ht="11.45" customHeight="1" x14ac:dyDescent="0.25">
      <c r="A100" s="111" t="s">
        <v>111</v>
      </c>
      <c r="B100" s="97">
        <v>54.926014022499515</v>
      </c>
      <c r="C100" s="97">
        <v>53.107426840421418</v>
      </c>
      <c r="D100" s="97">
        <v>52.244081335843148</v>
      </c>
      <c r="E100" s="97">
        <v>51.629412412656521</v>
      </c>
      <c r="F100" s="97">
        <v>50.814801331057758</v>
      </c>
      <c r="G100" s="97">
        <v>50.076874137667851</v>
      </c>
      <c r="H100" s="97">
        <v>49.336690744175442</v>
      </c>
      <c r="I100" s="97">
        <v>48.767215743311887</v>
      </c>
      <c r="J100" s="97">
        <v>48.160342571541491</v>
      </c>
      <c r="K100" s="97">
        <v>47.608303327735875</v>
      </c>
      <c r="L100" s="97">
        <v>47.088063902974476</v>
      </c>
      <c r="M100" s="97">
        <v>46.574666355094379</v>
      </c>
      <c r="N100" s="97">
        <v>46.129128936519486</v>
      </c>
      <c r="O100" s="97">
        <v>45.775947036322037</v>
      </c>
      <c r="P100" s="97">
        <v>45.549399322772963</v>
      </c>
      <c r="Q100" s="97">
        <v>45.242192280654244</v>
      </c>
      <c r="R100" s="97">
        <v>44.953823710898909</v>
      </c>
      <c r="S100" s="97">
        <v>44.156893882202787</v>
      </c>
      <c r="T100" s="97">
        <v>43.861416186990439</v>
      </c>
      <c r="U100" s="97">
        <v>43.595439467402855</v>
      </c>
      <c r="V100" s="97">
        <v>43.322288338401989</v>
      </c>
      <c r="W100" s="97">
        <v>43.193805599944973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36.281783893869708</v>
      </c>
      <c r="Q101" s="97">
        <v>36.010562686464418</v>
      </c>
      <c r="R101" s="97">
        <v>36.005375940616887</v>
      </c>
      <c r="S101" s="97">
        <v>36.005375940616887</v>
      </c>
      <c r="T101" s="97">
        <v>36.003047855447143</v>
      </c>
      <c r="U101" s="97">
        <v>35.797267677901729</v>
      </c>
      <c r="V101" s="97">
        <v>35.590434961317023</v>
      </c>
      <c r="W101" s="97">
        <v>35.156657523656222</v>
      </c>
      <c r="DA101" s="175" t="s">
        <v>873</v>
      </c>
    </row>
    <row r="102" spans="1:105" ht="11.45" customHeight="1" x14ac:dyDescent="0.25">
      <c r="A102" s="111" t="s">
        <v>113</v>
      </c>
      <c r="B102" s="97">
        <v>43.1691620593582</v>
      </c>
      <c r="C102" s="97">
        <v>42.715468230382044</v>
      </c>
      <c r="D102" s="97">
        <v>39.257231125072003</v>
      </c>
      <c r="E102" s="97">
        <v>39.254082763377568</v>
      </c>
      <c r="F102" s="97">
        <v>39.230472285567764</v>
      </c>
      <c r="G102" s="97">
        <v>39.217770005815098</v>
      </c>
      <c r="H102" s="97">
        <v>39.191263638205477</v>
      </c>
      <c r="I102" s="97">
        <v>39.110041777752521</v>
      </c>
      <c r="J102" s="97">
        <v>39.100311917032414</v>
      </c>
      <c r="K102" s="97">
        <v>39.092036303126292</v>
      </c>
      <c r="L102" s="97">
        <v>39.092036303126292</v>
      </c>
      <c r="M102" s="97">
        <v>39.091627630424625</v>
      </c>
      <c r="N102" s="97">
        <v>38.929617476825236</v>
      </c>
      <c r="O102" s="97">
        <v>38.845297447479886</v>
      </c>
      <c r="P102" s="97">
        <v>38.808569521864001</v>
      </c>
      <c r="Q102" s="97">
        <v>36.477050368453689</v>
      </c>
      <c r="R102" s="97">
        <v>36.326545773194006</v>
      </c>
      <c r="S102" s="97">
        <v>36.164933609820679</v>
      </c>
      <c r="T102" s="97">
        <v>35.964321626582972</v>
      </c>
      <c r="U102" s="97">
        <v>35.755220159762814</v>
      </c>
      <c r="V102" s="97">
        <v>35.607561772925862</v>
      </c>
      <c r="W102" s="97">
        <v>35.396912402626654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0</v>
      </c>
      <c r="P103" s="97">
        <v>21.580037153080024</v>
      </c>
      <c r="Q103" s="97">
        <v>21.495587149610305</v>
      </c>
      <c r="R103" s="97">
        <v>21.399513497524961</v>
      </c>
      <c r="S103" s="97">
        <v>21.314482345369278</v>
      </c>
      <c r="T103" s="97">
        <v>21.187562708197408</v>
      </c>
      <c r="U103" s="97">
        <v>20.983994268287294</v>
      </c>
      <c r="V103" s="97">
        <v>20.93044260829047</v>
      </c>
      <c r="W103" s="97">
        <v>20.819098185516513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11.559027766197719</v>
      </c>
      <c r="C105" s="141">
        <v>11.223556837366814</v>
      </c>
      <c r="D105" s="141">
        <v>10.997705310178173</v>
      </c>
      <c r="E105" s="141">
        <v>10.620580962560796</v>
      </c>
      <c r="F105" s="141">
        <v>10.153834561926315</v>
      </c>
      <c r="G105" s="141">
        <v>9.8345150355885558</v>
      </c>
      <c r="H105" s="141">
        <v>9.5209040324867402</v>
      </c>
      <c r="I105" s="141">
        <v>8.9986178686878109</v>
      </c>
      <c r="J105" s="141">
        <v>8.6720714031991317</v>
      </c>
      <c r="K105" s="141">
        <v>8.0880157451111252</v>
      </c>
      <c r="L105" s="141">
        <v>7.8384358617064285</v>
      </c>
      <c r="M105" s="141">
        <v>7.7296015514082494</v>
      </c>
      <c r="N105" s="141">
        <v>7.7054632900150866</v>
      </c>
      <c r="O105" s="141">
        <v>7.6356736482992034</v>
      </c>
      <c r="P105" s="141">
        <v>7.5062338500751666</v>
      </c>
      <c r="Q105" s="141">
        <v>7.3726614694767063</v>
      </c>
      <c r="R105" s="141">
        <v>7.2720962336722454</v>
      </c>
      <c r="S105" s="141">
        <v>7.1707603166096412</v>
      </c>
      <c r="T105" s="141">
        <v>7.0395590526722147</v>
      </c>
      <c r="U105" s="141">
        <v>6.942931081896603</v>
      </c>
      <c r="V105" s="141">
        <v>6.8928907190778634</v>
      </c>
      <c r="W105" s="141">
        <v>6.8277261134604892</v>
      </c>
      <c r="DA105" s="174" t="s">
        <v>876</v>
      </c>
    </row>
    <row r="106" spans="1:105" ht="11.45" customHeight="1" x14ac:dyDescent="0.25">
      <c r="A106" s="111" t="s">
        <v>110</v>
      </c>
      <c r="B106" s="96">
        <v>11.513408358527144</v>
      </c>
      <c r="C106" s="96">
        <v>11.503993782507807</v>
      </c>
      <c r="D106" s="96">
        <v>11.501387962165156</v>
      </c>
      <c r="E106" s="96">
        <v>11.499611003874033</v>
      </c>
      <c r="F106" s="96">
        <v>11.49773468696975</v>
      </c>
      <c r="G106" s="96">
        <v>11.495094535681284</v>
      </c>
      <c r="H106" s="96">
        <v>11.49217194583693</v>
      </c>
      <c r="I106" s="96">
        <v>11.490819133083574</v>
      </c>
      <c r="J106" s="96">
        <v>11.487190554829455</v>
      </c>
      <c r="K106" s="96">
        <v>11.484232541791728</v>
      </c>
      <c r="L106" s="96">
        <v>11.484605023197465</v>
      </c>
      <c r="M106" s="96">
        <v>11.327666777667648</v>
      </c>
      <c r="N106" s="96">
        <v>10.399391099644575</v>
      </c>
      <c r="O106" s="96">
        <v>9.65102076171409</v>
      </c>
      <c r="P106" s="96">
        <v>9.0886062733033786</v>
      </c>
      <c r="Q106" s="96">
        <v>8.8536640366819199</v>
      </c>
      <c r="R106" s="96">
        <v>8.2958620738766466</v>
      </c>
      <c r="S106" s="96">
        <v>7.5537633655802505</v>
      </c>
      <c r="T106" s="96">
        <v>7.064366643129282</v>
      </c>
      <c r="U106" s="96">
        <v>6.7616146200259575</v>
      </c>
      <c r="V106" s="96">
        <v>6.5648107755563894</v>
      </c>
      <c r="W106" s="96">
        <v>6.3902651700158648</v>
      </c>
      <c r="DA106" s="171" t="s">
        <v>877</v>
      </c>
    </row>
    <row r="107" spans="1:105" ht="11.45" customHeight="1" x14ac:dyDescent="0.25">
      <c r="A107" s="111" t="s">
        <v>111</v>
      </c>
      <c r="B107" s="96">
        <v>11.564149961866036</v>
      </c>
      <c r="C107" s="96">
        <v>11.075261862466842</v>
      </c>
      <c r="D107" s="96">
        <v>10.780324312013013</v>
      </c>
      <c r="E107" s="96">
        <v>10.305716446885388</v>
      </c>
      <c r="F107" s="96">
        <v>9.7683987784365822</v>
      </c>
      <c r="G107" s="96">
        <v>9.4169960553699212</v>
      </c>
      <c r="H107" s="96">
        <v>9.1217359967961666</v>
      </c>
      <c r="I107" s="96">
        <v>8.6403752980253312</v>
      </c>
      <c r="J107" s="96">
        <v>8.3726685745165668</v>
      </c>
      <c r="K107" s="96">
        <v>7.9134138782005792</v>
      </c>
      <c r="L107" s="96">
        <v>7.7213624247672499</v>
      </c>
      <c r="M107" s="96">
        <v>7.640431351350351</v>
      </c>
      <c r="N107" s="96">
        <v>7.6160874054299841</v>
      </c>
      <c r="O107" s="96">
        <v>7.5478046234193146</v>
      </c>
      <c r="P107" s="96">
        <v>7.4291200212059767</v>
      </c>
      <c r="Q107" s="96">
        <v>7.2804118852817012</v>
      </c>
      <c r="R107" s="96">
        <v>7.1782599560323987</v>
      </c>
      <c r="S107" s="96">
        <v>7.0755413050825027</v>
      </c>
      <c r="T107" s="96">
        <v>6.9403101936888758</v>
      </c>
      <c r="U107" s="96">
        <v>6.8517913800828651</v>
      </c>
      <c r="V107" s="96">
        <v>6.8045905675703366</v>
      </c>
      <c r="W107" s="96">
        <v>6.740659773788785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10.090964070494559</v>
      </c>
      <c r="P108" s="96">
        <v>6.9496999276107054</v>
      </c>
      <c r="Q108" s="96">
        <v>7.6155010192319379</v>
      </c>
      <c r="R108" s="96">
        <v>10.399137029062635</v>
      </c>
      <c r="S108" s="96">
        <v>9.1217040335972062</v>
      </c>
      <c r="T108" s="96">
        <v>7.4731652192131657</v>
      </c>
      <c r="U108" s="96">
        <v>6.070487203938419</v>
      </c>
      <c r="V108" s="96">
        <v>6.0750303508429697</v>
      </c>
      <c r="W108" s="96">
        <v>6.0415502779719032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11.826690120035495</v>
      </c>
      <c r="O109" s="96">
        <v>11.99334186540359</v>
      </c>
      <c r="P109" s="96">
        <v>9.5836372146770632</v>
      </c>
      <c r="Q109" s="96">
        <v>9.6651732788330076</v>
      </c>
      <c r="R109" s="96">
        <v>8.6151260661260398</v>
      </c>
      <c r="S109" s="96">
        <v>8.0216097044524481</v>
      </c>
      <c r="T109" s="96">
        <v>6.6175055372046767</v>
      </c>
      <c r="U109" s="96">
        <v>6.4791815291814361</v>
      </c>
      <c r="V109" s="96">
        <v>6.8336515187779669</v>
      </c>
      <c r="W109" s="96">
        <v>7.1364315847427715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1.3566283477464831</v>
      </c>
      <c r="N110" s="96">
        <v>1.3327601031814273</v>
      </c>
      <c r="O110" s="96">
        <v>1.4664693850996837</v>
      </c>
      <c r="P110" s="96">
        <v>1.4790023965898902</v>
      </c>
      <c r="Q110" s="96">
        <v>1.4672544732626069</v>
      </c>
      <c r="R110" s="96">
        <v>1.4527216449776772</v>
      </c>
      <c r="S110" s="96">
        <v>1.4480035012913788</v>
      </c>
      <c r="T110" s="96">
        <v>1.5043964006650319</v>
      </c>
      <c r="U110" s="96">
        <v>1.554863814204313</v>
      </c>
      <c r="V110" s="96">
        <v>1.6285536354005381</v>
      </c>
      <c r="W110" s="96">
        <v>1.7012395551721686</v>
      </c>
      <c r="DA110" s="171" t="s">
        <v>881</v>
      </c>
    </row>
    <row r="111" spans="1:105" ht="11.45" customHeight="1" x14ac:dyDescent="0.25">
      <c r="A111" s="109" t="s">
        <v>158</v>
      </c>
      <c r="B111" s="130">
        <v>33.9354684412152</v>
      </c>
      <c r="C111" s="130">
        <v>33.796348671384955</v>
      </c>
      <c r="D111" s="130">
        <v>33.656154606963462</v>
      </c>
      <c r="E111" s="130">
        <v>33.479636957078199</v>
      </c>
      <c r="F111" s="130">
        <v>33.298439482151799</v>
      </c>
      <c r="G111" s="130">
        <v>33.089977965212057</v>
      </c>
      <c r="H111" s="130">
        <v>32.844101270857287</v>
      </c>
      <c r="I111" s="130">
        <v>32.539392393974076</v>
      </c>
      <c r="J111" s="130">
        <v>32.276750288452781</v>
      </c>
      <c r="K111" s="130">
        <v>32.046681753641195</v>
      </c>
      <c r="L111" s="130">
        <v>31.754348779147154</v>
      </c>
      <c r="M111" s="130">
        <v>31.415900771810456</v>
      </c>
      <c r="N111" s="130">
        <v>31.07798617933307</v>
      </c>
      <c r="O111" s="130">
        <v>30.095127125627066</v>
      </c>
      <c r="P111" s="130">
        <v>30.021701591176825</v>
      </c>
      <c r="Q111" s="130">
        <v>29.878391842126717</v>
      </c>
      <c r="R111" s="130">
        <v>29.261566976631372</v>
      </c>
      <c r="S111" s="130">
        <v>28.34033745694606</v>
      </c>
      <c r="T111" s="130">
        <v>27.420699274627779</v>
      </c>
      <c r="U111" s="130">
        <v>26.481671913992091</v>
      </c>
      <c r="V111" s="130">
        <v>25.874763642773086</v>
      </c>
      <c r="W111" s="130">
        <v>25.101017017322775</v>
      </c>
      <c r="DA111" s="176" t="s">
        <v>882</v>
      </c>
    </row>
    <row r="112" spans="1:105" ht="11.45" customHeight="1" x14ac:dyDescent="0.25">
      <c r="A112" s="128" t="s">
        <v>27</v>
      </c>
      <c r="B112" s="97">
        <v>33.80915576360777</v>
      </c>
      <c r="C112" s="97">
        <v>33.681737214142657</v>
      </c>
      <c r="D112" s="97">
        <v>33.552221562524181</v>
      </c>
      <c r="E112" s="97">
        <v>33.38693740236306</v>
      </c>
      <c r="F112" s="97">
        <v>33.219380541418559</v>
      </c>
      <c r="G112" s="97">
        <v>33.020090222067793</v>
      </c>
      <c r="H112" s="97">
        <v>32.782523299678182</v>
      </c>
      <c r="I112" s="97">
        <v>32.484849370515562</v>
      </c>
      <c r="J112" s="97">
        <v>32.22571135828877</v>
      </c>
      <c r="K112" s="97">
        <v>32.002744626248145</v>
      </c>
      <c r="L112" s="97">
        <v>31.718944224758413</v>
      </c>
      <c r="M112" s="97">
        <v>31.381397623234946</v>
      </c>
      <c r="N112" s="97">
        <v>31.041779483428158</v>
      </c>
      <c r="O112" s="97">
        <v>30.014114098181025</v>
      </c>
      <c r="P112" s="97">
        <v>29.964214158054215</v>
      </c>
      <c r="Q112" s="97">
        <v>29.851056374456235</v>
      </c>
      <c r="R112" s="97">
        <v>29.23089380926201</v>
      </c>
      <c r="S112" s="97">
        <v>28.28456484017725</v>
      </c>
      <c r="T112" s="97">
        <v>27.340325139993844</v>
      </c>
      <c r="U112" s="97">
        <v>26.376173659458072</v>
      </c>
      <c r="V112" s="97">
        <v>25.758191085612815</v>
      </c>
      <c r="W112" s="97">
        <v>24.96722863455226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36.269132551527733</v>
      </c>
      <c r="D113" s="98">
        <v>35.84338523089199</v>
      </c>
      <c r="E113" s="98">
        <v>35.472762624423517</v>
      </c>
      <c r="F113" s="98">
        <v>34.754973428893805</v>
      </c>
      <c r="G113" s="98">
        <v>34.364233469010053</v>
      </c>
      <c r="H113" s="98">
        <v>33.97367951684253</v>
      </c>
      <c r="I113" s="98">
        <v>33.550525454915061</v>
      </c>
      <c r="J113" s="98">
        <v>33.313143024763114</v>
      </c>
      <c r="K113" s="98">
        <v>32.995697245232428</v>
      </c>
      <c r="L113" s="98">
        <v>32.525480567386765</v>
      </c>
      <c r="M113" s="98">
        <v>32.159672474406285</v>
      </c>
      <c r="N113" s="98">
        <v>31.84985500912336</v>
      </c>
      <c r="O113" s="98">
        <v>31.259509382766915</v>
      </c>
      <c r="P113" s="98">
        <v>30.855977877687398</v>
      </c>
      <c r="Q113" s="98">
        <v>30.25809201092342</v>
      </c>
      <c r="R113" s="98">
        <v>29.688436746210744</v>
      </c>
      <c r="S113" s="98">
        <v>29.110319886658935</v>
      </c>
      <c r="T113" s="98">
        <v>28.513140570983516</v>
      </c>
      <c r="U113" s="98">
        <v>27.887466760123527</v>
      </c>
      <c r="V113" s="98">
        <v>27.536725783006851</v>
      </c>
      <c r="W113" s="98">
        <v>26.828111772454498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1.1277303646478214</v>
      </c>
      <c r="D117" s="150">
        <f>IF(TrRoad_act!D59=0,0,TrRoad_ene!D62/TrRoad_tech!D90)</f>
        <v>1.1294012669001843</v>
      </c>
      <c r="E117" s="150">
        <f>IF(TrRoad_act!E59=0,0,TrRoad_ene!E62/TrRoad_tech!E90)</f>
        <v>1.130677940236452</v>
      </c>
      <c r="F117" s="150">
        <f>IF(TrRoad_act!F59=0,0,TrRoad_ene!F62/TrRoad_tech!F90)</f>
        <v>1.1326416372732298</v>
      </c>
      <c r="G117" s="150">
        <f>IF(TrRoad_act!G59=0,0,TrRoad_ene!G62/TrRoad_tech!G90)</f>
        <v>1.1358697182129573</v>
      </c>
      <c r="H117" s="150">
        <f>IF(TrRoad_act!H59=0,0,TrRoad_ene!H62/TrRoad_tech!H90)</f>
        <v>1.1400479454697567</v>
      </c>
      <c r="I117" s="150">
        <f>IF(TrRoad_act!I59=0,0,TrRoad_ene!I62/TrRoad_tech!I90)</f>
        <v>1.1457562622219082</v>
      </c>
      <c r="J117" s="150">
        <f>IF(TrRoad_act!J59=0,0,TrRoad_ene!J62/TrRoad_tech!J90)</f>
        <v>1.1518380923790483</v>
      </c>
      <c r="K117" s="150">
        <f>IF(TrRoad_act!K59=0,0,TrRoad_ene!K62/TrRoad_tech!K90)</f>
        <v>1.1560661491769508</v>
      </c>
      <c r="L117" s="150">
        <f>IF(TrRoad_act!L59=0,0,TrRoad_ene!L62/TrRoad_tech!L90)</f>
        <v>1.1610046457698557</v>
      </c>
      <c r="M117" s="150">
        <f>IF(TrRoad_act!M59=0,0,TrRoad_ene!M62/TrRoad_tech!M90)</f>
        <v>1.1651094294328606</v>
      </c>
      <c r="N117" s="150">
        <f>IF(TrRoad_act!N59=0,0,TrRoad_ene!N62/TrRoad_tech!N90)</f>
        <v>1.1700943943472251</v>
      </c>
      <c r="O117" s="150">
        <f>IF(TrRoad_act!O59=0,0,TrRoad_ene!O62/TrRoad_tech!O90)</f>
        <v>1.1742451379668153</v>
      </c>
      <c r="P117" s="150">
        <f>IF(TrRoad_act!P59=0,0,TrRoad_ene!P62/TrRoad_tech!P90)</f>
        <v>1.1809215510622899</v>
      </c>
      <c r="Q117" s="150">
        <f>IF(TrRoad_act!Q59=0,0,TrRoad_ene!Q62/TrRoad_tech!Q90)</f>
        <v>1.1595579618257383</v>
      </c>
      <c r="R117" s="150">
        <f>IF(TrRoad_act!R59=0,0,TrRoad_ene!R62/TrRoad_tech!R90)</f>
        <v>1.1906177522176626</v>
      </c>
      <c r="S117" s="150">
        <f>IF(TrRoad_act!S59=0,0,TrRoad_ene!S62/TrRoad_tech!S90)</f>
        <v>1.2100426451142381</v>
      </c>
      <c r="T117" s="150">
        <f>IF(TrRoad_act!T59=0,0,TrRoad_ene!T62/TrRoad_tech!T90)</f>
        <v>1.2220375215329438</v>
      </c>
      <c r="U117" s="150">
        <f>IF(TrRoad_act!U59=0,0,TrRoad_ene!U62/TrRoad_tech!U90)</f>
        <v>1.2387476654259504</v>
      </c>
      <c r="V117" s="150">
        <f>IF(TrRoad_act!V59=0,0,TrRoad_ene!V62/TrRoad_tech!V90)</f>
        <v>1.1918008751874651</v>
      </c>
      <c r="W117" s="150">
        <f>IF(TrRoad_act!W59=0,0,TrRoad_ene!W62/TrRoad_tech!W90)</f>
        <v>1.2593401030197131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1.1458206787171989</v>
      </c>
      <c r="C118" s="151">
        <f>IF(TrRoad_act!C60=0,0,TrRoad_ene!C63/TrRoad_tech!C91)</f>
        <v>1.1341485753703608</v>
      </c>
      <c r="D118" s="151">
        <f>IF(TrRoad_act!D60=0,0,TrRoad_ene!D63/TrRoad_tech!D91)</f>
        <v>1.1306406249829151</v>
      </c>
      <c r="E118" s="151">
        <f>IF(TrRoad_act!E60=0,0,TrRoad_ene!E63/TrRoad_tech!E91)</f>
        <v>1.1445942907436824</v>
      </c>
      <c r="F118" s="151">
        <f>IF(TrRoad_act!F60=0,0,TrRoad_ene!F63/TrRoad_tech!F91)</f>
        <v>1.109296689471291</v>
      </c>
      <c r="G118" s="151">
        <f>IF(TrRoad_act!G60=0,0,TrRoad_ene!G63/TrRoad_tech!G91)</f>
        <v>1.1065034214669458</v>
      </c>
      <c r="H118" s="151">
        <f>IF(TrRoad_act!H60=0,0,TrRoad_ene!H63/TrRoad_tech!H91)</f>
        <v>1.1063464758126094</v>
      </c>
      <c r="I118" s="151">
        <f>IF(TrRoad_act!I60=0,0,TrRoad_ene!I63/TrRoad_tech!I91)</f>
        <v>1.0999537697346431</v>
      </c>
      <c r="J118" s="151">
        <f>IF(TrRoad_act!J60=0,0,TrRoad_ene!J63/TrRoad_tech!J91)</f>
        <v>1.071200568704346</v>
      </c>
      <c r="K118" s="151">
        <f>IF(TrRoad_act!K60=0,0,TrRoad_ene!K63/TrRoad_tech!K91)</f>
        <v>1.0541834456004706</v>
      </c>
      <c r="L118" s="151">
        <f>IF(TrRoad_act!L60=0,0,TrRoad_ene!L63/TrRoad_tech!L91)</f>
        <v>1.0585673901654582</v>
      </c>
      <c r="M118" s="151">
        <f>IF(TrRoad_act!M60=0,0,TrRoad_ene!M63/TrRoad_tech!M91)</f>
        <v>1.049112916105881</v>
      </c>
      <c r="N118" s="151">
        <f>IF(TrRoad_act!N60=0,0,TrRoad_ene!N63/TrRoad_tech!N91)</f>
        <v>1.0216647752390651</v>
      </c>
      <c r="O118" s="151">
        <f>IF(TrRoad_act!O60=0,0,TrRoad_ene!O63/TrRoad_tech!O91)</f>
        <v>1.0289938376587415</v>
      </c>
      <c r="P118" s="151">
        <f>IF(TrRoad_act!P60=0,0,TrRoad_ene!P63/TrRoad_tech!P91)</f>
        <v>1.0355038850594194</v>
      </c>
      <c r="Q118" s="151">
        <f>IF(TrRoad_act!Q60=0,0,TrRoad_ene!Q63/TrRoad_tech!Q91)</f>
        <v>1.031614143621312</v>
      </c>
      <c r="R118" s="151">
        <f>IF(TrRoad_act!R60=0,0,TrRoad_ene!R63/TrRoad_tech!R91)</f>
        <v>1.0986213797219684</v>
      </c>
      <c r="S118" s="151">
        <f>IF(TrRoad_act!S60=0,0,TrRoad_ene!S63/TrRoad_tech!S91)</f>
        <v>1.1198732902460073</v>
      </c>
      <c r="T118" s="151">
        <f>IF(TrRoad_act!T60=0,0,TrRoad_ene!T63/TrRoad_tech!T91)</f>
        <v>1.1471659475345606</v>
      </c>
      <c r="U118" s="151">
        <f>IF(TrRoad_act!U60=0,0,TrRoad_ene!U63/TrRoad_tech!U91)</f>
        <v>1.1129671960655085</v>
      </c>
      <c r="V118" s="151">
        <f>IF(TrRoad_act!V60=0,0,TrRoad_ene!V63/TrRoad_tech!V91)</f>
        <v>1.1217432805909069</v>
      </c>
      <c r="W118" s="151">
        <f>IF(TrRoad_act!W60=0,0,TrRoad_ene!W63/TrRoad_tech!W91)</f>
        <v>1.2131904795699366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1.1663844315283849</v>
      </c>
      <c r="C119" s="91">
        <f>IF(TrRoad_act!C61=0,0,TrRoad_ene!C64/TrRoad_tech!C92)</f>
        <v>1.1785211413320333</v>
      </c>
      <c r="D119" s="91">
        <f>IF(TrRoad_act!D61=0,0,TrRoad_ene!D64/TrRoad_tech!D92)</f>
        <v>1.1579119177198873</v>
      </c>
      <c r="E119" s="91">
        <f>IF(TrRoad_act!E61=0,0,TrRoad_ene!E64/TrRoad_tech!E92)</f>
        <v>1.179325976425537</v>
      </c>
      <c r="F119" s="91">
        <f>IF(TrRoad_act!F61=0,0,TrRoad_ene!F64/TrRoad_tech!F92)</f>
        <v>1.1476576646149843</v>
      </c>
      <c r="G119" s="91">
        <f>IF(TrRoad_act!G61=0,0,TrRoad_ene!G64/TrRoad_tech!G92)</f>
        <v>1.1370206190816861</v>
      </c>
      <c r="H119" s="91">
        <f>IF(TrRoad_act!H61=0,0,TrRoad_ene!H64/TrRoad_tech!H92)</f>
        <v>1.1353822088608001</v>
      </c>
      <c r="I119" s="91">
        <f>IF(TrRoad_act!I61=0,0,TrRoad_ene!I64/TrRoad_tech!I92)</f>
        <v>1.1243318604403998</v>
      </c>
      <c r="J119" s="91">
        <f>IF(TrRoad_act!J61=0,0,TrRoad_ene!J64/TrRoad_tech!J92)</f>
        <v>1.0769136092718132</v>
      </c>
      <c r="K119" s="91">
        <f>IF(TrRoad_act!K61=0,0,TrRoad_ene!K64/TrRoad_tech!K92)</f>
        <v>1.058786636421724</v>
      </c>
      <c r="L119" s="91">
        <f>IF(TrRoad_act!L61=0,0,TrRoad_ene!L64/TrRoad_tech!L92)</f>
        <v>1.055566332021971</v>
      </c>
      <c r="M119" s="91">
        <f>IF(TrRoad_act!M61=0,0,TrRoad_ene!M64/TrRoad_tech!M92)</f>
        <v>1.041763781895503</v>
      </c>
      <c r="N119" s="91">
        <f>IF(TrRoad_act!N61=0,0,TrRoad_ene!N64/TrRoad_tech!N92)</f>
        <v>1.0008821473912357</v>
      </c>
      <c r="O119" s="91">
        <f>IF(TrRoad_act!O61=0,0,TrRoad_ene!O64/TrRoad_tech!O92)</f>
        <v>1.0253660745962887</v>
      </c>
      <c r="P119" s="91">
        <f>IF(TrRoad_act!P61=0,0,TrRoad_ene!P64/TrRoad_tech!P92)</f>
        <v>1.0413612279031561</v>
      </c>
      <c r="Q119" s="91">
        <f>IF(TrRoad_act!Q61=0,0,TrRoad_ene!Q64/TrRoad_tech!Q92)</f>
        <v>1.0401035697788716</v>
      </c>
      <c r="R119" s="91">
        <f>IF(TrRoad_act!R61=0,0,TrRoad_ene!R64/TrRoad_tech!R92)</f>
        <v>1.1622687603948954</v>
      </c>
      <c r="S119" s="91">
        <f>IF(TrRoad_act!S61=0,0,TrRoad_ene!S64/TrRoad_tech!S92)</f>
        <v>1.222433810870498</v>
      </c>
      <c r="T119" s="91">
        <f>IF(TrRoad_act!T61=0,0,TrRoad_ene!T64/TrRoad_tech!T92)</f>
        <v>1.284511471888915</v>
      </c>
      <c r="U119" s="91">
        <f>IF(TrRoad_act!U61=0,0,TrRoad_ene!U64/TrRoad_tech!U92)</f>
        <v>1.2610680197899033</v>
      </c>
      <c r="V119" s="91">
        <f>IF(TrRoad_act!V61=0,0,TrRoad_ene!V64/TrRoad_tech!V92)</f>
        <v>1.4184174774042706</v>
      </c>
      <c r="W119" s="91">
        <f>IF(TrRoad_act!W61=0,0,TrRoad_ene!W64/TrRoad_tech!W92)</f>
        <v>1.4904265436769004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1.1771710655882728</v>
      </c>
      <c r="C120" s="91">
        <f>IF(TrRoad_act!C62=0,0,TrRoad_ene!C65/TrRoad_tech!C93)</f>
        <v>1.1756277748137731</v>
      </c>
      <c r="D120" s="91">
        <f>IF(TrRoad_act!D62=0,0,TrRoad_ene!D65/TrRoad_tech!D93)</f>
        <v>1.1983803129612558</v>
      </c>
      <c r="E120" s="91">
        <f>IF(TrRoad_act!E62=0,0,TrRoad_ene!E65/TrRoad_tech!E93)</f>
        <v>1.2093855413572403</v>
      </c>
      <c r="F120" s="91">
        <f>IF(TrRoad_act!F62=0,0,TrRoad_ene!F65/TrRoad_tech!F93)</f>
        <v>1.1689742535950722</v>
      </c>
      <c r="G120" s="91">
        <f>IF(TrRoad_act!G62=0,0,TrRoad_ene!G65/TrRoad_tech!G93)</f>
        <v>1.1723953540200385</v>
      </c>
      <c r="H120" s="91">
        <f>IF(TrRoad_act!H62=0,0,TrRoad_ene!H65/TrRoad_tech!H93)</f>
        <v>1.1690980444522656</v>
      </c>
      <c r="I120" s="91">
        <f>IF(TrRoad_act!I62=0,0,TrRoad_ene!I65/TrRoad_tech!I93)</f>
        <v>1.1618501418984064</v>
      </c>
      <c r="J120" s="91">
        <f>IF(TrRoad_act!J62=0,0,TrRoad_ene!J65/TrRoad_tech!J93)</f>
        <v>1.1402482765833883</v>
      </c>
      <c r="K120" s="91">
        <f>IF(TrRoad_act!K62=0,0,TrRoad_ene!K65/TrRoad_tech!K93)</f>
        <v>1.1203467834536054</v>
      </c>
      <c r="L120" s="91">
        <f>IF(TrRoad_act!L62=0,0,TrRoad_ene!L65/TrRoad_tech!L93)</f>
        <v>1.12736257216001</v>
      </c>
      <c r="M120" s="91">
        <f>IF(TrRoad_act!M62=0,0,TrRoad_ene!M65/TrRoad_tech!M93)</f>
        <v>1.1184462266064494</v>
      </c>
      <c r="N120" s="91">
        <f>IF(TrRoad_act!N62=0,0,TrRoad_ene!N65/TrRoad_tech!N93)</f>
        <v>1.0957141296335546</v>
      </c>
      <c r="O120" s="91">
        <f>IF(TrRoad_act!O62=0,0,TrRoad_ene!O65/TrRoad_tech!O93)</f>
        <v>1.0979318199097925</v>
      </c>
      <c r="P120" s="91">
        <f>IF(TrRoad_act!P62=0,0,TrRoad_ene!P65/TrRoad_tech!P93)</f>
        <v>1.102659850115578</v>
      </c>
      <c r="Q120" s="91">
        <f>IF(TrRoad_act!Q62=0,0,TrRoad_ene!Q65/TrRoad_tech!Q93)</f>
        <v>1.1018030851056269</v>
      </c>
      <c r="R120" s="91">
        <f>IF(TrRoad_act!R62=0,0,TrRoad_ene!R65/TrRoad_tech!R93)</f>
        <v>1.1581244441511584</v>
      </c>
      <c r="S120" s="91">
        <f>IF(TrRoad_act!S62=0,0,TrRoad_ene!S65/TrRoad_tech!S93)</f>
        <v>1.1709373841722059</v>
      </c>
      <c r="T120" s="91">
        <f>IF(TrRoad_act!T62=0,0,TrRoad_ene!T65/TrRoad_tech!T93)</f>
        <v>1.1876819380514561</v>
      </c>
      <c r="U120" s="91">
        <f>IF(TrRoad_act!U62=0,0,TrRoad_ene!U65/TrRoad_tech!U93)</f>
        <v>1.1445887053736876</v>
      </c>
      <c r="V120" s="91">
        <f>IF(TrRoad_act!V62=0,0,TrRoad_ene!V65/TrRoad_tech!V93)</f>
        <v>1.1169592576556995</v>
      </c>
      <c r="W120" s="91">
        <f>IF(TrRoad_act!W62=0,0,TrRoad_ene!W65/TrRoad_tech!W93)</f>
        <v>1.2046794935206742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3.3155790756378183</v>
      </c>
      <c r="C121" s="91">
        <f>IF(TrRoad_act!C63=0,0,TrRoad_ene!C66/TrRoad_tech!C94)</f>
        <v>3.236783074633653</v>
      </c>
      <c r="D121" s="91">
        <f>IF(TrRoad_act!D63=0,0,TrRoad_ene!D66/TrRoad_tech!D94)</f>
        <v>3.1992395840497037</v>
      </c>
      <c r="E121" s="91">
        <f>IF(TrRoad_act!E63=0,0,TrRoad_ene!E66/TrRoad_tech!E94)</f>
        <v>3.3891155951026262</v>
      </c>
      <c r="F121" s="91">
        <f>IF(TrRoad_act!F63=0,0,TrRoad_ene!F66/TrRoad_tech!F94)</f>
        <v>3.6580688843213083</v>
      </c>
      <c r="G121" s="91">
        <f>IF(TrRoad_act!G63=0,0,TrRoad_ene!G66/TrRoad_tech!G94)</f>
        <v>3.3535749331525149</v>
      </c>
      <c r="H121" s="91">
        <f>IF(TrRoad_act!H63=0,0,TrRoad_ene!H66/TrRoad_tech!H94)</f>
        <v>3.4628240744893612</v>
      </c>
      <c r="I121" s="91">
        <f>IF(TrRoad_act!I63=0,0,TrRoad_ene!I66/TrRoad_tech!I94)</f>
        <v>4.2978557306848151</v>
      </c>
      <c r="J121" s="91">
        <f>IF(TrRoad_act!J63=0,0,TrRoad_ene!J66/TrRoad_tech!J94)</f>
        <v>2.0788087903115238</v>
      </c>
      <c r="K121" s="91">
        <f>IF(TrRoad_act!K63=0,0,TrRoad_ene!K66/TrRoad_tech!K94)</f>
        <v>1.9318526119992092</v>
      </c>
      <c r="L121" s="91">
        <f>IF(TrRoad_act!L63=0,0,TrRoad_ene!L66/TrRoad_tech!L94)</f>
        <v>2.0101375668869563</v>
      </c>
      <c r="M121" s="91">
        <f>IF(TrRoad_act!M63=0,0,TrRoad_ene!M66/TrRoad_tech!M94)</f>
        <v>2.0509160209985096</v>
      </c>
      <c r="N121" s="91">
        <f>IF(TrRoad_act!N63=0,0,TrRoad_ene!N66/TrRoad_tech!N94)</f>
        <v>1.7966282052704383</v>
      </c>
      <c r="O121" s="91">
        <f>IF(TrRoad_act!O63=0,0,TrRoad_ene!O66/TrRoad_tech!O94)</f>
        <v>2.0492222293153839</v>
      </c>
      <c r="P121" s="91">
        <f>IF(TrRoad_act!P63=0,0,TrRoad_ene!P66/TrRoad_tech!P94)</f>
        <v>2.062503907459778</v>
      </c>
      <c r="Q121" s="91">
        <f>IF(TrRoad_act!Q63=0,0,TrRoad_ene!Q66/TrRoad_tech!Q94)</f>
        <v>2.2564731997855172</v>
      </c>
      <c r="R121" s="91">
        <f>IF(TrRoad_act!R63=0,0,TrRoad_ene!R66/TrRoad_tech!R94)</f>
        <v>2.3034811834954185</v>
      </c>
      <c r="S121" s="91">
        <f>IF(TrRoad_act!S63=0,0,TrRoad_ene!S66/TrRoad_tech!S94)</f>
        <v>2.1233986635863777</v>
      </c>
      <c r="T121" s="91">
        <f>IF(TrRoad_act!T63=0,0,TrRoad_ene!T66/TrRoad_tech!T94)</f>
        <v>1.5779969450111113</v>
      </c>
      <c r="U121" s="91">
        <f>IF(TrRoad_act!U63=0,0,TrRoad_ene!U66/TrRoad_tech!U94)</f>
        <v>1.5960335162502579</v>
      </c>
      <c r="V121" s="91">
        <f>IF(TrRoad_act!V63=0,0,TrRoad_ene!V66/TrRoad_tech!V94)</f>
        <v>1.7061810163993492</v>
      </c>
      <c r="W121" s="91">
        <f>IF(TrRoad_act!W63=0,0,TrRoad_ene!W66/TrRoad_tech!W94)</f>
        <v>1.6723731257057572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1.03444444444846</v>
      </c>
      <c r="G122" s="91">
        <f>IF(TrRoad_act!G64=0,0,TrRoad_ene!G67/TrRoad_tech!G95)</f>
        <v>1.035876334892663</v>
      </c>
      <c r="H122" s="91">
        <f>IF(TrRoad_act!H64=0,0,TrRoad_ene!H67/TrRoad_tech!H95)</f>
        <v>1.0375570122397959</v>
      </c>
      <c r="I122" s="91">
        <f>IF(TrRoad_act!I64=0,0,TrRoad_ene!I67/TrRoad_tech!I95)</f>
        <v>1.0375959681859122</v>
      </c>
      <c r="J122" s="91">
        <f>IF(TrRoad_act!J64=0,0,TrRoad_ene!J67/TrRoad_tech!J95)</f>
        <v>1.037910320141284</v>
      </c>
      <c r="K122" s="91">
        <f>IF(TrRoad_act!K64=0,0,TrRoad_ene!K67/TrRoad_tech!K95)</f>
        <v>1.0383263454889238</v>
      </c>
      <c r="L122" s="91">
        <f>IF(TrRoad_act!L64=0,0,TrRoad_ene!L67/TrRoad_tech!L95)</f>
        <v>1.0391022798641083</v>
      </c>
      <c r="M122" s="91">
        <f>IF(TrRoad_act!M64=0,0,TrRoad_ene!M67/TrRoad_tech!M95)</f>
        <v>1.0393624239784374</v>
      </c>
      <c r="N122" s="91">
        <f>IF(TrRoad_act!N64=0,0,TrRoad_ene!N67/TrRoad_tech!N95)</f>
        <v>1.0501946934402928</v>
      </c>
      <c r="O122" s="91">
        <f>IF(TrRoad_act!O64=0,0,TrRoad_ene!O67/TrRoad_tech!O95)</f>
        <v>1.053073485362175</v>
      </c>
      <c r="P122" s="91">
        <f>IF(TrRoad_act!P64=0,0,TrRoad_ene!P67/TrRoad_tech!P95)</f>
        <v>1.0540449035926411</v>
      </c>
      <c r="Q122" s="91">
        <f>IF(TrRoad_act!Q64=0,0,TrRoad_ene!Q67/TrRoad_tech!Q95)</f>
        <v>1.0543869125581984</v>
      </c>
      <c r="R122" s="91">
        <f>IF(TrRoad_act!R64=0,0,TrRoad_ene!R67/TrRoad_tech!R95)</f>
        <v>1.0562348510833144</v>
      </c>
      <c r="S122" s="91">
        <f>IF(TrRoad_act!S64=0,0,TrRoad_ene!S67/TrRoad_tech!S95)</f>
        <v>1.0604930155883148</v>
      </c>
      <c r="T122" s="91">
        <f>IF(TrRoad_act!T64=0,0,TrRoad_ene!T67/TrRoad_tech!T95)</f>
        <v>1.071394202617034</v>
      </c>
      <c r="U122" s="91">
        <f>IF(TrRoad_act!U64=0,0,TrRoad_ene!U67/TrRoad_tech!U95)</f>
        <v>1.0890535691539203</v>
      </c>
      <c r="V122" s="91">
        <f>IF(TrRoad_act!V64=0,0,TrRoad_ene!V67/TrRoad_tech!V95)</f>
        <v>1.0951437640710777</v>
      </c>
      <c r="W122" s="91">
        <f>IF(TrRoad_act!W64=0,0,TrRoad_ene!W67/TrRoad_tech!W95)</f>
        <v>1.0971423331410333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1.0662607421855328</v>
      </c>
      <c r="N123" s="91">
        <f>IF(TrRoad_act!N65=0,0,TrRoad_ene!N68/TrRoad_tech!N96)</f>
        <v>1.0430286488587781</v>
      </c>
      <c r="O123" s="91">
        <f>IF(TrRoad_act!O65=0,0,TrRoad_ene!O68/TrRoad_tech!O96)</f>
        <v>1.0609403237706025</v>
      </c>
      <c r="P123" s="91">
        <f>IF(TrRoad_act!P65=0,0,TrRoad_ene!P68/TrRoad_tech!P96)</f>
        <v>1.0765990504674181</v>
      </c>
      <c r="Q123" s="91">
        <f>IF(TrRoad_act!Q65=0,0,TrRoad_ene!Q68/TrRoad_tech!Q96)</f>
        <v>1.0817459650880927</v>
      </c>
      <c r="R123" s="91">
        <f>IF(TrRoad_act!R65=0,0,TrRoad_ene!R68/TrRoad_tech!R96)</f>
        <v>1.1621434830524369</v>
      </c>
      <c r="S123" s="91">
        <f>IF(TrRoad_act!S65=0,0,TrRoad_ene!S68/TrRoad_tech!S96)</f>
        <v>1.1972562501208297</v>
      </c>
      <c r="T123" s="91">
        <f>IF(TrRoad_act!T65=0,0,TrRoad_ene!T68/TrRoad_tech!T96)</f>
        <v>1.234717376081927</v>
      </c>
      <c r="U123" s="91">
        <f>IF(TrRoad_act!U65=0,0,TrRoad_ene!U68/TrRoad_tech!U96)</f>
        <v>1.2184579975850542</v>
      </c>
      <c r="V123" s="91">
        <f>IF(TrRoad_act!V65=0,0,TrRoad_ene!V68/TrRoad_tech!V96)</f>
        <v>1.3058917210475489</v>
      </c>
      <c r="W123" s="91">
        <f>IF(TrRoad_act!W65=0,0,TrRoad_ene!W68/TrRoad_tech!W96)</f>
        <v>1.3222849805782551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1.0511111111157001</v>
      </c>
      <c r="L124" s="91">
        <f>IF(TrRoad_act!L66=0,0,TrRoad_ene!L69/TrRoad_tech!L97)</f>
        <v>1.0555555555604399</v>
      </c>
      <c r="M124" s="91">
        <f>IF(TrRoad_act!M66=0,0,TrRoad_ene!M69/TrRoad_tech!M97)</f>
        <v>1.06037037037527</v>
      </c>
      <c r="N124" s="91">
        <f>IF(TrRoad_act!N66=0,0,TrRoad_ene!N69/TrRoad_tech!N97)</f>
        <v>1.062728862665786</v>
      </c>
      <c r="O124" s="91">
        <f>IF(TrRoad_act!O66=0,0,TrRoad_ene!O69/TrRoad_tech!O97)</f>
        <v>1.0670572092391006</v>
      </c>
      <c r="P124" s="91">
        <f>IF(TrRoad_act!P66=0,0,TrRoad_ene!P69/TrRoad_tech!P97)</f>
        <v>1.0715342811527584</v>
      </c>
      <c r="Q124" s="91">
        <f>IF(TrRoad_act!Q66=0,0,TrRoad_ene!Q69/TrRoad_tech!Q97)</f>
        <v>1.0798231087851398</v>
      </c>
      <c r="R124" s="91">
        <f>IF(TrRoad_act!R66=0,0,TrRoad_ene!R69/TrRoad_tech!R97)</f>
        <v>1.0854679080192147</v>
      </c>
      <c r="S124" s="91">
        <f>IF(TrRoad_act!S66=0,0,TrRoad_ene!S69/TrRoad_tech!S97)</f>
        <v>1.0907784416543673</v>
      </c>
      <c r="T124" s="91">
        <f>IF(TrRoad_act!T66=0,0,TrRoad_ene!T69/TrRoad_tech!T97)</f>
        <v>1.0936120288621092</v>
      </c>
      <c r="U124" s="91">
        <f>IF(TrRoad_act!U66=0,0,TrRoad_ene!U69/TrRoad_tech!U97)</f>
        <v>1.0952209461404581</v>
      </c>
      <c r="V124" s="91">
        <f>IF(TrRoad_act!V66=0,0,TrRoad_ene!V69/TrRoad_tech!V97)</f>
        <v>1.0964099667025295</v>
      </c>
      <c r="W124" s="91">
        <f>IF(TrRoad_act!W66=0,0,TrRoad_ene!W69/TrRoad_tech!W97)</f>
        <v>1.0974492170536962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1.1089138212502267</v>
      </c>
      <c r="C125" s="151">
        <f>IF(TrRoad_act!C67=0,0,TrRoad_ene!C70/TrRoad_tech!C98)</f>
        <v>1.1034372276925188</v>
      </c>
      <c r="D125" s="151">
        <f>IF(TrRoad_act!D67=0,0,TrRoad_ene!D70/TrRoad_tech!D98)</f>
        <v>1.1080614995781457</v>
      </c>
      <c r="E125" s="151">
        <f>IF(TrRoad_act!E67=0,0,TrRoad_ene!E70/TrRoad_tech!E98)</f>
        <v>1.105962224607667</v>
      </c>
      <c r="F125" s="151">
        <f>IF(TrRoad_act!F67=0,0,TrRoad_ene!F70/TrRoad_tech!F98)</f>
        <v>1.1077282646194309</v>
      </c>
      <c r="G125" s="151">
        <f>IF(TrRoad_act!G67=0,0,TrRoad_ene!G70/TrRoad_tech!G98)</f>
        <v>1.1120466609878343</v>
      </c>
      <c r="H125" s="151">
        <f>IF(TrRoad_act!H67=0,0,TrRoad_ene!H70/TrRoad_tech!H98)</f>
        <v>1.1169937552635396</v>
      </c>
      <c r="I125" s="151">
        <f>IF(TrRoad_act!I67=0,0,TrRoad_ene!I70/TrRoad_tech!I98)</f>
        <v>1.1331254173232781</v>
      </c>
      <c r="J125" s="151">
        <f>IF(TrRoad_act!J67=0,0,TrRoad_ene!J70/TrRoad_tech!J98)</f>
        <v>1.1422554004149255</v>
      </c>
      <c r="K125" s="151">
        <f>IF(TrRoad_act!K67=0,0,TrRoad_ene!K70/TrRoad_tech!K98)</f>
        <v>1.1574402369580263</v>
      </c>
      <c r="L125" s="151">
        <f>IF(TrRoad_act!L67=0,0,TrRoad_ene!L70/TrRoad_tech!L98)</f>
        <v>1.1796139620909656</v>
      </c>
      <c r="M125" s="151">
        <f>IF(TrRoad_act!M67=0,0,TrRoad_ene!M70/TrRoad_tech!M98)</f>
        <v>1.194850146132328</v>
      </c>
      <c r="N125" s="151">
        <f>IF(TrRoad_act!N67=0,0,TrRoad_ene!N70/TrRoad_tech!N98)</f>
        <v>1.2086066781248961</v>
      </c>
      <c r="O125" s="151">
        <f>IF(TrRoad_act!O67=0,0,TrRoad_ene!O70/TrRoad_tech!O98)</f>
        <v>1.2264657128141228</v>
      </c>
      <c r="P125" s="151">
        <f>IF(TrRoad_act!P67=0,0,TrRoad_ene!P70/TrRoad_tech!P98)</f>
        <v>1.2436680184559887</v>
      </c>
      <c r="Q125" s="151">
        <f>IF(TrRoad_act!Q67=0,0,TrRoad_ene!Q70/TrRoad_tech!Q98)</f>
        <v>1.2262254245957762</v>
      </c>
      <c r="R125" s="151">
        <f>IF(TrRoad_act!R67=0,0,TrRoad_ene!R70/TrRoad_tech!R98)</f>
        <v>1.251912365262992</v>
      </c>
      <c r="S125" s="151">
        <f>IF(TrRoad_act!S67=0,0,TrRoad_ene!S70/TrRoad_tech!S98)</f>
        <v>1.3108892694996146</v>
      </c>
      <c r="T125" s="151">
        <f>IF(TrRoad_act!T67=0,0,TrRoad_ene!T70/TrRoad_tech!T98)</f>
        <v>1.2882215255164458</v>
      </c>
      <c r="U125" s="151">
        <f>IF(TrRoad_act!U67=0,0,TrRoad_ene!U70/TrRoad_tech!U98)</f>
        <v>1.3086690967185857</v>
      </c>
      <c r="V125" s="151">
        <f>IF(TrRoad_act!V67=0,0,TrRoad_ene!V70/TrRoad_tech!V98)</f>
        <v>1.4508847648400278</v>
      </c>
      <c r="W125" s="151">
        <f>IF(TrRoad_act!W67=0,0,TrRoad_ene!W70/TrRoad_tech!W98)</f>
        <v>1.4526467884302479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1.1004860296708028</v>
      </c>
      <c r="D126" s="93">
        <f>IF(TrRoad_act!D68=0,0,TrRoad_ene!D71/TrRoad_tech!D99)</f>
        <v>1.1018062499887677</v>
      </c>
      <c r="E126" s="93">
        <f>IF(TrRoad_act!E68=0,0,TrRoad_ene!E71/TrRoad_tech!E99)</f>
        <v>1.1029758201548741</v>
      </c>
      <c r="F126" s="93">
        <f>IF(TrRoad_act!F68=0,0,TrRoad_ene!F71/TrRoad_tech!F99)</f>
        <v>1.1049251274031411</v>
      </c>
      <c r="G126" s="93">
        <f>IF(TrRoad_act!G68=0,0,TrRoad_ene!G71/TrRoad_tech!G99)</f>
        <v>1.1052488832605227</v>
      </c>
      <c r="H126" s="93">
        <f>IF(TrRoad_act!H68=0,0,TrRoad_ene!H71/TrRoad_tech!H99)</f>
        <v>1.1088537464905224</v>
      </c>
      <c r="I126" s="93">
        <f>IF(TrRoad_act!I68=0,0,TrRoad_ene!I71/TrRoad_tech!I99)</f>
        <v>1.1191237690472817</v>
      </c>
      <c r="J126" s="93">
        <f>IF(TrRoad_act!J68=0,0,TrRoad_ene!J71/TrRoad_tech!J99)</f>
        <v>1.1211598930637634</v>
      </c>
      <c r="K126" s="93">
        <f>IF(TrRoad_act!K68=0,0,TrRoad_ene!K71/TrRoad_tech!K99)</f>
        <v>1.1235560106025186</v>
      </c>
      <c r="L126" s="93">
        <f>IF(TrRoad_act!L68=0,0,TrRoad_ene!L71/TrRoad_tech!L99)</f>
        <v>1.127944461040514</v>
      </c>
      <c r="M126" s="93">
        <f>IF(TrRoad_act!M68=0,0,TrRoad_ene!M71/TrRoad_tech!M99)</f>
        <v>1.1344386051752391</v>
      </c>
      <c r="N126" s="93">
        <f>IF(TrRoad_act!N68=0,0,TrRoad_ene!N71/TrRoad_tech!N99)</f>
        <v>1.1407130002909678</v>
      </c>
      <c r="O126" s="93">
        <f>IF(TrRoad_act!O68=0,0,TrRoad_ene!O71/TrRoad_tech!O99)</f>
        <v>1.1483219296592013</v>
      </c>
      <c r="P126" s="93">
        <f>IF(TrRoad_act!P68=0,0,TrRoad_ene!P71/TrRoad_tech!P99)</f>
        <v>1.1555329966396222</v>
      </c>
      <c r="Q126" s="93">
        <f>IF(TrRoad_act!Q68=0,0,TrRoad_ene!Q71/TrRoad_tech!Q99)</f>
        <v>1.1643942538252747</v>
      </c>
      <c r="R126" s="93">
        <f>IF(TrRoad_act!R68=0,0,TrRoad_ene!R71/TrRoad_tech!R99)</f>
        <v>1.1695673508696771</v>
      </c>
      <c r="S126" s="93">
        <f>IF(TrRoad_act!S68=0,0,TrRoad_ene!S71/TrRoad_tech!S99)</f>
        <v>1.1749955076535912</v>
      </c>
      <c r="T126" s="93">
        <f>IF(TrRoad_act!T68=0,0,TrRoad_ene!T71/TrRoad_tech!T99)</f>
        <v>1.1796682298031202</v>
      </c>
      <c r="U126" s="93">
        <f>IF(TrRoad_act!U68=0,0,TrRoad_ene!U71/TrRoad_tech!U99)</f>
        <v>1.1815261629538101</v>
      </c>
      <c r="V126" s="93">
        <f>IF(TrRoad_act!V68=0,0,TrRoad_ene!V71/TrRoad_tech!V99)</f>
        <v>1.1870690032283604</v>
      </c>
      <c r="W126" s="93">
        <f>IF(TrRoad_act!W68=0,0,TrRoad_ene!W71/TrRoad_tech!W99)</f>
        <v>1.1927918602641843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1.1004698541715114</v>
      </c>
      <c r="D127" s="93">
        <f>IF(TrRoad_act!D69=0,0,TrRoad_ene!D72/TrRoad_tech!D100)</f>
        <v>1.1014403914912771</v>
      </c>
      <c r="E127" s="93">
        <f>IF(TrRoad_act!E69=0,0,TrRoad_ene!E72/TrRoad_tech!E100)</f>
        <v>1.1026154448540286</v>
      </c>
      <c r="F127" s="93">
        <f>IF(TrRoad_act!F69=0,0,TrRoad_ene!F72/TrRoad_tech!F100)</f>
        <v>1.105212990885869</v>
      </c>
      <c r="G127" s="93">
        <f>IF(TrRoad_act!G69=0,0,TrRoad_ene!G72/TrRoad_tech!G100)</f>
        <v>1.1087187657054525</v>
      </c>
      <c r="H127" s="93">
        <f>IF(TrRoad_act!H69=0,0,TrRoad_ene!H72/TrRoad_tech!H100)</f>
        <v>1.1139504774902802</v>
      </c>
      <c r="I127" s="93">
        <f>IF(TrRoad_act!I69=0,0,TrRoad_ene!I72/TrRoad_tech!I100)</f>
        <v>1.1187175495706001</v>
      </c>
      <c r="J127" s="93">
        <f>IF(TrRoad_act!J69=0,0,TrRoad_ene!J72/TrRoad_tech!J100)</f>
        <v>1.1251686260215932</v>
      </c>
      <c r="K127" s="93">
        <f>IF(TrRoad_act!K69=0,0,TrRoad_ene!K72/TrRoad_tech!K100)</f>
        <v>1.1319352293652243</v>
      </c>
      <c r="L127" s="93">
        <f>IF(TrRoad_act!L69=0,0,TrRoad_ene!L72/TrRoad_tech!L100)</f>
        <v>1.1388332834297139</v>
      </c>
      <c r="M127" s="93">
        <f>IF(TrRoad_act!M69=0,0,TrRoad_ene!M72/TrRoad_tech!M100)</f>
        <v>1.1469726340443616</v>
      </c>
      <c r="N127" s="93">
        <f>IF(TrRoad_act!N69=0,0,TrRoad_ene!N72/TrRoad_tech!N100)</f>
        <v>1.1561807382949136</v>
      </c>
      <c r="O127" s="93">
        <f>IF(TrRoad_act!O69=0,0,TrRoad_ene!O72/TrRoad_tech!O100)</f>
        <v>1.1625874419656976</v>
      </c>
      <c r="P127" s="93">
        <f>IF(TrRoad_act!P69=0,0,TrRoad_ene!P72/TrRoad_tech!P100)</f>
        <v>1.1719190155952435</v>
      </c>
      <c r="Q127" s="93">
        <f>IF(TrRoad_act!Q69=0,0,TrRoad_ene!Q72/TrRoad_tech!Q100)</f>
        <v>1.1833150339646523</v>
      </c>
      <c r="R127" s="93">
        <f>IF(TrRoad_act!R69=0,0,TrRoad_ene!R72/TrRoad_tech!R100)</f>
        <v>1.1963723201600207</v>
      </c>
      <c r="S127" s="93">
        <f>IF(TrRoad_act!S69=0,0,TrRoad_ene!S72/TrRoad_tech!S100)</f>
        <v>1.2346377427044957</v>
      </c>
      <c r="T127" s="93">
        <f>IF(TrRoad_act!T69=0,0,TrRoad_ene!T72/TrRoad_tech!T100)</f>
        <v>1.2481443756654029</v>
      </c>
      <c r="U127" s="93">
        <f>IF(TrRoad_act!U69=0,0,TrRoad_ene!U72/TrRoad_tech!U100)</f>
        <v>1.2601569553153427</v>
      </c>
      <c r="V127" s="93">
        <f>IF(TrRoad_act!V69=0,0,TrRoad_ene!V72/TrRoad_tech!V100)</f>
        <v>1.2722551862987994</v>
      </c>
      <c r="W127" s="93">
        <f>IF(TrRoad_act!W69=0,0,TrRoad_ene!W72/TrRoad_tech!W100)</f>
        <v>1.2778048856898792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1.2773333333398116</v>
      </c>
      <c r="Q128" s="93">
        <f>IF(TrRoad_act!Q70=0,0,TrRoad_ene!Q73/TrRoad_tech!Q101)</f>
        <v>1.2991439392119208</v>
      </c>
      <c r="R128" s="93">
        <f>IF(TrRoad_act!R70=0,0,TrRoad_ene!R73/TrRoad_tech!R101)</f>
        <v>1.2994996847340088</v>
      </c>
      <c r="S128" s="93">
        <f>IF(TrRoad_act!S70=0,0,TrRoad_ene!S73/TrRoad_tech!S101)</f>
        <v>1.2994996847340083</v>
      </c>
      <c r="T128" s="93">
        <f>IF(TrRoad_act!T70=0,0,TrRoad_ene!T73/TrRoad_tech!T101)</f>
        <v>1.2996823428889959</v>
      </c>
      <c r="U128" s="93">
        <f>IF(TrRoad_act!U70=0,0,TrRoad_ene!U73/TrRoad_tech!U101)</f>
        <v>1.3109550047087957</v>
      </c>
      <c r="V128" s="93">
        <f>IF(TrRoad_act!V70=0,0,TrRoad_ene!V73/TrRoad_tech!V101)</f>
        <v>1.3215170259828528</v>
      </c>
      <c r="W128" s="93">
        <f>IF(TrRoad_act!W70=0,0,TrRoad_ene!W73/TrRoad_tech!W101)</f>
        <v>1.342087430249707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2.3448950274367819</v>
      </c>
      <c r="C129" s="93">
        <f>IF(TrRoad_act!C71=0,0,TrRoad_ene!C74/TrRoad_tech!C102)</f>
        <v>3.4488051864020526</v>
      </c>
      <c r="D129" s="93">
        <f>IF(TrRoad_act!D71=0,0,TrRoad_ene!D74/TrRoad_tech!D102)</f>
        <v>73.461559690794829</v>
      </c>
      <c r="E129" s="93">
        <f>IF(TrRoad_act!E71=0,0,TrRoad_ene!E74/TrRoad_tech!E102)</f>
        <v>3.7587571801487183</v>
      </c>
      <c r="F129" s="93">
        <f>IF(TrRoad_act!F71=0,0,TrRoad_ene!F74/TrRoad_tech!F102)</f>
        <v>3.2774984877397078</v>
      </c>
      <c r="G129" s="93">
        <f>IF(TrRoad_act!G71=0,0,TrRoad_ene!G74/TrRoad_tech!G102)</f>
        <v>3.1887871683032425</v>
      </c>
      <c r="H129" s="93">
        <f>IF(TrRoad_act!H71=0,0,TrRoad_ene!H74/TrRoad_tech!H102)</f>
        <v>3.2230759586559681</v>
      </c>
      <c r="I129" s="93">
        <f>IF(TrRoad_act!I71=0,0,TrRoad_ene!I74/TrRoad_tech!I102)</f>
        <v>3.8560835964734896</v>
      </c>
      <c r="J129" s="93">
        <f>IF(TrRoad_act!J71=0,0,TrRoad_ene!J74/TrRoad_tech!J102)</f>
        <v>4.3088426427607418</v>
      </c>
      <c r="K129" s="93">
        <f>IF(TrRoad_act!K71=0,0,TrRoad_ene!K74/TrRoad_tech!K102)</f>
        <v>5.1703679912495879</v>
      </c>
      <c r="L129" s="93">
        <f>IF(TrRoad_act!L71=0,0,TrRoad_ene!L74/TrRoad_tech!L102)</f>
        <v>6.7735874288596207</v>
      </c>
      <c r="M129" s="93">
        <f>IF(TrRoad_act!M71=0,0,TrRoad_ene!M74/TrRoad_tech!M102)</f>
        <v>7.3834397163662855</v>
      </c>
      <c r="N129" s="93">
        <f>IF(TrRoad_act!N71=0,0,TrRoad_ene!N74/TrRoad_tech!N102)</f>
        <v>7.6546732391979555</v>
      </c>
      <c r="O129" s="93">
        <f>IF(TrRoad_act!O71=0,0,TrRoad_ene!O74/TrRoad_tech!O102)</f>
        <v>8.6056061244751483</v>
      </c>
      <c r="P129" s="93">
        <f>IF(TrRoad_act!P71=0,0,TrRoad_ene!P74/TrRoad_tech!P102)</f>
        <v>10.449184665098921</v>
      </c>
      <c r="Q129" s="93">
        <f>IF(TrRoad_act!Q71=0,0,TrRoad_ene!Q74/TrRoad_tech!Q102)</f>
        <v>2.6604424878578645</v>
      </c>
      <c r="R129" s="93">
        <f>IF(TrRoad_act!R71=0,0,TrRoad_ene!R74/TrRoad_tech!R102)</f>
        <v>2.8144161126700649</v>
      </c>
      <c r="S129" s="93">
        <f>IF(TrRoad_act!S71=0,0,TrRoad_ene!S74/TrRoad_tech!S102)</f>
        <v>2.241720758707201</v>
      </c>
      <c r="T129" s="93">
        <f>IF(TrRoad_act!T71=0,0,TrRoad_ene!T74/TrRoad_tech!T102)</f>
        <v>1.8161089145423397</v>
      </c>
      <c r="U129" s="93">
        <f>IF(TrRoad_act!U71=0,0,TrRoad_ene!U74/TrRoad_tech!U102)</f>
        <v>1.826504866424157</v>
      </c>
      <c r="V129" s="93">
        <f>IF(TrRoad_act!V71=0,0,TrRoad_ene!V74/TrRoad_tech!V102)</f>
        <v>2.6171198361513746</v>
      </c>
      <c r="W129" s="93">
        <f>IF(TrRoad_act!W71=0,0,TrRoad_ene!W74/TrRoad_tech!W102)</f>
        <v>2.5812774266175751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0</v>
      </c>
      <c r="P130" s="93">
        <f>IF(TrRoad_act!P72=0,0,TrRoad_ene!P75/TrRoad_tech!P103)</f>
        <v>1.2773333333398114</v>
      </c>
      <c r="Q130" s="93">
        <f>IF(TrRoad_act!Q72=0,0,TrRoad_ene!Q75/TrRoad_tech!Q103)</f>
        <v>1.2861493664386732</v>
      </c>
      <c r="R130" s="93">
        <f>IF(TrRoad_act!R72=0,0,TrRoad_ene!R75/TrRoad_tech!R103)</f>
        <v>1.2952903104467308</v>
      </c>
      <c r="S130" s="93">
        <f>IF(TrRoad_act!S72=0,0,TrRoad_ene!S75/TrRoad_tech!S103)</f>
        <v>1.3026608826505128</v>
      </c>
      <c r="T130" s="93">
        <f>IF(TrRoad_act!T72=0,0,TrRoad_ene!T75/TrRoad_tech!T103)</f>
        <v>1.3127352810589277</v>
      </c>
      <c r="U130" s="93">
        <f>IF(TrRoad_act!U72=0,0,TrRoad_ene!U75/TrRoad_tech!U103)</f>
        <v>1.3274722635955958</v>
      </c>
      <c r="V130" s="93">
        <f>IF(TrRoad_act!V72=0,0,TrRoad_ene!V75/TrRoad_tech!V103)</f>
        <v>1.3309503692736111</v>
      </c>
      <c r="W130" s="93">
        <f>IF(TrRoad_act!W72=0,0,TrRoad_ene!W75/TrRoad_tech!W103)</f>
        <v>1.3374747771036719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1.1000876900269827</v>
      </c>
      <c r="C132" s="150">
        <f>IF(TrRoad_act!C74=0,0,TrRoad_ene!C77/TrRoad_tech!C105)</f>
        <v>1.0886221288885733</v>
      </c>
      <c r="D132" s="150">
        <f>IF(TrRoad_act!D74=0,0,TrRoad_ene!D77/TrRoad_tech!D105)</f>
        <v>1.0826057248654075</v>
      </c>
      <c r="E132" s="150">
        <f>IF(TrRoad_act!E74=0,0,TrRoad_ene!E77/TrRoad_tech!E105)</f>
        <v>1.073767739544627</v>
      </c>
      <c r="F132" s="150">
        <f>IF(TrRoad_act!F74=0,0,TrRoad_ene!F77/TrRoad_tech!F105)</f>
        <v>1.0666258203373895</v>
      </c>
      <c r="G132" s="150">
        <f>IF(TrRoad_act!G74=0,0,TrRoad_ene!G77/TrRoad_tech!G105)</f>
        <v>1.0624412443201556</v>
      </c>
      <c r="H132" s="150">
        <f>IF(TrRoad_act!H74=0,0,TrRoad_ene!H77/TrRoad_tech!H105)</f>
        <v>1.0640179071744811</v>
      </c>
      <c r="I132" s="150">
        <f>IF(TrRoad_act!I74=0,0,TrRoad_ene!I77/TrRoad_tech!I105)</f>
        <v>1.0705658267317959</v>
      </c>
      <c r="J132" s="150">
        <f>IF(TrRoad_act!J74=0,0,TrRoad_ene!J77/TrRoad_tech!J105)</f>
        <v>1.0779738568709689</v>
      </c>
      <c r="K132" s="150">
        <f>IF(TrRoad_act!K74=0,0,TrRoad_ene!K77/TrRoad_tech!K105)</f>
        <v>1.0967370011466482</v>
      </c>
      <c r="L132" s="150">
        <f>IF(TrRoad_act!L74=0,0,TrRoad_ene!L77/TrRoad_tech!L105)</f>
        <v>1.1063701486289037</v>
      </c>
      <c r="M132" s="150">
        <f>IF(TrRoad_act!M74=0,0,TrRoad_ene!M77/TrRoad_tech!M105)</f>
        <v>1.1126031519489961</v>
      </c>
      <c r="N132" s="150">
        <f>IF(TrRoad_act!N74=0,0,TrRoad_ene!N77/TrRoad_tech!N105)</f>
        <v>1.1162570232785201</v>
      </c>
      <c r="O132" s="150">
        <f>IF(TrRoad_act!O74=0,0,TrRoad_ene!O77/TrRoad_tech!O105)</f>
        <v>1.1198257100299445</v>
      </c>
      <c r="P132" s="150">
        <f>IF(TrRoad_act!P74=0,0,TrRoad_ene!P77/TrRoad_tech!P105)</f>
        <v>1.1324089757411857</v>
      </c>
      <c r="Q132" s="150">
        <f>IF(TrRoad_act!Q74=0,0,TrRoad_ene!Q77/TrRoad_tech!Q105)</f>
        <v>1.1450552921076094</v>
      </c>
      <c r="R132" s="150">
        <f>IF(TrRoad_act!R74=0,0,TrRoad_ene!R77/TrRoad_tech!R105)</f>
        <v>1.1542885786388739</v>
      </c>
      <c r="S132" s="150">
        <f>IF(TrRoad_act!S74=0,0,TrRoad_ene!S77/TrRoad_tech!S105)</f>
        <v>1.1616599003502006</v>
      </c>
      <c r="T132" s="150">
        <f>IF(TrRoad_act!T74=0,0,TrRoad_ene!T77/TrRoad_tech!T105)</f>
        <v>1.1701384041045992</v>
      </c>
      <c r="U132" s="150">
        <f>IF(TrRoad_act!U74=0,0,TrRoad_ene!U77/TrRoad_tech!U105)</f>
        <v>1.1813236453096885</v>
      </c>
      <c r="V132" s="150">
        <f>IF(TrRoad_act!V74=0,0,TrRoad_ene!V77/TrRoad_tech!V105)</f>
        <v>1.1893408528580431</v>
      </c>
      <c r="W132" s="150">
        <f>IF(TrRoad_act!W74=0,0,TrRoad_ene!W77/TrRoad_tech!W105)</f>
        <v>1.197666062994647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</v>
      </c>
      <c r="C133" s="91">
        <f>IF(TrRoad_act!C75=0,0,TrRoad_ene!C78/TrRoad_tech!C106)</f>
        <v>1.1000003284258089</v>
      </c>
      <c r="D133" s="91">
        <f>IF(TrRoad_act!D75=0,0,TrRoad_ene!D78/TrRoad_tech!D106)</f>
        <v>1.1000004194225284</v>
      </c>
      <c r="E133" s="91">
        <f>IF(TrRoad_act!E75=0,0,TrRoad_ene!E78/TrRoad_tech!E106)</f>
        <v>1.1000004814985656</v>
      </c>
      <c r="F133" s="91">
        <f>IF(TrRoad_act!F75=0,0,TrRoad_ene!F78/TrRoad_tech!F106)</f>
        <v>1.1000005470664118</v>
      </c>
      <c r="G133" s="91">
        <f>IF(TrRoad_act!G75=0,0,TrRoad_ene!G78/TrRoad_tech!G106)</f>
        <v>1.10000063936268</v>
      </c>
      <c r="H133" s="91">
        <f>IF(TrRoad_act!H75=0,0,TrRoad_ene!H78/TrRoad_tech!H106)</f>
        <v>1.1000007415820892</v>
      </c>
      <c r="I133" s="91">
        <f>IF(TrRoad_act!I75=0,0,TrRoad_ene!I78/TrRoad_tech!I106)</f>
        <v>1.1000007889151671</v>
      </c>
      <c r="J133" s="91">
        <f>IF(TrRoad_act!J75=0,0,TrRoad_ene!J78/TrRoad_tech!J106)</f>
        <v>1.1000009159292385</v>
      </c>
      <c r="K133" s="91">
        <f>IF(TrRoad_act!K75=0,0,TrRoad_ene!K78/TrRoad_tech!K106)</f>
        <v>1.1000010195303558</v>
      </c>
      <c r="L133" s="91">
        <f>IF(TrRoad_act!L75=0,0,TrRoad_ene!L78/TrRoad_tech!L106)</f>
        <v>1.1000010064816717</v>
      </c>
      <c r="M133" s="91">
        <f>IF(TrRoad_act!M75=0,0,TrRoad_ene!M78/TrRoad_tech!M106)</f>
        <v>1.1016352429463578</v>
      </c>
      <c r="N133" s="91">
        <f>IF(TrRoad_act!N75=0,0,TrRoad_ene!N78/TrRoad_tech!N106)</f>
        <v>1.1138154362968677</v>
      </c>
      <c r="O133" s="91">
        <f>IF(TrRoad_act!O75=0,0,TrRoad_ene!O78/TrRoad_tech!O106)</f>
        <v>1.1257486182484744</v>
      </c>
      <c r="P133" s="91">
        <f>IF(TrRoad_act!P75=0,0,TrRoad_ene!P78/TrRoad_tech!P106)</f>
        <v>1.1357973242094732</v>
      </c>
      <c r="Q133" s="91">
        <f>IF(TrRoad_act!Q75=0,0,TrRoad_ene!Q78/TrRoad_tech!Q106)</f>
        <v>1.1414640415491319</v>
      </c>
      <c r="R133" s="91">
        <f>IF(TrRoad_act!R75=0,0,TrRoad_ene!R78/TrRoad_tech!R106)</f>
        <v>1.1562440398817651</v>
      </c>
      <c r="S133" s="91">
        <f>IF(TrRoad_act!S75=0,0,TrRoad_ene!S78/TrRoad_tech!S106)</f>
        <v>1.1837729663741949</v>
      </c>
      <c r="T133" s="91">
        <f>IF(TrRoad_act!T75=0,0,TrRoad_ene!T78/TrRoad_tech!T106)</f>
        <v>1.2073118161577889</v>
      </c>
      <c r="U133" s="91">
        <f>IF(TrRoad_act!U75=0,0,TrRoad_ene!U78/TrRoad_tech!U106)</f>
        <v>1.2243936928989001</v>
      </c>
      <c r="V133" s="91">
        <f>IF(TrRoad_act!V75=0,0,TrRoad_ene!V78/TrRoad_tech!V106)</f>
        <v>1.2382742817396633</v>
      </c>
      <c r="W133" s="91">
        <f>IF(TrRoad_act!W75=0,0,TrRoad_ene!W78/TrRoad_tech!W106)</f>
        <v>1.24873453701785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</v>
      </c>
      <c r="C134" s="91">
        <f>IF(TrRoad_act!C76=0,0,TrRoad_ene!C79/TrRoad_tech!C107)</f>
        <v>1.1000890718321426</v>
      </c>
      <c r="D134" s="91">
        <f>IF(TrRoad_act!D76=0,0,TrRoad_ene!D79/TrRoad_tech!D107)</f>
        <v>1.1002275205606575</v>
      </c>
      <c r="E134" s="91">
        <f>IF(TrRoad_act!E76=0,0,TrRoad_ene!E79/TrRoad_tech!E107)</f>
        <v>1.1006664270657072</v>
      </c>
      <c r="F134" s="91">
        <f>IF(TrRoad_act!F76=0,0,TrRoad_ene!F79/TrRoad_tech!F107)</f>
        <v>1.1015270045357484</v>
      </c>
      <c r="G134" s="91">
        <f>IF(TrRoad_act!G76=0,0,TrRoad_ene!G79/TrRoad_tech!G107)</f>
        <v>1.1023968810436529</v>
      </c>
      <c r="H134" s="91">
        <f>IF(TrRoad_act!H76=0,0,TrRoad_ene!H79/TrRoad_tech!H107)</f>
        <v>1.1037516658453126</v>
      </c>
      <c r="I134" s="91">
        <f>IF(TrRoad_act!I76=0,0,TrRoad_ene!I79/TrRoad_tech!I107)</f>
        <v>1.1083553631426826</v>
      </c>
      <c r="J134" s="91">
        <f>IF(TrRoad_act!J76=0,0,TrRoad_ene!J79/TrRoad_tech!J107)</f>
        <v>1.1100337744197843</v>
      </c>
      <c r="K134" s="91">
        <f>IF(TrRoad_act!K76=0,0,TrRoad_ene!K79/TrRoad_tech!K107)</f>
        <v>1.113176289990176</v>
      </c>
      <c r="L134" s="91">
        <f>IF(TrRoad_act!L76=0,0,TrRoad_ene!L79/TrRoad_tech!L107)</f>
        <v>1.1152982116056385</v>
      </c>
      <c r="M134" s="91">
        <f>IF(TrRoad_act!M76=0,0,TrRoad_ene!M79/TrRoad_tech!M107)</f>
        <v>1.1175902090888159</v>
      </c>
      <c r="N134" s="91">
        <f>IF(TrRoad_act!N76=0,0,TrRoad_ene!N79/TrRoad_tech!N107)</f>
        <v>1.1224463576966006</v>
      </c>
      <c r="O134" s="91">
        <f>IF(TrRoad_act!O76=0,0,TrRoad_ene!O79/TrRoad_tech!O107)</f>
        <v>1.1271947772747064</v>
      </c>
      <c r="P134" s="91">
        <f>IF(TrRoad_act!P76=0,0,TrRoad_ene!P79/TrRoad_tech!P107)</f>
        <v>1.1409879921427355</v>
      </c>
      <c r="Q134" s="91">
        <f>IF(TrRoad_act!Q76=0,0,TrRoad_ene!Q79/TrRoad_tech!Q107)</f>
        <v>1.1566775687439124</v>
      </c>
      <c r="R134" s="91">
        <f>IF(TrRoad_act!R76=0,0,TrRoad_ene!R79/TrRoad_tech!R107)</f>
        <v>1.1672318154580201</v>
      </c>
      <c r="S134" s="91">
        <f>IF(TrRoad_act!S76=0,0,TrRoad_ene!S79/TrRoad_tech!S107)</f>
        <v>1.1762476335252401</v>
      </c>
      <c r="T134" s="91">
        <f>IF(TrRoad_act!T76=0,0,TrRoad_ene!T79/TrRoad_tech!T107)</f>
        <v>1.1870162664931792</v>
      </c>
      <c r="U134" s="91">
        <f>IF(TrRoad_act!U76=0,0,TrRoad_ene!U79/TrRoad_tech!U107)</f>
        <v>1.1985035484943638</v>
      </c>
      <c r="V134" s="91">
        <f>IF(TrRoad_act!V76=0,0,TrRoad_ene!V79/TrRoad_tech!V107)</f>
        <v>1.2070140894790442</v>
      </c>
      <c r="W134" s="91">
        <f>IF(TrRoad_act!W76=0,0,TrRoad_ene!W79/TrRoad_tech!W107)</f>
        <v>1.2161249818404973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1.2560000000062246</v>
      </c>
      <c r="P135" s="91">
        <f>IF(TrRoad_act!P77=0,0,TrRoad_ene!P80/TrRoad_tech!P108)</f>
        <v>1.2479381051651699</v>
      </c>
      <c r="Q135" s="91">
        <f>IF(TrRoad_act!Q77=0,0,TrRoad_ene!Q80/TrRoad_tech!Q108)</f>
        <v>1.249191790833029</v>
      </c>
      <c r="R135" s="91">
        <f>IF(TrRoad_act!R77=0,0,TrRoad_ene!R80/TrRoad_tech!R108)</f>
        <v>1.2334305915356314</v>
      </c>
      <c r="S135" s="91">
        <f>IF(TrRoad_act!S77=0,0,TrRoad_ene!S80/TrRoad_tech!S108)</f>
        <v>1.2452180200804823</v>
      </c>
      <c r="T135" s="91">
        <f>IF(TrRoad_act!T77=0,0,TrRoad_ene!T80/TrRoad_tech!T108)</f>
        <v>1.2694952899833953</v>
      </c>
      <c r="U135" s="91">
        <f>IF(TrRoad_act!U77=0,0,TrRoad_ene!U80/TrRoad_tech!U108)</f>
        <v>1.2922630260001584</v>
      </c>
      <c r="V135" s="91">
        <f>IF(TrRoad_act!V77=0,0,TrRoad_ene!V80/TrRoad_tech!V108)</f>
        <v>1.3020087457253038</v>
      </c>
      <c r="W135" s="91">
        <f>IF(TrRoad_act!W77=0,0,TrRoad_ene!W80/TrRoad_tech!W108)</f>
        <v>1.3136424433974778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1.2360000000066977</v>
      </c>
      <c r="O136" s="91">
        <f>IF(TrRoad_act!O78=0,0,TrRoad_ene!O81/TrRoad_tech!O109)</f>
        <v>1.2531038711577025</v>
      </c>
      <c r="P136" s="91">
        <f>IF(TrRoad_act!P78=0,0,TrRoad_ene!P81/TrRoad_tech!P109)</f>
        <v>1.2604841342046902</v>
      </c>
      <c r="Q136" s="91">
        <f>IF(TrRoad_act!Q78=0,0,TrRoad_ene!Q81/TrRoad_tech!Q109)</f>
        <v>1.2881703980139023</v>
      </c>
      <c r="R136" s="91">
        <f>IF(TrRoad_act!R78=0,0,TrRoad_ene!R81/TrRoad_tech!R109)</f>
        <v>1.2937243108624523</v>
      </c>
      <c r="S136" s="91">
        <f>IF(TrRoad_act!S78=0,0,TrRoad_ene!S81/TrRoad_tech!S109)</f>
        <v>1.3044225314007425</v>
      </c>
      <c r="T136" s="91">
        <f>IF(TrRoad_act!T78=0,0,TrRoad_ene!T81/TrRoad_tech!T109)</f>
        <v>1.3402704049142133</v>
      </c>
      <c r="U136" s="91">
        <f>IF(TrRoad_act!U78=0,0,TrRoad_ene!U81/TrRoad_tech!U109)</f>
        <v>1.3436481932838256</v>
      </c>
      <c r="V136" s="91">
        <f>IF(TrRoad_act!V78=0,0,TrRoad_ene!V81/TrRoad_tech!V109)</f>
        <v>1.3468592959013019</v>
      </c>
      <c r="W136" s="91">
        <f>IF(TrRoad_act!W78=0,0,TrRoad_ene!W81/TrRoad_tech!W109)</f>
        <v>1.3488461880028915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1.2173333333398659</v>
      </c>
      <c r="N137" s="91">
        <f>IF(TrRoad_act!N79=0,0,TrRoad_ene!N82/TrRoad_tech!N110)</f>
        <v>1.2360000000066977</v>
      </c>
      <c r="O137" s="91">
        <f>IF(TrRoad_act!O79=0,0,TrRoad_ene!O82/TrRoad_tech!O110)</f>
        <v>1.2560000000062241</v>
      </c>
      <c r="P137" s="91">
        <f>IF(TrRoad_act!P79=0,0,TrRoad_ene!P82/TrRoad_tech!P110)</f>
        <v>1.2773333333398109</v>
      </c>
      <c r="Q137" s="91">
        <f>IF(TrRoad_act!Q79=0,0,TrRoad_ene!Q82/TrRoad_tech!Q110)</f>
        <v>1.2924333875799925</v>
      </c>
      <c r="R137" s="91">
        <f>IF(TrRoad_act!R79=0,0,TrRoad_ene!R82/TrRoad_tech!R110)</f>
        <v>1.3043875581172422</v>
      </c>
      <c r="S137" s="91">
        <f>IF(TrRoad_act!S79=0,0,TrRoad_ene!S82/TrRoad_tech!S110)</f>
        <v>1.312352354882272</v>
      </c>
      <c r="T137" s="91">
        <f>IF(TrRoad_act!T79=0,0,TrRoad_ene!T82/TrRoad_tech!T110)</f>
        <v>1.3241780470076765</v>
      </c>
      <c r="U137" s="91">
        <f>IF(TrRoad_act!U79=0,0,TrRoad_ene!U82/TrRoad_tech!U110)</f>
        <v>1.3310087597984466</v>
      </c>
      <c r="V137" s="91">
        <f>IF(TrRoad_act!V79=0,0,TrRoad_ene!V82/TrRoad_tech!V110)</f>
        <v>1.3376466423338316</v>
      </c>
      <c r="W137" s="91">
        <f>IF(TrRoad_act!W79=0,0,TrRoad_ene!W82/TrRoad_tech!W110)</f>
        <v>1.3436314779087075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1.5090767130295928</v>
      </c>
      <c r="C138" s="151">
        <f>IF(TrRoad_act!C80=0,0,TrRoad_ene!C83/TrRoad_tech!C111)</f>
        <v>1.4761635362814656</v>
      </c>
      <c r="D138" s="151">
        <f>IF(TrRoad_act!D80=0,0,TrRoad_ene!D83/TrRoad_tech!D111)</f>
        <v>1.3919660041994515</v>
      </c>
      <c r="E138" s="151">
        <f>IF(TrRoad_act!E80=0,0,TrRoad_ene!E83/TrRoad_tech!E111)</f>
        <v>1.4030465908340959</v>
      </c>
      <c r="F138" s="151">
        <f>IF(TrRoad_act!F80=0,0,TrRoad_ene!F83/TrRoad_tech!F111)</f>
        <v>1.3479331092277962</v>
      </c>
      <c r="G138" s="151">
        <f>IF(TrRoad_act!G80=0,0,TrRoad_ene!G83/TrRoad_tech!G111)</f>
        <v>1.3377564906867054</v>
      </c>
      <c r="H138" s="151">
        <f>IF(TrRoad_act!H80=0,0,TrRoad_ene!H83/TrRoad_tech!H111)</f>
        <v>1.3117027543381787</v>
      </c>
      <c r="I138" s="151">
        <f>IF(TrRoad_act!I80=0,0,TrRoad_ene!I83/TrRoad_tech!I111)</f>
        <v>1.2759687476791626</v>
      </c>
      <c r="J138" s="151">
        <f>IF(TrRoad_act!J80=0,0,TrRoad_ene!J83/TrRoad_tech!J111)</f>
        <v>1.3009795678240033</v>
      </c>
      <c r="K138" s="151">
        <f>IF(TrRoad_act!K80=0,0,TrRoad_ene!K83/TrRoad_tech!K111)</f>
        <v>1.2894822490615179</v>
      </c>
      <c r="L138" s="151">
        <f>IF(TrRoad_act!L80=0,0,TrRoad_ene!L83/TrRoad_tech!L111)</f>
        <v>1.32189446034036</v>
      </c>
      <c r="M138" s="151">
        <f>IF(TrRoad_act!M80=0,0,TrRoad_ene!M83/TrRoad_tech!M111)</f>
        <v>1.2774140542641861</v>
      </c>
      <c r="N138" s="151">
        <f>IF(TrRoad_act!N80=0,0,TrRoad_ene!N83/TrRoad_tech!N111)</f>
        <v>1.1610674285465663</v>
      </c>
      <c r="O138" s="151">
        <f>IF(TrRoad_act!O80=0,0,TrRoad_ene!O83/TrRoad_tech!O111)</f>
        <v>1.1978043155303095</v>
      </c>
      <c r="P138" s="151">
        <f>IF(TrRoad_act!P80=0,0,TrRoad_ene!P83/TrRoad_tech!P111)</f>
        <v>1.2142276556780498</v>
      </c>
      <c r="Q138" s="151">
        <f>IF(TrRoad_act!Q80=0,0,TrRoad_ene!Q83/TrRoad_tech!Q111)</f>
        <v>1.2184664124576858</v>
      </c>
      <c r="R138" s="151">
        <f>IF(TrRoad_act!R80=0,0,TrRoad_ene!R83/TrRoad_tech!R111)</f>
        <v>1.357318956637328</v>
      </c>
      <c r="S138" s="151">
        <f>IF(TrRoad_act!S80=0,0,TrRoad_ene!S83/TrRoad_tech!S111)</f>
        <v>1.4779472068300719</v>
      </c>
      <c r="T138" s="151">
        <f>IF(TrRoad_act!T80=0,0,TrRoad_ene!T83/TrRoad_tech!T111)</f>
        <v>1.5345181853466094</v>
      </c>
      <c r="U138" s="151">
        <f>IF(TrRoad_act!U80=0,0,TrRoad_ene!U83/TrRoad_tech!U111)</f>
        <v>1.4464378393577666</v>
      </c>
      <c r="V138" s="151">
        <f>IF(TrRoad_act!V80=0,0,TrRoad_ene!V83/TrRoad_tech!V111)</f>
        <v>1.416624518485486</v>
      </c>
      <c r="W138" s="151">
        <f>IF(TrRoad_act!W80=0,0,TrRoad_ene!W83/TrRoad_tech!W111)</f>
        <v>1.5411699880076135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1.4915129598960499</v>
      </c>
      <c r="C139" s="93">
        <f>IF(TrRoad_act!C81=0,0,TrRoad_ene!C84/TrRoad_tech!C112)</f>
        <v>1.4611940024167409</v>
      </c>
      <c r="D139" s="93">
        <f>IF(TrRoad_act!D81=0,0,TrRoad_ene!D84/TrRoad_tech!D112)</f>
        <v>1.3804361985195579</v>
      </c>
      <c r="E139" s="93">
        <f>IF(TrRoad_act!E81=0,0,TrRoad_ene!E84/TrRoad_tech!E112)</f>
        <v>1.3927019673354997</v>
      </c>
      <c r="F139" s="93">
        <f>IF(TrRoad_act!F81=0,0,TrRoad_ene!F84/TrRoad_tech!F112)</f>
        <v>1.3397238625292713</v>
      </c>
      <c r="G139" s="93">
        <f>IF(TrRoad_act!G81=0,0,TrRoad_ene!G84/TrRoad_tech!G112)</f>
        <v>1.3305028145428754</v>
      </c>
      <c r="H139" s="93">
        <f>IF(TrRoad_act!H81=0,0,TrRoad_ene!H84/TrRoad_tech!H112)</f>
        <v>1.305195488502533</v>
      </c>
      <c r="I139" s="93">
        <f>IF(TrRoad_act!I81=0,0,TrRoad_ene!I84/TrRoad_tech!I112)</f>
        <v>1.2702364708774809</v>
      </c>
      <c r="J139" s="93">
        <f>IF(TrRoad_act!J81=0,0,TrRoad_ene!J84/TrRoad_tech!J112)</f>
        <v>1.2951501953010689</v>
      </c>
      <c r="K139" s="93">
        <f>IF(TrRoad_act!K81=0,0,TrRoad_ene!K84/TrRoad_tech!K112)</f>
        <v>1.2836308140990271</v>
      </c>
      <c r="L139" s="93">
        <f>IF(TrRoad_act!L81=0,0,TrRoad_ene!L84/TrRoad_tech!L112)</f>
        <v>1.3160496398614665</v>
      </c>
      <c r="M139" s="93">
        <f>IF(TrRoad_act!M81=0,0,TrRoad_ene!M84/TrRoad_tech!M112)</f>
        <v>1.270964721868433</v>
      </c>
      <c r="N139" s="93">
        <f>IF(TrRoad_act!N81=0,0,TrRoad_ene!N84/TrRoad_tech!N112)</f>
        <v>1.1540858926872311</v>
      </c>
      <c r="O139" s="93">
        <f>IF(TrRoad_act!O81=0,0,TrRoad_ene!O84/TrRoad_tech!O112)</f>
        <v>1.1873874653660623</v>
      </c>
      <c r="P139" s="93">
        <f>IF(TrRoad_act!P81=0,0,TrRoad_ene!P84/TrRoad_tech!P112)</f>
        <v>1.2031795016834146</v>
      </c>
      <c r="Q139" s="93">
        <f>IF(TrRoad_act!Q81=0,0,TrRoad_ene!Q84/TrRoad_tech!Q112)</f>
        <v>1.2063601553875105</v>
      </c>
      <c r="R139" s="93">
        <f>IF(TrRoad_act!R81=0,0,TrRoad_ene!R84/TrRoad_tech!R112)</f>
        <v>1.3422657429225353</v>
      </c>
      <c r="S139" s="93">
        <f>IF(TrRoad_act!S81=0,0,TrRoad_ene!S84/TrRoad_tech!S112)</f>
        <v>1.4590339861961663</v>
      </c>
      <c r="T139" s="93">
        <f>IF(TrRoad_act!T81=0,0,TrRoad_ene!T84/TrRoad_tech!T112)</f>
        <v>1.511393797951641</v>
      </c>
      <c r="U139" s="93">
        <f>IF(TrRoad_act!U81=0,0,TrRoad_ene!U84/TrRoad_tech!U112)</f>
        <v>1.4220612514468804</v>
      </c>
      <c r="V139" s="93">
        <f>IF(TrRoad_act!V81=0,0,TrRoad_ene!V84/TrRoad_tech!V112)</f>
        <v>1.3915726302626497</v>
      </c>
      <c r="W139" s="93">
        <f>IF(TrRoad_act!W81=0,0,TrRoad_ene!W84/TrRoad_tech!W112)</f>
        <v>1.5115584575580872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1.4915129598960495</v>
      </c>
      <c r="C140" s="94">
        <f>IF(TrRoad_act!C82=0,0,TrRoad_ene!C85/TrRoad_tech!C113)</f>
        <v>1.4614778383203741</v>
      </c>
      <c r="D140" s="94">
        <f>IF(TrRoad_act!D82=0,0,TrRoad_ene!D85/TrRoad_tech!D113)</f>
        <v>1.3812767195481261</v>
      </c>
      <c r="E140" s="94">
        <f>IF(TrRoad_act!E82=0,0,TrRoad_ene!E85/TrRoad_tech!E113)</f>
        <v>1.3940066750762552</v>
      </c>
      <c r="F140" s="94">
        <f>IF(TrRoad_act!F82=0,0,TrRoad_ene!F85/TrRoad_tech!F113)</f>
        <v>1.3449736930901683</v>
      </c>
      <c r="G140" s="94">
        <f>IF(TrRoad_act!G82=0,0,TrRoad_ene!G85/TrRoad_tech!G113)</f>
        <v>1.3370489817158087</v>
      </c>
      <c r="H140" s="94">
        <f>IF(TrRoad_act!H82=0,0,TrRoad_ene!H85/TrRoad_tech!H113)</f>
        <v>1.3128940881087012</v>
      </c>
      <c r="I140" s="94">
        <f>IF(TrRoad_act!I82=0,0,TrRoad_ene!I85/TrRoad_tech!I113)</f>
        <v>1.2790496499942863</v>
      </c>
      <c r="J140" s="94">
        <f>IF(TrRoad_act!J82=0,0,TrRoad_ene!J85/TrRoad_tech!J113)</f>
        <v>1.3019790656806172</v>
      </c>
      <c r="K140" s="94">
        <f>IF(TrRoad_act!K82=0,0,TrRoad_ene!K85/TrRoad_tech!K113)</f>
        <v>1.290578738493561</v>
      </c>
      <c r="L140" s="94">
        <f>IF(TrRoad_act!L82=0,0,TrRoad_ene!L85/TrRoad_tech!L113)</f>
        <v>1.326710368728935</v>
      </c>
      <c r="M140" s="94">
        <f>IF(TrRoad_act!M82=0,0,TrRoad_ene!M85/TrRoad_tech!M113)</f>
        <v>1.2859969294631479</v>
      </c>
      <c r="N140" s="94">
        <f>IF(TrRoad_act!N82=0,0,TrRoad_ene!N85/TrRoad_tech!N113)</f>
        <v>1.1719167189242949</v>
      </c>
      <c r="O140" s="94">
        <f>IF(TrRoad_act!O82=0,0,TrRoad_ene!O85/TrRoad_tech!O113)</f>
        <v>1.2083885653298911</v>
      </c>
      <c r="P140" s="94">
        <f>IF(TrRoad_act!P82=0,0,TrRoad_ene!P85/TrRoad_tech!P113)</f>
        <v>1.2377184135412032</v>
      </c>
      <c r="Q140" s="94">
        <f>IF(TrRoad_act!Q82=0,0,TrRoad_ene!Q85/TrRoad_tech!Q113)</f>
        <v>1.259912097837159</v>
      </c>
      <c r="R140" s="94">
        <f>IF(TrRoad_act!R82=0,0,TrRoad_ene!R85/TrRoad_tech!R113)</f>
        <v>1.4096264143335835</v>
      </c>
      <c r="S140" s="94">
        <f>IF(TrRoad_act!S82=0,0,TrRoad_ene!S85/TrRoad_tech!S113)</f>
        <v>1.5354140184319389</v>
      </c>
      <c r="T140" s="94">
        <f>IF(TrRoad_act!T82=0,0,TrRoad_ene!T85/TrRoad_tech!T113)</f>
        <v>1.5948507743891751</v>
      </c>
      <c r="U140" s="94">
        <f>IF(TrRoad_act!U82=0,0,TrRoad_ene!U85/TrRoad_tech!U113)</f>
        <v>1.5026928749778914</v>
      </c>
      <c r="V140" s="94">
        <f>IF(TrRoad_act!V82=0,0,TrRoad_ene!V85/TrRoad_tech!V113)</f>
        <v>1.4686160527679599</v>
      </c>
      <c r="W140" s="94">
        <f>IF(TrRoad_act!W82=0,0,TrRoad_ene!W85/TrRoad_tech!W113)</f>
        <v>1.6067497666687074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3.424112118104516</v>
      </c>
      <c r="C144" s="141">
        <v>3.4394598802646454</v>
      </c>
      <c r="D144" s="141">
        <v>3.4565936454693706</v>
      </c>
      <c r="E144" s="141">
        <v>3.4385268534465658</v>
      </c>
      <c r="F144" s="141">
        <v>3.4080762509292581</v>
      </c>
      <c r="G144" s="141">
        <v>3.4021812178513948</v>
      </c>
      <c r="H144" s="141">
        <v>3.3468781737252535</v>
      </c>
      <c r="I144" s="141">
        <v>3.3219409114965939</v>
      </c>
      <c r="J144" s="141">
        <v>3.2519639001406633</v>
      </c>
      <c r="K144" s="141">
        <v>3.1359292922195556</v>
      </c>
      <c r="L144" s="141">
        <v>2.9773571434560244</v>
      </c>
      <c r="M144" s="141">
        <v>2.915101025125455</v>
      </c>
      <c r="N144" s="141">
        <v>2.8209231694664463</v>
      </c>
      <c r="O144" s="141">
        <v>2.7095301020169922</v>
      </c>
      <c r="P144" s="141">
        <v>2.6321995002192935</v>
      </c>
      <c r="Q144" s="141">
        <v>2.6987826110509672</v>
      </c>
      <c r="R144" s="141">
        <v>2.5792109083867505</v>
      </c>
      <c r="S144" s="141">
        <v>2.5433393975874856</v>
      </c>
      <c r="T144" s="141">
        <v>2.5146421889480735</v>
      </c>
      <c r="U144" s="141">
        <v>2.4916844220365437</v>
      </c>
      <c r="V144" s="141">
        <v>2.4733182085073202</v>
      </c>
      <c r="W144" s="141">
        <v>2.4586252376839415</v>
      </c>
      <c r="DA144" s="174" t="s">
        <v>885</v>
      </c>
    </row>
    <row r="145" spans="1:105" ht="11.45" customHeight="1" x14ac:dyDescent="0.25">
      <c r="A145" s="109" t="s">
        <v>20</v>
      </c>
      <c r="B145" s="130">
        <v>6.5061732143106541</v>
      </c>
      <c r="C145" s="130">
        <v>6.5601071209986905</v>
      </c>
      <c r="D145" s="130">
        <v>6.5826984300118312</v>
      </c>
      <c r="E145" s="130">
        <v>6.6043343480926158</v>
      </c>
      <c r="F145" s="130">
        <v>6.5451377163769555</v>
      </c>
      <c r="G145" s="130">
        <v>6.5466887562619647</v>
      </c>
      <c r="H145" s="130">
        <v>6.5460729870446217</v>
      </c>
      <c r="I145" s="130">
        <v>6.4487217362159184</v>
      </c>
      <c r="J145" s="130">
        <v>6.2749518266979036</v>
      </c>
      <c r="K145" s="130">
        <v>6.0256084602407416</v>
      </c>
      <c r="L145" s="130">
        <v>5.8123310617823396</v>
      </c>
      <c r="M145" s="130">
        <v>5.6338261227193041</v>
      </c>
      <c r="N145" s="130">
        <v>5.4268281525773334</v>
      </c>
      <c r="O145" s="130">
        <v>5.0145336426618794</v>
      </c>
      <c r="P145" s="130">
        <v>4.9977555904356912</v>
      </c>
      <c r="Q145" s="130">
        <v>4.8431104378295666</v>
      </c>
      <c r="R145" s="130">
        <v>4.8079309021005372</v>
      </c>
      <c r="S145" s="130">
        <v>4.8327018836189817</v>
      </c>
      <c r="T145" s="130">
        <v>4.9564764621919339</v>
      </c>
      <c r="U145" s="130">
        <v>4.9384107620388074</v>
      </c>
      <c r="V145" s="130">
        <v>4.6615530918548345</v>
      </c>
      <c r="W145" s="130">
        <v>4.4004643291021743</v>
      </c>
      <c r="DA145" s="176" t="s">
        <v>886</v>
      </c>
    </row>
    <row r="146" spans="1:105" ht="11.45" customHeight="1" x14ac:dyDescent="0.25">
      <c r="A146" s="111" t="s">
        <v>110</v>
      </c>
      <c r="B146" s="96">
        <v>6.9294228726418803</v>
      </c>
      <c r="C146" s="96">
        <v>6.964765880803788</v>
      </c>
      <c r="D146" s="96">
        <v>7.004247350970549</v>
      </c>
      <c r="E146" s="96">
        <v>6.962615899755102</v>
      </c>
      <c r="F146" s="96">
        <v>6.8924483364389273</v>
      </c>
      <c r="G146" s="96">
        <v>6.8788643652676909</v>
      </c>
      <c r="H146" s="96">
        <v>6.7514291249274523</v>
      </c>
      <c r="I146" s="96">
        <v>6.6939659950807791</v>
      </c>
      <c r="J146" s="96">
        <v>6.5327174164294046</v>
      </c>
      <c r="K146" s="96">
        <v>6.2653379551020327</v>
      </c>
      <c r="L146" s="96">
        <v>5.8999389032368832</v>
      </c>
      <c r="M146" s="96">
        <v>5.7553903554609631</v>
      </c>
      <c r="N146" s="96">
        <v>5.5382331954578259</v>
      </c>
      <c r="O146" s="96">
        <v>5.2826732426376912</v>
      </c>
      <c r="P146" s="96">
        <v>5.1071301356725876</v>
      </c>
      <c r="Q146" s="96">
        <v>4.9580546573947011</v>
      </c>
      <c r="R146" s="96">
        <v>4.9501151844474487</v>
      </c>
      <c r="S146" s="96">
        <v>4.9354162233338164</v>
      </c>
      <c r="T146" s="96">
        <v>5.0336845451134637</v>
      </c>
      <c r="U146" s="96">
        <v>5.0360689057624004</v>
      </c>
      <c r="V146" s="96">
        <v>4.7657666792447673</v>
      </c>
      <c r="W146" s="96">
        <v>4.5112241421238828</v>
      </c>
      <c r="DA146" s="171" t="s">
        <v>887</v>
      </c>
    </row>
    <row r="147" spans="1:105" ht="11.45" customHeight="1" x14ac:dyDescent="0.25">
      <c r="A147" s="111" t="s">
        <v>111</v>
      </c>
      <c r="B147" s="96">
        <v>6.1169468642853921</v>
      </c>
      <c r="C147" s="96">
        <v>6.1879052325121355</v>
      </c>
      <c r="D147" s="96">
        <v>6.267713686088717</v>
      </c>
      <c r="E147" s="96">
        <v>6.3659308406309192</v>
      </c>
      <c r="F147" s="96">
        <v>6.3386545337123428</v>
      </c>
      <c r="G147" s="96">
        <v>6.3714310012852842</v>
      </c>
      <c r="H147" s="96">
        <v>6.450229221272286</v>
      </c>
      <c r="I147" s="96">
        <v>6.3407872490681134</v>
      </c>
      <c r="J147" s="96">
        <v>6.1595064438273601</v>
      </c>
      <c r="K147" s="96">
        <v>5.9183973604483242</v>
      </c>
      <c r="L147" s="96">
        <v>5.7762911688478322</v>
      </c>
      <c r="M147" s="96">
        <v>5.5928772458670082</v>
      </c>
      <c r="N147" s="96">
        <v>5.3756462247374737</v>
      </c>
      <c r="O147" s="96">
        <v>4.8988447136059667</v>
      </c>
      <c r="P147" s="96">
        <v>4.9468640580366614</v>
      </c>
      <c r="Q147" s="96">
        <v>4.8087290874390094</v>
      </c>
      <c r="R147" s="96">
        <v>4.7338766087361677</v>
      </c>
      <c r="S147" s="96">
        <v>4.7808066146321186</v>
      </c>
      <c r="T147" s="96">
        <v>4.913242432759894</v>
      </c>
      <c r="U147" s="96">
        <v>4.8561726522228401</v>
      </c>
      <c r="V147" s="96">
        <v>4.7047963442554463</v>
      </c>
      <c r="W147" s="96">
        <v>4.513232060585473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5.7998353102097662</v>
      </c>
      <c r="D148" s="96">
        <v>5.8746386353600411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5.547229425982187</v>
      </c>
      <c r="L148" s="96">
        <v>5.1908317934082717</v>
      </c>
      <c r="M148" s="96">
        <v>5.0709259404296434</v>
      </c>
      <c r="N148" s="96">
        <v>6.8386928878027504</v>
      </c>
      <c r="O148" s="96">
        <v>4.8262347884930232</v>
      </c>
      <c r="P148" s="96">
        <v>5.2727423729232701</v>
      </c>
      <c r="Q148" s="96">
        <v>5.3852863870557872</v>
      </c>
      <c r="R148" s="96">
        <v>5.0635161805840969</v>
      </c>
      <c r="S148" s="96">
        <v>5.1318169639989506</v>
      </c>
      <c r="T148" s="96">
        <v>5.2268228083331465</v>
      </c>
      <c r="U148" s="96">
        <v>5.3826538504188655</v>
      </c>
      <c r="V148" s="96">
        <v>4.6913878363970554</v>
      </c>
      <c r="W148" s="96">
        <v>4.5532575913908158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7.5561044315568351</v>
      </c>
      <c r="G149" s="96">
        <v>7.5412124947943253</v>
      </c>
      <c r="H149" s="96">
        <v>7.4015068434395435</v>
      </c>
      <c r="I149" s="96">
        <v>0</v>
      </c>
      <c r="J149" s="96">
        <v>7.1617359479395395</v>
      </c>
      <c r="K149" s="96">
        <v>6.868611207060181</v>
      </c>
      <c r="L149" s="96">
        <v>5.9763731586309641</v>
      </c>
      <c r="M149" s="96">
        <v>5.8287499416543476</v>
      </c>
      <c r="N149" s="96">
        <v>5.741777090285118</v>
      </c>
      <c r="O149" s="96">
        <v>5.5493954785057156</v>
      </c>
      <c r="P149" s="96">
        <v>0</v>
      </c>
      <c r="Q149" s="96">
        <v>0</v>
      </c>
      <c r="R149" s="96">
        <v>4.8585264412270002</v>
      </c>
      <c r="S149" s="96">
        <v>4.6781657366594445</v>
      </c>
      <c r="T149" s="96">
        <v>5.7912547898192166</v>
      </c>
      <c r="U149" s="96">
        <v>4.9298496169689789</v>
      </c>
      <c r="V149" s="96">
        <v>4.8287773324863448</v>
      </c>
      <c r="W149" s="96">
        <v>4.7975725204836914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3.1859250973627224</v>
      </c>
      <c r="N150" s="96">
        <v>2.620437816167386</v>
      </c>
      <c r="O150" s="96">
        <v>3.7765855366310812</v>
      </c>
      <c r="P150" s="96">
        <v>2.8123110076656506</v>
      </c>
      <c r="Q150" s="96">
        <v>2.7687420849997433</v>
      </c>
      <c r="R150" s="96">
        <v>2.9466846414459456</v>
      </c>
      <c r="S150" s="96">
        <v>3.122794669104489</v>
      </c>
      <c r="T150" s="96">
        <v>2.8776750711791452</v>
      </c>
      <c r="U150" s="96">
        <v>3.1994475174096468</v>
      </c>
      <c r="V150" s="96">
        <v>3.3410886446769856</v>
      </c>
      <c r="W150" s="96">
        <v>2.633945213817471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1.2208913782356174</v>
      </c>
      <c r="L151" s="96">
        <v>1.2037833190025795</v>
      </c>
      <c r="M151" s="96">
        <v>1.2037833190025795</v>
      </c>
      <c r="N151" s="96">
        <v>1.2037833190025795</v>
      </c>
      <c r="O151" s="96">
        <v>1.2413855058328305</v>
      </c>
      <c r="P151" s="96">
        <v>1.2314309501387257</v>
      </c>
      <c r="Q151" s="96">
        <v>1.2412629838127396</v>
      </c>
      <c r="R151" s="96">
        <v>1.2026477555200643</v>
      </c>
      <c r="S151" s="96">
        <v>1.2279095519098615</v>
      </c>
      <c r="T151" s="96">
        <v>1.3484983417270604</v>
      </c>
      <c r="U151" s="96">
        <v>1.4664428536015168</v>
      </c>
      <c r="V151" s="96">
        <v>1.5108356311269941</v>
      </c>
      <c r="W151" s="96">
        <v>1.4463380620767909</v>
      </c>
      <c r="DA151" s="171" t="s">
        <v>892</v>
      </c>
    </row>
    <row r="152" spans="1:105" ht="11.45" customHeight="1" x14ac:dyDescent="0.25">
      <c r="A152" s="109" t="s">
        <v>21</v>
      </c>
      <c r="B152" s="130">
        <v>46.578436990213994</v>
      </c>
      <c r="C152" s="130">
        <v>46.032985332073054</v>
      </c>
      <c r="D152" s="130">
        <v>45.894231162584283</v>
      </c>
      <c r="E152" s="130">
        <v>45.712297869384038</v>
      </c>
      <c r="F152" s="130">
        <v>46.017099754843059</v>
      </c>
      <c r="G152" s="130">
        <v>46.4469017261913</v>
      </c>
      <c r="H152" s="130">
        <v>45.937285252636251</v>
      </c>
      <c r="I152" s="130">
        <v>44.920102675840184</v>
      </c>
      <c r="J152" s="130">
        <v>45.832806832505504</v>
      </c>
      <c r="K152" s="130">
        <v>45.334832101544428</v>
      </c>
      <c r="L152" s="130">
        <v>44.504178879900721</v>
      </c>
      <c r="M152" s="130">
        <v>44.15574257910388</v>
      </c>
      <c r="N152" s="130">
        <v>43.759684147611324</v>
      </c>
      <c r="O152" s="130">
        <v>42.9238404434846</v>
      </c>
      <c r="P152" s="130">
        <v>42.394055608060761</v>
      </c>
      <c r="Q152" s="130">
        <v>40.483223119809757</v>
      </c>
      <c r="R152" s="130">
        <v>41.693665715723427</v>
      </c>
      <c r="S152" s="130">
        <v>41.315865266987593</v>
      </c>
      <c r="T152" s="130">
        <v>40.846092129721754</v>
      </c>
      <c r="U152" s="130">
        <v>39.474349202856622</v>
      </c>
      <c r="V152" s="130">
        <v>39.622705729070461</v>
      </c>
      <c r="W152" s="130">
        <v>39.051735139762116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14.384627673982825</v>
      </c>
      <c r="D153" s="97">
        <v>14.466170436236416</v>
      </c>
      <c r="E153" s="97">
        <v>14.380187226533369</v>
      </c>
      <c r="F153" s="97">
        <v>14.235267168864857</v>
      </c>
      <c r="G153" s="97">
        <v>0</v>
      </c>
      <c r="H153" s="97">
        <v>13.94401418388482</v>
      </c>
      <c r="I153" s="97">
        <v>13.825333133872167</v>
      </c>
      <c r="J153" s="97">
        <v>13.492299575163186</v>
      </c>
      <c r="K153" s="97">
        <v>12.940069383267566</v>
      </c>
      <c r="L153" s="97">
        <v>12.185395155380974</v>
      </c>
      <c r="M153" s="97">
        <v>11.889106756701317</v>
      </c>
      <c r="N153" s="97">
        <v>11.440896897292367</v>
      </c>
      <c r="O153" s="97">
        <v>10.910756656242231</v>
      </c>
      <c r="P153" s="97">
        <v>10.542725998533786</v>
      </c>
      <c r="Q153" s="97">
        <v>10.222661405496087</v>
      </c>
      <c r="R153" s="97">
        <v>9.9429195965320609</v>
      </c>
      <c r="S153" s="97">
        <v>9.6977030933099542</v>
      </c>
      <c r="T153" s="97">
        <v>9.4821832469234195</v>
      </c>
      <c r="U153" s="97">
        <v>9.2923136059978848</v>
      </c>
      <c r="V153" s="97">
        <v>9.1246837505429443</v>
      </c>
      <c r="W153" s="97">
        <v>8.9764039458325442</v>
      </c>
      <c r="DA153" s="175" t="s">
        <v>894</v>
      </c>
    </row>
    <row r="154" spans="1:105" ht="11.45" customHeight="1" x14ac:dyDescent="0.25">
      <c r="A154" s="111" t="s">
        <v>111</v>
      </c>
      <c r="B154" s="97">
        <v>46.578436990213994</v>
      </c>
      <c r="C154" s="97">
        <v>46.637590576585545</v>
      </c>
      <c r="D154" s="97">
        <v>46.703404895908101</v>
      </c>
      <c r="E154" s="97">
        <v>46.633695879105403</v>
      </c>
      <c r="F154" s="97">
        <v>46.515310298929329</v>
      </c>
      <c r="G154" s="97">
        <v>46.492357714994398</v>
      </c>
      <c r="H154" s="97">
        <v>46.273998829297781</v>
      </c>
      <c r="I154" s="97">
        <v>46.174903819859125</v>
      </c>
      <c r="J154" s="97">
        <v>45.891714860296659</v>
      </c>
      <c r="K154" s="97">
        <v>45.407264934153545</v>
      </c>
      <c r="L154" s="97">
        <v>44.714935934537671</v>
      </c>
      <c r="M154" s="97">
        <v>44.438075642549897</v>
      </c>
      <c r="N154" s="97">
        <v>44.007069173729576</v>
      </c>
      <c r="O154" s="97">
        <v>43.47892233901355</v>
      </c>
      <c r="P154" s="97">
        <v>43.102759265917214</v>
      </c>
      <c r="Q154" s="97">
        <v>42.767999999909243</v>
      </c>
      <c r="R154" s="97">
        <v>42.468940169617817</v>
      </c>
      <c r="S154" s="97">
        <v>42.201574722721709</v>
      </c>
      <c r="T154" s="97">
        <v>41.962385270363455</v>
      </c>
      <c r="U154" s="97">
        <v>41.748274084172252</v>
      </c>
      <c r="V154" s="97">
        <v>41.556508256961898</v>
      </c>
      <c r="W154" s="97">
        <v>41.38467225806685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36.281783893869708</v>
      </c>
      <c r="Q155" s="97">
        <v>35.99999999992361</v>
      </c>
      <c r="R155" s="97">
        <v>35.748266136041941</v>
      </c>
      <c r="S155" s="97">
        <v>0</v>
      </c>
      <c r="T155" s="97">
        <v>0</v>
      </c>
      <c r="U155" s="97">
        <v>35.141644851996872</v>
      </c>
      <c r="V155" s="97">
        <v>34.980225805523517</v>
      </c>
      <c r="W155" s="97">
        <v>34.83558270881052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39.257231125072003</v>
      </c>
      <c r="D156" s="97">
        <v>0</v>
      </c>
      <c r="E156" s="97">
        <v>39.25395276018974</v>
      </c>
      <c r="F156" s="97">
        <v>39.154301598425363</v>
      </c>
      <c r="G156" s="97">
        <v>39.134981241577776</v>
      </c>
      <c r="H156" s="97">
        <v>38.951177465738873</v>
      </c>
      <c r="I156" s="97">
        <v>38.867764158130576</v>
      </c>
      <c r="J156" s="97">
        <v>0</v>
      </c>
      <c r="K156" s="97">
        <v>38.221603479927232</v>
      </c>
      <c r="L156" s="97">
        <v>0</v>
      </c>
      <c r="M156" s="97">
        <v>0</v>
      </c>
      <c r="N156" s="97">
        <v>37.042987519974396</v>
      </c>
      <c r="O156" s="97">
        <v>36.598419477284132</v>
      </c>
      <c r="P156" s="97">
        <v>0</v>
      </c>
      <c r="Q156" s="97">
        <v>35.99999999992361</v>
      </c>
      <c r="R156" s="97">
        <v>35.732820543000358</v>
      </c>
      <c r="S156" s="97">
        <v>35.494054842525337</v>
      </c>
      <c r="T156" s="97">
        <v>35.280530105445912</v>
      </c>
      <c r="U156" s="97">
        <v>35.089456327030135</v>
      </c>
      <c r="V156" s="97">
        <v>34.918374862141114</v>
      </c>
      <c r="W156" s="97">
        <v>34.765114833627308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21.580037153080024</v>
      </c>
      <c r="Q157" s="97">
        <v>21.364236781549224</v>
      </c>
      <c r="R157" s="97">
        <v>21.171862157077626</v>
      </c>
      <c r="S157" s="97">
        <v>21.000206506325771</v>
      </c>
      <c r="T157" s="97">
        <v>20.846906678032394</v>
      </c>
      <c r="U157" s="97">
        <v>20.709893876256153</v>
      </c>
      <c r="V157" s="97">
        <v>20.587352445738158</v>
      </c>
      <c r="W157" s="97">
        <v>20.477685227133097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7.4710378869353278</v>
      </c>
      <c r="D159" s="141">
        <v>7.5117301538214107</v>
      </c>
      <c r="E159" s="141">
        <v>7.560888150074943</v>
      </c>
      <c r="F159" s="141">
        <v>7.5700424616650759</v>
      </c>
      <c r="G159" s="141">
        <v>7.6013390646244918</v>
      </c>
      <c r="H159" s="141">
        <v>7.6503458970847449</v>
      </c>
      <c r="I159" s="141">
        <v>7.6847273600594086</v>
      </c>
      <c r="J159" s="141">
        <v>7.672562875544509</v>
      </c>
      <c r="K159" s="141">
        <v>7.572379601302675</v>
      </c>
      <c r="L159" s="141">
        <v>7.7871024019021462</v>
      </c>
      <c r="M159" s="141">
        <v>7.8926666032528923</v>
      </c>
      <c r="N159" s="141">
        <v>6.7789552486549143</v>
      </c>
      <c r="O159" s="141">
        <v>6.0105242614368848</v>
      </c>
      <c r="P159" s="141">
        <v>6.8518773237543336</v>
      </c>
      <c r="Q159" s="141">
        <v>6.7356170446018533</v>
      </c>
      <c r="R159" s="141">
        <v>6.0704509748832267</v>
      </c>
      <c r="S159" s="141">
        <v>5.8868290101346012</v>
      </c>
      <c r="T159" s="141">
        <v>5.5968834319240024</v>
      </c>
      <c r="U159" s="141">
        <v>6.0190277624064557</v>
      </c>
      <c r="V159" s="141">
        <v>6.2139392360135011</v>
      </c>
      <c r="W159" s="141">
        <v>5.9254473971218218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8.3832177280721929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6.7971293427105763</v>
      </c>
      <c r="N160" s="96">
        <v>6.6720790912977179</v>
      </c>
      <c r="O160" s="96">
        <v>6.5569889756143356</v>
      </c>
      <c r="P160" s="96">
        <v>6.0199285103839415</v>
      </c>
      <c r="Q160" s="96">
        <v>5.7976846331142022</v>
      </c>
      <c r="R160" s="96">
        <v>5.2988335348058122</v>
      </c>
      <c r="S160" s="96">
        <v>5.1096177137837611</v>
      </c>
      <c r="T160" s="96">
        <v>5.2117751413359548</v>
      </c>
      <c r="U160" s="96">
        <v>5.7224396455327824</v>
      </c>
      <c r="V160" s="96">
        <v>5.6084828767811041</v>
      </c>
      <c r="W160" s="96">
        <v>5.6099372511446397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7.5627989519336802</v>
      </c>
      <c r="D161" s="96">
        <v>7.6603400852227193</v>
      </c>
      <c r="E161" s="96">
        <v>7.7803801578358103</v>
      </c>
      <c r="F161" s="96">
        <v>7.7470433148129789</v>
      </c>
      <c r="G161" s="96">
        <v>7.7871024019021462</v>
      </c>
      <c r="H161" s="96">
        <v>7.8834088373014524</v>
      </c>
      <c r="I161" s="96">
        <v>7.7496498992468617</v>
      </c>
      <c r="J161" s="96">
        <v>7.3855372943134796</v>
      </c>
      <c r="K161" s="96">
        <v>7.1073989152303358</v>
      </c>
      <c r="L161" s="96">
        <v>6.8576695929286133</v>
      </c>
      <c r="M161" s="96">
        <v>6.592183621410169</v>
      </c>
      <c r="N161" s="96">
        <v>6.5700637140988905</v>
      </c>
      <c r="O161" s="96">
        <v>5.7843844580628163</v>
      </c>
      <c r="P161" s="96">
        <v>6.2034856371715223</v>
      </c>
      <c r="Q161" s="96">
        <v>6.1397282344732522</v>
      </c>
      <c r="R161" s="96">
        <v>5.8747513367149171</v>
      </c>
      <c r="S161" s="96">
        <v>5.660248202852098</v>
      </c>
      <c r="T161" s="96">
        <v>5.492898686297857</v>
      </c>
      <c r="U161" s="96">
        <v>6.0099464169361401</v>
      </c>
      <c r="V161" s="96">
        <v>6.3661311352652863</v>
      </c>
      <c r="W161" s="96">
        <v>6.1237409934175417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10.090964070494559</v>
      </c>
      <c r="P162" s="96">
        <v>5.6363270479761258</v>
      </c>
      <c r="Q162" s="96">
        <v>5.8594194948419194</v>
      </c>
      <c r="R162" s="96">
        <v>5.3239545368295573</v>
      </c>
      <c r="S162" s="96">
        <v>4.6254353436051403</v>
      </c>
      <c r="T162" s="96">
        <v>4.6272690162474106</v>
      </c>
      <c r="U162" s="96">
        <v>4.6464262112888939</v>
      </c>
      <c r="V162" s="96">
        <v>6.3033598135432118</v>
      </c>
      <c r="W162" s="96">
        <v>6.1371541015147475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11.826690120035495</v>
      </c>
      <c r="O163" s="96">
        <v>12.022026398787469</v>
      </c>
      <c r="P163" s="96">
        <v>6.5214297045992637</v>
      </c>
      <c r="Q163" s="96">
        <v>9.7066584446483919</v>
      </c>
      <c r="R163" s="96">
        <v>5.8681659275450233</v>
      </c>
      <c r="S163" s="96">
        <v>6.8772298769431544</v>
      </c>
      <c r="T163" s="96">
        <v>6.6175055372046776</v>
      </c>
      <c r="U163" s="96">
        <v>6.3187729740174658</v>
      </c>
      <c r="V163" s="96">
        <v>7.6942751321097127</v>
      </c>
      <c r="W163" s="96">
        <v>9.0320325742850915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1.3566283477464831</v>
      </c>
      <c r="N164" s="96">
        <v>1.3327601031814273</v>
      </c>
      <c r="O164" s="96">
        <v>1.4664693850996835</v>
      </c>
      <c r="P164" s="96">
        <v>1.47900239658989</v>
      </c>
      <c r="Q164" s="96">
        <v>1.46143752151692</v>
      </c>
      <c r="R164" s="96">
        <v>1.4373612126764224</v>
      </c>
      <c r="S164" s="96">
        <v>1.4374625120973232</v>
      </c>
      <c r="T164" s="96">
        <v>1.5890372826416423</v>
      </c>
      <c r="U164" s="96">
        <v>1.6948241933901564</v>
      </c>
      <c r="V164" s="96">
        <v>1.8527312107272289</v>
      </c>
      <c r="W164" s="96">
        <v>1.8988989389317328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32.245550230955438</v>
      </c>
      <c r="D165" s="130">
        <v>32.035217929278929</v>
      </c>
      <c r="E165" s="130">
        <v>31.74024363549993</v>
      </c>
      <c r="F165" s="130">
        <v>31.561681196226385</v>
      </c>
      <c r="G165" s="130">
        <v>31.085609920476678</v>
      </c>
      <c r="H165" s="130">
        <v>30.650823535056073</v>
      </c>
      <c r="I165" s="130">
        <v>30.171171751745852</v>
      </c>
      <c r="J165" s="130">
        <v>29.549773289876509</v>
      </c>
      <c r="K165" s="130">
        <v>29.027667587683926</v>
      </c>
      <c r="L165" s="130">
        <v>28.49728400870972</v>
      </c>
      <c r="M165" s="130">
        <v>27.86099958237423</v>
      </c>
      <c r="N165" s="130">
        <v>27.184013023713568</v>
      </c>
      <c r="O165" s="130">
        <v>27.556697078901294</v>
      </c>
      <c r="P165" s="130">
        <v>26.708491855684898</v>
      </c>
      <c r="Q165" s="130">
        <v>25.792657314525762</v>
      </c>
      <c r="R165" s="130">
        <v>23.773654272710314</v>
      </c>
      <c r="S165" s="130">
        <v>22.408951484762145</v>
      </c>
      <c r="T165" s="130">
        <v>21.590689720237588</v>
      </c>
      <c r="U165" s="130">
        <v>21.127510580823721</v>
      </c>
      <c r="V165" s="130">
        <v>20.763158333415817</v>
      </c>
      <c r="W165" s="130">
        <v>21.097548993573529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32.149484536018456</v>
      </c>
      <c r="D166" s="97">
        <v>31.930592991825058</v>
      </c>
      <c r="E166" s="97">
        <v>31.658032275761805</v>
      </c>
      <c r="F166" s="97">
        <v>31.332494969741767</v>
      </c>
      <c r="G166" s="97">
        <v>30.954802431532684</v>
      </c>
      <c r="H166" s="97">
        <v>30.525899672792775</v>
      </c>
      <c r="I166" s="97">
        <v>30.046849538218733</v>
      </c>
      <c r="J166" s="97">
        <v>29.518826251523485</v>
      </c>
      <c r="K166" s="97">
        <v>28.943108399077506</v>
      </c>
      <c r="L166" s="97">
        <v>28.321071428493447</v>
      </c>
      <c r="M166" s="97">
        <v>27.654179740637844</v>
      </c>
      <c r="N166" s="97">
        <v>26.943978456593765</v>
      </c>
      <c r="O166" s="97">
        <v>26.192084942052283</v>
      </c>
      <c r="P166" s="97">
        <v>25.400180169670563</v>
      </c>
      <c r="Q166" s="97">
        <v>24.569999999947861</v>
      </c>
      <c r="R166" s="97">
        <v>23.412877892955425</v>
      </c>
      <c r="S166" s="97">
        <v>22.06290210146425</v>
      </c>
      <c r="T166" s="97">
        <v>21.185417836994986</v>
      </c>
      <c r="U166" s="97">
        <v>20.712926309973074</v>
      </c>
      <c r="V166" s="97">
        <v>20.554554109544352</v>
      </c>
      <c r="W166" s="97">
        <v>20.349008568448909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110.21224119039073</v>
      </c>
      <c r="C171" s="152">
        <v>109.54467530531626</v>
      </c>
      <c r="D171" s="152">
        <v>107.66018249671124</v>
      </c>
      <c r="E171" s="152">
        <v>106.801421148469</v>
      </c>
      <c r="F171" s="152">
        <v>105.91847561083333</v>
      </c>
      <c r="G171" s="152">
        <v>104.91460695098101</v>
      </c>
      <c r="H171" s="152">
        <v>103.7956590099764</v>
      </c>
      <c r="I171" s="152">
        <v>102.57704578895523</v>
      </c>
      <c r="J171" s="152">
        <v>101.26520076911018</v>
      </c>
      <c r="K171" s="152">
        <v>100.29768914150628</v>
      </c>
      <c r="L171" s="152">
        <v>99.083190353723893</v>
      </c>
      <c r="M171" s="152">
        <v>98.393754425657193</v>
      </c>
      <c r="N171" s="152">
        <v>97.293212596973177</v>
      </c>
      <c r="O171" s="152">
        <v>96.560355487805595</v>
      </c>
      <c r="P171" s="152">
        <v>95.204820732137506</v>
      </c>
      <c r="Q171" s="152">
        <v>94.154312040366591</v>
      </c>
      <c r="R171" s="152">
        <v>92.222640203954981</v>
      </c>
      <c r="S171" s="152">
        <v>90.900813698420492</v>
      </c>
      <c r="T171" s="152">
        <v>89.411129887664629</v>
      </c>
      <c r="U171" s="152">
        <v>87.354457049302454</v>
      </c>
      <c r="V171" s="152">
        <v>85.988588891808547</v>
      </c>
      <c r="W171" s="152">
        <v>79.7409297757887</v>
      </c>
      <c r="DA171" s="174" t="s">
        <v>908</v>
      </c>
    </row>
    <row r="172" spans="1:105" ht="11.45" customHeight="1" x14ac:dyDescent="0.25">
      <c r="A172" s="109" t="s">
        <v>20</v>
      </c>
      <c r="B172" s="116">
        <v>234.30859586489603</v>
      </c>
      <c r="C172" s="116">
        <v>228.36452752900047</v>
      </c>
      <c r="D172" s="116">
        <v>226.42563191846739</v>
      </c>
      <c r="E172" s="116">
        <v>223.9621093784113</v>
      </c>
      <c r="F172" s="116">
        <v>221.65472494996828</v>
      </c>
      <c r="G172" s="116">
        <v>219.5368917639961</v>
      </c>
      <c r="H172" s="116">
        <v>217.56632866402745</v>
      </c>
      <c r="I172" s="116">
        <v>215.51903221826677</v>
      </c>
      <c r="J172" s="116">
        <v>213.50100224780363</v>
      </c>
      <c r="K172" s="116">
        <v>211.23530564296792</v>
      </c>
      <c r="L172" s="116">
        <v>209.2693625567141</v>
      </c>
      <c r="M172" s="116">
        <v>207.46728662354175</v>
      </c>
      <c r="N172" s="116">
        <v>205.17538877833772</v>
      </c>
      <c r="O172" s="116">
        <v>202.32227338529449</v>
      </c>
      <c r="P172" s="116">
        <v>199.11539371746196</v>
      </c>
      <c r="Q172" s="116">
        <v>196.5139880332033</v>
      </c>
      <c r="R172" s="116">
        <v>191.51491997352022</v>
      </c>
      <c r="S172" s="116">
        <v>187.04851443881944</v>
      </c>
      <c r="T172" s="116">
        <v>181.8432464756095</v>
      </c>
      <c r="U172" s="116">
        <v>177.8463345036443</v>
      </c>
      <c r="V172" s="116">
        <v>174.60196932231207</v>
      </c>
      <c r="W172" s="116">
        <v>170.48108434666403</v>
      </c>
      <c r="DA172" s="176" t="s">
        <v>909</v>
      </c>
    </row>
    <row r="173" spans="1:105" ht="11.45" customHeight="1" x14ac:dyDescent="0.25">
      <c r="A173" s="111" t="s">
        <v>110</v>
      </c>
      <c r="B173" s="87">
        <v>233.70441902880742</v>
      </c>
      <c r="C173" s="87">
        <v>229.08244907981083</v>
      </c>
      <c r="D173" s="87">
        <v>227.24302681611766</v>
      </c>
      <c r="E173" s="87">
        <v>225.23471500713737</v>
      </c>
      <c r="F173" s="87">
        <v>223.33660825317003</v>
      </c>
      <c r="G173" s="87">
        <v>221.49403830619462</v>
      </c>
      <c r="H173" s="87">
        <v>219.46267345725065</v>
      </c>
      <c r="I173" s="87">
        <v>217.55173381210182</v>
      </c>
      <c r="J173" s="87">
        <v>215.71945940807214</v>
      </c>
      <c r="K173" s="87">
        <v>213.51517697150877</v>
      </c>
      <c r="L173" s="87">
        <v>211.15535570447958</v>
      </c>
      <c r="M173" s="87">
        <v>209.02690100583351</v>
      </c>
      <c r="N173" s="87">
        <v>207.46478449808885</v>
      </c>
      <c r="O173" s="87">
        <v>204.60671846159562</v>
      </c>
      <c r="P173" s="87">
        <v>200.80080171686387</v>
      </c>
      <c r="Q173" s="87">
        <v>197.05334364807845</v>
      </c>
      <c r="R173" s="87">
        <v>191.79403485771795</v>
      </c>
      <c r="S173" s="87">
        <v>186.41931863012536</v>
      </c>
      <c r="T173" s="87">
        <v>180.13641904025624</v>
      </c>
      <c r="U173" s="87">
        <v>175.01737694593069</v>
      </c>
      <c r="V173" s="87">
        <v>170.68681987651792</v>
      </c>
      <c r="W173" s="87">
        <v>166.27398970983685</v>
      </c>
      <c r="DA173" s="171" t="s">
        <v>910</v>
      </c>
    </row>
    <row r="174" spans="1:105" ht="11.45" customHeight="1" x14ac:dyDescent="0.25">
      <c r="A174" s="111" t="s">
        <v>111</v>
      </c>
      <c r="B174" s="87">
        <v>222.01843108410634</v>
      </c>
      <c r="C174" s="87">
        <v>210.09909937415236</v>
      </c>
      <c r="D174" s="87">
        <v>206.95807549427803</v>
      </c>
      <c r="E174" s="87">
        <v>204.80971373630021</v>
      </c>
      <c r="F174" s="87">
        <v>203.25159201896761</v>
      </c>
      <c r="G174" s="87">
        <v>202.11372925631579</v>
      </c>
      <c r="H174" s="87">
        <v>201.45535540591351</v>
      </c>
      <c r="I174" s="87">
        <v>200.53082454191326</v>
      </c>
      <c r="J174" s="87">
        <v>199.45218888040043</v>
      </c>
      <c r="K174" s="87">
        <v>198.11036125466489</v>
      </c>
      <c r="L174" s="87">
        <v>196.43080198981497</v>
      </c>
      <c r="M174" s="87">
        <v>194.60810861780195</v>
      </c>
      <c r="N174" s="87">
        <v>192.66437885754596</v>
      </c>
      <c r="O174" s="87">
        <v>190.41003710943767</v>
      </c>
      <c r="P174" s="87">
        <v>187.8556711245356</v>
      </c>
      <c r="Q174" s="87">
        <v>183.95688363328597</v>
      </c>
      <c r="R174" s="87">
        <v>180.93416764526981</v>
      </c>
      <c r="S174" s="87">
        <v>178.06199131820426</v>
      </c>
      <c r="T174" s="87">
        <v>176.04235626714359</v>
      </c>
      <c r="U174" s="87">
        <v>173.93282480201799</v>
      </c>
      <c r="V174" s="87">
        <v>172.14878016522948</v>
      </c>
      <c r="W174" s="87">
        <v>169.33032201906013</v>
      </c>
      <c r="DA174" s="171" t="s">
        <v>911</v>
      </c>
    </row>
    <row r="175" spans="1:105" ht="11.45" customHeight="1" x14ac:dyDescent="0.25">
      <c r="A175" s="111" t="s">
        <v>112</v>
      </c>
      <c r="B175" s="87">
        <v>174.46171984781316</v>
      </c>
      <c r="C175" s="87">
        <v>172.34803300281737</v>
      </c>
      <c r="D175" s="87">
        <v>170.4722965607786</v>
      </c>
      <c r="E175" s="87">
        <v>170.2054621905861</v>
      </c>
      <c r="F175" s="87">
        <v>170.05510158122652</v>
      </c>
      <c r="G175" s="87">
        <v>168.49849133758113</v>
      </c>
      <c r="H175" s="87">
        <v>167.96203149481167</v>
      </c>
      <c r="I175" s="87">
        <v>166.64848341450337</v>
      </c>
      <c r="J175" s="87">
        <v>163.9912025232951</v>
      </c>
      <c r="K175" s="87">
        <v>163.66212121604195</v>
      </c>
      <c r="L175" s="87">
        <v>164.11049305075306</v>
      </c>
      <c r="M175" s="87">
        <v>164.48397961093386</v>
      </c>
      <c r="N175" s="87">
        <v>165.49978450200095</v>
      </c>
      <c r="O175" s="87">
        <v>164.29425503886128</v>
      </c>
      <c r="P175" s="87">
        <v>160.06388001623273</v>
      </c>
      <c r="Q175" s="87">
        <v>157.07036545382499</v>
      </c>
      <c r="R175" s="87">
        <v>155.00276287654629</v>
      </c>
      <c r="S175" s="87">
        <v>151.13686542934391</v>
      </c>
      <c r="T175" s="87">
        <v>143.75825940235151</v>
      </c>
      <c r="U175" s="87">
        <v>140.47158124405485</v>
      </c>
      <c r="V175" s="87">
        <v>136.37248541653233</v>
      </c>
      <c r="W175" s="87">
        <v>133.21811015379561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177.47738797097654</v>
      </c>
      <c r="G176" s="87">
        <v>177.28403308857196</v>
      </c>
      <c r="H176" s="87">
        <v>175.86822051910329</v>
      </c>
      <c r="I176" s="87">
        <v>175.84525755548091</v>
      </c>
      <c r="J176" s="87">
        <v>175.58005634008103</v>
      </c>
      <c r="K176" s="87">
        <v>175.10186024989747</v>
      </c>
      <c r="L176" s="87">
        <v>173.22518530957421</v>
      </c>
      <c r="M176" s="87">
        <v>172.71009733972906</v>
      </c>
      <c r="N176" s="87">
        <v>154.76398860220885</v>
      </c>
      <c r="O176" s="87">
        <v>150.86646713083738</v>
      </c>
      <c r="P176" s="87">
        <v>149.566322396283</v>
      </c>
      <c r="Q176" s="87">
        <v>149.11318509188166</v>
      </c>
      <c r="R176" s="87">
        <v>146.68158332638558</v>
      </c>
      <c r="S176" s="87">
        <v>141.08072065193372</v>
      </c>
      <c r="T176" s="87">
        <v>138.82590868883793</v>
      </c>
      <c r="U176" s="87">
        <v>124.22280244917604</v>
      </c>
      <c r="V176" s="87">
        <v>120.10466847863447</v>
      </c>
      <c r="W176" s="87">
        <v>117.05616119738086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67.342402504210924</v>
      </c>
      <c r="N177" s="87">
        <v>49.079208694354058</v>
      </c>
      <c r="O177" s="87">
        <v>62.06216783452863</v>
      </c>
      <c r="P177" s="87">
        <v>54.314502191715142</v>
      </c>
      <c r="Q177" s="87">
        <v>48.648514420555216</v>
      </c>
      <c r="R177" s="87">
        <v>51.633326314072612</v>
      </c>
      <c r="S177" s="87">
        <v>51.906871163212067</v>
      </c>
      <c r="T177" s="87">
        <v>50.939792169543594</v>
      </c>
      <c r="U177" s="87">
        <v>52.584961657273674</v>
      </c>
      <c r="V177" s="87">
        <v>53.15880369902591</v>
      </c>
      <c r="W177" s="87">
        <v>43.430344574426528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1682.5980957132531</v>
      </c>
      <c r="C179" s="116">
        <v>1638.9904581664191</v>
      </c>
      <c r="D179" s="116">
        <v>1616.8886764469732</v>
      </c>
      <c r="E179" s="116">
        <v>1582.6242181512862</v>
      </c>
      <c r="F179" s="116">
        <v>1572.0404858843201</v>
      </c>
      <c r="G179" s="116">
        <v>1552.2687204685353</v>
      </c>
      <c r="H179" s="116">
        <v>1531.9271378938377</v>
      </c>
      <c r="I179" s="116">
        <v>1504.2083965935894</v>
      </c>
      <c r="J179" s="116">
        <v>1492.2834847766492</v>
      </c>
      <c r="K179" s="116">
        <v>1474.3248690795299</v>
      </c>
      <c r="L179" s="116">
        <v>1456.7601909412906</v>
      </c>
      <c r="M179" s="116">
        <v>1439.244872575533</v>
      </c>
      <c r="N179" s="116">
        <v>1423.0437780179559</v>
      </c>
      <c r="O179" s="116">
        <v>1409.8864424992244</v>
      </c>
      <c r="P179" s="116">
        <v>1390.9273036807438</v>
      </c>
      <c r="Q179" s="116">
        <v>1300.9640637922212</v>
      </c>
      <c r="R179" s="116">
        <v>1355.277389060107</v>
      </c>
      <c r="S179" s="116">
        <v>1317.6807579635276</v>
      </c>
      <c r="T179" s="116">
        <v>1295.5277264471415</v>
      </c>
      <c r="U179" s="116">
        <v>1239.0407708978421</v>
      </c>
      <c r="V179" s="116">
        <v>1238.0282891320528</v>
      </c>
      <c r="W179" s="116">
        <v>1229.112434515951</v>
      </c>
      <c r="DA179" s="176" t="s">
        <v>916</v>
      </c>
    </row>
    <row r="180" spans="1:105" ht="11.45" customHeight="1" x14ac:dyDescent="0.25">
      <c r="A180" s="111" t="s">
        <v>110</v>
      </c>
      <c r="B180" s="101">
        <v>494.02831313231303</v>
      </c>
      <c r="C180" s="101">
        <v>483.24252072014053</v>
      </c>
      <c r="D180" s="101">
        <v>472.19815904864271</v>
      </c>
      <c r="E180" s="101">
        <v>466.3649419352148</v>
      </c>
      <c r="F180" s="101">
        <v>459.80063539503607</v>
      </c>
      <c r="G180" s="101">
        <v>457.7160394337082</v>
      </c>
      <c r="H180" s="101">
        <v>450.76604503911085</v>
      </c>
      <c r="I180" s="101">
        <v>437.29428612057575</v>
      </c>
      <c r="J180" s="101">
        <v>433.18502091077073</v>
      </c>
      <c r="K180" s="101">
        <v>428.70072507669829</v>
      </c>
      <c r="L180" s="101">
        <v>421.83928251277297</v>
      </c>
      <c r="M180" s="101">
        <v>413.16054984732955</v>
      </c>
      <c r="N180" s="101">
        <v>405.53756693058216</v>
      </c>
      <c r="O180" s="101">
        <v>396.8588406547272</v>
      </c>
      <c r="P180" s="101">
        <v>390.54656325749164</v>
      </c>
      <c r="Q180" s="101">
        <v>382.11923073119897</v>
      </c>
      <c r="R180" s="101">
        <v>377.94241147534143</v>
      </c>
      <c r="S180" s="101">
        <v>373.71513802987846</v>
      </c>
      <c r="T180" s="101">
        <v>370.76007272821789</v>
      </c>
      <c r="U180" s="101">
        <v>369.21411907927222</v>
      </c>
      <c r="V180" s="101">
        <v>365.71749907453398</v>
      </c>
      <c r="W180" s="101">
        <v>360.98022659038662</v>
      </c>
      <c r="DA180" s="175" t="s">
        <v>917</v>
      </c>
    </row>
    <row r="181" spans="1:105" ht="11.45" customHeight="1" x14ac:dyDescent="0.25">
      <c r="A181" s="111" t="s">
        <v>111</v>
      </c>
      <c r="B181" s="101">
        <v>1704.0349851246613</v>
      </c>
      <c r="C181" s="101">
        <v>1647.6147944934803</v>
      </c>
      <c r="D181" s="101">
        <v>1620.8302012504889</v>
      </c>
      <c r="E181" s="101">
        <v>1601.7605970197892</v>
      </c>
      <c r="F181" s="101">
        <v>1576.4879496773865</v>
      </c>
      <c r="G181" s="101">
        <v>1553.5943576993454</v>
      </c>
      <c r="H181" s="101">
        <v>1530.6307689451589</v>
      </c>
      <c r="I181" s="101">
        <v>1512.9632694570676</v>
      </c>
      <c r="J181" s="101">
        <v>1494.1355220839068</v>
      </c>
      <c r="K181" s="101">
        <v>1477.0089528007036</v>
      </c>
      <c r="L181" s="101">
        <v>1460.868947081894</v>
      </c>
      <c r="M181" s="101">
        <v>1444.941205037723</v>
      </c>
      <c r="N181" s="101">
        <v>1431.1187684028207</v>
      </c>
      <c r="O181" s="101">
        <v>1420.1615867328976</v>
      </c>
      <c r="P181" s="101">
        <v>1413.1331278767811</v>
      </c>
      <c r="Q181" s="101">
        <v>1403.6022788471662</v>
      </c>
      <c r="R181" s="101">
        <v>1394.6558781257854</v>
      </c>
      <c r="S181" s="101">
        <v>1369.9317772975091</v>
      </c>
      <c r="T181" s="101">
        <v>1360.7648217314343</v>
      </c>
      <c r="U181" s="101">
        <v>1352.5131099793261</v>
      </c>
      <c r="V181" s="101">
        <v>1344.038818000791</v>
      </c>
      <c r="W181" s="101">
        <v>1340.0527453681457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958.51785441124707</v>
      </c>
      <c r="Q182" s="101">
        <v>951.35254052939922</v>
      </c>
      <c r="R182" s="101">
        <v>951.21551340538292</v>
      </c>
      <c r="S182" s="101">
        <v>951.21551340538304</v>
      </c>
      <c r="T182" s="101">
        <v>951.15400840308439</v>
      </c>
      <c r="U182" s="101">
        <v>945.71756198032392</v>
      </c>
      <c r="V182" s="101">
        <v>940.25330883602578</v>
      </c>
      <c r="W182" s="101">
        <v>928.79346937347691</v>
      </c>
      <c r="DA182" s="175" t="s">
        <v>919</v>
      </c>
    </row>
    <row r="183" spans="1:105" ht="11.45" customHeight="1" x14ac:dyDescent="0.25">
      <c r="A183" s="111" t="s">
        <v>113</v>
      </c>
      <c r="B183" s="101">
        <v>1013.9550336537784</v>
      </c>
      <c r="C183" s="101">
        <v>1003.2986965908656</v>
      </c>
      <c r="D183" s="101">
        <v>922.07180328967297</v>
      </c>
      <c r="E183" s="101">
        <v>921.99785473390875</v>
      </c>
      <c r="F183" s="101">
        <v>921.44329305885685</v>
      </c>
      <c r="G183" s="101">
        <v>921.14494257254501</v>
      </c>
      <c r="H183" s="101">
        <v>920.52236238846115</v>
      </c>
      <c r="I183" s="101">
        <v>918.61462755367904</v>
      </c>
      <c r="J183" s="101">
        <v>918.38609309103776</v>
      </c>
      <c r="K183" s="101">
        <v>918.19171590194276</v>
      </c>
      <c r="L183" s="101">
        <v>918.19171590194276</v>
      </c>
      <c r="M183" s="101">
        <v>918.18211701877692</v>
      </c>
      <c r="N183" s="101">
        <v>914.37683095556247</v>
      </c>
      <c r="O183" s="101">
        <v>912.3963264909404</v>
      </c>
      <c r="P183" s="101">
        <v>911.53366288392681</v>
      </c>
      <c r="Q183" s="101">
        <v>856.77106224762122</v>
      </c>
      <c r="R183" s="101">
        <v>853.23601814040069</v>
      </c>
      <c r="S183" s="101">
        <v>849.44008005092053</v>
      </c>
      <c r="T183" s="101">
        <v>844.7281162204564</v>
      </c>
      <c r="U183" s="101">
        <v>839.81675184106064</v>
      </c>
      <c r="V183" s="101">
        <v>836.34855932927053</v>
      </c>
      <c r="W183" s="101">
        <v>831.40083787344997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363.03003373318484</v>
      </c>
      <c r="C186" s="152">
        <v>352.50542044479727</v>
      </c>
      <c r="D186" s="152">
        <v>347.9449794506699</v>
      </c>
      <c r="E186" s="152">
        <v>339.06011234369839</v>
      </c>
      <c r="F186" s="152">
        <v>322.38006254291616</v>
      </c>
      <c r="G186" s="152">
        <v>312.56414160892649</v>
      </c>
      <c r="H186" s="152">
        <v>304.37682988760974</v>
      </c>
      <c r="I186" s="152">
        <v>281.53335260721843</v>
      </c>
      <c r="J186" s="152">
        <v>258.97921369767147</v>
      </c>
      <c r="K186" s="152">
        <v>235.51616789776878</v>
      </c>
      <c r="L186" s="152">
        <v>214.15612669022082</v>
      </c>
      <c r="M186" s="152">
        <v>200.07908749091501</v>
      </c>
      <c r="N186" s="152">
        <v>229.2864174435027</v>
      </c>
      <c r="O186" s="152">
        <v>229.48246053543201</v>
      </c>
      <c r="P186" s="152">
        <v>210.55255064492076</v>
      </c>
      <c r="Q186" s="152">
        <v>207.99268295531593</v>
      </c>
      <c r="R186" s="152">
        <v>215.53937614012165</v>
      </c>
      <c r="S186" s="152">
        <v>209.99894939794092</v>
      </c>
      <c r="T186" s="152">
        <v>210.10553266702422</v>
      </c>
      <c r="U186" s="152">
        <v>209.24953189904065</v>
      </c>
      <c r="V186" s="152">
        <v>213.99583301434865</v>
      </c>
      <c r="W186" s="152">
        <v>212.56449119066426</v>
      </c>
      <c r="DA186" s="174" t="s">
        <v>922</v>
      </c>
    </row>
    <row r="187" spans="1:105" ht="11.45" customHeight="1" x14ac:dyDescent="0.25">
      <c r="A187" s="111" t="s">
        <v>110</v>
      </c>
      <c r="B187" s="87">
        <v>334.05606314028643</v>
      </c>
      <c r="C187" s="87">
        <v>333.78290369842364</v>
      </c>
      <c r="D187" s="87">
        <v>333.70729706155197</v>
      </c>
      <c r="E187" s="87">
        <v>333.65573946256728</v>
      </c>
      <c r="F187" s="87">
        <v>333.60129902071634</v>
      </c>
      <c r="G187" s="87">
        <v>333.52469628779352</v>
      </c>
      <c r="H187" s="87">
        <v>333.43989873461237</v>
      </c>
      <c r="I187" s="87">
        <v>333.40064751651261</v>
      </c>
      <c r="J187" s="87">
        <v>333.29536604567261</v>
      </c>
      <c r="K187" s="87">
        <v>333.2095407053971</v>
      </c>
      <c r="L187" s="87">
        <v>333.22034807608344</v>
      </c>
      <c r="M187" s="87">
        <v>328.66685958464063</v>
      </c>
      <c r="N187" s="87">
        <v>301.73338264602393</v>
      </c>
      <c r="O187" s="87">
        <v>280.01977351525176</v>
      </c>
      <c r="P187" s="87">
        <v>263.70158484331142</v>
      </c>
      <c r="Q187" s="87">
        <v>256.88484768024443</v>
      </c>
      <c r="R187" s="87">
        <v>240.7004892431838</v>
      </c>
      <c r="S187" s="87">
        <v>219.16884846094899</v>
      </c>
      <c r="T187" s="87">
        <v>204.96923551187402</v>
      </c>
      <c r="U187" s="87">
        <v>196.18502967149402</v>
      </c>
      <c r="V187" s="87">
        <v>190.47485980283949</v>
      </c>
      <c r="W187" s="87">
        <v>185.41050214178944</v>
      </c>
      <c r="DA187" s="171" t="s">
        <v>923</v>
      </c>
    </row>
    <row r="188" spans="1:105" ht="11.45" customHeight="1" x14ac:dyDescent="0.25">
      <c r="A188" s="111" t="s">
        <v>111</v>
      </c>
      <c r="B188" s="87">
        <v>358.7683624771247</v>
      </c>
      <c r="C188" s="87">
        <v>343.60100617040149</v>
      </c>
      <c r="D188" s="87">
        <v>334.45080815686242</v>
      </c>
      <c r="E188" s="87">
        <v>319.72648452286433</v>
      </c>
      <c r="F188" s="87">
        <v>303.05664016118686</v>
      </c>
      <c r="G188" s="87">
        <v>292.15465601705489</v>
      </c>
      <c r="H188" s="87">
        <v>282.99445245097172</v>
      </c>
      <c r="I188" s="87">
        <v>268.0606276364939</v>
      </c>
      <c r="J188" s="87">
        <v>259.755243917494</v>
      </c>
      <c r="K188" s="87">
        <v>245.50723987910388</v>
      </c>
      <c r="L188" s="87">
        <v>239.54899948211499</v>
      </c>
      <c r="M188" s="87">
        <v>237.03817864538735</v>
      </c>
      <c r="N188" s="87">
        <v>236.28292749049206</v>
      </c>
      <c r="O188" s="87">
        <v>234.16450962423005</v>
      </c>
      <c r="P188" s="87">
        <v>230.48241621245822</v>
      </c>
      <c r="Q188" s="87">
        <v>225.86886704641392</v>
      </c>
      <c r="R188" s="87">
        <v>222.69968638882085</v>
      </c>
      <c r="S188" s="87">
        <v>219.51292365064492</v>
      </c>
      <c r="T188" s="87">
        <v>215.3174882273201</v>
      </c>
      <c r="U188" s="87">
        <v>212.57126391247024</v>
      </c>
      <c r="V188" s="87">
        <v>211.10689703132886</v>
      </c>
      <c r="W188" s="87">
        <v>209.12349606606077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266.59023321688721</v>
      </c>
      <c r="P189" s="87">
        <v>183.6020930751684</v>
      </c>
      <c r="Q189" s="87">
        <v>201.191697700791</v>
      </c>
      <c r="R189" s="87">
        <v>274.73176462279332</v>
      </c>
      <c r="S189" s="87">
        <v>240.98363532602687</v>
      </c>
      <c r="T189" s="87">
        <v>197.43136976214865</v>
      </c>
      <c r="U189" s="87">
        <v>160.37442885858556</v>
      </c>
      <c r="V189" s="87">
        <v>160.494452930058</v>
      </c>
      <c r="W189" s="87">
        <v>159.60995266105857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277.7846825515075</v>
      </c>
      <c r="O190" s="87">
        <v>281.69899008082257</v>
      </c>
      <c r="P190" s="87">
        <v>225.09997254919972</v>
      </c>
      <c r="Q190" s="87">
        <v>227.01508738421924</v>
      </c>
      <c r="R190" s="87">
        <v>202.35163305461299</v>
      </c>
      <c r="S190" s="87">
        <v>188.41115161447448</v>
      </c>
      <c r="T190" s="87">
        <v>155.4316259475755</v>
      </c>
      <c r="U190" s="87">
        <v>152.18267883997405</v>
      </c>
      <c r="V190" s="87">
        <v>160.50845152317794</v>
      </c>
      <c r="W190" s="87">
        <v>167.62013396799583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1052.8203527883275</v>
      </c>
      <c r="C192" s="116">
        <v>1048.5042748945971</v>
      </c>
      <c r="D192" s="116">
        <v>1044.1548678835004</v>
      </c>
      <c r="E192" s="116">
        <v>1038.6785511281421</v>
      </c>
      <c r="F192" s="116">
        <v>1033.0570466009001</v>
      </c>
      <c r="G192" s="116">
        <v>1026.5896973085964</v>
      </c>
      <c r="H192" s="116">
        <v>1018.9615725181155</v>
      </c>
      <c r="I192" s="116">
        <v>1009.5082270364219</v>
      </c>
      <c r="J192" s="116">
        <v>1001.3599689780134</v>
      </c>
      <c r="K192" s="116">
        <v>994.22227950113404</v>
      </c>
      <c r="L192" s="116">
        <v>985.15288634183173</v>
      </c>
      <c r="M192" s="116">
        <v>974.65281173399273</v>
      </c>
      <c r="N192" s="116">
        <v>964.1692858890309</v>
      </c>
      <c r="O192" s="116">
        <v>933.67688182935387</v>
      </c>
      <c r="P192" s="116">
        <v>931.39891424456903</v>
      </c>
      <c r="Q192" s="116">
        <v>926.95284564780559</v>
      </c>
      <c r="R192" s="116">
        <v>907.81635505760312</v>
      </c>
      <c r="S192" s="116">
        <v>879.23595724773656</v>
      </c>
      <c r="T192" s="116">
        <v>850.7049293875159</v>
      </c>
      <c r="U192" s="116">
        <v>821.57236801401064</v>
      </c>
      <c r="V192" s="116">
        <v>802.74353170895722</v>
      </c>
      <c r="W192" s="116">
        <v>778.73867093662113</v>
      </c>
      <c r="DA192" s="176" t="s">
        <v>928</v>
      </c>
    </row>
    <row r="193" spans="1:105" ht="11.45" customHeight="1" x14ac:dyDescent="0.25">
      <c r="A193" s="128" t="s">
        <v>27</v>
      </c>
      <c r="B193" s="101">
        <v>980.95656132293595</v>
      </c>
      <c r="C193" s="101">
        <v>977.25957276143538</v>
      </c>
      <c r="D193" s="101">
        <v>973.50173777917541</v>
      </c>
      <c r="E193" s="101">
        <v>968.70609654736063</v>
      </c>
      <c r="F193" s="101">
        <v>963.84451398412182</v>
      </c>
      <c r="G193" s="101">
        <v>958.06220023035132</v>
      </c>
      <c r="H193" s="101">
        <v>951.16930905907191</v>
      </c>
      <c r="I193" s="101">
        <v>942.53244169720881</v>
      </c>
      <c r="J193" s="101">
        <v>935.01367562214227</v>
      </c>
      <c r="K193" s="101">
        <v>928.54440202414787</v>
      </c>
      <c r="L193" s="101">
        <v>920.31006846391438</v>
      </c>
      <c r="M193" s="101">
        <v>910.51631449289346</v>
      </c>
      <c r="N193" s="101">
        <v>900.66245582463398</v>
      </c>
      <c r="O193" s="101">
        <v>870.84523384041165</v>
      </c>
      <c r="P193" s="101">
        <v>869.39741083000399</v>
      </c>
      <c r="Q193" s="101">
        <v>866.11419160201342</v>
      </c>
      <c r="R193" s="101">
        <v>848.12046997028403</v>
      </c>
      <c r="S193" s="101">
        <v>820.66318538487894</v>
      </c>
      <c r="T193" s="101">
        <v>793.26651994215501</v>
      </c>
      <c r="U193" s="101">
        <v>765.29212367051412</v>
      </c>
      <c r="V193" s="101">
        <v>747.36165345009908</v>
      </c>
      <c r="W193" s="101">
        <v>724.41225443070391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1052.3316168754827</v>
      </c>
      <c r="D194" s="88">
        <v>1039.9787610229612</v>
      </c>
      <c r="E194" s="88">
        <v>1029.2253225126392</v>
      </c>
      <c r="F194" s="88">
        <v>1008.3990106720016</v>
      </c>
      <c r="G194" s="88">
        <v>997.06187672819544</v>
      </c>
      <c r="H194" s="88">
        <v>985.73013970973602</v>
      </c>
      <c r="I194" s="88">
        <v>973.45252602424398</v>
      </c>
      <c r="J194" s="88">
        <v>966.56498780742197</v>
      </c>
      <c r="K194" s="88">
        <v>957.35444961853034</v>
      </c>
      <c r="L194" s="88">
        <v>943.71133653397703</v>
      </c>
      <c r="M194" s="88">
        <v>933.09758884080054</v>
      </c>
      <c r="N194" s="88">
        <v>924.10838255873011</v>
      </c>
      <c r="O194" s="88">
        <v>906.9797852145158</v>
      </c>
      <c r="P194" s="88">
        <v>895.27151067563011</v>
      </c>
      <c r="Q194" s="88">
        <v>877.92413684514577</v>
      </c>
      <c r="R194" s="88">
        <v>861.39586049541356</v>
      </c>
      <c r="S194" s="88">
        <v>844.62207499914302</v>
      </c>
      <c r="T194" s="88">
        <v>827.29520141217506</v>
      </c>
      <c r="U194" s="88">
        <v>809.1415736108064</v>
      </c>
      <c r="V194" s="88">
        <v>798.96499111247113</v>
      </c>
      <c r="W194" s="88">
        <v>778.40489289656364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1.1275000000068984</v>
      </c>
      <c r="C198" s="150">
        <f>IF(TrRoad_act!C59=0,0,TrRoad_emi!C56/TrRoad_tech!C171)</f>
        <v>1.1277303646478212</v>
      </c>
      <c r="D198" s="150">
        <f>IF(TrRoad_act!D59=0,0,TrRoad_emi!D56/TrRoad_tech!D171)</f>
        <v>1.1199559658096847</v>
      </c>
      <c r="E198" s="150">
        <f>IF(TrRoad_act!E59=0,0,TrRoad_emi!E56/TrRoad_tech!E171)</f>
        <v>1.1173787743317027</v>
      </c>
      <c r="F198" s="150">
        <f>IF(TrRoad_act!F59=0,0,TrRoad_emi!F56/TrRoad_tech!F171)</f>
        <v>1.1221116347647071</v>
      </c>
      <c r="G198" s="150">
        <f>IF(TrRoad_act!G59=0,0,TrRoad_emi!G56/TrRoad_tech!G171)</f>
        <v>1.1192386787018804</v>
      </c>
      <c r="H198" s="150">
        <f>IF(TrRoad_act!H59=0,0,TrRoad_emi!H56/TrRoad_tech!H171)</f>
        <v>1.1223736283442438</v>
      </c>
      <c r="I198" s="150">
        <f>IF(TrRoad_act!I59=0,0,TrRoad_emi!I56/TrRoad_tech!I171)</f>
        <v>1.1275174786501012</v>
      </c>
      <c r="J198" s="150">
        <f>IF(TrRoad_act!J59=0,0,TrRoad_emi!J56/TrRoad_tech!J171)</f>
        <v>1.1356135454657665</v>
      </c>
      <c r="K198" s="150">
        <f>IF(TrRoad_act!K59=0,0,TrRoad_emi!K56/TrRoad_tech!K171)</f>
        <v>1.1278079664608396</v>
      </c>
      <c r="L198" s="150">
        <f>IF(TrRoad_act!L59=0,0,TrRoad_emi!L56/TrRoad_tech!L171)</f>
        <v>1.1149430561801563</v>
      </c>
      <c r="M198" s="150">
        <f>IF(TrRoad_act!M59=0,0,TrRoad_emi!M56/TrRoad_tech!M171)</f>
        <v>1.116625759078516</v>
      </c>
      <c r="N198" s="150">
        <f>IF(TrRoad_act!N59=0,0,TrRoad_emi!N56/TrRoad_tech!N171)</f>
        <v>1.1224890052472005</v>
      </c>
      <c r="O198" s="150">
        <f>IF(TrRoad_act!O59=0,0,TrRoad_emi!O56/TrRoad_tech!O171)</f>
        <v>1.1328284274452216</v>
      </c>
      <c r="P198" s="150">
        <f>IF(TrRoad_act!P59=0,0,TrRoad_emi!P56/TrRoad_tech!P171)</f>
        <v>1.1339842297383096</v>
      </c>
      <c r="Q198" s="150">
        <f>IF(TrRoad_act!Q59=0,0,TrRoad_emi!Q56/TrRoad_tech!Q171)</f>
        <v>1.1131850190001777</v>
      </c>
      <c r="R198" s="150">
        <f>IF(TrRoad_act!R59=0,0,TrRoad_emi!R56/TrRoad_tech!R171)</f>
        <v>1.1580155356868336</v>
      </c>
      <c r="S198" s="150">
        <f>IF(TrRoad_act!S59=0,0,TrRoad_emi!S56/TrRoad_tech!S171)</f>
        <v>1.1767071517073053</v>
      </c>
      <c r="T198" s="150">
        <f>IF(TrRoad_act!T59=0,0,TrRoad_emi!T56/TrRoad_tech!T171)</f>
        <v>1.1860716892057195</v>
      </c>
      <c r="U198" s="150">
        <f>IF(TrRoad_act!U59=0,0,TrRoad_emi!U56/TrRoad_tech!U171)</f>
        <v>1.2096051630780604</v>
      </c>
      <c r="V198" s="150">
        <f>IF(TrRoad_act!V59=0,0,TrRoad_emi!V56/TrRoad_tech!V171)</f>
        <v>1.1682860237911661</v>
      </c>
      <c r="W198" s="150">
        <f>IF(TrRoad_act!W59=0,0,TrRoad_emi!W56/TrRoad_tech!W171)</f>
        <v>1.2331515185831843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1.1407245776095691</v>
      </c>
      <c r="C199" s="151">
        <f>IF(TrRoad_act!C60=0,0,TrRoad_emi!C57/TrRoad_tech!C172)</f>
        <v>1.1305956952457219</v>
      </c>
      <c r="D199" s="151">
        <f>IF(TrRoad_act!D60=0,0,TrRoad_emi!D57/TrRoad_tech!D172)</f>
        <v>1.121570648382014</v>
      </c>
      <c r="E199" s="151">
        <f>IF(TrRoad_act!E60=0,0,TrRoad_emi!E57/TrRoad_tech!E172)</f>
        <v>1.1331758729720205</v>
      </c>
      <c r="F199" s="151">
        <f>IF(TrRoad_act!F60=0,0,TrRoad_emi!F57/TrRoad_tech!F172)</f>
        <v>1.0998653167457055</v>
      </c>
      <c r="G199" s="151">
        <f>IF(TrRoad_act!G60=0,0,TrRoad_emi!G57/TrRoad_tech!G172)</f>
        <v>1.09455620611083</v>
      </c>
      <c r="H199" s="151">
        <f>IF(TrRoad_act!H60=0,0,TrRoad_emi!H57/TrRoad_tech!H172)</f>
        <v>1.0967946283739101</v>
      </c>
      <c r="I199" s="151">
        <f>IF(TrRoad_act!I60=0,0,TrRoad_emi!I57/TrRoad_tech!I172)</f>
        <v>1.0855376713400962</v>
      </c>
      <c r="J199" s="151">
        <f>IF(TrRoad_act!J60=0,0,TrRoad_emi!J57/TrRoad_tech!J172)</f>
        <v>1.0518949147866654</v>
      </c>
      <c r="K199" s="151">
        <f>IF(TrRoad_act!K60=0,0,TrRoad_emi!K57/TrRoad_tech!K172)</f>
        <v>1.0199430402232366</v>
      </c>
      <c r="L199" s="151">
        <f>IF(TrRoad_act!L60=0,0,TrRoad_emi!L57/TrRoad_tech!L172)</f>
        <v>1.0094073892005073</v>
      </c>
      <c r="M199" s="151">
        <f>IF(TrRoad_act!M60=0,0,TrRoad_emi!M57/TrRoad_tech!M172)</f>
        <v>0.98713685750550162</v>
      </c>
      <c r="N199" s="151">
        <f>IF(TrRoad_act!N60=0,0,TrRoad_emi!N57/TrRoad_tech!N172)</f>
        <v>0.9434307620021406</v>
      </c>
      <c r="O199" s="151">
        <f>IF(TrRoad_act!O60=0,0,TrRoad_emi!O57/TrRoad_tech!O172)</f>
        <v>0.99791975532019173</v>
      </c>
      <c r="P199" s="151">
        <f>IF(TrRoad_act!P60=0,0,TrRoad_emi!P57/TrRoad_tech!P172)</f>
        <v>1.0035772454586462</v>
      </c>
      <c r="Q199" s="151">
        <f>IF(TrRoad_act!Q60=0,0,TrRoad_emi!Q57/TrRoad_tech!Q172)</f>
        <v>0.9962527129747315</v>
      </c>
      <c r="R199" s="151">
        <f>IF(TrRoad_act!R60=0,0,TrRoad_emi!R57/TrRoad_tech!R172)</f>
        <v>1.0662416326853046</v>
      </c>
      <c r="S199" s="151">
        <f>IF(TrRoad_act!S60=0,0,TrRoad_emi!S57/TrRoad_tech!S172)</f>
        <v>1.0876212865538466</v>
      </c>
      <c r="T199" s="151">
        <f>IF(TrRoad_act!T60=0,0,TrRoad_emi!T57/TrRoad_tech!T172)</f>
        <v>1.1108622285811185</v>
      </c>
      <c r="U199" s="151">
        <f>IF(TrRoad_act!U60=0,0,TrRoad_emi!U57/TrRoad_tech!U172)</f>
        <v>1.0852422521837877</v>
      </c>
      <c r="V199" s="151">
        <f>IF(TrRoad_act!V60=0,0,TrRoad_emi!V57/TrRoad_tech!V172)</f>
        <v>1.0939338320959187</v>
      </c>
      <c r="W199" s="151">
        <f>IF(TrRoad_act!W60=0,0,TrRoad_emi!W57/TrRoad_tech!W172)</f>
        <v>1.1932422650492984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1.1663844315283847</v>
      </c>
      <c r="C200" s="91">
        <f>IF(TrRoad_act!C61=0,0,TrRoad_emi!C58/TrRoad_tech!C173)</f>
        <v>1.1785211413320333</v>
      </c>
      <c r="D200" s="91">
        <f>IF(TrRoad_act!D61=0,0,TrRoad_emi!D58/TrRoad_tech!D173)</f>
        <v>1.1482281790703288</v>
      </c>
      <c r="E200" s="91">
        <f>IF(TrRoad_act!E61=0,0,TrRoad_emi!E58/TrRoad_tech!E173)</f>
        <v>1.1654546066409779</v>
      </c>
      <c r="F200" s="91">
        <f>IF(TrRoad_act!F61=0,0,TrRoad_emi!F58/TrRoad_tech!F173)</f>
        <v>1.1369880603115308</v>
      </c>
      <c r="G200" s="91">
        <f>IF(TrRoad_act!G61=0,0,TrRoad_emi!G58/TrRoad_tech!G173)</f>
        <v>1.1203727284498208</v>
      </c>
      <c r="H200" s="91">
        <f>IF(TrRoad_act!H61=0,0,TrRoad_emi!H58/TrRoad_tech!H173)</f>
        <v>1.1177802252794848</v>
      </c>
      <c r="I200" s="91">
        <f>IF(TrRoad_act!I61=0,0,TrRoad_emi!I58/TrRoad_tech!I173)</f>
        <v>1.1064341223772514</v>
      </c>
      <c r="J200" s="91">
        <f>IF(TrRoad_act!J61=0,0,TrRoad_emi!J58/TrRoad_tech!J173)</f>
        <v>1.0617444327262677</v>
      </c>
      <c r="K200" s="91">
        <f>IF(TrRoad_act!K61=0,0,TrRoad_emi!K58/TrRoad_tech!K173)</f>
        <v>1.032906295361065</v>
      </c>
      <c r="L200" s="91">
        <f>IF(TrRoad_act!L61=0,0,TrRoad_emi!L58/TrRoad_tech!L173)</f>
        <v>1.0136878922177444</v>
      </c>
      <c r="M200" s="91">
        <f>IF(TrRoad_act!M61=0,0,TrRoad_emi!M58/TrRoad_tech!M173)</f>
        <v>0.99841289097266228</v>
      </c>
      <c r="N200" s="91">
        <f>IF(TrRoad_act!N61=0,0,TrRoad_emi!N58/TrRoad_tech!N173)</f>
        <v>0.96016117282711944</v>
      </c>
      <c r="O200" s="91">
        <f>IF(TrRoad_act!O61=0,0,TrRoad_emi!O58/TrRoad_tech!O173)</f>
        <v>0.98920046614101442</v>
      </c>
      <c r="P200" s="91">
        <f>IF(TrRoad_act!P61=0,0,TrRoad_emi!P58/TrRoad_tech!P173)</f>
        <v>0.99997092003346177</v>
      </c>
      <c r="Q200" s="91">
        <f>IF(TrRoad_act!Q61=0,0,TrRoad_emi!Q58/TrRoad_tech!Q173)</f>
        <v>0.9985078367824165</v>
      </c>
      <c r="R200" s="91">
        <f>IF(TrRoad_act!R61=0,0,TrRoad_emi!R58/TrRoad_tech!R173)</f>
        <v>1.1304428131311042</v>
      </c>
      <c r="S200" s="91">
        <f>IF(TrRoad_act!S61=0,0,TrRoad_emi!S58/TrRoad_tech!S173)</f>
        <v>1.1887569529455133</v>
      </c>
      <c r="T200" s="91">
        <f>IF(TrRoad_act!T61=0,0,TrRoad_emi!T58/TrRoad_tech!T173)</f>
        <v>1.2467069663755321</v>
      </c>
      <c r="U200" s="91">
        <f>IF(TrRoad_act!U61=0,0,TrRoad_emi!U58/TrRoad_tech!U173)</f>
        <v>1.2314004137444554</v>
      </c>
      <c r="V200" s="91">
        <f>IF(TrRoad_act!V61=0,0,TrRoad_emi!V58/TrRoad_tech!V173)</f>
        <v>1.3904313625309885</v>
      </c>
      <c r="W200" s="91">
        <f>IF(TrRoad_act!W61=0,0,TrRoad_emi!W58/TrRoad_tech!W173)</f>
        <v>1.4594324053246535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1.1723579310700527</v>
      </c>
      <c r="C201" s="91">
        <f>IF(TrRoad_act!C62=0,0,TrRoad_emi!C59/TrRoad_tech!C174)</f>
        <v>1.1711699341715274</v>
      </c>
      <c r="D201" s="91">
        <f>IF(TrRoad_act!D62=0,0,TrRoad_emi!D59/TrRoad_tech!D174)</f>
        <v>1.1942378951392791</v>
      </c>
      <c r="E201" s="91">
        <f>IF(TrRoad_act!E62=0,0,TrRoad_emi!E59/TrRoad_tech!E174)</f>
        <v>1.2040631065373646</v>
      </c>
      <c r="F201" s="91">
        <f>IF(TrRoad_act!F62=0,0,TrRoad_emi!F59/TrRoad_tech!F174)</f>
        <v>1.1636948642435045</v>
      </c>
      <c r="G201" s="91">
        <f>IF(TrRoad_act!G62=0,0,TrRoad_emi!G59/TrRoad_tech!G174)</f>
        <v>1.1652040061473166</v>
      </c>
      <c r="H201" s="91">
        <f>IF(TrRoad_act!H62=0,0,TrRoad_emi!H59/TrRoad_tech!H174)</f>
        <v>1.166450113242228</v>
      </c>
      <c r="I201" s="91">
        <f>IF(TrRoad_act!I62=0,0,TrRoad_emi!I59/TrRoad_tech!I174)</f>
        <v>1.1498716953118908</v>
      </c>
      <c r="J201" s="91">
        <f>IF(TrRoad_act!J62=0,0,TrRoad_emi!J59/TrRoad_tech!J174)</f>
        <v>1.1165821474988797</v>
      </c>
      <c r="K201" s="91">
        <f>IF(TrRoad_act!K62=0,0,TrRoad_emi!K59/TrRoad_tech!K174)</f>
        <v>1.0773445755284647</v>
      </c>
      <c r="L201" s="91">
        <f>IF(TrRoad_act!L62=0,0,TrRoad_emi!L59/TrRoad_tech!L174)</f>
        <v>1.0697198458862143</v>
      </c>
      <c r="M201" s="91">
        <f>IF(TrRoad_act!M62=0,0,TrRoad_emi!M59/TrRoad_tech!M174)</f>
        <v>1.0448114147691137</v>
      </c>
      <c r="N201" s="91">
        <f>IF(TrRoad_act!N62=0,0,TrRoad_emi!N59/TrRoad_tech!N174)</f>
        <v>0.99426399558193312</v>
      </c>
      <c r="O201" s="91">
        <f>IF(TrRoad_act!O62=0,0,TrRoad_emi!O59/TrRoad_tech!O174)</f>
        <v>1.0587536388168266</v>
      </c>
      <c r="P201" s="91">
        <f>IF(TrRoad_act!P62=0,0,TrRoad_emi!P59/TrRoad_tech!P174)</f>
        <v>1.0613556854201616</v>
      </c>
      <c r="Q201" s="91">
        <f>IF(TrRoad_act!Q62=0,0,TrRoad_emi!Q59/TrRoad_tech!Q174)</f>
        <v>1.0616128027137519</v>
      </c>
      <c r="R201" s="91">
        <f>IF(TrRoad_act!R62=0,0,TrRoad_emi!R59/TrRoad_tech!R174)</f>
        <v>1.1073152899315972</v>
      </c>
      <c r="S201" s="91">
        <f>IF(TrRoad_act!S62=0,0,TrRoad_emi!S59/TrRoad_tech!S174)</f>
        <v>1.1122366974368758</v>
      </c>
      <c r="T201" s="91">
        <f>IF(TrRoad_act!T62=0,0,TrRoad_emi!T59/TrRoad_tech!T174)</f>
        <v>1.1100381276236593</v>
      </c>
      <c r="U201" s="91">
        <f>IF(TrRoad_act!U62=0,0,TrRoad_emi!U59/TrRoad_tech!U174)</f>
        <v>1.0706870123662835</v>
      </c>
      <c r="V201" s="91">
        <f>IF(TrRoad_act!V62=0,0,TrRoad_emi!V59/TrRoad_tech!V174)</f>
        <v>1.0408201751155584</v>
      </c>
      <c r="W201" s="91">
        <f>IF(TrRoad_act!W62=0,0,TrRoad_emi!W59/TrRoad_tech!W174)</f>
        <v>1.1329517796850959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3.3155790756378192</v>
      </c>
      <c r="C202" s="91">
        <f>IF(TrRoad_act!C63=0,0,TrRoad_emi!C60/TrRoad_tech!C175)</f>
        <v>3.236783074633653</v>
      </c>
      <c r="D202" s="91">
        <f>IF(TrRoad_act!D63=0,0,TrRoad_emi!D60/TrRoad_tech!D175)</f>
        <v>3.1992395840497032</v>
      </c>
      <c r="E202" s="91">
        <f>IF(TrRoad_act!E63=0,0,TrRoad_emi!E60/TrRoad_tech!E175)</f>
        <v>3.3891155951026266</v>
      </c>
      <c r="F202" s="91">
        <f>IF(TrRoad_act!F63=0,0,TrRoad_emi!F60/TrRoad_tech!F175)</f>
        <v>3.6580688843213078</v>
      </c>
      <c r="G202" s="91">
        <f>IF(TrRoad_act!G63=0,0,TrRoad_emi!G60/TrRoad_tech!G175)</f>
        <v>3.3535749331525149</v>
      </c>
      <c r="H202" s="91">
        <f>IF(TrRoad_act!H63=0,0,TrRoad_emi!H60/TrRoad_tech!H175)</f>
        <v>3.4628240744893604</v>
      </c>
      <c r="I202" s="91">
        <f>IF(TrRoad_act!I63=0,0,TrRoad_emi!I60/TrRoad_tech!I175)</f>
        <v>4.2978557306848151</v>
      </c>
      <c r="J202" s="91">
        <f>IF(TrRoad_act!J63=0,0,TrRoad_emi!J60/TrRoad_tech!J175)</f>
        <v>2.0788087903115238</v>
      </c>
      <c r="K202" s="91">
        <f>IF(TrRoad_act!K63=0,0,TrRoad_emi!K60/TrRoad_tech!K175)</f>
        <v>1.9318526119992092</v>
      </c>
      <c r="L202" s="91">
        <f>IF(TrRoad_act!L63=0,0,TrRoad_emi!L60/TrRoad_tech!L175)</f>
        <v>2.0101375668869568</v>
      </c>
      <c r="M202" s="91">
        <f>IF(TrRoad_act!M63=0,0,TrRoad_emi!M60/TrRoad_tech!M175)</f>
        <v>2.0509160209985091</v>
      </c>
      <c r="N202" s="91">
        <f>IF(TrRoad_act!N63=0,0,TrRoad_emi!N60/TrRoad_tech!N175)</f>
        <v>1.7966282052704385</v>
      </c>
      <c r="O202" s="91">
        <f>IF(TrRoad_act!O63=0,0,TrRoad_emi!O60/TrRoad_tech!O175)</f>
        <v>2.0492222293153839</v>
      </c>
      <c r="P202" s="91">
        <f>IF(TrRoad_act!P63=0,0,TrRoad_emi!P60/TrRoad_tech!P175)</f>
        <v>2.062503907459778</v>
      </c>
      <c r="Q202" s="91">
        <f>IF(TrRoad_act!Q63=0,0,TrRoad_emi!Q60/TrRoad_tech!Q175)</f>
        <v>2.2564731997855167</v>
      </c>
      <c r="R202" s="91">
        <f>IF(TrRoad_act!R63=0,0,TrRoad_emi!R60/TrRoad_tech!R175)</f>
        <v>2.3034811834954185</v>
      </c>
      <c r="S202" s="91">
        <f>IF(TrRoad_act!S63=0,0,TrRoad_emi!S60/TrRoad_tech!S175)</f>
        <v>2.1233986635863777</v>
      </c>
      <c r="T202" s="91">
        <f>IF(TrRoad_act!T63=0,0,TrRoad_emi!T60/TrRoad_tech!T175)</f>
        <v>1.5779969450111109</v>
      </c>
      <c r="U202" s="91">
        <f>IF(TrRoad_act!U63=0,0,TrRoad_emi!U60/TrRoad_tech!U175)</f>
        <v>1.5960335162502577</v>
      </c>
      <c r="V202" s="91">
        <f>IF(TrRoad_act!V63=0,0,TrRoad_emi!V60/TrRoad_tech!V175)</f>
        <v>1.7061810163993492</v>
      </c>
      <c r="W202" s="91">
        <f>IF(TrRoad_act!W63=0,0,TrRoad_emi!W60/TrRoad_tech!W175)</f>
        <v>1.6723731257057572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1.03444444444846</v>
      </c>
      <c r="G203" s="91">
        <f>IF(TrRoad_act!G64=0,0,TrRoad_emi!G61/TrRoad_tech!G176)</f>
        <v>1.0358763348926627</v>
      </c>
      <c r="H203" s="91">
        <f>IF(TrRoad_act!H64=0,0,TrRoad_emi!H61/TrRoad_tech!H176)</f>
        <v>1.0375570122397961</v>
      </c>
      <c r="I203" s="91">
        <f>IF(TrRoad_act!I64=0,0,TrRoad_emi!I61/TrRoad_tech!I176)</f>
        <v>1.0375959681859119</v>
      </c>
      <c r="J203" s="91">
        <f>IF(TrRoad_act!J64=0,0,TrRoad_emi!J61/TrRoad_tech!J176)</f>
        <v>1.0379103201412838</v>
      </c>
      <c r="K203" s="91">
        <f>IF(TrRoad_act!K64=0,0,TrRoad_emi!K61/TrRoad_tech!K176)</f>
        <v>1.0383263454889238</v>
      </c>
      <c r="L203" s="91">
        <f>IF(TrRoad_act!L64=0,0,TrRoad_emi!L61/TrRoad_tech!L176)</f>
        <v>1.0391022798641083</v>
      </c>
      <c r="M203" s="91">
        <f>IF(TrRoad_act!M64=0,0,TrRoad_emi!M61/TrRoad_tech!M176)</f>
        <v>1.0393624239784374</v>
      </c>
      <c r="N203" s="91">
        <f>IF(TrRoad_act!N64=0,0,TrRoad_emi!N61/TrRoad_tech!N176)</f>
        <v>1.0501946934402928</v>
      </c>
      <c r="O203" s="91">
        <f>IF(TrRoad_act!O64=0,0,TrRoad_emi!O61/TrRoad_tech!O176)</f>
        <v>1.053073485362175</v>
      </c>
      <c r="P203" s="91">
        <f>IF(TrRoad_act!P64=0,0,TrRoad_emi!P61/TrRoad_tech!P176)</f>
        <v>1.0540449035926411</v>
      </c>
      <c r="Q203" s="91">
        <f>IF(TrRoad_act!Q64=0,0,TrRoad_emi!Q61/TrRoad_tech!Q176)</f>
        <v>1.0543869125581982</v>
      </c>
      <c r="R203" s="91">
        <f>IF(TrRoad_act!R64=0,0,TrRoad_emi!R61/TrRoad_tech!R176)</f>
        <v>1.0562348510833142</v>
      </c>
      <c r="S203" s="91">
        <f>IF(TrRoad_act!S64=0,0,TrRoad_emi!S61/TrRoad_tech!S176)</f>
        <v>1.0604930155883148</v>
      </c>
      <c r="T203" s="91">
        <f>IF(TrRoad_act!T64=0,0,TrRoad_emi!T61/TrRoad_tech!T176)</f>
        <v>1.0713942026170336</v>
      </c>
      <c r="U203" s="91">
        <f>IF(TrRoad_act!U64=0,0,TrRoad_emi!U61/TrRoad_tech!U176)</f>
        <v>1.0890535691539205</v>
      </c>
      <c r="V203" s="91">
        <f>IF(TrRoad_act!V64=0,0,TrRoad_emi!V61/TrRoad_tech!V176)</f>
        <v>1.0951437640710777</v>
      </c>
      <c r="W203" s="91">
        <f>IF(TrRoad_act!W64=0,0,TrRoad_emi!W61/TrRoad_tech!W176)</f>
        <v>1.0971423331410333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1.0239942106887954</v>
      </c>
      <c r="N204" s="91">
        <f>IF(TrRoad_act!N65=0,0,TrRoad_emi!N62/TrRoad_tech!N177)</f>
        <v>0.98872572268594805</v>
      </c>
      <c r="O204" s="91">
        <f>IF(TrRoad_act!O65=0,0,TrRoad_emi!O62/TrRoad_tech!O177)</f>
        <v>1.0201715283196251</v>
      </c>
      <c r="P204" s="91">
        <f>IF(TrRoad_act!P65=0,0,TrRoad_emi!P62/TrRoad_tech!P177)</f>
        <v>1.0350304540538473</v>
      </c>
      <c r="Q204" s="91">
        <f>IF(TrRoad_act!Q65=0,0,TrRoad_emi!Q62/TrRoad_tech!Q177)</f>
        <v>1.0384636609738223</v>
      </c>
      <c r="R204" s="91">
        <f>IF(TrRoad_act!R65=0,0,TrRoad_emi!R62/TrRoad_tech!R177)</f>
        <v>1.1761316936939323</v>
      </c>
      <c r="S204" s="91">
        <f>IF(TrRoad_act!S65=0,0,TrRoad_emi!S62/TrRoad_tech!S177)</f>
        <v>1.2360509535831627</v>
      </c>
      <c r="T204" s="91">
        <f>IF(TrRoad_act!T65=0,0,TrRoad_emi!T62/TrRoad_tech!T177)</f>
        <v>1.292583213022465</v>
      </c>
      <c r="U204" s="91">
        <f>IF(TrRoad_act!U65=0,0,TrRoad_emi!U62/TrRoad_tech!U177)</f>
        <v>1.2727806956741554</v>
      </c>
      <c r="V204" s="91">
        <f>IF(TrRoad_act!V65=0,0,TrRoad_emi!V62/TrRoad_tech!V177)</f>
        <v>1.4358225655545171</v>
      </c>
      <c r="W204" s="91">
        <f>IF(TrRoad_act!W65=0,0,TrRoad_emi!W62/TrRoad_tech!W177)</f>
        <v>1.5037426579130329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1.1026704288551163</v>
      </c>
      <c r="C206" s="151">
        <f>IF(TrRoad_act!C67=0,0,TrRoad_emi!C64/TrRoad_tech!C179)</f>
        <v>1.0976635316887091</v>
      </c>
      <c r="D206" s="151">
        <f>IF(TrRoad_act!D67=0,0,TrRoad_emi!D64/TrRoad_tech!D179)</f>
        <v>1.1015458498897936</v>
      </c>
      <c r="E206" s="151">
        <f>IF(TrRoad_act!E67=0,0,TrRoad_emi!E64/TrRoad_tech!E179)</f>
        <v>1.1086976869178407</v>
      </c>
      <c r="F206" s="151">
        <f>IF(TrRoad_act!F67=0,0,TrRoad_emi!F64/TrRoad_tech!F179)</f>
        <v>1.1010105768760372</v>
      </c>
      <c r="G206" s="151">
        <f>IF(TrRoad_act!G67=0,0,TrRoad_emi!G64/TrRoad_tech!G179)</f>
        <v>1.1018928614812589</v>
      </c>
      <c r="H206" s="151">
        <f>IF(TrRoad_act!H67=0,0,TrRoad_emi!H64/TrRoad_tech!H179)</f>
        <v>1.1104594964295988</v>
      </c>
      <c r="I206" s="151">
        <f>IF(TrRoad_act!I67=0,0,TrRoad_emi!I64/TrRoad_tech!I179)</f>
        <v>1.1188224551394395</v>
      </c>
      <c r="J206" s="151">
        <f>IF(TrRoad_act!J67=0,0,TrRoad_emi!J64/TrRoad_tech!J179)</f>
        <v>1.1111116175512556</v>
      </c>
      <c r="K206" s="151">
        <f>IF(TrRoad_act!K67=0,0,TrRoad_emi!K64/TrRoad_tech!K179)</f>
        <v>1.1047693560409819</v>
      </c>
      <c r="L206" s="151">
        <f>IF(TrRoad_act!L67=0,0,TrRoad_emi!L64/TrRoad_tech!L179)</f>
        <v>1.1088217530191824</v>
      </c>
      <c r="M206" s="151">
        <f>IF(TrRoad_act!M67=0,0,TrRoad_emi!M64/TrRoad_tech!M179)</f>
        <v>1.1055671817516641</v>
      </c>
      <c r="N206" s="151">
        <f>IF(TrRoad_act!N67=0,0,TrRoad_emi!N64/TrRoad_tech!N179)</f>
        <v>1.0883561272993898</v>
      </c>
      <c r="O206" s="151">
        <f>IF(TrRoad_act!O67=0,0,TrRoad_emi!O64/TrRoad_tech!O179)</f>
        <v>1.1686153713712744</v>
      </c>
      <c r="P206" s="151">
        <f>IF(TrRoad_act!P67=0,0,TrRoad_emi!P64/TrRoad_tech!P179)</f>
        <v>1.1912985819180673</v>
      </c>
      <c r="Q206" s="151">
        <f>IF(TrRoad_act!Q67=0,0,TrRoad_emi!Q64/TrRoad_tech!Q179)</f>
        <v>1.2415452943687106</v>
      </c>
      <c r="R206" s="151">
        <f>IF(TrRoad_act!R67=0,0,TrRoad_emi!R64/TrRoad_tech!R179)</f>
        <v>1.1956981193142666</v>
      </c>
      <c r="S206" s="151">
        <f>IF(TrRoad_act!S67=0,0,TrRoad_emi!S64/TrRoad_tech!S179)</f>
        <v>1.2282375187691512</v>
      </c>
      <c r="T206" s="151">
        <f>IF(TrRoad_act!T67=0,0,TrRoad_emi!T64/TrRoad_tech!T179)</f>
        <v>1.2020265560823045</v>
      </c>
      <c r="U206" s="151">
        <f>IF(TrRoad_act!U67=0,0,TrRoad_emi!U64/TrRoad_tech!U179)</f>
        <v>1.253365492115291</v>
      </c>
      <c r="V206" s="151">
        <f>IF(TrRoad_act!V67=0,0,TrRoad_emi!V64/TrRoad_tech!V179)</f>
        <v>1.3443514552965281</v>
      </c>
      <c r="W206" s="151">
        <f>IF(TrRoad_act!W67=0,0,TrRoad_emi!W64/TrRoad_tech!W179)</f>
        <v>1.3554121890162778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1.1004860296708026</v>
      </c>
      <c r="D207" s="93">
        <f>IF(TrRoad_act!D68=0,0,TrRoad_emi!D65/TrRoad_tech!D180)</f>
        <v>1.0925917289150473</v>
      </c>
      <c r="E207" s="93">
        <f>IF(TrRoad_act!E68=0,0,TrRoad_emi!E65/TrRoad_tech!E180)</f>
        <v>1.0900024898198906</v>
      </c>
      <c r="F207" s="93">
        <f>IF(TrRoad_act!F68=0,0,TrRoad_emi!F65/TrRoad_tech!F180)</f>
        <v>1.0946528012053376</v>
      </c>
      <c r="G207" s="93">
        <f>IF(TrRoad_act!G68=0,0,TrRoad_emi!G65/TrRoad_tech!G180)</f>
        <v>1.0890661841777456</v>
      </c>
      <c r="H207" s="93">
        <f>IF(TrRoad_act!H68=0,0,TrRoad_emi!H65/TrRoad_tech!H180)</f>
        <v>1.0916630372408245</v>
      </c>
      <c r="I207" s="93">
        <f>IF(TrRoad_act!I68=0,0,TrRoad_emi!I65/TrRoad_tech!I180)</f>
        <v>1.1013089362711246</v>
      </c>
      <c r="J207" s="93">
        <f>IF(TrRoad_act!J68=0,0,TrRoad_emi!J65/TrRoad_tech!J180)</f>
        <v>1.1053674727551661</v>
      </c>
      <c r="K207" s="93">
        <f>IF(TrRoad_act!K68=0,0,TrRoad_emi!K65/TrRoad_tech!K180)</f>
        <v>1.0960924860784285</v>
      </c>
      <c r="L207" s="93">
        <f>IF(TrRoad_act!L68=0,0,TrRoad_emi!L65/TrRoad_tech!L180)</f>
        <v>1.0831944981237234</v>
      </c>
      <c r="M207" s="93">
        <f>IF(TrRoad_act!M68=0,0,TrRoad_emi!M65/TrRoad_tech!M180)</f>
        <v>1.0872312390848868</v>
      </c>
      <c r="N207" s="93">
        <f>IF(TrRoad_act!N68=0,0,TrRoad_emi!N65/TrRoad_tech!N180)</f>
        <v>1.0943029956856527</v>
      </c>
      <c r="O207" s="93">
        <f>IF(TrRoad_act!O68=0,0,TrRoad_emi!O65/TrRoad_tech!O180)</f>
        <v>1.1078195546366891</v>
      </c>
      <c r="P207" s="93">
        <f>IF(TrRoad_act!P68=0,0,TrRoad_emi!P65/TrRoad_tech!P180)</f>
        <v>1.1096047776864271</v>
      </c>
      <c r="Q207" s="93">
        <f>IF(TrRoad_act!Q68=0,0,TrRoad_emi!Q65/TrRoad_tech!Q180)</f>
        <v>1.1178278984237449</v>
      </c>
      <c r="R207" s="93">
        <f>IF(TrRoad_act!R68=0,0,TrRoad_emi!R65/TrRoad_tech!R180)</f>
        <v>1.1375415491802441</v>
      </c>
      <c r="S207" s="93">
        <f>IF(TrRoad_act!S68=0,0,TrRoad_emi!S65/TrRoad_tech!S180)</f>
        <v>1.1426255286642446</v>
      </c>
      <c r="T207" s="93">
        <f>IF(TrRoad_act!T68=0,0,TrRoad_emi!T65/TrRoad_tech!T180)</f>
        <v>1.1449493696967381</v>
      </c>
      <c r="U207" s="93">
        <f>IF(TrRoad_act!U68=0,0,TrRoad_emi!U65/TrRoad_tech!U180)</f>
        <v>1.1537298409594234</v>
      </c>
      <c r="V207" s="93">
        <f>IF(TrRoad_act!V68=0,0,TrRoad_emi!V65/TrRoad_tech!V180)</f>
        <v>1.1636475141279459</v>
      </c>
      <c r="W207" s="93">
        <f>IF(TrRoad_act!W68=0,0,TrRoad_emi!W65/TrRoad_tech!W180)</f>
        <v>1.1679871786116034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1.0955023971307807</v>
      </c>
      <c r="C208" s="93">
        <f>IF(TrRoad_act!C69=0,0,TrRoad_emi!C66/TrRoad_tech!C181)</f>
        <v>1.0962970034218185</v>
      </c>
      <c r="D208" s="93">
        <f>IF(TrRoad_act!D69=0,0,TrRoad_emi!D66/TrRoad_tech!D181)</f>
        <v>1.0976330640024901</v>
      </c>
      <c r="E208" s="93">
        <f>IF(TrRoad_act!E69=0,0,TrRoad_emi!E66/TrRoad_tech!E181)</f>
        <v>1.0977628989652817</v>
      </c>
      <c r="F208" s="93">
        <f>IF(TrRoad_act!F69=0,0,TrRoad_emi!F66/TrRoad_tech!F181)</f>
        <v>1.1002215638485733</v>
      </c>
      <c r="G208" s="93">
        <f>IF(TrRoad_act!G69=0,0,TrRoad_emi!G66/TrRoad_tech!G181)</f>
        <v>1.1019180032238685</v>
      </c>
      <c r="H208" s="93">
        <f>IF(TrRoad_act!H69=0,0,TrRoad_emi!H66/TrRoad_tech!H181)</f>
        <v>1.1114274519409864</v>
      </c>
      <c r="I208" s="93">
        <f>IF(TrRoad_act!I69=0,0,TrRoad_emi!I66/TrRoad_tech!I181)</f>
        <v>1.1071837915327236</v>
      </c>
      <c r="J208" s="93">
        <f>IF(TrRoad_act!J69=0,0,TrRoad_emi!J66/TrRoad_tech!J181)</f>
        <v>1.1018154787359384</v>
      </c>
      <c r="K208" s="93">
        <f>IF(TrRoad_act!K69=0,0,TrRoad_emi!K66/TrRoad_tech!K181)</f>
        <v>1.0884882227688322</v>
      </c>
      <c r="L208" s="93">
        <f>IF(TrRoad_act!L69=0,0,TrRoad_emi!L66/TrRoad_tech!L181)</f>
        <v>1.0806040527905849</v>
      </c>
      <c r="M208" s="93">
        <f>IF(TrRoad_act!M69=0,0,TrRoad_emi!M66/TrRoad_tech!M181)</f>
        <v>1.0714597375981134</v>
      </c>
      <c r="N208" s="93">
        <f>IF(TrRoad_act!N69=0,0,TrRoad_emi!N66/TrRoad_tech!N181)</f>
        <v>1.0491321133701363</v>
      </c>
      <c r="O208" s="93">
        <f>IF(TrRoad_act!O69=0,0,TrRoad_emi!O66/TrRoad_tech!O181)</f>
        <v>1.1211021142688626</v>
      </c>
      <c r="P208" s="93">
        <f>IF(TrRoad_act!P69=0,0,TrRoad_emi!P66/TrRoad_tech!P181)</f>
        <v>1.1280204950997683</v>
      </c>
      <c r="Q208" s="93">
        <f>IF(TrRoad_act!Q69=0,0,TrRoad_emi!Q66/TrRoad_tech!Q181)</f>
        <v>1.1401514541775875</v>
      </c>
      <c r="R208" s="93">
        <f>IF(TrRoad_act!R69=0,0,TrRoad_emi!R66/TrRoad_tech!R181)</f>
        <v>1.1438851578123015</v>
      </c>
      <c r="S208" s="93">
        <f>IF(TrRoad_act!S69=0,0,TrRoad_emi!S66/TrRoad_tech!S181)</f>
        <v>1.1727436701898091</v>
      </c>
      <c r="T208" s="93">
        <f>IF(TrRoad_act!T69=0,0,TrRoad_emi!T66/TrRoad_tech!T181)</f>
        <v>1.1665478790059691</v>
      </c>
      <c r="U208" s="93">
        <f>IF(TrRoad_act!U69=0,0,TrRoad_emi!U66/TrRoad_tech!U181)</f>
        <v>1.1787934646434204</v>
      </c>
      <c r="V208" s="93">
        <f>IF(TrRoad_act!V69=0,0,TrRoad_emi!V66/TrRoad_tech!V181)</f>
        <v>1.1855301406198404</v>
      </c>
      <c r="W208" s="93">
        <f>IF(TrRoad_act!W69=0,0,TrRoad_emi!W66/TrRoad_tech!W181)</f>
        <v>1.2017232194280849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1.2773333333398114</v>
      </c>
      <c r="Q209" s="93">
        <f>IF(TrRoad_act!Q70=0,0,TrRoad_emi!Q67/TrRoad_tech!Q182)</f>
        <v>1.2991439392119211</v>
      </c>
      <c r="R209" s="93">
        <f>IF(TrRoad_act!R70=0,0,TrRoad_emi!R67/TrRoad_tech!R182)</f>
        <v>1.2994996847340088</v>
      </c>
      <c r="S209" s="93">
        <f>IF(TrRoad_act!S70=0,0,TrRoad_emi!S67/TrRoad_tech!S182)</f>
        <v>1.2994996847340083</v>
      </c>
      <c r="T209" s="93">
        <f>IF(TrRoad_act!T70=0,0,TrRoad_emi!T67/TrRoad_tech!T182)</f>
        <v>1.2996823428889961</v>
      </c>
      <c r="U209" s="93">
        <f>IF(TrRoad_act!U70=0,0,TrRoad_emi!U67/TrRoad_tech!U182)</f>
        <v>1.3109550047087954</v>
      </c>
      <c r="V209" s="93">
        <f>IF(TrRoad_act!V70=0,0,TrRoad_emi!V67/TrRoad_tech!V182)</f>
        <v>1.3215170259828526</v>
      </c>
      <c r="W209" s="93">
        <f>IF(TrRoad_act!W70=0,0,TrRoad_emi!W67/TrRoad_tech!W182)</f>
        <v>1.3420874302497068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2.3448950274367815</v>
      </c>
      <c r="C210" s="93">
        <f>IF(TrRoad_act!C71=0,0,TrRoad_emi!C68/TrRoad_tech!C183)</f>
        <v>3.4488051864020526</v>
      </c>
      <c r="D210" s="93">
        <f>IF(TrRoad_act!D71=0,0,TrRoad_emi!D68/TrRoad_tech!D183)</f>
        <v>73.461559690794829</v>
      </c>
      <c r="E210" s="93">
        <f>IF(TrRoad_act!E71=0,0,TrRoad_emi!E68/TrRoad_tech!E183)</f>
        <v>3.7587571801487183</v>
      </c>
      <c r="F210" s="93">
        <f>IF(TrRoad_act!F71=0,0,TrRoad_emi!F68/TrRoad_tech!F183)</f>
        <v>3.2774984877397082</v>
      </c>
      <c r="G210" s="93">
        <f>IF(TrRoad_act!G71=0,0,TrRoad_emi!G68/TrRoad_tech!G183)</f>
        <v>3.188787168303242</v>
      </c>
      <c r="H210" s="93">
        <f>IF(TrRoad_act!H71=0,0,TrRoad_emi!H68/TrRoad_tech!H183)</f>
        <v>3.2230759586559681</v>
      </c>
      <c r="I210" s="93">
        <f>IF(TrRoad_act!I71=0,0,TrRoad_emi!I68/TrRoad_tech!I183)</f>
        <v>3.8560835964734892</v>
      </c>
      <c r="J210" s="93">
        <f>IF(TrRoad_act!J71=0,0,TrRoad_emi!J68/TrRoad_tech!J183)</f>
        <v>4.3088426427607418</v>
      </c>
      <c r="K210" s="93">
        <f>IF(TrRoad_act!K71=0,0,TrRoad_emi!K68/TrRoad_tech!K183)</f>
        <v>5.1703679912495879</v>
      </c>
      <c r="L210" s="93">
        <f>IF(TrRoad_act!L71=0,0,TrRoad_emi!L68/TrRoad_tech!L183)</f>
        <v>6.7735874288596181</v>
      </c>
      <c r="M210" s="93">
        <f>IF(TrRoad_act!M71=0,0,TrRoad_emi!M68/TrRoad_tech!M183)</f>
        <v>7.3834397163662855</v>
      </c>
      <c r="N210" s="93">
        <f>IF(TrRoad_act!N71=0,0,TrRoad_emi!N68/TrRoad_tech!N183)</f>
        <v>7.6546732391979555</v>
      </c>
      <c r="O210" s="93">
        <f>IF(TrRoad_act!O71=0,0,TrRoad_emi!O68/TrRoad_tech!O183)</f>
        <v>8.6056061244751483</v>
      </c>
      <c r="P210" s="93">
        <f>IF(TrRoad_act!P71=0,0,TrRoad_emi!P68/TrRoad_tech!P183)</f>
        <v>10.449184665098919</v>
      </c>
      <c r="Q210" s="93">
        <f>IF(TrRoad_act!Q71=0,0,TrRoad_emi!Q68/TrRoad_tech!Q183)</f>
        <v>2.6604424878578641</v>
      </c>
      <c r="R210" s="93">
        <f>IF(TrRoad_act!R71=0,0,TrRoad_emi!R68/TrRoad_tech!R183)</f>
        <v>2.8144161126700653</v>
      </c>
      <c r="S210" s="93">
        <f>IF(TrRoad_act!S71=0,0,TrRoad_emi!S68/TrRoad_tech!S183)</f>
        <v>2.2417207587072014</v>
      </c>
      <c r="T210" s="93">
        <f>IF(TrRoad_act!T71=0,0,TrRoad_emi!T68/TrRoad_tech!T183)</f>
        <v>1.8161089145423395</v>
      </c>
      <c r="U210" s="93">
        <f>IF(TrRoad_act!U71=0,0,TrRoad_emi!U68/TrRoad_tech!U183)</f>
        <v>1.826504866424157</v>
      </c>
      <c r="V210" s="93">
        <f>IF(TrRoad_act!V71=0,0,TrRoad_emi!V68/TrRoad_tech!V183)</f>
        <v>2.617119836151375</v>
      </c>
      <c r="W210" s="93">
        <f>IF(TrRoad_act!W71=0,0,TrRoad_emi!W68/TrRoad_tech!W183)</f>
        <v>2.5812774266175751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1.0768110461320686</v>
      </c>
      <c r="C213" s="150">
        <f>IF(TrRoad_act!C74=0,0,TrRoad_emi!C71/TrRoad_tech!C186)</f>
        <v>1.066283685592875</v>
      </c>
      <c r="D213" s="150">
        <f>IF(TrRoad_act!D74=0,0,TrRoad_emi!D71/TrRoad_tech!D186)</f>
        <v>1.0534584430630767</v>
      </c>
      <c r="E213" s="150">
        <f>IF(TrRoad_act!E74=0,0,TrRoad_emi!E71/TrRoad_tech!E186)</f>
        <v>1.035033496302288</v>
      </c>
      <c r="F213" s="150">
        <f>IF(TrRoad_act!F74=0,0,TrRoad_emi!F71/TrRoad_tech!F186)</f>
        <v>1.0344278335079693</v>
      </c>
      <c r="G213" s="150">
        <f>IF(TrRoad_act!G74=0,0,TrRoad_emi!G71/TrRoad_tech!G186)</f>
        <v>1.028034360518</v>
      </c>
      <c r="H213" s="150">
        <f>IF(TrRoad_act!H74=0,0,TrRoad_emi!H71/TrRoad_tech!H186)</f>
        <v>1.0278212385377199</v>
      </c>
      <c r="I213" s="150">
        <f>IF(TrRoad_act!I74=0,0,TrRoad_emi!I71/TrRoad_tech!I186)</f>
        <v>1.0488545882163749</v>
      </c>
      <c r="J213" s="150">
        <f>IF(TrRoad_act!J74=0,0,TrRoad_emi!J71/TrRoad_tech!J186)</f>
        <v>1.0952169978760407</v>
      </c>
      <c r="K213" s="150">
        <f>IF(TrRoad_act!K74=0,0,TrRoad_emi!K71/TrRoad_tech!K186)</f>
        <v>1.1223215972189231</v>
      </c>
      <c r="L213" s="150">
        <f>IF(TrRoad_act!L74=0,0,TrRoad_emi!L71/TrRoad_tech!L186)</f>
        <v>1.1906828607377229</v>
      </c>
      <c r="M213" s="150">
        <f>IF(TrRoad_act!M74=0,0,TrRoad_emi!M71/TrRoad_tech!M186)</f>
        <v>1.244577114586187</v>
      </c>
      <c r="N213" s="150">
        <f>IF(TrRoad_act!N74=0,0,TrRoad_emi!N71/TrRoad_tech!N186)</f>
        <v>1.0557666181758143</v>
      </c>
      <c r="O213" s="150">
        <f>IF(TrRoad_act!O74=0,0,TrRoad_emi!O71/TrRoad_tech!O186)</f>
        <v>1.1130469715509601</v>
      </c>
      <c r="P213" s="150">
        <f>IF(TrRoad_act!P74=0,0,TrRoad_emi!P71/TrRoad_tech!P186)</f>
        <v>1.2041992146637208</v>
      </c>
      <c r="Q213" s="150">
        <f>IF(TrRoad_act!Q74=0,0,TrRoad_emi!Q71/TrRoad_tech!Q186)</f>
        <v>1.2117948023657852</v>
      </c>
      <c r="R213" s="150">
        <f>IF(TrRoad_act!R74=0,0,TrRoad_emi!R71/TrRoad_tech!R186)</f>
        <v>1.1540001967241151</v>
      </c>
      <c r="S213" s="150">
        <f>IF(TrRoad_act!S74=0,0,TrRoad_emi!S71/TrRoad_tech!S186)</f>
        <v>1.1676689789616759</v>
      </c>
      <c r="T213" s="150">
        <f>IF(TrRoad_act!T74=0,0,TrRoad_emi!T71/TrRoad_tech!T186)</f>
        <v>1.1355451128855591</v>
      </c>
      <c r="U213" s="150">
        <f>IF(TrRoad_act!U74=0,0,TrRoad_emi!U71/TrRoad_tech!U186)</f>
        <v>1.1358812691497575</v>
      </c>
      <c r="V213" s="150">
        <f>IF(TrRoad_act!V74=0,0,TrRoad_emi!V71/TrRoad_tech!V186)</f>
        <v>1.1056454868598329</v>
      </c>
      <c r="W213" s="150">
        <f>IF(TrRoad_act!W74=0,0,TrRoad_emi!W71/TrRoad_tech!W186)</f>
        <v>1.1198258805456516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1.1000003284258084</v>
      </c>
      <c r="D214" s="91">
        <f>IF(TrRoad_act!D75=0,0,TrRoad_emi!D72/TrRoad_tech!D187)</f>
        <v>1.0908010006989795</v>
      </c>
      <c r="E214" s="91">
        <f>IF(TrRoad_act!E75=0,0,TrRoad_emi!E72/TrRoad_tech!E187)</f>
        <v>1.0870621474441362</v>
      </c>
      <c r="F214" s="91">
        <f>IF(TrRoad_act!F75=0,0,TrRoad_emi!F72/TrRoad_tech!F187)</f>
        <v>1.0897740039668029</v>
      </c>
      <c r="G214" s="91">
        <f>IF(TrRoad_act!G75=0,0,TrRoad_emi!G72/TrRoad_tech!G187)</f>
        <v>1.0838947833810342</v>
      </c>
      <c r="H214" s="91">
        <f>IF(TrRoad_act!H75=0,0,TrRoad_emi!H72/TrRoad_tech!H187)</f>
        <v>1.0829472816620236</v>
      </c>
      <c r="I214" s="91">
        <f>IF(TrRoad_act!I75=0,0,TrRoad_emi!I72/TrRoad_tech!I187)</f>
        <v>1.0824903663415788</v>
      </c>
      <c r="J214" s="91">
        <f>IF(TrRoad_act!J75=0,0,TrRoad_emi!J72/TrRoad_tech!J187)</f>
        <v>1.084506536481963</v>
      </c>
      <c r="K214" s="91">
        <f>IF(TrRoad_act!K75=0,0,TrRoad_emi!K72/TrRoad_tech!K187)</f>
        <v>1.0731132589814221</v>
      </c>
      <c r="L214" s="91">
        <f>IF(TrRoad_act!L75=0,0,TrRoad_emi!L72/TrRoad_tech!L187)</f>
        <v>1.0563596695641804</v>
      </c>
      <c r="M214" s="91">
        <f>IF(TrRoad_act!M75=0,0,TrRoad_emi!M72/TrRoad_tech!M187)</f>
        <v>1.0557929223707372</v>
      </c>
      <c r="N214" s="91">
        <f>IF(TrRoad_act!N75=0,0,TrRoad_emi!N72/TrRoad_tech!N187)</f>
        <v>1.068499761350739</v>
      </c>
      <c r="O214" s="91">
        <f>IF(TrRoad_act!O75=0,0,TrRoad_emi!O72/TrRoad_tech!O187)</f>
        <v>1.0860424247676044</v>
      </c>
      <c r="P214" s="91">
        <f>IF(TrRoad_act!P75=0,0,TrRoad_emi!P72/TrRoad_tech!P187)</f>
        <v>1.0906535262007224</v>
      </c>
      <c r="Q214" s="91">
        <f>IF(TrRoad_act!Q75=0,0,TrRoad_emi!Q72/TrRoad_tech!Q187)</f>
        <v>1.0958147092355948</v>
      </c>
      <c r="R214" s="91">
        <f>IF(TrRoad_act!R75=0,0,TrRoad_emi!R72/TrRoad_tech!R187)</f>
        <v>1.1245830651646544</v>
      </c>
      <c r="S214" s="91">
        <f>IF(TrRoad_act!S75=0,0,TrRoad_emi!S72/TrRoad_tech!S187)</f>
        <v>1.1511611769672632</v>
      </c>
      <c r="T214" s="91">
        <f>IF(TrRoad_act!T75=0,0,TrRoad_emi!T72/TrRoad_tech!T187)</f>
        <v>1.1717793766201399</v>
      </c>
      <c r="U214" s="91">
        <f>IF(TrRoad_act!U75=0,0,TrRoad_emi!U72/TrRoad_tech!U187)</f>
        <v>1.1955888789194704</v>
      </c>
      <c r="V214" s="91">
        <f>IF(TrRoad_act!V75=0,0,TrRoad_emi!V72/TrRoad_tech!V187)</f>
        <v>1.2138424858506165</v>
      </c>
      <c r="W214" s="91">
        <f>IF(TrRoad_act!W75=0,0,TrRoad_emi!W72/TrRoad_tech!W187)</f>
        <v>1.2227665004381481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1.0955023971307805</v>
      </c>
      <c r="C215" s="91">
        <f>IF(TrRoad_act!C76=0,0,TrRoad_emi!C73/TrRoad_tech!C188)</f>
        <v>1.0959176649637736</v>
      </c>
      <c r="D215" s="91">
        <f>IF(TrRoad_act!D76=0,0,TrRoad_emi!D73/TrRoad_tech!D188)</f>
        <v>1.0964243855791271</v>
      </c>
      <c r="E215" s="91">
        <f>IF(TrRoad_act!E76=0,0,TrRoad_emi!E73/TrRoad_tech!E188)</f>
        <v>1.0958224586899084</v>
      </c>
      <c r="F215" s="91">
        <f>IF(TrRoad_act!F76=0,0,TrRoad_emi!F73/TrRoad_tech!F188)</f>
        <v>1.0965522243638794</v>
      </c>
      <c r="G215" s="91">
        <f>IF(TrRoad_act!G76=0,0,TrRoad_emi!G73/TrRoad_tech!G188)</f>
        <v>1.0956348963273157</v>
      </c>
      <c r="H215" s="91">
        <f>IF(TrRoad_act!H76=0,0,TrRoad_emi!H73/TrRoad_tech!H188)</f>
        <v>1.1012517399426121</v>
      </c>
      <c r="I215" s="91">
        <f>IF(TrRoad_act!I76=0,0,TrRoad_emi!I73/TrRoad_tech!I188)</f>
        <v>1.0969284372100578</v>
      </c>
      <c r="J215" s="91">
        <f>IF(TrRoad_act!J76=0,0,TrRoad_emi!J73/TrRoad_tech!J188)</f>
        <v>1.0869947546439347</v>
      </c>
      <c r="K215" s="91">
        <f>IF(TrRoad_act!K76=0,0,TrRoad_emi!K73/TrRoad_tech!K188)</f>
        <v>1.0704493067145759</v>
      </c>
      <c r="L215" s="91">
        <f>IF(TrRoad_act!L76=0,0,TrRoad_emi!L73/TrRoad_tech!L188)</f>
        <v>1.0582723433421029</v>
      </c>
      <c r="M215" s="91">
        <f>IF(TrRoad_act!M76=0,0,TrRoad_emi!M73/TrRoad_tech!M188)</f>
        <v>1.0440117546223948</v>
      </c>
      <c r="N215" s="91">
        <f>IF(TrRoad_act!N76=0,0,TrRoad_emi!N73/TrRoad_tech!N188)</f>
        <v>1.0185211363506304</v>
      </c>
      <c r="O215" s="91">
        <f>IF(TrRoad_act!O76=0,0,TrRoad_emi!O73/TrRoad_tech!O188)</f>
        <v>1.0869723879511672</v>
      </c>
      <c r="P215" s="91">
        <f>IF(TrRoad_act!P76=0,0,TrRoad_emi!P73/TrRoad_tech!P188)</f>
        <v>1.0982481064581191</v>
      </c>
      <c r="Q215" s="91">
        <f>IF(TrRoad_act!Q76=0,0,TrRoad_emi!Q73/TrRoad_tech!Q188)</f>
        <v>1.1144856392125946</v>
      </c>
      <c r="R215" s="91">
        <f>IF(TrRoad_act!R76=0,0,TrRoad_emi!R73/TrRoad_tech!R188)</f>
        <v>1.1160231032845607</v>
      </c>
      <c r="S215" s="91">
        <f>IF(TrRoad_act!S76=0,0,TrRoad_emi!S73/TrRoad_tech!S188)</f>
        <v>1.1172807367534281</v>
      </c>
      <c r="T215" s="91">
        <f>IF(TrRoad_act!T76=0,0,TrRoad_emi!T73/TrRoad_tech!T188)</f>
        <v>1.109415973841162</v>
      </c>
      <c r="U215" s="91">
        <f>IF(TrRoad_act!U76=0,0,TrRoad_emi!U73/TrRoad_tech!U188)</f>
        <v>1.121120781310585</v>
      </c>
      <c r="V215" s="91">
        <f>IF(TrRoad_act!V76=0,0,TrRoad_emi!V73/TrRoad_tech!V188)</f>
        <v>1.1247362939765992</v>
      </c>
      <c r="W215" s="91">
        <f>IF(TrRoad_act!W76=0,0,TrRoad_emi!W73/TrRoad_tech!W188)</f>
        <v>1.1437157932098987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1.2560000000062246</v>
      </c>
      <c r="P216" s="91">
        <f>IF(TrRoad_act!P77=0,0,TrRoad_emi!P74/TrRoad_tech!P189)</f>
        <v>1.2479381051651697</v>
      </c>
      <c r="Q216" s="91">
        <f>IF(TrRoad_act!Q77=0,0,TrRoad_emi!Q74/TrRoad_tech!Q189)</f>
        <v>1.2491917908330288</v>
      </c>
      <c r="R216" s="91">
        <f>IF(TrRoad_act!R77=0,0,TrRoad_emi!R74/TrRoad_tech!R189)</f>
        <v>1.2334305915356314</v>
      </c>
      <c r="S216" s="91">
        <f>IF(TrRoad_act!S77=0,0,TrRoad_emi!S74/TrRoad_tech!S189)</f>
        <v>1.2452180200804817</v>
      </c>
      <c r="T216" s="91">
        <f>IF(TrRoad_act!T77=0,0,TrRoad_emi!T74/TrRoad_tech!T189)</f>
        <v>1.2694952899833951</v>
      </c>
      <c r="U216" s="91">
        <f>IF(TrRoad_act!U77=0,0,TrRoad_emi!U74/TrRoad_tech!U189)</f>
        <v>1.2922630260001582</v>
      </c>
      <c r="V216" s="91">
        <f>IF(TrRoad_act!V77=0,0,TrRoad_emi!V74/TrRoad_tech!V189)</f>
        <v>1.3020087457253038</v>
      </c>
      <c r="W216" s="91">
        <f>IF(TrRoad_act!W77=0,0,TrRoad_emi!W74/TrRoad_tech!W189)</f>
        <v>1.3136424433974776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1.2360000000066977</v>
      </c>
      <c r="O217" s="91">
        <f>IF(TrRoad_act!O78=0,0,TrRoad_emi!O75/TrRoad_tech!O190)</f>
        <v>1.2531038711577025</v>
      </c>
      <c r="P217" s="91">
        <f>IF(TrRoad_act!P78=0,0,TrRoad_emi!P75/TrRoad_tech!P190)</f>
        <v>1.26048413420469</v>
      </c>
      <c r="Q217" s="91">
        <f>IF(TrRoad_act!Q78=0,0,TrRoad_emi!Q75/TrRoad_tech!Q190)</f>
        <v>1.2881703980139023</v>
      </c>
      <c r="R217" s="91">
        <f>IF(TrRoad_act!R78=0,0,TrRoad_emi!R75/TrRoad_tech!R190)</f>
        <v>1.2937243108624523</v>
      </c>
      <c r="S217" s="91">
        <f>IF(TrRoad_act!S78=0,0,TrRoad_emi!S75/TrRoad_tech!S190)</f>
        <v>1.3044225314007425</v>
      </c>
      <c r="T217" s="91">
        <f>IF(TrRoad_act!T78=0,0,TrRoad_emi!T75/TrRoad_tech!T190)</f>
        <v>1.3402704049142138</v>
      </c>
      <c r="U217" s="91">
        <f>IF(TrRoad_act!U78=0,0,TrRoad_emi!U75/TrRoad_tech!U190)</f>
        <v>1.3436481932838256</v>
      </c>
      <c r="V217" s="91">
        <f>IF(TrRoad_act!V78=0,0,TrRoad_emi!V75/TrRoad_tech!V190)</f>
        <v>1.3468592959013022</v>
      </c>
      <c r="W217" s="91">
        <f>IF(TrRoad_act!W78=0,0,TrRoad_emi!W75/TrRoad_tech!W190)</f>
        <v>1.3488461880028917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1.5029065059709477</v>
      </c>
      <c r="C219" s="151">
        <f>IF(TrRoad_act!C80=0,0,TrRoad_emi!C77/TrRoad_tech!C192)</f>
        <v>1.470566099790414</v>
      </c>
      <c r="D219" s="151">
        <f>IF(TrRoad_act!D80=0,0,TrRoad_emi!D77/TrRoad_tech!D192)</f>
        <v>1.3871544224995374</v>
      </c>
      <c r="E219" s="151">
        <f>IF(TrRoad_act!E80=0,0,TrRoad_emi!E77/TrRoad_tech!E192)</f>
        <v>1.3968718650964438</v>
      </c>
      <c r="F219" s="151">
        <f>IF(TrRoad_act!F80=0,0,TrRoad_emi!F77/TrRoad_tech!F192)</f>
        <v>1.3418454955086769</v>
      </c>
      <c r="G219" s="151">
        <f>IF(TrRoad_act!G80=0,0,TrRoad_emi!G77/TrRoad_tech!G192)</f>
        <v>1.329550835264639</v>
      </c>
      <c r="H219" s="151">
        <f>IF(TrRoad_act!H80=0,0,TrRoad_emi!H77/TrRoad_tech!H192)</f>
        <v>1.3087318327136097</v>
      </c>
      <c r="I219" s="151">
        <f>IF(TrRoad_act!I80=0,0,TrRoad_emi!I77/TrRoad_tech!I192)</f>
        <v>1.2628137606985139</v>
      </c>
      <c r="J219" s="151">
        <f>IF(TrRoad_act!J80=0,0,TrRoad_emi!J77/TrRoad_tech!J192)</f>
        <v>1.2739774218697144</v>
      </c>
      <c r="K219" s="151">
        <f>IF(TrRoad_act!K80=0,0,TrRoad_emi!K77/TrRoad_tech!K192)</f>
        <v>1.2399881240201729</v>
      </c>
      <c r="L219" s="151">
        <f>IF(TrRoad_act!L80=0,0,TrRoad_emi!L77/TrRoad_tech!L192)</f>
        <v>1.2543052016387406</v>
      </c>
      <c r="M219" s="151">
        <f>IF(TrRoad_act!M80=0,0,TrRoad_emi!M77/TrRoad_tech!M192)</f>
        <v>1.1933133247999617</v>
      </c>
      <c r="N219" s="151">
        <f>IF(TrRoad_act!N80=0,0,TrRoad_emi!N77/TrRoad_tech!N192)</f>
        <v>1.053566354056988</v>
      </c>
      <c r="O219" s="151">
        <f>IF(TrRoad_act!O80=0,0,TrRoad_emi!O77/TrRoad_tech!O192)</f>
        <v>1.155062322323811</v>
      </c>
      <c r="P219" s="151">
        <f>IF(TrRoad_act!P80=0,0,TrRoad_emi!P77/TrRoad_tech!P192)</f>
        <v>1.1687443100546475</v>
      </c>
      <c r="Q219" s="151">
        <f>IF(TrRoad_act!Q80=0,0,TrRoad_emi!Q77/TrRoad_tech!Q192)</f>
        <v>1.1740206218589102</v>
      </c>
      <c r="R219" s="151">
        <f>IF(TrRoad_act!R80=0,0,TrRoad_emi!R77/TrRoad_tech!R192)</f>
        <v>1.2977707547655799</v>
      </c>
      <c r="S219" s="151">
        <f>IF(TrRoad_act!S80=0,0,TrRoad_emi!S77/TrRoad_tech!S192)</f>
        <v>1.403855699314646</v>
      </c>
      <c r="T219" s="151">
        <f>IF(TrRoad_act!T80=0,0,TrRoad_emi!T77/TrRoad_tech!T192)</f>
        <v>1.4342002169884029</v>
      </c>
      <c r="U219" s="151">
        <f>IF(TrRoad_act!U80=0,0,TrRoad_emi!U77/TrRoad_tech!U192)</f>
        <v>1.353046908050602</v>
      </c>
      <c r="V219" s="151">
        <f>IF(TrRoad_act!V80=0,0,TrRoad_emi!V77/TrRoad_tech!V192)</f>
        <v>1.3200583363243437</v>
      </c>
      <c r="W219" s="151">
        <f>IF(TrRoad_act!W80=0,0,TrRoad_emi!W77/TrRoad_tech!W192)</f>
        <v>1.4494073237750507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1.5883004236844336</v>
      </c>
      <c r="C220" s="93">
        <f>IF(TrRoad_act!C81=0,0,TrRoad_emi!C78/TrRoad_tech!C193)</f>
        <v>1.5564778015947822</v>
      </c>
      <c r="D220" s="93">
        <f>IF(TrRoad_act!D81=0,0,TrRoad_emi!D78/TrRoad_tech!D193)</f>
        <v>1.4709485909238758</v>
      </c>
      <c r="E220" s="93">
        <f>IF(TrRoad_act!E81=0,0,TrRoad_emi!E78/TrRoad_tech!E193)</f>
        <v>1.4826124398991969</v>
      </c>
      <c r="F220" s="93">
        <f>IF(TrRoad_act!F81=0,0,TrRoad_emi!F78/TrRoad_tech!F193)</f>
        <v>1.4260489653677275</v>
      </c>
      <c r="G220" s="93">
        <f>IF(TrRoad_act!G81=0,0,TrRoad_emi!G78/TrRoad_tech!G193)</f>
        <v>1.4139324161977616</v>
      </c>
      <c r="H220" s="93">
        <f>IF(TrRoad_act!H81=0,0,TrRoad_emi!H78/TrRoad_tech!H193)</f>
        <v>1.3924376988613454</v>
      </c>
      <c r="I220" s="93">
        <f>IF(TrRoad_act!I81=0,0,TrRoad_emi!I78/TrRoad_tech!I193)</f>
        <v>1.3442152549278992</v>
      </c>
      <c r="J220" s="93">
        <f>IF(TrRoad_act!J81=0,0,TrRoad_emi!J78/TrRoad_tech!J193)</f>
        <v>1.3561145139744797</v>
      </c>
      <c r="K220" s="93">
        <f>IF(TrRoad_act!K81=0,0,TrRoad_emi!K78/TrRoad_tech!K193)</f>
        <v>1.3198581698552567</v>
      </c>
      <c r="L220" s="93">
        <f>IF(TrRoad_act!L81=0,0,TrRoad_emi!L78/TrRoad_tech!L193)</f>
        <v>1.3352533761706367</v>
      </c>
      <c r="M220" s="93">
        <f>IF(TrRoad_act!M81=0,0,TrRoad_emi!M78/TrRoad_tech!M193)</f>
        <v>1.2695250346778124</v>
      </c>
      <c r="N220" s="93">
        <f>IF(TrRoad_act!N81=0,0,TrRoad_emi!N78/TrRoad_tech!N193)</f>
        <v>1.1197667217694254</v>
      </c>
      <c r="O220" s="93">
        <f>IF(TrRoad_act!O81=0,0,TrRoad_emi!O78/TrRoad_tech!O193)</f>
        <v>1.2243257325523371</v>
      </c>
      <c r="P220" s="93">
        <f>IF(TrRoad_act!P81=0,0,TrRoad_emi!P78/TrRoad_tech!P193)</f>
        <v>1.2383254167588613</v>
      </c>
      <c r="Q220" s="93">
        <f>IF(TrRoad_act!Q81=0,0,TrRoad_emi!Q78/TrRoad_tech!Q193)</f>
        <v>1.2428654665608039</v>
      </c>
      <c r="R220" s="93">
        <f>IF(TrRoad_act!R81=0,0,TrRoad_emi!R78/TrRoad_tech!R193)</f>
        <v>1.3722699341232762</v>
      </c>
      <c r="S220" s="93">
        <f>IF(TrRoad_act!S81=0,0,TrRoad_emi!S78/TrRoad_tech!S193)</f>
        <v>1.4818830483919905</v>
      </c>
      <c r="T220" s="93">
        <f>IF(TrRoad_act!T81=0,0,TrRoad_emi!T78/TrRoad_tech!T193)</f>
        <v>1.5104291321874095</v>
      </c>
      <c r="U220" s="93">
        <f>IF(TrRoad_act!U81=0,0,TrRoad_emi!U78/TrRoad_tech!U193)</f>
        <v>1.4223823507002384</v>
      </c>
      <c r="V220" s="93">
        <f>IF(TrRoad_act!V81=0,0,TrRoad_emi!V78/TrRoad_tech!V193)</f>
        <v>1.3865298432833186</v>
      </c>
      <c r="W220" s="93">
        <f>IF(TrRoad_act!W81=0,0,TrRoad_emi!W78/TrRoad_tech!W193)</f>
        <v>1.5200218442839681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1.5883004236844327</v>
      </c>
      <c r="C221" s="94">
        <f>IF(TrRoad_act!C82=0,0,TrRoad_emi!C79/TrRoad_tech!C194)</f>
        <v>1.5567801463091531</v>
      </c>
      <c r="D221" s="94">
        <f>IF(TrRoad_act!D82=0,0,TrRoad_emi!D79/TrRoad_tech!D194)</f>
        <v>1.4718442232058604</v>
      </c>
      <c r="E221" s="94">
        <f>IF(TrRoad_act!E82=0,0,TrRoad_emi!E79/TrRoad_tech!E194)</f>
        <v>1.4840013773547656</v>
      </c>
      <c r="F221" s="94">
        <f>IF(TrRoad_act!F82=0,0,TrRoad_emi!F79/TrRoad_tech!F194)</f>
        <v>1.4316370687441873</v>
      </c>
      <c r="G221" s="94">
        <f>IF(TrRoad_act!G82=0,0,TrRoad_emi!G79/TrRoad_tech!G194)</f>
        <v>1.4208890628628348</v>
      </c>
      <c r="H221" s="94">
        <f>IF(TrRoad_act!H82=0,0,TrRoad_emi!H79/TrRoad_tech!H194)</f>
        <v>1.4006508902296109</v>
      </c>
      <c r="I221" s="94">
        <f>IF(TrRoad_act!I82=0,0,TrRoad_emi!I79/TrRoad_tech!I194)</f>
        <v>1.3535417150672764</v>
      </c>
      <c r="J221" s="94">
        <f>IF(TrRoad_act!J82=0,0,TrRoad_emi!J79/TrRoad_tech!J194)</f>
        <v>1.3632648277136548</v>
      </c>
      <c r="K221" s="94">
        <f>IF(TrRoad_act!K82=0,0,TrRoad_emi!K79/TrRoad_tech!K194)</f>
        <v>1.3270021825066658</v>
      </c>
      <c r="L221" s="94">
        <f>IF(TrRoad_act!L82=0,0,TrRoad_emi!L79/TrRoad_tech!L194)</f>
        <v>1.3460696659074169</v>
      </c>
      <c r="M221" s="94">
        <f>IF(TrRoad_act!M82=0,0,TrRoad_emi!M79/TrRoad_tech!M194)</f>
        <v>1.2845402145168798</v>
      </c>
      <c r="N221" s="94">
        <f>IF(TrRoad_act!N82=0,0,TrRoad_emi!N79/TrRoad_tech!N194)</f>
        <v>1.1370673108923255</v>
      </c>
      <c r="O221" s="94">
        <f>IF(TrRoad_act!O82=0,0,TrRoad_emi!O79/TrRoad_tech!O194)</f>
        <v>1.245980152737489</v>
      </c>
      <c r="P221" s="94">
        <f>IF(TrRoad_act!P82=0,0,TrRoad_emi!P79/TrRoad_tech!P194)</f>
        <v>1.2738732401392068</v>
      </c>
      <c r="Q221" s="94">
        <f>IF(TrRoad_act!Q82=0,0,TrRoad_emi!Q79/TrRoad_tech!Q194)</f>
        <v>1.2980379286490762</v>
      </c>
      <c r="R221" s="94">
        <f>IF(TrRoad_act!R82=0,0,TrRoad_emi!R79/TrRoad_tech!R194)</f>
        <v>1.4411363449716037</v>
      </c>
      <c r="S221" s="94">
        <f>IF(TrRoad_act!S82=0,0,TrRoad_emi!S79/TrRoad_tech!S194)</f>
        <v>1.5594592228174484</v>
      </c>
      <c r="T221" s="94">
        <f>IF(TrRoad_act!T82=0,0,TrRoad_emi!T79/TrRoad_tech!T194)</f>
        <v>1.5938328411786542</v>
      </c>
      <c r="U221" s="94">
        <f>IF(TrRoad_act!U82=0,0,TrRoad_emi!U79/TrRoad_tech!U194)</f>
        <v>1.5030321807283933</v>
      </c>
      <c r="V221" s="94">
        <f>IF(TrRoad_act!V82=0,0,TrRoad_emi!V79/TrRoad_tech!V194)</f>
        <v>1.4632940754974408</v>
      </c>
      <c r="W221" s="94">
        <f>IF(TrRoad_act!W82=0,0,TrRoad_emi!W79/TrRoad_tech!W194)</f>
        <v>1.6157461402982158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99.348983229434324</v>
      </c>
      <c r="C225" s="152">
        <v>99.794291242975689</v>
      </c>
      <c r="D225" s="152">
        <v>100.29141928471854</v>
      </c>
      <c r="E225" s="152">
        <v>99.767219913969882</v>
      </c>
      <c r="F225" s="152">
        <v>98.883710176416997</v>
      </c>
      <c r="G225" s="152">
        <v>98.712668597698524</v>
      </c>
      <c r="H225" s="152">
        <v>97.10807709662754</v>
      </c>
      <c r="I225" s="152">
        <v>96.3845343031998</v>
      </c>
      <c r="J225" s="152">
        <v>94.35418462776488</v>
      </c>
      <c r="K225" s="152">
        <v>90.987495711407306</v>
      </c>
      <c r="L225" s="152">
        <v>86.386600295376269</v>
      </c>
      <c r="M225" s="152">
        <v>84.580268655927114</v>
      </c>
      <c r="N225" s="152">
        <v>81.847743002640271</v>
      </c>
      <c r="O225" s="152">
        <v>78.615726173694469</v>
      </c>
      <c r="P225" s="152">
        <v>76.372015571900704</v>
      </c>
      <c r="Q225" s="152">
        <v>78.303892839120948</v>
      </c>
      <c r="R225" s="152">
        <v>74.834576802449178</v>
      </c>
      <c r="S225" s="152">
        <v>73.793781991447645</v>
      </c>
      <c r="T225" s="152">
        <v>72.961146142646413</v>
      </c>
      <c r="U225" s="152">
        <v>72.295037463605439</v>
      </c>
      <c r="V225" s="152">
        <v>71.762150520372657</v>
      </c>
      <c r="W225" s="152">
        <v>71.335840965786431</v>
      </c>
      <c r="DA225" s="174" t="s">
        <v>931</v>
      </c>
    </row>
    <row r="226" spans="1:105" ht="11.45" customHeight="1" x14ac:dyDescent="0.25">
      <c r="A226" s="109" t="s">
        <v>20</v>
      </c>
      <c r="B226" s="116">
        <v>195.15729653925268</v>
      </c>
      <c r="C226" s="116">
        <v>196.79607939395882</v>
      </c>
      <c r="D226" s="116">
        <v>198.18107478223718</v>
      </c>
      <c r="E226" s="116">
        <v>199.30344674196641</v>
      </c>
      <c r="F226" s="116">
        <v>197.86359792783242</v>
      </c>
      <c r="G226" s="116">
        <v>198.2983656217869</v>
      </c>
      <c r="H226" s="116">
        <v>198.75023786099993</v>
      </c>
      <c r="I226" s="116">
        <v>195.95511742899791</v>
      </c>
      <c r="J226" s="116">
        <v>190.61126763028238</v>
      </c>
      <c r="K226" s="116">
        <v>182.97480580011296</v>
      </c>
      <c r="L226" s="116">
        <v>176.7183481571831</v>
      </c>
      <c r="M226" s="116">
        <v>171.59564039045728</v>
      </c>
      <c r="N226" s="116">
        <v>164.92515936010793</v>
      </c>
      <c r="O226" s="116">
        <v>152.08848217147295</v>
      </c>
      <c r="P226" s="116">
        <v>151.37117809470729</v>
      </c>
      <c r="Q226" s="116">
        <v>147.35971169873204</v>
      </c>
      <c r="R226" s="116">
        <v>145.09873838449201</v>
      </c>
      <c r="S226" s="116">
        <v>144.97149805236782</v>
      </c>
      <c r="T226" s="116">
        <v>147.19510771473966</v>
      </c>
      <c r="U226" s="116">
        <v>145.90339877118566</v>
      </c>
      <c r="V226" s="116">
        <v>137.44295067961875</v>
      </c>
      <c r="W226" s="116">
        <v>129.27396338632153</v>
      </c>
      <c r="DA226" s="176" t="s">
        <v>932</v>
      </c>
    </row>
    <row r="227" spans="1:105" ht="11.45" customHeight="1" x14ac:dyDescent="0.25">
      <c r="A227" s="111" t="s">
        <v>110</v>
      </c>
      <c r="B227" s="87">
        <v>201.05390624441682</v>
      </c>
      <c r="C227" s="87">
        <v>202.07936680296262</v>
      </c>
      <c r="D227" s="87">
        <v>203.22490286667141</v>
      </c>
      <c r="E227" s="87">
        <v>202.01698612622599</v>
      </c>
      <c r="F227" s="87">
        <v>199.98110767636734</v>
      </c>
      <c r="G227" s="87">
        <v>199.58697521880418</v>
      </c>
      <c r="H227" s="87">
        <v>195.88950237950655</v>
      </c>
      <c r="I227" s="87">
        <v>194.22223701945515</v>
      </c>
      <c r="J227" s="87">
        <v>189.54368626420896</v>
      </c>
      <c r="K227" s="87">
        <v>181.78579846641887</v>
      </c>
      <c r="L227" s="87">
        <v>171.18391890650025</v>
      </c>
      <c r="M227" s="87">
        <v>166.98991159789065</v>
      </c>
      <c r="N227" s="87">
        <v>160.6891999672078</v>
      </c>
      <c r="O227" s="87">
        <v>153.27424958266911</v>
      </c>
      <c r="P227" s="87">
        <v>148.18094989259555</v>
      </c>
      <c r="Q227" s="87">
        <v>143.85559585029034</v>
      </c>
      <c r="R227" s="87">
        <v>143.62523582191494</v>
      </c>
      <c r="S227" s="87">
        <v>143.19875246190838</v>
      </c>
      <c r="T227" s="87">
        <v>146.04996104262369</v>
      </c>
      <c r="U227" s="87">
        <v>146.11914213189689</v>
      </c>
      <c r="V227" s="87">
        <v>138.27645169334761</v>
      </c>
      <c r="W227" s="87">
        <v>130.89102114103281</v>
      </c>
      <c r="DA227" s="171" t="s">
        <v>933</v>
      </c>
    </row>
    <row r="228" spans="1:105" ht="11.45" customHeight="1" x14ac:dyDescent="0.25">
      <c r="A228" s="111" t="s">
        <v>111</v>
      </c>
      <c r="B228" s="87">
        <v>189.77330950360047</v>
      </c>
      <c r="C228" s="87">
        <v>191.97473525964023</v>
      </c>
      <c r="D228" s="87">
        <v>194.45072772738934</v>
      </c>
      <c r="E228" s="87">
        <v>197.49783519473169</v>
      </c>
      <c r="F228" s="87">
        <v>196.65160992094405</v>
      </c>
      <c r="G228" s="87">
        <v>197.66847321290288</v>
      </c>
      <c r="H228" s="87">
        <v>200.11312400384503</v>
      </c>
      <c r="I228" s="87">
        <v>196.71777568309199</v>
      </c>
      <c r="J228" s="87">
        <v>191.09368590051147</v>
      </c>
      <c r="K228" s="87">
        <v>183.61347236925258</v>
      </c>
      <c r="L228" s="87">
        <v>179.20474316507492</v>
      </c>
      <c r="M228" s="87">
        <v>173.5144751367003</v>
      </c>
      <c r="N228" s="87">
        <v>166.77505909774564</v>
      </c>
      <c r="O228" s="87">
        <v>151.98267937771769</v>
      </c>
      <c r="P228" s="87">
        <v>153.47244054697231</v>
      </c>
      <c r="Q228" s="87">
        <v>149.18691524977626</v>
      </c>
      <c r="R228" s="87">
        <v>146.86467787823332</v>
      </c>
      <c r="S228" s="87">
        <v>148.32064320399041</v>
      </c>
      <c r="T228" s="87">
        <v>152.42935692352029</v>
      </c>
      <c r="U228" s="87">
        <v>150.65881332302001</v>
      </c>
      <c r="V228" s="87">
        <v>145.9624862858937</v>
      </c>
      <c r="W228" s="87">
        <v>140.01935993523111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153.22415550852128</v>
      </c>
      <c r="D229" s="87">
        <v>155.20036271309542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146.55063441403104</v>
      </c>
      <c r="L229" s="87">
        <v>137.13506942716947</v>
      </c>
      <c r="M229" s="87">
        <v>133.96731170983617</v>
      </c>
      <c r="N229" s="87">
        <v>180.66943050453764</v>
      </c>
      <c r="O229" s="87">
        <v>127.50288761663894</v>
      </c>
      <c r="P229" s="87">
        <v>139.29904110948701</v>
      </c>
      <c r="Q229" s="87">
        <v>142.27230855600186</v>
      </c>
      <c r="R229" s="87">
        <v>133.77155542812656</v>
      </c>
      <c r="S229" s="87">
        <v>135.57597388133482</v>
      </c>
      <c r="T229" s="87">
        <v>138.08590554109341</v>
      </c>
      <c r="U229" s="87">
        <v>142.2027603392917</v>
      </c>
      <c r="V229" s="87">
        <v>123.94040536452559</v>
      </c>
      <c r="W229" s="87">
        <v>120.2911827557373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177.47738797097654</v>
      </c>
      <c r="G230" s="87">
        <v>177.12760693467942</v>
      </c>
      <c r="H230" s="87">
        <v>173.84620786035214</v>
      </c>
      <c r="I230" s="87">
        <v>0</v>
      </c>
      <c r="J230" s="87">
        <v>168.21448153493463</v>
      </c>
      <c r="K230" s="87">
        <v>161.32958286364678</v>
      </c>
      <c r="L230" s="87">
        <v>140.37274197851985</v>
      </c>
      <c r="M230" s="87">
        <v>136.90537553458037</v>
      </c>
      <c r="N230" s="87">
        <v>134.86256172420818</v>
      </c>
      <c r="O230" s="87">
        <v>130.34391243057738</v>
      </c>
      <c r="P230" s="87">
        <v>0</v>
      </c>
      <c r="Q230" s="87">
        <v>0</v>
      </c>
      <c r="R230" s="87">
        <v>114.11681640816485</v>
      </c>
      <c r="S230" s="87">
        <v>109.88051355803874</v>
      </c>
      <c r="T230" s="87">
        <v>136.02469135802471</v>
      </c>
      <c r="U230" s="87">
        <v>115.79205145118729</v>
      </c>
      <c r="V230" s="87">
        <v>113.418070889018</v>
      </c>
      <c r="W230" s="87">
        <v>112.68513388734991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67.342402504210924</v>
      </c>
      <c r="N231" s="87">
        <v>49.079208694354051</v>
      </c>
      <c r="O231" s="87">
        <v>80.818316132625242</v>
      </c>
      <c r="P231" s="87">
        <v>51.093757327944509</v>
      </c>
      <c r="Q231" s="87">
        <v>47.846908316323521</v>
      </c>
      <c r="R231" s="87">
        <v>53.941043875499965</v>
      </c>
      <c r="S231" s="87">
        <v>51.86215687380426</v>
      </c>
      <c r="T231" s="87">
        <v>49.899635842343386</v>
      </c>
      <c r="U231" s="87">
        <v>55.098893499308446</v>
      </c>
      <c r="V231" s="87">
        <v>53.237649167107882</v>
      </c>
      <c r="W231" s="87">
        <v>34.888200881325027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1445.0581859305532</v>
      </c>
      <c r="C233" s="116">
        <v>1427.0839666165846</v>
      </c>
      <c r="D233" s="116">
        <v>1423.1015276723165</v>
      </c>
      <c r="E233" s="116">
        <v>1403.4864287811347</v>
      </c>
      <c r="F233" s="116">
        <v>1424.3273824561436</v>
      </c>
      <c r="G233" s="116">
        <v>1439.1552449950455</v>
      </c>
      <c r="H233" s="116">
        <v>1423.7011705702673</v>
      </c>
      <c r="I233" s="116">
        <v>1387.5369094321911</v>
      </c>
      <c r="J233" s="116">
        <v>1421.8763157598203</v>
      </c>
      <c r="K233" s="116">
        <v>1406.2411671531518</v>
      </c>
      <c r="L233" s="116">
        <v>1380.5473524256404</v>
      </c>
      <c r="M233" s="116">
        <v>1369.6888077911617</v>
      </c>
      <c r="N233" s="116">
        <v>1355.9413180145148</v>
      </c>
      <c r="O233" s="116">
        <v>1330.0581965658669</v>
      </c>
      <c r="P233" s="116">
        <v>1301.572323269462</v>
      </c>
      <c r="Q233" s="116">
        <v>1175.3719462155743</v>
      </c>
      <c r="R233" s="116">
        <v>1268.6623236020573</v>
      </c>
      <c r="S233" s="116">
        <v>1252.7719310677194</v>
      </c>
      <c r="T233" s="116">
        <v>1226.8268706611977</v>
      </c>
      <c r="U233" s="116">
        <v>1144.6401075393294</v>
      </c>
      <c r="V233" s="116">
        <v>1158.4961516319047</v>
      </c>
      <c r="W233" s="116">
        <v>1138.6470031087742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417.36312487783891</v>
      </c>
      <c r="D234" s="101">
        <v>419.72904931027193</v>
      </c>
      <c r="E234" s="101">
        <v>417.2342874087459</v>
      </c>
      <c r="F234" s="101">
        <v>413.02950091744145</v>
      </c>
      <c r="G234" s="101">
        <v>0</v>
      </c>
      <c r="H234" s="101">
        <v>404.57893419466649</v>
      </c>
      <c r="I234" s="101">
        <v>401.13546002072923</v>
      </c>
      <c r="J234" s="101">
        <v>391.47264983876204</v>
      </c>
      <c r="K234" s="101">
        <v>375.44995368248203</v>
      </c>
      <c r="L234" s="101">
        <v>353.55344018528501</v>
      </c>
      <c r="M234" s="101">
        <v>344.95677333087247</v>
      </c>
      <c r="N234" s="101">
        <v>331.95217760801495</v>
      </c>
      <c r="O234" s="101">
        <v>316.57041086070001</v>
      </c>
      <c r="P234" s="101">
        <v>305.89217650988252</v>
      </c>
      <c r="Q234" s="101">
        <v>296.60565469363996</v>
      </c>
      <c r="R234" s="101">
        <v>288.48907926364978</v>
      </c>
      <c r="S234" s="101">
        <v>281.37423914571593</v>
      </c>
      <c r="T234" s="101">
        <v>275.12103339025748</v>
      </c>
      <c r="U234" s="101">
        <v>269.61205613675219</v>
      </c>
      <c r="V234" s="101">
        <v>264.74835567253831</v>
      </c>
      <c r="W234" s="101">
        <v>260.44608772005307</v>
      </c>
      <c r="DA234" s="175" t="s">
        <v>940</v>
      </c>
    </row>
    <row r="235" spans="1:105" ht="11.45" customHeight="1" x14ac:dyDescent="0.25">
      <c r="A235" s="111" t="s">
        <v>111</v>
      </c>
      <c r="B235" s="101">
        <v>1445.0581859305532</v>
      </c>
      <c r="C235" s="101">
        <v>1446.8933779150184</v>
      </c>
      <c r="D235" s="101">
        <v>1448.9352137307733</v>
      </c>
      <c r="E235" s="101">
        <v>1446.7725480881911</v>
      </c>
      <c r="F235" s="101">
        <v>1443.09973159232</v>
      </c>
      <c r="G235" s="101">
        <v>1442.3876463132367</v>
      </c>
      <c r="H235" s="101">
        <v>1435.6132391919143</v>
      </c>
      <c r="I235" s="101">
        <v>1432.5388969892276</v>
      </c>
      <c r="J235" s="101">
        <v>1423.7531894682375</v>
      </c>
      <c r="K235" s="101">
        <v>1408.7235238829874</v>
      </c>
      <c r="L235" s="101">
        <v>1387.2445788410525</v>
      </c>
      <c r="M235" s="101">
        <v>1378.6552130926891</v>
      </c>
      <c r="N235" s="101">
        <v>1365.2835873747911</v>
      </c>
      <c r="O235" s="101">
        <v>1348.8982606829561</v>
      </c>
      <c r="P235" s="101">
        <v>1337.2281067845577</v>
      </c>
      <c r="Q235" s="101">
        <v>1326.8424723811845</v>
      </c>
      <c r="R235" s="101">
        <v>1317.5643839829752</v>
      </c>
      <c r="S235" s="101">
        <v>1309.2695880937663</v>
      </c>
      <c r="T235" s="101">
        <v>1301.8489295561865</v>
      </c>
      <c r="U235" s="101">
        <v>1295.2063038628878</v>
      </c>
      <c r="V235" s="101">
        <v>1289.2569247875383</v>
      </c>
      <c r="W235" s="101">
        <v>1283.9258524526504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958.51785441124696</v>
      </c>
      <c r="Q236" s="101">
        <v>951.07348799798206</v>
      </c>
      <c r="R236" s="101">
        <v>944.42300455438044</v>
      </c>
      <c r="S236" s="101">
        <v>0</v>
      </c>
      <c r="T236" s="101">
        <v>0</v>
      </c>
      <c r="U236" s="101">
        <v>928.3968539846087</v>
      </c>
      <c r="V236" s="101">
        <v>924.13237133019061</v>
      </c>
      <c r="W236" s="101">
        <v>920.31108759391429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922.07180328967286</v>
      </c>
      <c r="D237" s="101">
        <v>0</v>
      </c>
      <c r="E237" s="101">
        <v>921.99480122579314</v>
      </c>
      <c r="F237" s="101">
        <v>919.65419992013199</v>
      </c>
      <c r="G237" s="101">
        <v>919.20040438315448</v>
      </c>
      <c r="H237" s="101">
        <v>914.88323085404659</v>
      </c>
      <c r="I237" s="101">
        <v>912.92402342243497</v>
      </c>
      <c r="J237" s="101">
        <v>0</v>
      </c>
      <c r="K237" s="101">
        <v>897.74703501315003</v>
      </c>
      <c r="L237" s="101">
        <v>0</v>
      </c>
      <c r="M237" s="101">
        <v>0</v>
      </c>
      <c r="N237" s="101">
        <v>870.06376463380775</v>
      </c>
      <c r="O237" s="101">
        <v>859.62177356463701</v>
      </c>
      <c r="P237" s="101">
        <v>0</v>
      </c>
      <c r="Q237" s="101">
        <v>845.56612799820584</v>
      </c>
      <c r="R237" s="101">
        <v>839.29063080732431</v>
      </c>
      <c r="S237" s="101">
        <v>833.68251445038345</v>
      </c>
      <c r="T237" s="101">
        <v>828.66725652914818</v>
      </c>
      <c r="U237" s="101">
        <v>824.17932555755476</v>
      </c>
      <c r="V237" s="101">
        <v>820.16097300647778</v>
      </c>
      <c r="W237" s="101">
        <v>816.56120942626694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234.64766024306235</v>
      </c>
      <c r="D240" s="152">
        <v>237.65583094788568</v>
      </c>
      <c r="E240" s="152">
        <v>241.37997672816789</v>
      </c>
      <c r="F240" s="152">
        <v>240.34572824290103</v>
      </c>
      <c r="G240" s="152">
        <v>241.58852889186377</v>
      </c>
      <c r="H240" s="152">
        <v>244.5763578493017</v>
      </c>
      <c r="I240" s="152">
        <v>240.42659540841569</v>
      </c>
      <c r="J240" s="152">
        <v>229.13029749979273</v>
      </c>
      <c r="K240" s="152">
        <v>220.50128013710201</v>
      </c>
      <c r="L240" s="152">
        <v>212.75363069290077</v>
      </c>
      <c r="M240" s="152">
        <v>204.29999157733468</v>
      </c>
      <c r="N240" s="152">
        <v>201.71692531298416</v>
      </c>
      <c r="O240" s="152">
        <v>180.64023688724293</v>
      </c>
      <c r="P240" s="152">
        <v>192.19761548038122</v>
      </c>
      <c r="Q240" s="152">
        <v>190.02080405649389</v>
      </c>
      <c r="R240" s="152">
        <v>179.92352878350189</v>
      </c>
      <c r="S240" s="152">
        <v>172.39844212197562</v>
      </c>
      <c r="T240" s="152">
        <v>167.04685136397146</v>
      </c>
      <c r="U240" s="152">
        <v>181.4044712405281</v>
      </c>
      <c r="V240" s="152">
        <v>192.91718921798756</v>
      </c>
      <c r="W240" s="152">
        <v>184.47425835713182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243.23507196837616</v>
      </c>
      <c r="D241" s="87">
        <v>0</v>
      </c>
      <c r="E241" s="87">
        <v>0</v>
      </c>
      <c r="F241" s="87">
        <v>0</v>
      </c>
      <c r="G241" s="87">
        <v>0</v>
      </c>
      <c r="H241" s="87">
        <v>0</v>
      </c>
      <c r="I241" s="87">
        <v>0</v>
      </c>
      <c r="J241" s="87">
        <v>0</v>
      </c>
      <c r="K241" s="87">
        <v>0</v>
      </c>
      <c r="L241" s="87">
        <v>0</v>
      </c>
      <c r="M241" s="87">
        <v>197.21547244518024</v>
      </c>
      <c r="N241" s="87">
        <v>193.58719892435585</v>
      </c>
      <c r="O241" s="87">
        <v>190.24791400069756</v>
      </c>
      <c r="P241" s="87">
        <v>174.6653602428191</v>
      </c>
      <c r="Q241" s="87">
        <v>168.21705993192322</v>
      </c>
      <c r="R241" s="87">
        <v>153.74313276762811</v>
      </c>
      <c r="S241" s="87">
        <v>148.25312578740409</v>
      </c>
      <c r="T241" s="87">
        <v>151.21717492089547</v>
      </c>
      <c r="U241" s="87">
        <v>166.0338624338624</v>
      </c>
      <c r="V241" s="87">
        <v>162.72746103195439</v>
      </c>
      <c r="W241" s="87">
        <v>162.76965901183021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234.62969649099347</v>
      </c>
      <c r="D242" s="87">
        <v>237.65583094788568</v>
      </c>
      <c r="E242" s="87">
        <v>241.37997672816789</v>
      </c>
      <c r="F242" s="87">
        <v>240.34572824290103</v>
      </c>
      <c r="G242" s="87">
        <v>241.58852889186375</v>
      </c>
      <c r="H242" s="87">
        <v>244.5763578493017</v>
      </c>
      <c r="I242" s="87">
        <v>240.42659540841569</v>
      </c>
      <c r="J242" s="87">
        <v>229.13029749979273</v>
      </c>
      <c r="K242" s="87">
        <v>220.50128013710201</v>
      </c>
      <c r="L242" s="87">
        <v>212.75363069290077</v>
      </c>
      <c r="M242" s="87">
        <v>204.51714400114992</v>
      </c>
      <c r="N242" s="87">
        <v>203.83089183818225</v>
      </c>
      <c r="O242" s="87">
        <v>179.45583089121894</v>
      </c>
      <c r="P242" s="87">
        <v>192.45810466290911</v>
      </c>
      <c r="Q242" s="87">
        <v>190.48008301520625</v>
      </c>
      <c r="R242" s="87">
        <v>182.25938992349489</v>
      </c>
      <c r="S242" s="87">
        <v>175.60460437194564</v>
      </c>
      <c r="T242" s="87">
        <v>170.41272150865774</v>
      </c>
      <c r="U242" s="87">
        <v>186.45370750895319</v>
      </c>
      <c r="V242" s="87">
        <v>197.50404917312369</v>
      </c>
      <c r="W242" s="87">
        <v>189.98409184309261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266.59023321688721</v>
      </c>
      <c r="P243" s="87">
        <v>148.9044784729833</v>
      </c>
      <c r="Q243" s="87">
        <v>154.79829268373621</v>
      </c>
      <c r="R243" s="87">
        <v>140.65200031377535</v>
      </c>
      <c r="S243" s="87">
        <v>122.19802571558391</v>
      </c>
      <c r="T243" s="87">
        <v>122.24646897768763</v>
      </c>
      <c r="U243" s="87">
        <v>122.7525773195876</v>
      </c>
      <c r="V243" s="87">
        <v>166.52662233293259</v>
      </c>
      <c r="W243" s="87">
        <v>162.1356821589205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277.7846825515075</v>
      </c>
      <c r="O244" s="87">
        <v>282.37273090934735</v>
      </c>
      <c r="P244" s="87">
        <v>153.17500178728289</v>
      </c>
      <c r="Q244" s="87">
        <v>227.98948880166236</v>
      </c>
      <c r="R244" s="87">
        <v>137.83117616154928</v>
      </c>
      <c r="S244" s="87">
        <v>161.53201773368721</v>
      </c>
      <c r="T244" s="87">
        <v>155.43162594757553</v>
      </c>
      <c r="U244" s="87">
        <v>148.41501103752759</v>
      </c>
      <c r="V244" s="87">
        <v>180.72273420068609</v>
      </c>
      <c r="W244" s="87">
        <v>212.14391143911439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1000.3920125286049</v>
      </c>
      <c r="D246" s="116">
        <v>993.86662365892016</v>
      </c>
      <c r="E246" s="116">
        <v>984.71528571355338</v>
      </c>
      <c r="F246" s="116">
        <v>979.1755310277922</v>
      </c>
      <c r="G246" s="116">
        <v>964.40580626753353</v>
      </c>
      <c r="H246" s="116">
        <v>950.91691170640433</v>
      </c>
      <c r="I246" s="116">
        <v>936.03610460645268</v>
      </c>
      <c r="J246" s="116">
        <v>916.75772190250734</v>
      </c>
      <c r="K246" s="116">
        <v>900.55981644181259</v>
      </c>
      <c r="L246" s="116">
        <v>884.10509657560397</v>
      </c>
      <c r="M246" s="116">
        <v>864.36488891149963</v>
      </c>
      <c r="N246" s="116">
        <v>843.3619306421383</v>
      </c>
      <c r="O246" s="116">
        <v>854.9241508348847</v>
      </c>
      <c r="P246" s="116">
        <v>828.60927252723718</v>
      </c>
      <c r="Q246" s="116">
        <v>800.19624954542235</v>
      </c>
      <c r="R246" s="116">
        <v>737.55831960356795</v>
      </c>
      <c r="S246" s="116">
        <v>695.21952374614</v>
      </c>
      <c r="T246" s="116">
        <v>669.83361693031839</v>
      </c>
      <c r="U246" s="116">
        <v>655.46386023146442</v>
      </c>
      <c r="V246" s="116">
        <v>644.16012760965907</v>
      </c>
      <c r="W246" s="116">
        <v>654.53432631583598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932.80199065793636</v>
      </c>
      <c r="D247" s="101">
        <v>926.45095669553996</v>
      </c>
      <c r="E247" s="101">
        <v>918.5427372578655</v>
      </c>
      <c r="F247" s="101">
        <v>909.09742727945184</v>
      </c>
      <c r="G247" s="101">
        <v>898.13885806496342</v>
      </c>
      <c r="H247" s="101">
        <v>885.69444867783818</v>
      </c>
      <c r="I247" s="101">
        <v>871.7950370510365</v>
      </c>
      <c r="J247" s="101">
        <v>856.4746927266583</v>
      </c>
      <c r="K247" s="101">
        <v>839.77051327963591</v>
      </c>
      <c r="L247" s="101">
        <v>821.72240666773746</v>
      </c>
      <c r="M247" s="101">
        <v>802.37286178505065</v>
      </c>
      <c r="N247" s="101">
        <v>781.76670958432283</v>
      </c>
      <c r="O247" s="101">
        <v>759.95087716121452</v>
      </c>
      <c r="P247" s="101">
        <v>736.97413713723074</v>
      </c>
      <c r="Q247" s="101">
        <v>712.88685467848723</v>
      </c>
      <c r="R247" s="101">
        <v>679.31350753422464</v>
      </c>
      <c r="S247" s="101">
        <v>640.14460253258483</v>
      </c>
      <c r="T247" s="101">
        <v>614.68481428151927</v>
      </c>
      <c r="U247" s="101">
        <v>600.97569753094524</v>
      </c>
      <c r="V247" s="101">
        <v>596.38060352067328</v>
      </c>
      <c r="W247" s="101">
        <v>590.41679748546665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25374</v>
      </c>
      <c r="C4" s="28">
        <f t="shared" ref="C4:V4" si="1">SUM(C5,C6,C9)</f>
        <v>26168</v>
      </c>
      <c r="D4" s="28">
        <f t="shared" si="1"/>
        <v>26711</v>
      </c>
      <c r="E4" s="28">
        <f t="shared" si="1"/>
        <v>26727</v>
      </c>
      <c r="F4" s="28">
        <f t="shared" si="1"/>
        <v>26186</v>
      </c>
      <c r="G4" s="28">
        <f t="shared" si="1"/>
        <v>27624</v>
      </c>
      <c r="H4" s="28">
        <f t="shared" si="1"/>
        <v>28305</v>
      </c>
      <c r="I4" s="28">
        <f t="shared" si="1"/>
        <v>28257</v>
      </c>
      <c r="J4" s="28">
        <f t="shared" si="1"/>
        <v>30469</v>
      </c>
      <c r="K4" s="28">
        <f t="shared" si="1"/>
        <v>29409.5</v>
      </c>
      <c r="L4" s="28">
        <f t="shared" si="1"/>
        <v>30044.9</v>
      </c>
      <c r="M4" s="28">
        <f t="shared" si="1"/>
        <v>30426.1</v>
      </c>
      <c r="N4" s="28">
        <f t="shared" si="1"/>
        <v>29792.9</v>
      </c>
      <c r="O4" s="28">
        <f t="shared" si="1"/>
        <v>30757.9</v>
      </c>
      <c r="P4" s="28">
        <f t="shared" si="1"/>
        <v>32224.7</v>
      </c>
      <c r="Q4" s="28">
        <f t="shared" si="1"/>
        <v>33343.9</v>
      </c>
      <c r="R4" s="28">
        <f t="shared" si="1"/>
        <v>34156.400000000001</v>
      </c>
      <c r="S4" s="28">
        <f t="shared" si="1"/>
        <v>35199.1</v>
      </c>
      <c r="T4" s="28">
        <f t="shared" si="1"/>
        <v>37312</v>
      </c>
      <c r="U4" s="28">
        <f t="shared" si="1"/>
        <v>37045</v>
      </c>
      <c r="V4" s="28">
        <f t="shared" si="1"/>
        <v>17197.32871798021</v>
      </c>
      <c r="W4" s="28">
        <f t="shared" ref="W4" si="2">SUM(W5,W6,W9)</f>
        <v>23423.660897475263</v>
      </c>
      <c r="DA4" s="173" t="s">
        <v>375</v>
      </c>
    </row>
    <row r="5" spans="1:105" ht="11.45" customHeight="1" x14ac:dyDescent="0.25">
      <c r="A5" s="107" t="s">
        <v>23</v>
      </c>
      <c r="B5" s="108">
        <v>5230</v>
      </c>
      <c r="C5" s="108">
        <v>5340</v>
      </c>
      <c r="D5" s="108">
        <v>5500</v>
      </c>
      <c r="E5" s="108">
        <v>5600</v>
      </c>
      <c r="F5" s="108">
        <v>5800</v>
      </c>
      <c r="G5" s="108">
        <v>6000</v>
      </c>
      <c r="H5" s="108">
        <v>6200</v>
      </c>
      <c r="I5" s="108">
        <v>6400</v>
      </c>
      <c r="J5" s="108">
        <v>6500</v>
      </c>
      <c r="K5" s="108">
        <v>6272.5</v>
      </c>
      <c r="L5" s="108">
        <v>7588.9000000000005</v>
      </c>
      <c r="M5" s="108">
        <v>7631.1</v>
      </c>
      <c r="N5" s="108">
        <v>7316.9000000000005</v>
      </c>
      <c r="O5" s="108">
        <v>6969.9000000000015</v>
      </c>
      <c r="P5" s="108">
        <v>7152.7000000000007</v>
      </c>
      <c r="Q5" s="108">
        <v>7201.9</v>
      </c>
      <c r="R5" s="108">
        <v>7486.3000000000011</v>
      </c>
      <c r="S5" s="108">
        <v>7683.0999999999995</v>
      </c>
      <c r="T5" s="108">
        <v>8892.0000000000018</v>
      </c>
      <c r="U5" s="108">
        <v>8198</v>
      </c>
      <c r="V5" s="108">
        <v>5137.3287179802101</v>
      </c>
      <c r="W5" s="108">
        <v>6421.6608974752626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18202</v>
      </c>
      <c r="C6" s="110">
        <f t="shared" ref="C6:V6" si="4">SUM(C7:C8)</f>
        <v>18751</v>
      </c>
      <c r="D6" s="110">
        <f t="shared" si="4"/>
        <v>19030</v>
      </c>
      <c r="E6" s="110">
        <f t="shared" si="4"/>
        <v>19100</v>
      </c>
      <c r="F6" s="110">
        <f t="shared" si="4"/>
        <v>18301</v>
      </c>
      <c r="G6" s="110">
        <f t="shared" si="4"/>
        <v>19300</v>
      </c>
      <c r="H6" s="110">
        <f t="shared" si="4"/>
        <v>19408</v>
      </c>
      <c r="I6" s="110">
        <f t="shared" si="4"/>
        <v>19265</v>
      </c>
      <c r="J6" s="110">
        <f t="shared" si="4"/>
        <v>18486</v>
      </c>
      <c r="K6" s="110">
        <f t="shared" si="4"/>
        <v>11632</v>
      </c>
      <c r="L6" s="110">
        <f t="shared" si="4"/>
        <v>10741</v>
      </c>
      <c r="M6" s="110">
        <f t="shared" si="4"/>
        <v>11564</v>
      </c>
      <c r="N6" s="110">
        <f t="shared" si="4"/>
        <v>11299</v>
      </c>
      <c r="O6" s="110">
        <f t="shared" si="4"/>
        <v>11044</v>
      </c>
      <c r="P6" s="110">
        <f t="shared" si="4"/>
        <v>12284</v>
      </c>
      <c r="Q6" s="110">
        <f t="shared" si="4"/>
        <v>12013</v>
      </c>
      <c r="R6" s="110">
        <f t="shared" si="4"/>
        <v>11611.100000000002</v>
      </c>
      <c r="S6" s="110">
        <f t="shared" si="4"/>
        <v>11976</v>
      </c>
      <c r="T6" s="110">
        <f t="shared" si="4"/>
        <v>12293.999999999998</v>
      </c>
      <c r="U6" s="110">
        <f t="shared" si="4"/>
        <v>12775.999999999998</v>
      </c>
      <c r="V6" s="110">
        <f t="shared" si="4"/>
        <v>6451</v>
      </c>
      <c r="W6" s="110">
        <f t="shared" ref="W6" si="5">SUM(W7:W8)</f>
        <v>10632</v>
      </c>
      <c r="DA6" s="176" t="s">
        <v>377</v>
      </c>
    </row>
    <row r="7" spans="1:105" ht="11.45" customHeight="1" x14ac:dyDescent="0.25">
      <c r="A7" s="111" t="s">
        <v>90</v>
      </c>
      <c r="B7" s="84">
        <v>4693.4341156855498</v>
      </c>
      <c r="C7" s="84">
        <v>5124.4801999274277</v>
      </c>
      <c r="D7" s="84">
        <v>4974.7856964636712</v>
      </c>
      <c r="E7" s="84">
        <v>4763.6331248318666</v>
      </c>
      <c r="F7" s="84">
        <v>4389.4280074874769</v>
      </c>
      <c r="G7" s="84">
        <v>4510.3360151443449</v>
      </c>
      <c r="H7" s="84">
        <v>8365.3225186926975</v>
      </c>
      <c r="I7" s="84">
        <v>7626.9569617023981</v>
      </c>
      <c r="J7" s="84">
        <v>6708.2275451887645</v>
      </c>
      <c r="K7" s="84">
        <v>6826.786826552694</v>
      </c>
      <c r="L7" s="84">
        <v>6538.7728148839888</v>
      </c>
      <c r="M7" s="84">
        <v>3220.5043374994329</v>
      </c>
      <c r="N7" s="84">
        <v>3435.5317240027493</v>
      </c>
      <c r="O7" s="84">
        <v>1859.5488185969971</v>
      </c>
      <c r="P7" s="84">
        <v>1959.7695179898178</v>
      </c>
      <c r="Q7" s="84">
        <v>1564.2682832715259</v>
      </c>
      <c r="R7" s="84">
        <v>1275.1150657700928</v>
      </c>
      <c r="S7" s="84">
        <v>1727.5667251078764</v>
      </c>
      <c r="T7" s="84">
        <v>1771.477268068589</v>
      </c>
      <c r="U7" s="84">
        <v>1876.8206553901348</v>
      </c>
      <c r="V7" s="84">
        <v>705.41006165566921</v>
      </c>
      <c r="W7" s="84">
        <v>393.86991057004121</v>
      </c>
      <c r="DA7" s="171" t="s">
        <v>1029</v>
      </c>
    </row>
    <row r="8" spans="1:105" ht="11.45" customHeight="1" x14ac:dyDescent="0.25">
      <c r="A8" s="111" t="s">
        <v>93</v>
      </c>
      <c r="B8" s="84">
        <v>13508.56588431445</v>
      </c>
      <c r="C8" s="84">
        <v>13626.519800072572</v>
      </c>
      <c r="D8" s="84">
        <v>14055.21430353633</v>
      </c>
      <c r="E8" s="84">
        <v>14336.366875168133</v>
      </c>
      <c r="F8" s="84">
        <v>13911.571992512523</v>
      </c>
      <c r="G8" s="84">
        <v>14789.663984855655</v>
      </c>
      <c r="H8" s="84">
        <v>11042.677481307303</v>
      </c>
      <c r="I8" s="84">
        <v>11638.043038297601</v>
      </c>
      <c r="J8" s="84">
        <v>11777.772454811235</v>
      </c>
      <c r="K8" s="84">
        <v>4805.213173447306</v>
      </c>
      <c r="L8" s="84">
        <v>4202.2271851160112</v>
      </c>
      <c r="M8" s="84">
        <v>8343.4956625005671</v>
      </c>
      <c r="N8" s="84">
        <v>7863.4682759972511</v>
      </c>
      <c r="O8" s="84">
        <v>9184.4511814030029</v>
      </c>
      <c r="P8" s="84">
        <v>10324.230482010182</v>
      </c>
      <c r="Q8" s="84">
        <v>10448.731716728475</v>
      </c>
      <c r="R8" s="84">
        <v>10335.984934229909</v>
      </c>
      <c r="S8" s="84">
        <v>10248.433274892124</v>
      </c>
      <c r="T8" s="84">
        <v>10522.522731931409</v>
      </c>
      <c r="U8" s="84">
        <v>10899.179344609864</v>
      </c>
      <c r="V8" s="84">
        <v>5745.5899383443311</v>
      </c>
      <c r="W8" s="84">
        <v>10238.130089429958</v>
      </c>
      <c r="DA8" s="171" t="s">
        <v>1030</v>
      </c>
    </row>
    <row r="9" spans="1:105" ht="11.45" customHeight="1" x14ac:dyDescent="0.25">
      <c r="A9" s="112" t="s">
        <v>25</v>
      </c>
      <c r="B9" s="113">
        <v>1942</v>
      </c>
      <c r="C9" s="113">
        <v>2077</v>
      </c>
      <c r="D9" s="113">
        <v>2181</v>
      </c>
      <c r="E9" s="113">
        <v>2027.0000000000002</v>
      </c>
      <c r="F9" s="113">
        <v>2085</v>
      </c>
      <c r="G9" s="113">
        <v>2324</v>
      </c>
      <c r="H9" s="113">
        <v>2697</v>
      </c>
      <c r="I9" s="113">
        <v>2592</v>
      </c>
      <c r="J9" s="113">
        <v>5483</v>
      </c>
      <c r="K9" s="113">
        <v>11505</v>
      </c>
      <c r="L9" s="113">
        <v>11715</v>
      </c>
      <c r="M9" s="113">
        <v>11231</v>
      </c>
      <c r="N9" s="113">
        <v>11177</v>
      </c>
      <c r="O9" s="113">
        <v>12744</v>
      </c>
      <c r="P9" s="113">
        <v>12788</v>
      </c>
      <c r="Q9" s="113">
        <v>14129</v>
      </c>
      <c r="R9" s="113">
        <v>15059</v>
      </c>
      <c r="S9" s="113">
        <v>15540</v>
      </c>
      <c r="T9" s="113">
        <v>16126.000000000002</v>
      </c>
      <c r="U9" s="113">
        <v>16071.000000000002</v>
      </c>
      <c r="V9" s="113">
        <v>5609</v>
      </c>
      <c r="W9" s="113">
        <v>6370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12171</v>
      </c>
      <c r="C10" s="28">
        <f t="shared" ref="C10:V10" si="7">SUM(C11:C12)</f>
        <v>12322</v>
      </c>
      <c r="D10" s="28">
        <f t="shared" si="7"/>
        <v>12247</v>
      </c>
      <c r="E10" s="28">
        <f t="shared" si="7"/>
        <v>12411</v>
      </c>
      <c r="F10" s="28">
        <f t="shared" si="7"/>
        <v>12436</v>
      </c>
      <c r="G10" s="28">
        <f t="shared" si="7"/>
        <v>11585</v>
      </c>
      <c r="H10" s="28">
        <f t="shared" si="7"/>
        <v>11541</v>
      </c>
      <c r="I10" s="28">
        <f t="shared" si="7"/>
        <v>11237</v>
      </c>
      <c r="J10" s="28">
        <f t="shared" si="7"/>
        <v>10971</v>
      </c>
      <c r="K10" s="28">
        <f t="shared" si="7"/>
        <v>7806</v>
      </c>
      <c r="L10" s="28">
        <f t="shared" si="7"/>
        <v>8913</v>
      </c>
      <c r="M10" s="28">
        <f t="shared" si="7"/>
        <v>9451</v>
      </c>
      <c r="N10" s="28">
        <f t="shared" si="7"/>
        <v>9458</v>
      </c>
      <c r="O10" s="28">
        <f t="shared" si="7"/>
        <v>9338</v>
      </c>
      <c r="P10" s="28">
        <f t="shared" si="7"/>
        <v>10385</v>
      </c>
      <c r="Q10" s="28">
        <f t="shared" si="7"/>
        <v>11028</v>
      </c>
      <c r="R10" s="28">
        <f t="shared" si="7"/>
        <v>10550</v>
      </c>
      <c r="S10" s="28">
        <f t="shared" si="7"/>
        <v>10549</v>
      </c>
      <c r="T10" s="28">
        <f t="shared" si="7"/>
        <v>10650</v>
      </c>
      <c r="U10" s="28">
        <f t="shared" si="7"/>
        <v>10710</v>
      </c>
      <c r="V10" s="28">
        <f t="shared" si="7"/>
        <v>8920</v>
      </c>
      <c r="W10" s="28">
        <f t="shared" ref="W10" si="8">SUM(W11:W12)</f>
        <v>10299</v>
      </c>
      <c r="DA10" s="173" t="s">
        <v>383</v>
      </c>
    </row>
    <row r="11" spans="1:105" ht="11.45" customHeight="1" x14ac:dyDescent="0.25">
      <c r="A11" s="83" t="s">
        <v>90</v>
      </c>
      <c r="B11" s="84">
        <v>3670.0078546895516</v>
      </c>
      <c r="C11" s="84">
        <v>4101.4571097415337</v>
      </c>
      <c r="D11" s="84">
        <v>3728.3475097436531</v>
      </c>
      <c r="E11" s="84">
        <v>2928.6950995086331</v>
      </c>
      <c r="F11" s="84">
        <v>2836.4163486860648</v>
      </c>
      <c r="G11" s="84">
        <v>2741.6516588906879</v>
      </c>
      <c r="H11" s="84">
        <v>5171.0485189392884</v>
      </c>
      <c r="I11" s="84">
        <v>4936.6050368379592</v>
      </c>
      <c r="J11" s="84">
        <v>5146.0942191544427</v>
      </c>
      <c r="K11" s="84">
        <v>6486.7956209671565</v>
      </c>
      <c r="L11" s="84">
        <v>6784.0003110692669</v>
      </c>
      <c r="M11" s="84">
        <v>3416.7406977028836</v>
      </c>
      <c r="N11" s="84">
        <v>3927.6200226070773</v>
      </c>
      <c r="O11" s="84">
        <v>2200.1520260155985</v>
      </c>
      <c r="P11" s="84">
        <v>2381.1537464630824</v>
      </c>
      <c r="Q11" s="84">
        <v>2060.4607818771951</v>
      </c>
      <c r="R11" s="84">
        <v>1601.5910024153786</v>
      </c>
      <c r="S11" s="84">
        <v>2126.7654361799669</v>
      </c>
      <c r="T11" s="84">
        <v>2000.8906979598455</v>
      </c>
      <c r="U11" s="84">
        <v>2128.851314048326</v>
      </c>
      <c r="V11" s="84">
        <v>1226.076693999071</v>
      </c>
      <c r="W11" s="84">
        <v>627.45077705593269</v>
      </c>
      <c r="DA11" s="171" t="s">
        <v>1031</v>
      </c>
    </row>
    <row r="12" spans="1:105" ht="11.45" customHeight="1" x14ac:dyDescent="0.25">
      <c r="A12" s="85" t="s">
        <v>93</v>
      </c>
      <c r="B12" s="86">
        <v>8500.9921453104489</v>
      </c>
      <c r="C12" s="86">
        <v>8220.5428902584663</v>
      </c>
      <c r="D12" s="86">
        <v>8518.6524902563469</v>
      </c>
      <c r="E12" s="86">
        <v>9482.3049004913664</v>
      </c>
      <c r="F12" s="86">
        <v>9599.5836513139348</v>
      </c>
      <c r="G12" s="86">
        <v>8843.3483411093111</v>
      </c>
      <c r="H12" s="86">
        <v>6369.9514810607116</v>
      </c>
      <c r="I12" s="86">
        <v>6300.3949631620408</v>
      </c>
      <c r="J12" s="86">
        <v>5824.9057808455573</v>
      </c>
      <c r="K12" s="86">
        <v>1319.2043790328435</v>
      </c>
      <c r="L12" s="86">
        <v>2128.9996889307331</v>
      </c>
      <c r="M12" s="86">
        <v>6034.2593022971159</v>
      </c>
      <c r="N12" s="86">
        <v>5530.3799773929222</v>
      </c>
      <c r="O12" s="86">
        <v>7137.8479739844015</v>
      </c>
      <c r="P12" s="86">
        <v>8003.8462535369181</v>
      </c>
      <c r="Q12" s="86">
        <v>8967.5392181228053</v>
      </c>
      <c r="R12" s="86">
        <v>8948.4089975846218</v>
      </c>
      <c r="S12" s="86">
        <v>8422.2345638200331</v>
      </c>
      <c r="T12" s="86">
        <v>8649.1093020401549</v>
      </c>
      <c r="U12" s="86">
        <v>8581.1486859516735</v>
      </c>
      <c r="V12" s="86">
        <v>7693.9233060009292</v>
      </c>
      <c r="W12" s="86">
        <v>9671.5492229440679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219.4829282151905</v>
      </c>
      <c r="C14" s="62">
        <f t="shared" ref="C14:V14" si="10">C15+C21</f>
        <v>241.89828043160196</v>
      </c>
      <c r="D14" s="62">
        <f t="shared" si="10"/>
        <v>261.41850427225177</v>
      </c>
      <c r="E14" s="62">
        <f t="shared" si="10"/>
        <v>290.78909033760783</v>
      </c>
      <c r="F14" s="62">
        <f t="shared" si="10"/>
        <v>312.22798430696878</v>
      </c>
      <c r="G14" s="62">
        <f t="shared" si="10"/>
        <v>342.42357160884603</v>
      </c>
      <c r="H14" s="62">
        <f t="shared" si="10"/>
        <v>270.05705436740044</v>
      </c>
      <c r="I14" s="62">
        <f t="shared" si="10"/>
        <v>305.09449076286074</v>
      </c>
      <c r="J14" s="62">
        <f t="shared" si="10"/>
        <v>315.10379230800925</v>
      </c>
      <c r="K14" s="62">
        <f t="shared" si="10"/>
        <v>277.98239886209882</v>
      </c>
      <c r="L14" s="62">
        <f t="shared" si="10"/>
        <v>303.61128093040941</v>
      </c>
      <c r="M14" s="62">
        <f t="shared" si="10"/>
        <v>343.14231852489002</v>
      </c>
      <c r="N14" s="62">
        <f t="shared" si="10"/>
        <v>352.69384179928147</v>
      </c>
      <c r="O14" s="62">
        <f t="shared" si="10"/>
        <v>282.1289342431603</v>
      </c>
      <c r="P14" s="62">
        <f t="shared" si="10"/>
        <v>295.05098772788926</v>
      </c>
      <c r="Q14" s="62">
        <f t="shared" si="10"/>
        <v>308.56527081156401</v>
      </c>
      <c r="R14" s="62">
        <f t="shared" si="10"/>
        <v>313.70804668412308</v>
      </c>
      <c r="S14" s="62">
        <f t="shared" si="10"/>
        <v>314.52164337921721</v>
      </c>
      <c r="T14" s="62">
        <f t="shared" si="10"/>
        <v>325.83593419962563</v>
      </c>
      <c r="U14" s="62">
        <f t="shared" si="10"/>
        <v>314.50120011833366</v>
      </c>
      <c r="V14" s="62">
        <f t="shared" si="10"/>
        <v>280.40768590549737</v>
      </c>
      <c r="W14" s="62">
        <f t="shared" ref="W14" si="11">W15+W21</f>
        <v>295.04149337634516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192.38707809863473</v>
      </c>
      <c r="C15" s="29">
        <f t="shared" ref="C15:V15" si="13">SUM(C16,C17,C20)</f>
        <v>208.80188183138503</v>
      </c>
      <c r="D15" s="29">
        <f t="shared" si="13"/>
        <v>224.9827042722124</v>
      </c>
      <c r="E15" s="29">
        <f t="shared" si="13"/>
        <v>252.19147443652679</v>
      </c>
      <c r="F15" s="29">
        <f t="shared" si="13"/>
        <v>273.55340388715064</v>
      </c>
      <c r="G15" s="29">
        <f t="shared" si="13"/>
        <v>304.452131994485</v>
      </c>
      <c r="H15" s="29">
        <f t="shared" si="13"/>
        <v>244.59146818363945</v>
      </c>
      <c r="I15" s="29">
        <f t="shared" si="13"/>
        <v>269.16301241202586</v>
      </c>
      <c r="J15" s="29">
        <f t="shared" si="13"/>
        <v>281.96326507796499</v>
      </c>
      <c r="K15" s="29">
        <f t="shared" si="13"/>
        <v>258.79496585352729</v>
      </c>
      <c r="L15" s="29">
        <f t="shared" si="13"/>
        <v>278.66809018613355</v>
      </c>
      <c r="M15" s="29">
        <f t="shared" si="13"/>
        <v>317.19498688040136</v>
      </c>
      <c r="N15" s="29">
        <f t="shared" si="13"/>
        <v>328.91533232837355</v>
      </c>
      <c r="O15" s="29">
        <f t="shared" si="13"/>
        <v>258.56254729799218</v>
      </c>
      <c r="P15" s="29">
        <f t="shared" si="13"/>
        <v>269.2181455701724</v>
      </c>
      <c r="Q15" s="29">
        <f t="shared" si="13"/>
        <v>279.40057929917123</v>
      </c>
      <c r="R15" s="29">
        <f t="shared" si="13"/>
        <v>288.77955409638611</v>
      </c>
      <c r="S15" s="29">
        <f t="shared" si="13"/>
        <v>288.01558363378467</v>
      </c>
      <c r="T15" s="29">
        <f t="shared" si="13"/>
        <v>299.64018368571391</v>
      </c>
      <c r="U15" s="29">
        <f t="shared" si="13"/>
        <v>288.17888441452124</v>
      </c>
      <c r="V15" s="29">
        <f t="shared" si="13"/>
        <v>244.95197168661255</v>
      </c>
      <c r="W15" s="29">
        <f t="shared" ref="W15" si="14">SUM(W16,W17,W20)</f>
        <v>267.6084722849946</v>
      </c>
      <c r="DA15" s="173" t="s">
        <v>1034</v>
      </c>
    </row>
    <row r="16" spans="1:105" ht="11.45" customHeight="1" x14ac:dyDescent="0.25">
      <c r="A16" s="107" t="s">
        <v>23</v>
      </c>
      <c r="B16" s="115">
        <v>63.376122818170622</v>
      </c>
      <c r="C16" s="115">
        <v>64.717056166157761</v>
      </c>
      <c r="D16" s="115">
        <v>66.489934220528056</v>
      </c>
      <c r="E16" s="115">
        <v>71.623248599082714</v>
      </c>
      <c r="F16" s="115">
        <v>74.181221763335671</v>
      </c>
      <c r="G16" s="115">
        <v>75.623352916548427</v>
      </c>
      <c r="H16" s="115">
        <v>77.985893605938173</v>
      </c>
      <c r="I16" s="115">
        <v>81.131864199823283</v>
      </c>
      <c r="J16" s="115">
        <v>81.881841903584345</v>
      </c>
      <c r="K16" s="115">
        <v>80.213040413830527</v>
      </c>
      <c r="L16" s="115">
        <v>97.514098670957424</v>
      </c>
      <c r="M16" s="115">
        <v>97.004838224325667</v>
      </c>
      <c r="N16" s="115">
        <v>94.4879126731051</v>
      </c>
      <c r="O16" s="115">
        <v>88.667087331416099</v>
      </c>
      <c r="P16" s="115">
        <v>90.150570810818252</v>
      </c>
      <c r="Q16" s="115">
        <v>89.396845310785594</v>
      </c>
      <c r="R16" s="115">
        <v>92.019205832233553</v>
      </c>
      <c r="S16" s="115">
        <v>94.697716277202787</v>
      </c>
      <c r="T16" s="115">
        <v>108.44233893363656</v>
      </c>
      <c r="U16" s="115">
        <v>108.23078012243769</v>
      </c>
      <c r="V16" s="115">
        <v>96.628779782097922</v>
      </c>
      <c r="W16" s="115">
        <v>93.570848604420604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118.56478579185575</v>
      </c>
      <c r="C17" s="116">
        <f t="shared" ref="C17:V17" si="16">SUM(C18:C19)</f>
        <v>133.00618083828783</v>
      </c>
      <c r="D17" s="116">
        <f t="shared" si="16"/>
        <v>146.43384425716931</v>
      </c>
      <c r="E17" s="116">
        <f t="shared" si="16"/>
        <v>169.40793818394312</v>
      </c>
      <c r="F17" s="116">
        <f t="shared" si="16"/>
        <v>187.66488215977296</v>
      </c>
      <c r="G17" s="116">
        <f t="shared" si="16"/>
        <v>215.9554171213552</v>
      </c>
      <c r="H17" s="116">
        <f t="shared" si="16"/>
        <v>151.92642278847745</v>
      </c>
      <c r="I17" s="116">
        <f t="shared" si="16"/>
        <v>173.20576353192868</v>
      </c>
      <c r="J17" s="116">
        <f t="shared" si="16"/>
        <v>170.50156150710308</v>
      </c>
      <c r="K17" s="116">
        <f t="shared" si="16"/>
        <v>114.99693836800968</v>
      </c>
      <c r="L17" s="116">
        <f t="shared" si="16"/>
        <v>115.13152129366676</v>
      </c>
      <c r="M17" s="116">
        <f t="shared" si="16"/>
        <v>156.68146314530847</v>
      </c>
      <c r="N17" s="116">
        <f t="shared" si="16"/>
        <v>172.5876231684461</v>
      </c>
      <c r="O17" s="116">
        <f t="shared" si="16"/>
        <v>105.88147504398</v>
      </c>
      <c r="P17" s="116">
        <f t="shared" si="16"/>
        <v>116.08762809439202</v>
      </c>
      <c r="Q17" s="116">
        <f t="shared" si="16"/>
        <v>128.49070905181148</v>
      </c>
      <c r="R17" s="116">
        <f t="shared" si="16"/>
        <v>134.16833520084802</v>
      </c>
      <c r="S17" s="116">
        <f t="shared" si="16"/>
        <v>127.04354784992279</v>
      </c>
      <c r="T17" s="116">
        <f t="shared" si="16"/>
        <v>124.32464887578868</v>
      </c>
      <c r="U17" s="116">
        <f t="shared" si="16"/>
        <v>113.30298889286271</v>
      </c>
      <c r="V17" s="116">
        <f t="shared" si="16"/>
        <v>116.09139206042967</v>
      </c>
      <c r="W17" s="116">
        <f t="shared" ref="W17" si="17">SUM(W18:W19)</f>
        <v>139.85701340317519</v>
      </c>
      <c r="DA17" s="176" t="s">
        <v>1036</v>
      </c>
    </row>
    <row r="18" spans="1:105" ht="11.45" customHeight="1" x14ac:dyDescent="0.25">
      <c r="A18" s="111" t="s">
        <v>92</v>
      </c>
      <c r="B18" s="87">
        <v>42.368072851357212</v>
      </c>
      <c r="C18" s="87">
        <v>44.731869353649991</v>
      </c>
      <c r="D18" s="87">
        <v>46.510352044773313</v>
      </c>
      <c r="E18" s="87">
        <v>58.287610723953442</v>
      </c>
      <c r="F18" s="87">
        <v>71.554423271173604</v>
      </c>
      <c r="G18" s="87">
        <v>83.347139463147784</v>
      </c>
      <c r="H18" s="87">
        <v>71.418731888695049</v>
      </c>
      <c r="I18" s="87">
        <v>81.885741802791998</v>
      </c>
      <c r="J18" s="87">
        <v>78.362880158048753</v>
      </c>
      <c r="K18" s="87">
        <v>66.292391694813759</v>
      </c>
      <c r="L18" s="87">
        <v>65.594392244123156</v>
      </c>
      <c r="M18" s="87">
        <v>65.991989494411087</v>
      </c>
      <c r="N18" s="87">
        <v>76.760028994885303</v>
      </c>
      <c r="O18" s="87">
        <v>18.701454627849543</v>
      </c>
      <c r="P18" s="87">
        <v>19.387090434246609</v>
      </c>
      <c r="Q18" s="87">
        <v>26.1067685752028</v>
      </c>
      <c r="R18" s="87">
        <v>30.311724334256276</v>
      </c>
      <c r="S18" s="87">
        <v>21.268809341160701</v>
      </c>
      <c r="T18" s="87">
        <v>20.661222323317538</v>
      </c>
      <c r="U18" s="87">
        <v>18.66787147342059</v>
      </c>
      <c r="V18" s="87">
        <v>13.206047758874115</v>
      </c>
      <c r="W18" s="87">
        <v>20.62609949181893</v>
      </c>
      <c r="DA18" s="171" t="s">
        <v>1037</v>
      </c>
    </row>
    <row r="19" spans="1:105" ht="11.45" customHeight="1" x14ac:dyDescent="0.25">
      <c r="A19" s="111" t="s">
        <v>93</v>
      </c>
      <c r="B19" s="87">
        <v>76.196712940498543</v>
      </c>
      <c r="C19" s="87">
        <v>88.274311484637849</v>
      </c>
      <c r="D19" s="87">
        <v>99.923492212395999</v>
      </c>
      <c r="E19" s="87">
        <v>111.12032745998967</v>
      </c>
      <c r="F19" s="87">
        <v>116.11045888859935</v>
      </c>
      <c r="G19" s="87">
        <v>132.60827765820741</v>
      </c>
      <c r="H19" s="87">
        <v>80.507690899782403</v>
      </c>
      <c r="I19" s="87">
        <v>91.320021729136684</v>
      </c>
      <c r="J19" s="87">
        <v>92.138681349054323</v>
      </c>
      <c r="K19" s="87">
        <v>48.704546673195921</v>
      </c>
      <c r="L19" s="87">
        <v>49.537129049543609</v>
      </c>
      <c r="M19" s="87">
        <v>90.689473650897384</v>
      </c>
      <c r="N19" s="87">
        <v>95.827594173560797</v>
      </c>
      <c r="O19" s="87">
        <v>87.180020416130461</v>
      </c>
      <c r="P19" s="87">
        <v>96.700537660145415</v>
      </c>
      <c r="Q19" s="87">
        <v>102.38394047660867</v>
      </c>
      <c r="R19" s="87">
        <v>103.85661086659175</v>
      </c>
      <c r="S19" s="87">
        <v>105.77473850876208</v>
      </c>
      <c r="T19" s="87">
        <v>103.66342655247115</v>
      </c>
      <c r="U19" s="87">
        <v>94.635117419442125</v>
      </c>
      <c r="V19" s="87">
        <v>102.88534430155555</v>
      </c>
      <c r="W19" s="87">
        <v>119.23091391135625</v>
      </c>
      <c r="DA19" s="171" t="s">
        <v>1038</v>
      </c>
    </row>
    <row r="20" spans="1:105" ht="11.45" customHeight="1" x14ac:dyDescent="0.25">
      <c r="A20" s="112" t="s">
        <v>25</v>
      </c>
      <c r="B20" s="117">
        <v>10.446169488608341</v>
      </c>
      <c r="C20" s="117">
        <v>11.078644826939444</v>
      </c>
      <c r="D20" s="117">
        <v>12.058925794515032</v>
      </c>
      <c r="E20" s="117">
        <v>11.160287653500969</v>
      </c>
      <c r="F20" s="117">
        <v>11.707299964042049</v>
      </c>
      <c r="G20" s="117">
        <v>12.873361956581384</v>
      </c>
      <c r="H20" s="117">
        <v>14.679151789223821</v>
      </c>
      <c r="I20" s="117">
        <v>14.825384680273904</v>
      </c>
      <c r="J20" s="117">
        <v>29.579861667277555</v>
      </c>
      <c r="K20" s="117">
        <v>63.584987071687038</v>
      </c>
      <c r="L20" s="117">
        <v>66.022470221509352</v>
      </c>
      <c r="M20" s="117">
        <v>63.508685510767229</v>
      </c>
      <c r="N20" s="117">
        <v>61.839796486822394</v>
      </c>
      <c r="O20" s="117">
        <v>64.01398492259608</v>
      </c>
      <c r="P20" s="117">
        <v>62.979946664962135</v>
      </c>
      <c r="Q20" s="117">
        <v>61.513024936574126</v>
      </c>
      <c r="R20" s="117">
        <v>62.592013063304556</v>
      </c>
      <c r="S20" s="117">
        <v>66.274319506659097</v>
      </c>
      <c r="T20" s="117">
        <v>66.873195876288676</v>
      </c>
      <c r="U20" s="117">
        <v>66.645115399220828</v>
      </c>
      <c r="V20" s="117">
        <v>32.231799844084975</v>
      </c>
      <c r="W20" s="117">
        <v>34.180610277398813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27.095850116555756</v>
      </c>
      <c r="C21" s="29">
        <f t="shared" ref="C21:V21" si="19">SUM(C22:C23)</f>
        <v>33.096398600216943</v>
      </c>
      <c r="D21" s="29">
        <f t="shared" si="19"/>
        <v>36.435800000039336</v>
      </c>
      <c r="E21" s="29">
        <f t="shared" si="19"/>
        <v>38.597615901081049</v>
      </c>
      <c r="F21" s="29">
        <f t="shared" si="19"/>
        <v>38.674580419818156</v>
      </c>
      <c r="G21" s="29">
        <f t="shared" si="19"/>
        <v>37.971439614361053</v>
      </c>
      <c r="H21" s="29">
        <f t="shared" si="19"/>
        <v>25.465586183761001</v>
      </c>
      <c r="I21" s="29">
        <f t="shared" si="19"/>
        <v>35.931478350834894</v>
      </c>
      <c r="J21" s="29">
        <f t="shared" si="19"/>
        <v>33.140527230044285</v>
      </c>
      <c r="K21" s="29">
        <f t="shared" si="19"/>
        <v>19.18743300857151</v>
      </c>
      <c r="L21" s="29">
        <f t="shared" si="19"/>
        <v>24.943190744275874</v>
      </c>
      <c r="M21" s="29">
        <f t="shared" si="19"/>
        <v>25.947331644488681</v>
      </c>
      <c r="N21" s="29">
        <f t="shared" si="19"/>
        <v>23.778509470907906</v>
      </c>
      <c r="O21" s="29">
        <f t="shared" si="19"/>
        <v>23.566386945168148</v>
      </c>
      <c r="P21" s="29">
        <f t="shared" si="19"/>
        <v>25.832842157716854</v>
      </c>
      <c r="Q21" s="29">
        <f t="shared" si="19"/>
        <v>29.164691512392753</v>
      </c>
      <c r="R21" s="29">
        <f t="shared" si="19"/>
        <v>24.928492587736972</v>
      </c>
      <c r="S21" s="29">
        <f t="shared" si="19"/>
        <v>26.506059745432548</v>
      </c>
      <c r="T21" s="29">
        <f t="shared" si="19"/>
        <v>26.19575051391174</v>
      </c>
      <c r="U21" s="29">
        <f t="shared" si="19"/>
        <v>26.322315703812421</v>
      </c>
      <c r="V21" s="29">
        <f t="shared" si="19"/>
        <v>35.455714218884793</v>
      </c>
      <c r="W21" s="29">
        <f t="shared" ref="W21" si="20">SUM(W22:W23)</f>
        <v>27.433021091350579</v>
      </c>
      <c r="DA21" s="173" t="s">
        <v>1040</v>
      </c>
    </row>
    <row r="22" spans="1:105" ht="11.45" customHeight="1" x14ac:dyDescent="0.25">
      <c r="A22" s="83" t="s">
        <v>92</v>
      </c>
      <c r="B22" s="87">
        <v>10.902326407428337</v>
      </c>
      <c r="C22" s="87">
        <v>12.009381339602559</v>
      </c>
      <c r="D22" s="87">
        <v>10.885483567468448</v>
      </c>
      <c r="E22" s="87">
        <v>9.333493780176763</v>
      </c>
      <c r="F22" s="87">
        <v>9.0442184187210266</v>
      </c>
      <c r="G22" s="87">
        <v>8.7336418493968075</v>
      </c>
      <c r="H22" s="87">
        <v>10.526303394796065</v>
      </c>
      <c r="I22" s="87">
        <v>14.593005727186823</v>
      </c>
      <c r="J22" s="87">
        <v>15.14358823069357</v>
      </c>
      <c r="K22" s="87">
        <v>14.774777597997026</v>
      </c>
      <c r="L22" s="87">
        <v>17.588034830786601</v>
      </c>
      <c r="M22" s="87">
        <v>9.6335592032001145</v>
      </c>
      <c r="N22" s="87">
        <v>10.148674960731457</v>
      </c>
      <c r="O22" s="87">
        <v>5.0773893730064144</v>
      </c>
      <c r="P22" s="87">
        <v>5.4137591925745578</v>
      </c>
      <c r="Q22" s="87">
        <v>4.3581706262017521</v>
      </c>
      <c r="R22" s="87">
        <v>3.4774001104795103</v>
      </c>
      <c r="S22" s="87">
        <v>6.5277706194445875</v>
      </c>
      <c r="T22" s="87">
        <v>7.4409619439949806</v>
      </c>
      <c r="U22" s="87">
        <v>8.8066110596062277</v>
      </c>
      <c r="V22" s="87">
        <v>6.7596483867723327</v>
      </c>
      <c r="W22" s="87">
        <v>3.5574080935212287</v>
      </c>
      <c r="DA22" s="171" t="s">
        <v>1041</v>
      </c>
    </row>
    <row r="23" spans="1:105" ht="11.45" customHeight="1" x14ac:dyDescent="0.25">
      <c r="A23" s="85" t="s">
        <v>93</v>
      </c>
      <c r="B23" s="88">
        <v>16.193523709127419</v>
      </c>
      <c r="C23" s="88">
        <v>21.087017260614385</v>
      </c>
      <c r="D23" s="88">
        <v>25.550316432570888</v>
      </c>
      <c r="E23" s="88">
        <v>29.264122120904286</v>
      </c>
      <c r="F23" s="88">
        <v>29.630362001097129</v>
      </c>
      <c r="G23" s="88">
        <v>29.237797764964245</v>
      </c>
      <c r="H23" s="88">
        <v>14.939282788964936</v>
      </c>
      <c r="I23" s="88">
        <v>21.338472623648073</v>
      </c>
      <c r="J23" s="88">
        <v>17.996938999350714</v>
      </c>
      <c r="K23" s="88">
        <v>4.4126554105744837</v>
      </c>
      <c r="L23" s="88">
        <v>7.3551559134892734</v>
      </c>
      <c r="M23" s="88">
        <v>16.313772441288567</v>
      </c>
      <c r="N23" s="88">
        <v>13.629834510176449</v>
      </c>
      <c r="O23" s="88">
        <v>18.488997572161733</v>
      </c>
      <c r="P23" s="88">
        <v>20.419082965142294</v>
      </c>
      <c r="Q23" s="88">
        <v>24.806520886191002</v>
      </c>
      <c r="R23" s="88">
        <v>21.451092477257461</v>
      </c>
      <c r="S23" s="88">
        <v>19.97828912598796</v>
      </c>
      <c r="T23" s="88">
        <v>18.754788569916759</v>
      </c>
      <c r="U23" s="88">
        <v>17.515704644206195</v>
      </c>
      <c r="V23" s="88">
        <v>28.69606583211246</v>
      </c>
      <c r="W23" s="88">
        <v>23.87561299782935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1525.2714410000001</v>
      </c>
      <c r="C25" s="62">
        <f t="shared" ref="C25:V25" si="22">C26+C32</f>
        <v>1665.145953</v>
      </c>
      <c r="D25" s="62">
        <f t="shared" si="22"/>
        <v>1789.8245169999998</v>
      </c>
      <c r="E25" s="62">
        <f t="shared" si="22"/>
        <v>2000.77253</v>
      </c>
      <c r="F25" s="62">
        <f t="shared" si="22"/>
        <v>2144.8630859999998</v>
      </c>
      <c r="G25" s="62">
        <f t="shared" si="22"/>
        <v>2345.6524800000002</v>
      </c>
      <c r="H25" s="62">
        <f t="shared" si="22"/>
        <v>2292.9663449999998</v>
      </c>
      <c r="I25" s="62">
        <f t="shared" si="22"/>
        <v>2301.8327129999998</v>
      </c>
      <c r="J25" s="62">
        <f t="shared" si="22"/>
        <v>2261.8110179999999</v>
      </c>
      <c r="K25" s="62">
        <f t="shared" si="22"/>
        <v>2233.2230370000002</v>
      </c>
      <c r="L25" s="62">
        <f t="shared" si="22"/>
        <v>2322.8483500000002</v>
      </c>
      <c r="M25" s="62">
        <f t="shared" si="22"/>
        <v>2250.8979200000003</v>
      </c>
      <c r="N25" s="62">
        <f t="shared" si="22"/>
        <v>2318.1885500000003</v>
      </c>
      <c r="O25" s="62">
        <f t="shared" si="22"/>
        <v>2183.8903700000001</v>
      </c>
      <c r="P25" s="62">
        <f t="shared" si="22"/>
        <v>2227.6500350000001</v>
      </c>
      <c r="Q25" s="62">
        <f t="shared" si="22"/>
        <v>2244.6066110000002</v>
      </c>
      <c r="R25" s="62">
        <f t="shared" si="22"/>
        <v>2237.9300440000002</v>
      </c>
      <c r="S25" s="62">
        <f t="shared" si="22"/>
        <v>2241.4572540000004</v>
      </c>
      <c r="T25" s="62">
        <f t="shared" si="22"/>
        <v>2311.8704860000003</v>
      </c>
      <c r="U25" s="62">
        <f t="shared" si="22"/>
        <v>2222.0026130000001</v>
      </c>
      <c r="V25" s="62">
        <f t="shared" si="22"/>
        <v>2225.8154020000002</v>
      </c>
      <c r="W25" s="62">
        <f t="shared" ref="W25" si="23">W26+W32</f>
        <v>2233.0565320000001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1389.792189</v>
      </c>
      <c r="C26" s="29">
        <f t="shared" ref="C26:V26" si="25">SUM(C27,C28,C31)</f>
        <v>1499.663959</v>
      </c>
      <c r="D26" s="29">
        <f t="shared" si="25"/>
        <v>1607.4771899999998</v>
      </c>
      <c r="E26" s="29">
        <f t="shared" si="25"/>
        <v>1805.3073380000001</v>
      </c>
      <c r="F26" s="29">
        <f t="shared" si="25"/>
        <v>1951.490182</v>
      </c>
      <c r="G26" s="29">
        <f t="shared" si="25"/>
        <v>2155.7952810000002</v>
      </c>
      <c r="H26" s="29">
        <f t="shared" si="25"/>
        <v>2102.2426</v>
      </c>
      <c r="I26" s="29">
        <f t="shared" si="25"/>
        <v>2098.8722169999996</v>
      </c>
      <c r="J26" s="29">
        <f t="shared" si="25"/>
        <v>2064.1943699999997</v>
      </c>
      <c r="K26" s="29">
        <f t="shared" si="25"/>
        <v>2045.5472040000002</v>
      </c>
      <c r="L26" s="29">
        <f t="shared" si="25"/>
        <v>2129.2029910000001</v>
      </c>
      <c r="M26" s="29">
        <f t="shared" si="25"/>
        <v>2070.8004850000002</v>
      </c>
      <c r="N26" s="29">
        <f t="shared" si="25"/>
        <v>2151.6390390000001</v>
      </c>
      <c r="O26" s="29">
        <f t="shared" si="25"/>
        <v>2019.858696</v>
      </c>
      <c r="P26" s="29">
        <f t="shared" si="25"/>
        <v>2059.419097</v>
      </c>
      <c r="Q26" s="29">
        <f t="shared" si="25"/>
        <v>2059.8896460000001</v>
      </c>
      <c r="R26" s="29">
        <f t="shared" si="25"/>
        <v>2066.7610030000001</v>
      </c>
      <c r="S26" s="29">
        <f t="shared" si="25"/>
        <v>2083.8361370000002</v>
      </c>
      <c r="T26" s="29">
        <f t="shared" si="25"/>
        <v>2167.7972930000001</v>
      </c>
      <c r="U26" s="29">
        <f t="shared" si="25"/>
        <v>2086.3239960000001</v>
      </c>
      <c r="V26" s="29">
        <f t="shared" si="25"/>
        <v>2043.753179</v>
      </c>
      <c r="W26" s="29">
        <f t="shared" ref="W26" si="26">SUM(W27,W28,W31)</f>
        <v>2064.5422330000001</v>
      </c>
      <c r="DA26" s="173" t="s">
        <v>1044</v>
      </c>
    </row>
    <row r="27" spans="1:105" ht="11.45" customHeight="1" x14ac:dyDescent="0.25">
      <c r="A27" s="107" t="s">
        <v>23</v>
      </c>
      <c r="B27" s="115">
        <v>576.14657199999999</v>
      </c>
      <c r="C27" s="115">
        <v>588.33687499999996</v>
      </c>
      <c r="D27" s="115">
        <v>604.45394799999997</v>
      </c>
      <c r="E27" s="115">
        <v>651.12044200000003</v>
      </c>
      <c r="F27" s="115">
        <v>674.37474399999996</v>
      </c>
      <c r="G27" s="115">
        <v>687.48502699999995</v>
      </c>
      <c r="H27" s="115">
        <v>708.96267</v>
      </c>
      <c r="I27" s="115">
        <v>737.56240200000002</v>
      </c>
      <c r="J27" s="115">
        <v>744.38038099999994</v>
      </c>
      <c r="K27" s="115">
        <v>729.20945900000004</v>
      </c>
      <c r="L27" s="115">
        <v>886.49180699999999</v>
      </c>
      <c r="M27" s="115">
        <v>881.862166</v>
      </c>
      <c r="N27" s="115">
        <v>858.98102500000005</v>
      </c>
      <c r="O27" s="115">
        <v>806.06443100000001</v>
      </c>
      <c r="P27" s="115">
        <v>819.55064400000003</v>
      </c>
      <c r="Q27" s="115">
        <v>812.69859399999996</v>
      </c>
      <c r="R27" s="115">
        <v>836.53823499999999</v>
      </c>
      <c r="S27" s="115">
        <v>860.88833</v>
      </c>
      <c r="T27" s="115">
        <v>985.83944499999996</v>
      </c>
      <c r="U27" s="115">
        <v>983.91618300000005</v>
      </c>
      <c r="V27" s="115">
        <v>926.30152599999997</v>
      </c>
      <c r="W27" s="115">
        <v>868.686869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790.43190700000002</v>
      </c>
      <c r="C28" s="116">
        <f t="shared" ref="C28:V28" si="28">SUM(C29:C30)</f>
        <v>886.70787300000006</v>
      </c>
      <c r="D28" s="116">
        <f t="shared" si="28"/>
        <v>976.22562900000003</v>
      </c>
      <c r="E28" s="116">
        <f t="shared" si="28"/>
        <v>1129.386256</v>
      </c>
      <c r="F28" s="116">
        <f t="shared" si="28"/>
        <v>1251.099215</v>
      </c>
      <c r="G28" s="116">
        <f t="shared" si="28"/>
        <v>1439.7027820000001</v>
      </c>
      <c r="H28" s="116">
        <f t="shared" si="28"/>
        <v>1360.659592</v>
      </c>
      <c r="I28" s="116">
        <f t="shared" si="28"/>
        <v>1328.364515</v>
      </c>
      <c r="J28" s="116">
        <f t="shared" si="28"/>
        <v>1254.0809629999999</v>
      </c>
      <c r="K28" s="116">
        <f t="shared" si="28"/>
        <v>1175.037773</v>
      </c>
      <c r="L28" s="116">
        <f t="shared" si="28"/>
        <v>1095.9945830000001</v>
      </c>
      <c r="M28" s="116">
        <f t="shared" si="28"/>
        <v>1044.543089</v>
      </c>
      <c r="N28" s="116">
        <f t="shared" si="28"/>
        <v>1150.584155</v>
      </c>
      <c r="O28" s="116">
        <f t="shared" si="28"/>
        <v>1071.5409649999999</v>
      </c>
      <c r="P28" s="116">
        <f t="shared" si="28"/>
        <v>1099.9130150000001</v>
      </c>
      <c r="Q28" s="116">
        <f t="shared" si="28"/>
        <v>1109.5569850000002</v>
      </c>
      <c r="R28" s="116">
        <f t="shared" si="28"/>
        <v>1091.1294049999999</v>
      </c>
      <c r="S28" s="116">
        <f t="shared" si="28"/>
        <v>1075.6715410000002</v>
      </c>
      <c r="T28" s="116">
        <f t="shared" si="28"/>
        <v>1033.3507460000001</v>
      </c>
      <c r="U28" s="116">
        <f t="shared" si="28"/>
        <v>954.30755599999998</v>
      </c>
      <c r="V28" s="116">
        <f t="shared" si="28"/>
        <v>971.67276700000002</v>
      </c>
      <c r="W28" s="116">
        <f t="shared" ref="W28" si="29">SUM(W29:W30)</f>
        <v>1052.397849</v>
      </c>
      <c r="DA28" s="176" t="s">
        <v>1046</v>
      </c>
    </row>
    <row r="29" spans="1:105" ht="11.45" customHeight="1" x14ac:dyDescent="0.25">
      <c r="A29" s="111" t="s">
        <v>92</v>
      </c>
      <c r="B29" s="87">
        <v>282.45382000000001</v>
      </c>
      <c r="C29" s="87">
        <v>298.21246300000001</v>
      </c>
      <c r="D29" s="87">
        <v>310.06901399999998</v>
      </c>
      <c r="E29" s="87">
        <v>388.58407199999999</v>
      </c>
      <c r="F29" s="87">
        <v>477.02948900000001</v>
      </c>
      <c r="G29" s="87">
        <v>555.64759700000002</v>
      </c>
      <c r="H29" s="87">
        <v>527.40221499999996</v>
      </c>
      <c r="I29" s="87">
        <v>545.904946</v>
      </c>
      <c r="J29" s="87">
        <v>522.41920200000004</v>
      </c>
      <c r="K29" s="87">
        <v>494.17381999999998</v>
      </c>
      <c r="L29" s="87">
        <v>465.92843800000003</v>
      </c>
      <c r="M29" s="87">
        <v>439.946597</v>
      </c>
      <c r="N29" s="87">
        <v>511.73352699999998</v>
      </c>
      <c r="O29" s="87">
        <v>483.48814499999997</v>
      </c>
      <c r="P29" s="87">
        <v>455.24276300000002</v>
      </c>
      <c r="Q29" s="87">
        <v>426.99738100000002</v>
      </c>
      <c r="R29" s="87">
        <v>398.75199900000001</v>
      </c>
      <c r="S29" s="87">
        <v>370.50661700000001</v>
      </c>
      <c r="T29" s="87">
        <v>342.261235</v>
      </c>
      <c r="U29" s="87">
        <v>314.01585299999999</v>
      </c>
      <c r="V29" s="87">
        <v>285.77047099999999</v>
      </c>
      <c r="W29" s="87">
        <v>257.52508899999998</v>
      </c>
      <c r="DA29" s="171" t="s">
        <v>1047</v>
      </c>
    </row>
    <row r="30" spans="1:105" ht="11.45" customHeight="1" x14ac:dyDescent="0.25">
      <c r="A30" s="111" t="s">
        <v>93</v>
      </c>
      <c r="B30" s="87">
        <v>507.97808700000002</v>
      </c>
      <c r="C30" s="87">
        <v>588.49540999999999</v>
      </c>
      <c r="D30" s="87">
        <v>666.15661499999999</v>
      </c>
      <c r="E30" s="87">
        <v>740.80218400000001</v>
      </c>
      <c r="F30" s="87">
        <v>774.06972599999995</v>
      </c>
      <c r="G30" s="87">
        <v>884.05518500000005</v>
      </c>
      <c r="H30" s="87">
        <v>833.25737700000002</v>
      </c>
      <c r="I30" s="87">
        <v>782.45956899999999</v>
      </c>
      <c r="J30" s="87">
        <v>731.66176099999996</v>
      </c>
      <c r="K30" s="87">
        <v>680.86395300000004</v>
      </c>
      <c r="L30" s="87">
        <v>630.06614500000001</v>
      </c>
      <c r="M30" s="87">
        <v>604.59649200000001</v>
      </c>
      <c r="N30" s="87">
        <v>638.85062800000003</v>
      </c>
      <c r="O30" s="87">
        <v>588.05282</v>
      </c>
      <c r="P30" s="87">
        <v>644.670252</v>
      </c>
      <c r="Q30" s="87">
        <v>682.55960400000004</v>
      </c>
      <c r="R30" s="87">
        <v>692.37740599999995</v>
      </c>
      <c r="S30" s="87">
        <v>705.16492400000004</v>
      </c>
      <c r="T30" s="87">
        <v>691.08951100000002</v>
      </c>
      <c r="U30" s="87">
        <v>640.29170299999998</v>
      </c>
      <c r="V30" s="87">
        <v>685.90229599999998</v>
      </c>
      <c r="W30" s="87">
        <v>794.87275999999997</v>
      </c>
      <c r="DA30" s="171" t="s">
        <v>1048</v>
      </c>
    </row>
    <row r="31" spans="1:105" ht="11.45" customHeight="1" x14ac:dyDescent="0.25">
      <c r="A31" s="112" t="s">
        <v>25</v>
      </c>
      <c r="B31" s="117">
        <v>23.213710000000003</v>
      </c>
      <c r="C31" s="117">
        <v>24.619211</v>
      </c>
      <c r="D31" s="117">
        <v>26.797613000000002</v>
      </c>
      <c r="E31" s="117">
        <v>24.800640000000001</v>
      </c>
      <c r="F31" s="117">
        <v>26.016223</v>
      </c>
      <c r="G31" s="117">
        <v>28.607472000000001</v>
      </c>
      <c r="H31" s="117">
        <v>32.620337999999997</v>
      </c>
      <c r="I31" s="117">
        <v>32.945299999999996</v>
      </c>
      <c r="J31" s="117">
        <v>65.733025999999995</v>
      </c>
      <c r="K31" s="117">
        <v>141.299972</v>
      </c>
      <c r="L31" s="117">
        <v>146.716601</v>
      </c>
      <c r="M31" s="117">
        <v>144.39523</v>
      </c>
      <c r="N31" s="117">
        <v>142.073859</v>
      </c>
      <c r="O31" s="117">
        <v>142.2533</v>
      </c>
      <c r="P31" s="117">
        <v>139.95543799999999</v>
      </c>
      <c r="Q31" s="117">
        <v>137.63406699999999</v>
      </c>
      <c r="R31" s="117">
        <v>139.09336300000001</v>
      </c>
      <c r="S31" s="117">
        <v>147.27626599999999</v>
      </c>
      <c r="T31" s="117">
        <v>148.607102</v>
      </c>
      <c r="U31" s="117">
        <v>148.100257</v>
      </c>
      <c r="V31" s="117">
        <v>145.778886</v>
      </c>
      <c r="W31" s="117">
        <v>143.457515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135.479252</v>
      </c>
      <c r="C32" s="29">
        <f t="shared" ref="C32:V32" si="31">SUM(C33:C34)</f>
        <v>165.48199399999999</v>
      </c>
      <c r="D32" s="29">
        <f t="shared" si="31"/>
        <v>182.34732700000001</v>
      </c>
      <c r="E32" s="29">
        <f t="shared" si="31"/>
        <v>195.46519199999997</v>
      </c>
      <c r="F32" s="29">
        <f t="shared" si="31"/>
        <v>193.37290400000001</v>
      </c>
      <c r="G32" s="29">
        <f t="shared" si="31"/>
        <v>189.85719899999998</v>
      </c>
      <c r="H32" s="29">
        <f t="shared" si="31"/>
        <v>190.72374500000001</v>
      </c>
      <c r="I32" s="29">
        <f t="shared" si="31"/>
        <v>202.96049599999998</v>
      </c>
      <c r="J32" s="29">
        <f t="shared" si="31"/>
        <v>197.616648</v>
      </c>
      <c r="K32" s="29">
        <f t="shared" si="31"/>
        <v>187.67583300000001</v>
      </c>
      <c r="L32" s="29">
        <f t="shared" si="31"/>
        <v>193.64535899999998</v>
      </c>
      <c r="M32" s="29">
        <f t="shared" si="31"/>
        <v>180.09743500000002</v>
      </c>
      <c r="N32" s="29">
        <f t="shared" si="31"/>
        <v>166.549511</v>
      </c>
      <c r="O32" s="29">
        <f t="shared" si="31"/>
        <v>164.03167400000001</v>
      </c>
      <c r="P32" s="29">
        <f t="shared" si="31"/>
        <v>168.23093799999998</v>
      </c>
      <c r="Q32" s="29">
        <f t="shared" si="31"/>
        <v>184.71696500000002</v>
      </c>
      <c r="R32" s="29">
        <f t="shared" si="31"/>
        <v>171.16904099999999</v>
      </c>
      <c r="S32" s="29">
        <f t="shared" si="31"/>
        <v>157.621117</v>
      </c>
      <c r="T32" s="29">
        <f t="shared" si="31"/>
        <v>144.073193</v>
      </c>
      <c r="U32" s="29">
        <f t="shared" si="31"/>
        <v>135.678617</v>
      </c>
      <c r="V32" s="29">
        <f t="shared" si="31"/>
        <v>182.06222300000002</v>
      </c>
      <c r="W32" s="29">
        <f t="shared" ref="W32" si="32">SUM(W33:W34)</f>
        <v>168.51429899999999</v>
      </c>
      <c r="DA32" s="173" t="s">
        <v>1050</v>
      </c>
    </row>
    <row r="33" spans="1:105" ht="11.45" customHeight="1" x14ac:dyDescent="0.25">
      <c r="A33" s="83" t="s">
        <v>92</v>
      </c>
      <c r="B33" s="87">
        <v>54.511632999999996</v>
      </c>
      <c r="C33" s="87">
        <v>60.046906999999997</v>
      </c>
      <c r="D33" s="87">
        <v>54.595743999999996</v>
      </c>
      <c r="E33" s="87">
        <v>49.144580999999995</v>
      </c>
      <c r="F33" s="87">
        <v>45.221092999999996</v>
      </c>
      <c r="G33" s="87">
        <v>43.668209999999995</v>
      </c>
      <c r="H33" s="87">
        <v>52.631516999999995</v>
      </c>
      <c r="I33" s="87">
        <v>72.965029000000001</v>
      </c>
      <c r="J33" s="87">
        <v>75.717941999999994</v>
      </c>
      <c r="K33" s="87">
        <v>73.873887999999994</v>
      </c>
      <c r="L33" s="87">
        <v>87.940174999999996</v>
      </c>
      <c r="M33" s="87">
        <v>82.489012000000002</v>
      </c>
      <c r="N33" s="87">
        <v>77.037848999999994</v>
      </c>
      <c r="O33" s="87">
        <v>71.586686</v>
      </c>
      <c r="P33" s="87">
        <v>66.135522999999992</v>
      </c>
      <c r="Q33" s="87">
        <v>60.684359999999998</v>
      </c>
      <c r="R33" s="87">
        <v>55.233196999999997</v>
      </c>
      <c r="S33" s="87">
        <v>49.782033999999996</v>
      </c>
      <c r="T33" s="87">
        <v>44.330870999999995</v>
      </c>
      <c r="U33" s="87">
        <v>44.033055999999995</v>
      </c>
      <c r="V33" s="87">
        <v>38.581893000000001</v>
      </c>
      <c r="W33" s="87">
        <v>33.13073</v>
      </c>
      <c r="DA33" s="171" t="s">
        <v>1051</v>
      </c>
    </row>
    <row r="34" spans="1:105" ht="11.45" customHeight="1" x14ac:dyDescent="0.25">
      <c r="A34" s="85" t="s">
        <v>93</v>
      </c>
      <c r="B34" s="88">
        <v>80.967618999999999</v>
      </c>
      <c r="C34" s="88">
        <v>105.435087</v>
      </c>
      <c r="D34" s="88">
        <v>127.751583</v>
      </c>
      <c r="E34" s="88">
        <v>146.32061099999999</v>
      </c>
      <c r="F34" s="88">
        <v>148.15181100000001</v>
      </c>
      <c r="G34" s="88">
        <v>146.18898899999999</v>
      </c>
      <c r="H34" s="88">
        <v>138.09222800000001</v>
      </c>
      <c r="I34" s="88">
        <v>129.99546699999999</v>
      </c>
      <c r="J34" s="88">
        <v>121.898706</v>
      </c>
      <c r="K34" s="88">
        <v>113.801945</v>
      </c>
      <c r="L34" s="88">
        <v>105.705184</v>
      </c>
      <c r="M34" s="88">
        <v>97.608423000000002</v>
      </c>
      <c r="N34" s="88">
        <v>89.511662000000001</v>
      </c>
      <c r="O34" s="88">
        <v>92.444987999999995</v>
      </c>
      <c r="P34" s="88">
        <v>102.095415</v>
      </c>
      <c r="Q34" s="88">
        <v>124.032605</v>
      </c>
      <c r="R34" s="88">
        <v>115.935844</v>
      </c>
      <c r="S34" s="88">
        <v>107.839083</v>
      </c>
      <c r="T34" s="88">
        <v>99.742322000000001</v>
      </c>
      <c r="U34" s="88">
        <v>91.645561000000001</v>
      </c>
      <c r="V34" s="88">
        <v>143.48033000000001</v>
      </c>
      <c r="W34" s="88">
        <v>135.38356899999999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192.86009999999993</v>
      </c>
      <c r="D36" s="54">
        <f t="shared" ref="D36:V36" si="34">D37+D43</f>
        <v>180.71343799999994</v>
      </c>
      <c r="E36" s="54">
        <f t="shared" si="34"/>
        <v>268.27645300000012</v>
      </c>
      <c r="F36" s="54">
        <f t="shared" si="34"/>
        <v>198.59775499999995</v>
      </c>
      <c r="G36" s="54">
        <f t="shared" si="34"/>
        <v>253.77498200000011</v>
      </c>
      <c r="H36" s="54">
        <f t="shared" si="34"/>
        <v>57.170330000000028</v>
      </c>
      <c r="I36" s="54">
        <f t="shared" si="34"/>
        <v>100.41786700000006</v>
      </c>
      <c r="J36" s="54">
        <f t="shared" si="34"/>
        <v>65.075131999999883</v>
      </c>
      <c r="K36" s="54">
        <f t="shared" si="34"/>
        <v>81.268484000000072</v>
      </c>
      <c r="L36" s="54">
        <f t="shared" si="34"/>
        <v>199.48177799999993</v>
      </c>
      <c r="M36" s="54">
        <f t="shared" si="34"/>
        <v>14.981588999999985</v>
      </c>
      <c r="N36" s="54">
        <f t="shared" si="34"/>
        <v>132.79563700000006</v>
      </c>
      <c r="O36" s="54">
        <f t="shared" si="34"/>
        <v>7.3306769999999943</v>
      </c>
      <c r="P36" s="54">
        <f t="shared" si="34"/>
        <v>119.69396000000005</v>
      </c>
      <c r="Q36" s="54">
        <f t="shared" si="34"/>
        <v>92.914379999999966</v>
      </c>
      <c r="R36" s="54">
        <f t="shared" si="34"/>
        <v>72.245530999999971</v>
      </c>
      <c r="S36" s="54">
        <f t="shared" si="34"/>
        <v>82.449308000000087</v>
      </c>
      <c r="T36" s="54">
        <f t="shared" si="34"/>
        <v>149.33532999999994</v>
      </c>
      <c r="U36" s="54">
        <f t="shared" si="34"/>
        <v>19.988592000000068</v>
      </c>
      <c r="V36" s="54">
        <f t="shared" si="34"/>
        <v>117.77402000000002</v>
      </c>
      <c r="W36" s="54">
        <f t="shared" ref="W36" si="35">W37+W43</f>
        <v>125.78461900000002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156.94097799999992</v>
      </c>
      <c r="D37" s="28">
        <f t="shared" ref="D37:V37" si="37">SUM(D38,D39,D42)</f>
        <v>154.88243899999995</v>
      </c>
      <c r="E37" s="28">
        <f t="shared" si="37"/>
        <v>246.19292200000012</v>
      </c>
      <c r="F37" s="28">
        <f t="shared" si="37"/>
        <v>193.25205199999994</v>
      </c>
      <c r="G37" s="28">
        <f t="shared" si="37"/>
        <v>251.37430700000013</v>
      </c>
      <c r="H37" s="28">
        <f t="shared" si="37"/>
        <v>45.805146000000029</v>
      </c>
      <c r="I37" s="28">
        <f t="shared" si="37"/>
        <v>77.68247800000006</v>
      </c>
      <c r="J37" s="28">
        <f t="shared" si="37"/>
        <v>59.920341999999899</v>
      </c>
      <c r="K37" s="28">
        <f t="shared" si="37"/>
        <v>80.710661000000073</v>
      </c>
      <c r="L37" s="28">
        <f t="shared" si="37"/>
        <v>183.01361399999993</v>
      </c>
      <c r="M37" s="28">
        <f t="shared" si="37"/>
        <v>14.981588999999985</v>
      </c>
      <c r="N37" s="28">
        <f t="shared" si="37"/>
        <v>132.79563700000006</v>
      </c>
      <c r="O37" s="28">
        <f t="shared" si="37"/>
        <v>0.88284799999999564</v>
      </c>
      <c r="P37" s="28">
        <f t="shared" si="37"/>
        <v>106.52903000000003</v>
      </c>
      <c r="Q37" s="28">
        <f t="shared" si="37"/>
        <v>67.46268699999996</v>
      </c>
      <c r="R37" s="28">
        <f t="shared" si="37"/>
        <v>72.245530999999971</v>
      </c>
      <c r="S37" s="28">
        <f t="shared" si="37"/>
        <v>82.449308000000087</v>
      </c>
      <c r="T37" s="28">
        <f t="shared" si="37"/>
        <v>149.33532999999994</v>
      </c>
      <c r="U37" s="28">
        <f t="shared" si="37"/>
        <v>17.884530000000069</v>
      </c>
      <c r="V37" s="28">
        <f t="shared" si="37"/>
        <v>62.424748000000022</v>
      </c>
      <c r="W37" s="28">
        <f t="shared" ref="W37" si="38">SUM(W38,W39,W42)</f>
        <v>125.78461900000002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31.801532999999949</v>
      </c>
      <c r="D38" s="108">
        <v>35.728302999999983</v>
      </c>
      <c r="E38" s="108">
        <v>66.277724000000035</v>
      </c>
      <c r="F38" s="108">
        <v>42.865531999999916</v>
      </c>
      <c r="G38" s="108">
        <v>32.721512999999959</v>
      </c>
      <c r="H38" s="108">
        <v>41.088873000000035</v>
      </c>
      <c r="I38" s="108">
        <v>48.210961999999995</v>
      </c>
      <c r="J38" s="108">
        <v>26.429208999999901</v>
      </c>
      <c r="K38" s="108">
        <v>4.4403080000000728</v>
      </c>
      <c r="L38" s="108">
        <v>176.89357799999993</v>
      </c>
      <c r="M38" s="108">
        <v>14.981588999999985</v>
      </c>
      <c r="N38" s="108">
        <v>0</v>
      </c>
      <c r="O38" s="108">
        <v>0</v>
      </c>
      <c r="P38" s="108">
        <v>33.097442999999998</v>
      </c>
      <c r="Q38" s="108">
        <v>12.759179999999901</v>
      </c>
      <c r="R38" s="108">
        <v>43.450871000000006</v>
      </c>
      <c r="S38" s="108">
        <v>43.961324999999988</v>
      </c>
      <c r="T38" s="108">
        <v>144.56234499999994</v>
      </c>
      <c r="U38" s="108">
        <v>17.687968000000069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123.03053699999998</v>
      </c>
      <c r="D39" s="110">
        <f t="shared" ref="D39:V39" si="40">SUM(D40:D41)</f>
        <v>116.27232699999996</v>
      </c>
      <c r="E39" s="110">
        <f t="shared" si="40"/>
        <v>179.91519800000009</v>
      </c>
      <c r="F39" s="110">
        <f t="shared" si="40"/>
        <v>148.46753000000001</v>
      </c>
      <c r="G39" s="110">
        <f t="shared" si="40"/>
        <v>215.35813800000017</v>
      </c>
      <c r="H39" s="110">
        <f t="shared" si="40"/>
        <v>0</v>
      </c>
      <c r="I39" s="110">
        <f t="shared" si="40"/>
        <v>28.443147000000067</v>
      </c>
      <c r="J39" s="110">
        <f t="shared" si="40"/>
        <v>0</v>
      </c>
      <c r="K39" s="110">
        <f t="shared" si="40"/>
        <v>0</v>
      </c>
      <c r="L39" s="110">
        <f t="shared" si="40"/>
        <v>0</v>
      </c>
      <c r="M39" s="110">
        <f t="shared" si="40"/>
        <v>0</v>
      </c>
      <c r="N39" s="110">
        <f t="shared" si="40"/>
        <v>132.79563700000006</v>
      </c>
      <c r="O39" s="110">
        <f t="shared" si="40"/>
        <v>0</v>
      </c>
      <c r="P39" s="110">
        <f t="shared" si="40"/>
        <v>73.431587000000036</v>
      </c>
      <c r="Q39" s="110">
        <f t="shared" si="40"/>
        <v>54.703507000000059</v>
      </c>
      <c r="R39" s="110">
        <f t="shared" si="40"/>
        <v>26.631956999999943</v>
      </c>
      <c r="S39" s="110">
        <f t="shared" si="40"/>
        <v>29.601673000000119</v>
      </c>
      <c r="T39" s="110">
        <f t="shared" si="40"/>
        <v>2.738742000000002</v>
      </c>
      <c r="U39" s="110">
        <f t="shared" si="40"/>
        <v>0</v>
      </c>
      <c r="V39" s="110">
        <f t="shared" si="40"/>
        <v>62.424748000000022</v>
      </c>
      <c r="W39" s="110">
        <f t="shared" ref="W39" si="41">SUM(W40:W41)</f>
        <v>125.78461900000002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25.699058999999977</v>
      </c>
      <c r="D40" s="84">
        <v>21.796966999999938</v>
      </c>
      <c r="E40" s="84">
        <v>88.455474000000038</v>
      </c>
      <c r="F40" s="84">
        <v>98.385833000000048</v>
      </c>
      <c r="G40" s="84">
        <v>88.558524000000034</v>
      </c>
      <c r="H40" s="84">
        <v>0</v>
      </c>
      <c r="I40" s="84">
        <v>28.443147000000067</v>
      </c>
      <c r="J40" s="84">
        <v>0</v>
      </c>
      <c r="K40" s="84">
        <v>0</v>
      </c>
      <c r="L40" s="84">
        <v>0</v>
      </c>
      <c r="M40" s="84">
        <v>0</v>
      </c>
      <c r="N40" s="84">
        <v>81.727346000000011</v>
      </c>
      <c r="O40" s="84">
        <v>0</v>
      </c>
      <c r="P40" s="84">
        <v>0</v>
      </c>
      <c r="Q40" s="84">
        <v>0</v>
      </c>
      <c r="R40" s="84">
        <v>0</v>
      </c>
      <c r="S40" s="84">
        <v>0</v>
      </c>
      <c r="T40" s="84">
        <v>0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97.331478000000004</v>
      </c>
      <c r="D41" s="84">
        <v>94.475360000000023</v>
      </c>
      <c r="E41" s="84">
        <v>91.459724000000051</v>
      </c>
      <c r="F41" s="84">
        <v>50.081696999999963</v>
      </c>
      <c r="G41" s="84">
        <v>126.79961400000013</v>
      </c>
      <c r="H41" s="84">
        <v>0</v>
      </c>
      <c r="I41" s="84">
        <v>0</v>
      </c>
      <c r="J41" s="84">
        <v>0</v>
      </c>
      <c r="K41" s="84">
        <v>0</v>
      </c>
      <c r="L41" s="84">
        <v>0</v>
      </c>
      <c r="M41" s="84">
        <v>0</v>
      </c>
      <c r="N41" s="84">
        <v>51.068291000000045</v>
      </c>
      <c r="O41" s="84">
        <v>0</v>
      </c>
      <c r="P41" s="84">
        <v>73.431587000000036</v>
      </c>
      <c r="Q41" s="84">
        <v>54.703507000000059</v>
      </c>
      <c r="R41" s="84">
        <v>26.631956999999943</v>
      </c>
      <c r="S41" s="84">
        <v>29.601673000000119</v>
      </c>
      <c r="T41" s="84">
        <v>2.738742000000002</v>
      </c>
      <c r="U41" s="84">
        <v>0</v>
      </c>
      <c r="V41" s="84">
        <v>62.424748000000022</v>
      </c>
      <c r="W41" s="84">
        <v>125.78461900000002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2.108907999999996</v>
      </c>
      <c r="D42" s="113">
        <v>2.8818090000000005</v>
      </c>
      <c r="E42" s="113">
        <v>0</v>
      </c>
      <c r="F42" s="113">
        <v>1.9189899999999973</v>
      </c>
      <c r="G42" s="113">
        <v>3.2946559999999998</v>
      </c>
      <c r="H42" s="113">
        <v>4.7162729999999939</v>
      </c>
      <c r="I42" s="113">
        <v>1.0283689999999979</v>
      </c>
      <c r="J42" s="113">
        <v>33.491132999999998</v>
      </c>
      <c r="K42" s="113">
        <v>76.270353</v>
      </c>
      <c r="L42" s="113">
        <v>6.1200359999999989</v>
      </c>
      <c r="M42" s="113">
        <v>0</v>
      </c>
      <c r="N42" s="113">
        <v>0</v>
      </c>
      <c r="O42" s="113">
        <v>0.88284799999999564</v>
      </c>
      <c r="P42" s="113">
        <v>0</v>
      </c>
      <c r="Q42" s="113">
        <v>0</v>
      </c>
      <c r="R42" s="113">
        <v>2.1627030000000218</v>
      </c>
      <c r="S42" s="113">
        <v>8.8863099999999804</v>
      </c>
      <c r="T42" s="113">
        <v>2.0342430000000036</v>
      </c>
      <c r="U42" s="113">
        <v>0.19656200000000013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35.919122000000002</v>
      </c>
      <c r="D43" s="28">
        <f t="shared" ref="D43:V43" si="43">SUM(D44:D45)</f>
        <v>25.830999000000006</v>
      </c>
      <c r="E43" s="28">
        <f t="shared" si="43"/>
        <v>22.083530999999979</v>
      </c>
      <c r="F43" s="28">
        <f t="shared" si="43"/>
        <v>5.3457030000000145</v>
      </c>
      <c r="G43" s="28">
        <f t="shared" si="43"/>
        <v>2.4006749999999712</v>
      </c>
      <c r="H43" s="28">
        <f t="shared" si="43"/>
        <v>11.365183999999999</v>
      </c>
      <c r="I43" s="28">
        <f t="shared" si="43"/>
        <v>22.735389000000005</v>
      </c>
      <c r="J43" s="28">
        <f t="shared" si="43"/>
        <v>5.1547899999999913</v>
      </c>
      <c r="K43" s="28">
        <f t="shared" si="43"/>
        <v>0.55782299999999907</v>
      </c>
      <c r="L43" s="28">
        <f t="shared" si="43"/>
        <v>16.468164000000002</v>
      </c>
      <c r="M43" s="28">
        <f t="shared" si="43"/>
        <v>0</v>
      </c>
      <c r="N43" s="28">
        <f t="shared" si="43"/>
        <v>0</v>
      </c>
      <c r="O43" s="28">
        <f t="shared" si="43"/>
        <v>6.4478289999999987</v>
      </c>
      <c r="P43" s="28">
        <f t="shared" si="43"/>
        <v>13.164930000000012</v>
      </c>
      <c r="Q43" s="28">
        <f t="shared" si="43"/>
        <v>25.451693000000006</v>
      </c>
      <c r="R43" s="28">
        <f t="shared" si="43"/>
        <v>0</v>
      </c>
      <c r="S43" s="28">
        <f t="shared" si="43"/>
        <v>0</v>
      </c>
      <c r="T43" s="28">
        <f t="shared" si="43"/>
        <v>0</v>
      </c>
      <c r="U43" s="28">
        <f t="shared" si="43"/>
        <v>2.104061999999999</v>
      </c>
      <c r="V43" s="28">
        <f t="shared" si="43"/>
        <v>55.349271999999999</v>
      </c>
      <c r="W43" s="28">
        <f t="shared" ref="W43" si="44">SUM(W44:W45)</f>
        <v>0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7.9371510000000001</v>
      </c>
      <c r="D44" s="84">
        <v>0</v>
      </c>
      <c r="E44" s="84">
        <v>0</v>
      </c>
      <c r="F44" s="84">
        <v>0</v>
      </c>
      <c r="G44" s="84">
        <v>0.84899399999999758</v>
      </c>
      <c r="H44" s="84">
        <v>11.365183999999999</v>
      </c>
      <c r="I44" s="84">
        <v>22.735389000000005</v>
      </c>
      <c r="J44" s="84">
        <v>5.1547899999999913</v>
      </c>
      <c r="K44" s="84">
        <v>0.55782299999999907</v>
      </c>
      <c r="L44" s="84">
        <v>16.468164000000002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2.104061999999999</v>
      </c>
      <c r="V44" s="84">
        <v>0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27.981971000000001</v>
      </c>
      <c r="D45" s="86">
        <v>25.830999000000006</v>
      </c>
      <c r="E45" s="86">
        <v>22.083530999999979</v>
      </c>
      <c r="F45" s="86">
        <v>5.3457030000000145</v>
      </c>
      <c r="G45" s="86">
        <v>1.5516809999999737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6.4478289999999987</v>
      </c>
      <c r="P45" s="86">
        <v>13.164930000000012</v>
      </c>
      <c r="Q45" s="86">
        <v>25.451693000000006</v>
      </c>
      <c r="R45" s="86">
        <v>0</v>
      </c>
      <c r="S45" s="86">
        <v>0</v>
      </c>
      <c r="T45" s="86">
        <v>0</v>
      </c>
      <c r="U45" s="86">
        <v>0</v>
      </c>
      <c r="V45" s="86">
        <v>55.349271999999999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131.89035485528311</v>
      </c>
      <c r="C50" s="29">
        <f t="shared" si="45"/>
        <v>125.32454099782296</v>
      </c>
      <c r="D50" s="29">
        <f t="shared" si="45"/>
        <v>118.72468191013327</v>
      </c>
      <c r="E50" s="29">
        <f t="shared" si="45"/>
        <v>105.97899893212619</v>
      </c>
      <c r="F50" s="29">
        <f t="shared" si="45"/>
        <v>95.725367068737143</v>
      </c>
      <c r="G50" s="29">
        <f t="shared" si="45"/>
        <v>90.733475305406614</v>
      </c>
      <c r="H50" s="29">
        <f t="shared" si="45"/>
        <v>115.72357862764284</v>
      </c>
      <c r="I50" s="29">
        <f t="shared" si="45"/>
        <v>104.98099180412321</v>
      </c>
      <c r="J50" s="29">
        <f t="shared" si="45"/>
        <v>108.06017582317004</v>
      </c>
      <c r="K50" s="29">
        <f t="shared" ref="K50:V50" si="46">IF(K4=0,0,K4/K15)</f>
        <v>113.64015487320252</v>
      </c>
      <c r="L50" s="29">
        <f t="shared" si="46"/>
        <v>107.81607603486934</v>
      </c>
      <c r="M50" s="29">
        <f t="shared" si="46"/>
        <v>95.92238609834078</v>
      </c>
      <c r="N50" s="29">
        <f t="shared" si="46"/>
        <v>90.579237486734655</v>
      </c>
      <c r="O50" s="29">
        <f t="shared" si="46"/>
        <v>118.95729030141267</v>
      </c>
      <c r="P50" s="29">
        <f t="shared" si="46"/>
        <v>119.69735521263573</v>
      </c>
      <c r="Q50" s="29">
        <f t="shared" si="46"/>
        <v>119.34084060826751</v>
      </c>
      <c r="R50" s="29">
        <f t="shared" si="46"/>
        <v>118.27845675182255</v>
      </c>
      <c r="S50" s="29">
        <f t="shared" si="46"/>
        <v>122.21248432430686</v>
      </c>
      <c r="T50" s="29">
        <f t="shared" si="46"/>
        <v>124.52268431104604</v>
      </c>
      <c r="U50" s="29">
        <f t="shared" si="46"/>
        <v>128.54862727108716</v>
      </c>
      <c r="V50" s="29">
        <f t="shared" si="46"/>
        <v>70.206941383522249</v>
      </c>
      <c r="W50" s="29">
        <f t="shared" ref="W50" si="47">IF(W4=0,0,W4/W15)</f>
        <v>87.529593878215493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82.523192764649565</v>
      </c>
      <c r="C51" s="115">
        <f t="shared" si="48"/>
        <v>82.513023866379527</v>
      </c>
      <c r="D51" s="115">
        <f t="shared" si="48"/>
        <v>82.719287730953027</v>
      </c>
      <c r="E51" s="115">
        <f t="shared" si="48"/>
        <v>78.186903128989314</v>
      </c>
      <c r="F51" s="115">
        <f t="shared" si="48"/>
        <v>78.186903128989314</v>
      </c>
      <c r="G51" s="115">
        <f t="shared" si="48"/>
        <v>79.340570982366984</v>
      </c>
      <c r="H51" s="115">
        <f t="shared" si="48"/>
        <v>79.501557439715043</v>
      </c>
      <c r="I51" s="115">
        <f t="shared" si="48"/>
        <v>78.883926347817606</v>
      </c>
      <c r="J51" s="115">
        <f t="shared" si="48"/>
        <v>79.382679344875186</v>
      </c>
      <c r="K51" s="115">
        <f t="shared" ref="K51:V51" si="49">IF(K5=0,0,K5/K16)</f>
        <v>78.198008299389684</v>
      </c>
      <c r="L51" s="115">
        <f t="shared" si="49"/>
        <v>77.823618363199813</v>
      </c>
      <c r="M51" s="115">
        <f t="shared" si="49"/>
        <v>78.667210210205454</v>
      </c>
      <c r="N51" s="115">
        <f t="shared" si="49"/>
        <v>77.437418109911022</v>
      </c>
      <c r="O51" s="115">
        <f t="shared" si="49"/>
        <v>78.607521796088818</v>
      </c>
      <c r="P51" s="115">
        <f t="shared" si="49"/>
        <v>79.341705057087253</v>
      </c>
      <c r="Q51" s="115">
        <f t="shared" si="49"/>
        <v>80.561008332707928</v>
      </c>
      <c r="R51" s="115">
        <f t="shared" si="49"/>
        <v>81.355842318926136</v>
      </c>
      <c r="S51" s="115">
        <f t="shared" si="49"/>
        <v>81.132896357391914</v>
      </c>
      <c r="T51" s="115">
        <f t="shared" si="49"/>
        <v>81.997493667502297</v>
      </c>
      <c r="U51" s="115">
        <f t="shared" si="49"/>
        <v>75.745550302103425</v>
      </c>
      <c r="V51" s="115">
        <f t="shared" si="49"/>
        <v>53.165617216372894</v>
      </c>
      <c r="W51" s="115">
        <f t="shared" ref="W51" si="50">IF(W5=0,0,W5/W16)</f>
        <v>68.628862442227344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153.5194440611919</v>
      </c>
      <c r="C52" s="116">
        <f t="shared" si="51"/>
        <v>140.97841079128438</v>
      </c>
      <c r="D52" s="116">
        <f t="shared" si="51"/>
        <v>129.95629594056979</v>
      </c>
      <c r="E52" s="116">
        <f t="shared" si="51"/>
        <v>112.74560215272334</v>
      </c>
      <c r="F52" s="116">
        <f t="shared" si="51"/>
        <v>97.519577394448305</v>
      </c>
      <c r="G52" s="116">
        <f t="shared" si="51"/>
        <v>89.370298079415392</v>
      </c>
      <c r="H52" s="116">
        <f t="shared" si="51"/>
        <v>127.74604735491712</v>
      </c>
      <c r="I52" s="116">
        <f t="shared" si="51"/>
        <v>111.22609090573766</v>
      </c>
      <c r="J52" s="116">
        <f t="shared" si="51"/>
        <v>108.4212944245081</v>
      </c>
      <c r="K52" s="116">
        <f t="shared" ref="K52:V52" si="52">IF(K6=0,0,K6/K17)</f>
        <v>101.15051900578109</v>
      </c>
      <c r="L52" s="116">
        <f t="shared" si="52"/>
        <v>93.293303860745979</v>
      </c>
      <c r="M52" s="116">
        <f t="shared" si="52"/>
        <v>73.805795324207509</v>
      </c>
      <c r="N52" s="116">
        <f t="shared" si="52"/>
        <v>65.468194025548044</v>
      </c>
      <c r="O52" s="116">
        <f t="shared" si="52"/>
        <v>104.3053092659755</v>
      </c>
      <c r="P52" s="116">
        <f t="shared" si="52"/>
        <v>105.81661630653488</v>
      </c>
      <c r="Q52" s="116">
        <f t="shared" si="52"/>
        <v>93.493141166774805</v>
      </c>
      <c r="R52" s="116">
        <f t="shared" si="52"/>
        <v>86.5412839968414</v>
      </c>
      <c r="S52" s="116">
        <f t="shared" si="52"/>
        <v>94.266888816323927</v>
      </c>
      <c r="T52" s="116">
        <f t="shared" si="52"/>
        <v>98.88626359429972</v>
      </c>
      <c r="U52" s="116">
        <f t="shared" si="52"/>
        <v>112.75960259160291</v>
      </c>
      <c r="V52" s="116">
        <f t="shared" si="52"/>
        <v>55.568288789594554</v>
      </c>
      <c r="W52" s="116">
        <f t="shared" ref="W52" si="53">IF(W6=0,0,W6/W17)</f>
        <v>76.020499374961062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110.77761625249852</v>
      </c>
      <c r="C53" s="87">
        <f t="shared" si="54"/>
        <v>114.55993845044361</v>
      </c>
      <c r="D53" s="87">
        <f t="shared" si="54"/>
        <v>106.96082652039874</v>
      </c>
      <c r="E53" s="87">
        <f t="shared" si="54"/>
        <v>81.726340566473752</v>
      </c>
      <c r="F53" s="87">
        <f t="shared" si="54"/>
        <v>61.343908689650505</v>
      </c>
      <c r="G53" s="87">
        <f t="shared" si="54"/>
        <v>54.115066746095167</v>
      </c>
      <c r="H53" s="87">
        <f t="shared" si="54"/>
        <v>117.13065042557629</v>
      </c>
      <c r="I53" s="87">
        <f t="shared" si="54"/>
        <v>93.141452880412785</v>
      </c>
      <c r="J53" s="87">
        <f t="shared" si="54"/>
        <v>85.604657864272667</v>
      </c>
      <c r="K53" s="87">
        <f t="shared" ref="K53:V53" si="55">IF(K7=0,0,K7/K18)</f>
        <v>102.97994463649398</v>
      </c>
      <c r="L53" s="87">
        <f t="shared" si="55"/>
        <v>99.684936336456744</v>
      </c>
      <c r="M53" s="87">
        <f t="shared" si="55"/>
        <v>48.801443359609273</v>
      </c>
      <c r="N53" s="87">
        <f t="shared" si="55"/>
        <v>44.756779915125705</v>
      </c>
      <c r="O53" s="87">
        <f t="shared" si="55"/>
        <v>99.433378611513078</v>
      </c>
      <c r="P53" s="87">
        <f t="shared" si="55"/>
        <v>101.08631435111863</v>
      </c>
      <c r="Q53" s="87">
        <f t="shared" si="55"/>
        <v>59.918111993275467</v>
      </c>
      <c r="R53" s="87">
        <f t="shared" si="55"/>
        <v>42.066728098640148</v>
      </c>
      <c r="S53" s="87">
        <f t="shared" si="55"/>
        <v>81.225361391743903</v>
      </c>
      <c r="T53" s="87">
        <f t="shared" si="55"/>
        <v>85.739228800096754</v>
      </c>
      <c r="U53" s="87">
        <f t="shared" si="55"/>
        <v>100.53747466937308</v>
      </c>
      <c r="V53" s="87">
        <f t="shared" si="55"/>
        <v>53.415683066998774</v>
      </c>
      <c r="W53" s="87">
        <f t="shared" ref="W53" si="56">IF(W7=0,0,W7/W18)</f>
        <v>19.095704969631534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177.28541511840794</v>
      </c>
      <c r="C54" s="87">
        <f t="shared" si="57"/>
        <v>154.36563107540024</v>
      </c>
      <c r="D54" s="87">
        <f t="shared" si="57"/>
        <v>140.65975870479747</v>
      </c>
      <c r="E54" s="87">
        <f t="shared" si="57"/>
        <v>129.01660031851625</v>
      </c>
      <c r="F54" s="87">
        <f t="shared" si="57"/>
        <v>119.81325477199084</v>
      </c>
      <c r="G54" s="87">
        <f t="shared" si="57"/>
        <v>111.52896520513922</v>
      </c>
      <c r="H54" s="87">
        <f t="shared" si="57"/>
        <v>137.16301334556286</v>
      </c>
      <c r="I54" s="87">
        <f t="shared" si="57"/>
        <v>127.44240329702366</v>
      </c>
      <c r="J54" s="87">
        <f t="shared" si="57"/>
        <v>127.82657926471526</v>
      </c>
      <c r="K54" s="87">
        <f t="shared" ref="K54:V54" si="58">IF(K8=0,0,K8/K19)</f>
        <v>98.660463995075204</v>
      </c>
      <c r="L54" s="87">
        <f t="shared" si="58"/>
        <v>84.829849160479895</v>
      </c>
      <c r="M54" s="87">
        <f t="shared" si="58"/>
        <v>92.000706659939993</v>
      </c>
      <c r="N54" s="87">
        <f t="shared" si="58"/>
        <v>82.058496238099366</v>
      </c>
      <c r="O54" s="87">
        <f t="shared" si="58"/>
        <v>105.35041328923172</v>
      </c>
      <c r="P54" s="87">
        <f t="shared" si="58"/>
        <v>106.76497496109843</v>
      </c>
      <c r="Q54" s="87">
        <f t="shared" si="58"/>
        <v>102.05440099383226</v>
      </c>
      <c r="R54" s="87">
        <f t="shared" si="58"/>
        <v>99.521685215656831</v>
      </c>
      <c r="S54" s="87">
        <f t="shared" si="58"/>
        <v>96.889232905484064</v>
      </c>
      <c r="T54" s="87">
        <f t="shared" si="58"/>
        <v>101.50660731444412</v>
      </c>
      <c r="U54" s="87">
        <f t="shared" si="58"/>
        <v>115.17055868703031</v>
      </c>
      <c r="V54" s="87">
        <f t="shared" si="58"/>
        <v>55.844590668852554</v>
      </c>
      <c r="W54" s="87">
        <f t="shared" ref="W54" si="59">IF(W8=0,0,W8/W19)</f>
        <v>85.868083650198528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185.90546535912247</v>
      </c>
      <c r="C55" s="117">
        <f t="shared" si="60"/>
        <v>187.4778036885389</v>
      </c>
      <c r="D55" s="117">
        <f t="shared" si="60"/>
        <v>180.86188083121149</v>
      </c>
      <c r="E55" s="117">
        <f t="shared" si="60"/>
        <v>181.62614288567488</v>
      </c>
      <c r="F55" s="117">
        <f t="shared" si="60"/>
        <v>178.09401026743106</v>
      </c>
      <c r="G55" s="117">
        <f t="shared" si="60"/>
        <v>180.5278223232026</v>
      </c>
      <c r="H55" s="117">
        <f t="shared" si="60"/>
        <v>183.72996197095713</v>
      </c>
      <c r="I55" s="117">
        <f t="shared" si="60"/>
        <v>174.8352609999265</v>
      </c>
      <c r="J55" s="117">
        <f t="shared" si="60"/>
        <v>185.36259775905299</v>
      </c>
      <c r="K55" s="117">
        <f t="shared" ref="K55:V55" si="61">IF(K9=0,0,K9/K20)</f>
        <v>180.93893747322812</v>
      </c>
      <c r="L55" s="117">
        <f t="shared" si="61"/>
        <v>177.43958928975957</v>
      </c>
      <c r="M55" s="117">
        <f t="shared" si="61"/>
        <v>176.84195334346674</v>
      </c>
      <c r="N55" s="117">
        <f t="shared" si="61"/>
        <v>180.74121577003794</v>
      </c>
      <c r="O55" s="117">
        <f t="shared" si="61"/>
        <v>199.08149782285369</v>
      </c>
      <c r="P55" s="117">
        <f t="shared" si="61"/>
        <v>203.04875880618036</v>
      </c>
      <c r="Q55" s="117">
        <f t="shared" si="61"/>
        <v>229.69119165523668</v>
      </c>
      <c r="R55" s="117">
        <f t="shared" si="61"/>
        <v>240.58980152578843</v>
      </c>
      <c r="S55" s="117">
        <f t="shared" si="61"/>
        <v>234.47996321468943</v>
      </c>
      <c r="T55" s="117">
        <f t="shared" si="61"/>
        <v>241.14295404442933</v>
      </c>
      <c r="U55" s="117">
        <f t="shared" si="61"/>
        <v>241.14295404442939</v>
      </c>
      <c r="V55" s="117">
        <f t="shared" si="61"/>
        <v>174.02068848567066</v>
      </c>
      <c r="W55" s="117">
        <f t="shared" ref="W55" si="62">IF(W9=0,0,W9/W20)</f>
        <v>186.36296860422132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449.18317556545065</v>
      </c>
      <c r="C56" s="29">
        <f t="shared" si="63"/>
        <v>372.30636930748199</v>
      </c>
      <c r="D56" s="29">
        <f t="shared" si="63"/>
        <v>336.12545902619888</v>
      </c>
      <c r="E56" s="29">
        <f t="shared" si="63"/>
        <v>321.54835759304996</v>
      </c>
      <c r="F56" s="29">
        <f t="shared" si="63"/>
        <v>321.55487829487544</v>
      </c>
      <c r="G56" s="29">
        <f t="shared" si="63"/>
        <v>305.09772917902421</v>
      </c>
      <c r="H56" s="29">
        <f t="shared" si="63"/>
        <v>453.19985633629403</v>
      </c>
      <c r="I56" s="29">
        <f t="shared" si="63"/>
        <v>312.73414052942525</v>
      </c>
      <c r="J56" s="29">
        <f t="shared" si="63"/>
        <v>331.0448238751614</v>
      </c>
      <c r="K56" s="29">
        <f t="shared" ref="K56:V56" si="64">IF(K10=0,0,K10/K21)</f>
        <v>406.82878196957682</v>
      </c>
      <c r="L56" s="29">
        <f t="shared" si="64"/>
        <v>357.33199057724454</v>
      </c>
      <c r="M56" s="29">
        <f t="shared" si="64"/>
        <v>364.23783876857453</v>
      </c>
      <c r="N56" s="29">
        <f t="shared" si="64"/>
        <v>397.75411539446998</v>
      </c>
      <c r="O56" s="29">
        <f t="shared" si="64"/>
        <v>396.24232690936884</v>
      </c>
      <c r="P56" s="29">
        <f t="shared" si="64"/>
        <v>402.00764347169462</v>
      </c>
      <c r="Q56" s="29">
        <f t="shared" si="64"/>
        <v>378.12846384176385</v>
      </c>
      <c r="R56" s="29">
        <f t="shared" si="64"/>
        <v>423.21050752943813</v>
      </c>
      <c r="S56" s="29">
        <f t="shared" si="64"/>
        <v>397.98446473424912</v>
      </c>
      <c r="T56" s="29">
        <f t="shared" si="64"/>
        <v>406.55449036835648</v>
      </c>
      <c r="U56" s="29">
        <f t="shared" si="64"/>
        <v>406.87909530880694</v>
      </c>
      <c r="V56" s="29">
        <f t="shared" si="64"/>
        <v>251.58145016999646</v>
      </c>
      <c r="W56" s="29">
        <f t="shared" ref="W56" si="65">IF(W10=0,0,W10/W21)</f>
        <v>375.42347106812804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336.62612157612335</v>
      </c>
      <c r="C57" s="87">
        <f t="shared" si="66"/>
        <v>341.52109869443683</v>
      </c>
      <c r="D57" s="87">
        <f t="shared" si="66"/>
        <v>342.50637435032439</v>
      </c>
      <c r="E57" s="87">
        <f t="shared" si="66"/>
        <v>313.7833664954955</v>
      </c>
      <c r="F57" s="87">
        <f t="shared" si="66"/>
        <v>313.61652465345611</v>
      </c>
      <c r="G57" s="87">
        <f t="shared" si="66"/>
        <v>313.91848969396898</v>
      </c>
      <c r="H57" s="87">
        <f t="shared" si="66"/>
        <v>491.25018774356465</v>
      </c>
      <c r="I57" s="87">
        <f t="shared" si="66"/>
        <v>338.28569172977478</v>
      </c>
      <c r="J57" s="87">
        <f t="shared" si="66"/>
        <v>339.82000439791102</v>
      </c>
      <c r="K57" s="87">
        <f t="shared" ref="K57:V57" si="67">IF(K11=0,0,K11/K22)</f>
        <v>439.04522947584354</v>
      </c>
      <c r="L57" s="87">
        <f t="shared" si="67"/>
        <v>385.71678850637471</v>
      </c>
      <c r="M57" s="87">
        <f t="shared" si="67"/>
        <v>354.67064930351984</v>
      </c>
      <c r="N57" s="87">
        <f t="shared" si="67"/>
        <v>387.0081599621945</v>
      </c>
      <c r="O57" s="87">
        <f t="shared" si="67"/>
        <v>433.32347873743009</v>
      </c>
      <c r="P57" s="87">
        <f t="shared" si="67"/>
        <v>439.83370182571883</v>
      </c>
      <c r="Q57" s="87">
        <f t="shared" si="67"/>
        <v>472.78111818052776</v>
      </c>
      <c r="R57" s="87">
        <f t="shared" si="67"/>
        <v>460.5713899843783</v>
      </c>
      <c r="S57" s="87">
        <f t="shared" si="67"/>
        <v>325.80272196527056</v>
      </c>
      <c r="T57" s="87">
        <f t="shared" si="67"/>
        <v>268.90215445525939</v>
      </c>
      <c r="U57" s="87">
        <f t="shared" si="67"/>
        <v>241.73331825823973</v>
      </c>
      <c r="V57" s="87">
        <f t="shared" si="67"/>
        <v>181.38172636291677</v>
      </c>
      <c r="W57" s="87">
        <f t="shared" ref="W57" si="68">IF(W11=0,0,W11/W22)</f>
        <v>176.37863313985525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524.96246635430532</v>
      </c>
      <c r="C58" s="88">
        <f t="shared" si="69"/>
        <v>389.83905540839658</v>
      </c>
      <c r="D58" s="88">
        <f t="shared" si="69"/>
        <v>333.40692717985235</v>
      </c>
      <c r="E58" s="88">
        <f t="shared" si="69"/>
        <v>324.02492243968106</v>
      </c>
      <c r="F58" s="88">
        <f t="shared" si="69"/>
        <v>323.97794029510976</v>
      </c>
      <c r="G58" s="88">
        <f t="shared" si="69"/>
        <v>302.46287398931003</v>
      </c>
      <c r="H58" s="88">
        <f t="shared" si="69"/>
        <v>426.38937698976724</v>
      </c>
      <c r="I58" s="88">
        <f t="shared" si="69"/>
        <v>295.25988454205077</v>
      </c>
      <c r="J58" s="88">
        <f t="shared" si="69"/>
        <v>323.66091706237967</v>
      </c>
      <c r="K58" s="88">
        <f t="shared" ref="K58:V58" si="70">IF(K12=0,0,K12/K23)</f>
        <v>298.9593014382005</v>
      </c>
      <c r="L58" s="88">
        <f t="shared" si="70"/>
        <v>289.45677208910985</v>
      </c>
      <c r="M58" s="88">
        <f t="shared" si="70"/>
        <v>369.88742634566819</v>
      </c>
      <c r="N58" s="88">
        <f t="shared" si="70"/>
        <v>405.75547511334582</v>
      </c>
      <c r="O58" s="88">
        <f t="shared" si="70"/>
        <v>386.05921960483249</v>
      </c>
      <c r="P58" s="88">
        <f t="shared" si="70"/>
        <v>391.97873220851284</v>
      </c>
      <c r="Q58" s="88">
        <f t="shared" si="70"/>
        <v>361.49927106927549</v>
      </c>
      <c r="R58" s="88">
        <f t="shared" si="70"/>
        <v>417.15399843023209</v>
      </c>
      <c r="S58" s="88">
        <f t="shared" si="70"/>
        <v>421.56936015428397</v>
      </c>
      <c r="T58" s="88">
        <f t="shared" si="70"/>
        <v>461.16805155103611</v>
      </c>
      <c r="U58" s="88">
        <f t="shared" si="70"/>
        <v>489.91170268391835</v>
      </c>
      <c r="V58" s="88">
        <f t="shared" si="70"/>
        <v>268.11770474094084</v>
      </c>
      <c r="W58" s="88">
        <f t="shared" ref="W58" si="71">IF(W12=0,0,W12/W23)</f>
        <v>405.08066636125136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357.17319507830393</v>
      </c>
      <c r="C61" s="29">
        <f t="shared" ref="C61" si="73">IF(C26=0,0,(C62*C27+C64*C29+C65*C30+C66*C31)/(C27+C29+C30+C31))</f>
        <v>355.32495418195219</v>
      </c>
      <c r="D61" s="29">
        <f t="shared" ref="D61" si="74">IF(D26=0,0,(D62*D27+D64*D29+D65*D30+D66*D31)/(D27+D29+D30+D31))</f>
        <v>354.08306089867438</v>
      </c>
      <c r="E61" s="29">
        <f t="shared" ref="E61" si="75">IF(E26=0,0,(E62*E27+E64*E29+E65*E30+E66*E31)/(E27+E29+E30+E31))</f>
        <v>352.15064146601281</v>
      </c>
      <c r="F61" s="29">
        <f t="shared" ref="F61" si="76">IF(F26=0,0,(F62*F27+F64*F29+F65*F30+F66*F31)/(F27+F29+F30+F31))</f>
        <v>350.84508115654972</v>
      </c>
      <c r="G61" s="29">
        <f t="shared" ref="G61" si="77">IF(G26=0,0,(G62*G27+G64*G29+G65*G30+G66*G31)/(G27+G29+G30+G31))</f>
        <v>348.69687858825961</v>
      </c>
      <c r="H61" s="29">
        <f t="shared" ref="H61" si="78">IF(H26=0,0,(H62*H27+H64*H29+H65*H30+H66*H31)/(H27+H29+H30+H31))</f>
        <v>350.70335208695701</v>
      </c>
      <c r="I61" s="29">
        <f t="shared" ref="I61" si="79">IF(I26=0,0,(I62*I27+I64*I29+I65*I30+I66*I31)/(I27+I29+I30+I31))</f>
        <v>351.87991323056326</v>
      </c>
      <c r="J61" s="29">
        <f t="shared" ref="J61" si="80">IF(J26=0,0,(J62*J27+J64*J29+J65*J30+J66*J31)/(J27+J29+J30+J31))</f>
        <v>356.49189137164444</v>
      </c>
      <c r="K61" s="29">
        <f t="shared" ref="K61" si="81">IF(K26=0,0,(K62*K27+K64*K29+K65*K30+K66*K31)/(K27+K29+K30+K31))</f>
        <v>365.09734599114142</v>
      </c>
      <c r="L61" s="29">
        <f t="shared" ref="L61" si="82">IF(L26=0,0,(L62*L27+L64*L29+L65*L30+L66*L31)/(L27+L29+L30+L31))</f>
        <v>369.84556627461546</v>
      </c>
      <c r="M61" s="29">
        <f t="shared" ref="M61" si="83">IF(M26=0,0,(M62*M27+M64*M29+M65*M30+M66*M31)/(M27+M29+M30+M31))</f>
        <v>370.80345945543854</v>
      </c>
      <c r="N61" s="29">
        <f t="shared" ref="N61" si="84">IF(N26=0,0,(N62*N27+N64*N29+N65*N30+N66*N31)/(N27+N29+N30+N31))</f>
        <v>367.78506352430986</v>
      </c>
      <c r="O61" s="29">
        <f t="shared" ref="O61" si="85">IF(O26=0,0,(O62*O27+O64*O29+O65*O30+O66*O31)/(O27+O29+O30+O31))</f>
        <v>368.8281416295668</v>
      </c>
      <c r="P61" s="29">
        <f t="shared" ref="P61" si="86">IF(P26=0,0,(P62*P27+P64*P29+P65*P30+P66*P31)/(P27+P29+P30+P31))</f>
        <v>368.14627425007313</v>
      </c>
      <c r="Q61" s="29">
        <f t="shared" ref="Q61" si="87">IF(Q26=0,0,(Q62*Q27+Q64*Q29+Q65*Q30+Q66*Q31)/(Q27+Q29+Q30+Q31))</f>
        <v>367.59869723623052</v>
      </c>
      <c r="R61" s="29">
        <f t="shared" ref="R61" si="88">IF(R26=0,0,(R62*R27+R64*R29+R65*R30+R66*R31)/(R27+R29+R30+R31))</f>
        <v>368.53268751171612</v>
      </c>
      <c r="S61" s="29">
        <f t="shared" ref="S61" si="89">IF(S26=0,0,(S62*S27+S64*S29+S65*S30+S66*S31)/(S27+S29+S30+S31))</f>
        <v>370.01226746649905</v>
      </c>
      <c r="T61" s="29">
        <f t="shared" ref="T61" si="90">IF(T26=0,0,(T62*T27+T64*T29+T65*T30+T66*T31)/(T27+T29+T30+T31))</f>
        <v>372.83374993124869</v>
      </c>
      <c r="U61" s="29">
        <f t="shared" ref="U61" si="91">IF(U26=0,0,(U62*U27+U64*U29+U65*U30+U66*U31)/(U27+U29+U30+U31))</f>
        <v>374.7649150079564</v>
      </c>
      <c r="V61" s="29">
        <f t="shared" ref="V61" si="92">IF(V26=0,0,(V62*V27+V64*V29+V65*V30+V66*V31)/(V27+V29+V30+V31))</f>
        <v>373.37780307374391</v>
      </c>
      <c r="W61" s="29">
        <f t="shared" ref="W61" si="93">IF(W26=0,0,(W62*W27+W64*W29+W65*W30+W66*W31)/(W27+W29+W30+W31))</f>
        <v>370.33791581438675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319.99999999999994</v>
      </c>
      <c r="E63" s="116">
        <f t="shared" ref="E63" si="97">IF(E28=0,0,(E64*E29+E65*E30)/(E29+E30))</f>
        <v>320.00000000000006</v>
      </c>
      <c r="F63" s="116">
        <f t="shared" ref="F63" si="98">IF(F28=0,0,(F64*F29+F65*F30)/(F29+F30))</f>
        <v>319.99999999999994</v>
      </c>
      <c r="G63" s="116">
        <f t="shared" ref="G63" si="99">IF(G28=0,0,(G64*G29+G65*G30)/(G29+G30))</f>
        <v>319.99999999999994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319.99999999999994</v>
      </c>
      <c r="R63" s="116">
        <f t="shared" ref="R63" si="110">IF(R28=0,0,(R64*R29+R65*R30)/(R29+R30))</f>
        <v>320.00000000000006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2099.9999999999995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2099.9999999999995</v>
      </c>
      <c r="N67" s="29">
        <f t="shared" ref="N67" si="128">IF(N32=0,0,(N68*N33+N69*N34)/(N33+N34))</f>
        <v>2099.9999999999995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2099.9999999999995</v>
      </c>
      <c r="U67" s="29">
        <f t="shared" ref="U67" si="135">IF(U32=0,0,(U68*U33+U69*U34)/(U33+U34))</f>
        <v>2099.9999999999995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0.36926162621573116</v>
      </c>
      <c r="C72" s="30">
        <f t="shared" ref="C72:J72" si="138">IF(C50=0,0,C50/C61)</f>
        <v>0.35270402352221986</v>
      </c>
      <c r="D72" s="30">
        <f t="shared" si="138"/>
        <v>0.33530178373629665</v>
      </c>
      <c r="E72" s="30">
        <f t="shared" si="138"/>
        <v>0.30094790823305817</v>
      </c>
      <c r="F72" s="30">
        <f t="shared" si="138"/>
        <v>0.27284226631646508</v>
      </c>
      <c r="G72" s="30">
        <f t="shared" si="138"/>
        <v>0.26020730576296458</v>
      </c>
      <c r="H72" s="30">
        <f t="shared" si="138"/>
        <v>0.32997568440392078</v>
      </c>
      <c r="I72" s="30">
        <f t="shared" si="138"/>
        <v>0.2983432354529888</v>
      </c>
      <c r="J72" s="30">
        <f t="shared" si="138"/>
        <v>0.3031209921981558</v>
      </c>
      <c r="K72" s="30">
        <f t="shared" ref="K72:V72" si="139">IF(K50=0,0,K50/K61)</f>
        <v>0.31125987663564075</v>
      </c>
      <c r="L72" s="30">
        <f t="shared" si="139"/>
        <v>0.29151647570330586</v>
      </c>
      <c r="M72" s="30">
        <f t="shared" si="139"/>
        <v>0.25868794816319207</v>
      </c>
      <c r="N72" s="30">
        <f t="shared" si="139"/>
        <v>0.24628307799875496</v>
      </c>
      <c r="O72" s="30">
        <f t="shared" si="139"/>
        <v>0.32252769481155164</v>
      </c>
      <c r="P72" s="30">
        <f t="shared" si="139"/>
        <v>0.32513531600031381</v>
      </c>
      <c r="Q72" s="30">
        <f t="shared" si="139"/>
        <v>0.32464979203007166</v>
      </c>
      <c r="R72" s="30">
        <f t="shared" si="139"/>
        <v>0.3209442764776797</v>
      </c>
      <c r="S72" s="30">
        <f t="shared" si="139"/>
        <v>0.33029306071689091</v>
      </c>
      <c r="T72" s="30">
        <f t="shared" si="139"/>
        <v>0.33398983953037586</v>
      </c>
      <c r="U72" s="30">
        <f t="shared" si="139"/>
        <v>0.34301137092397782</v>
      </c>
      <c r="V72" s="30">
        <f t="shared" si="139"/>
        <v>0.18803190978563886</v>
      </c>
      <c r="W72" s="30">
        <f t="shared" ref="W72" si="140">IF(W50=0,0,W50/W61)</f>
        <v>0.23635061423763398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0.20630798191162392</v>
      </c>
      <c r="C73" s="118">
        <f t="shared" si="141"/>
        <v>0.20628255966594883</v>
      </c>
      <c r="D73" s="118">
        <f t="shared" si="141"/>
        <v>0.20679821932738257</v>
      </c>
      <c r="E73" s="118">
        <f t="shared" si="141"/>
        <v>0.19546725782247329</v>
      </c>
      <c r="F73" s="118">
        <f t="shared" si="141"/>
        <v>0.19546725782247329</v>
      </c>
      <c r="G73" s="118">
        <f t="shared" si="141"/>
        <v>0.19835142745591747</v>
      </c>
      <c r="H73" s="118">
        <f t="shared" si="141"/>
        <v>0.19875389359928761</v>
      </c>
      <c r="I73" s="118">
        <f t="shared" si="141"/>
        <v>0.197209815869544</v>
      </c>
      <c r="J73" s="118">
        <f t="shared" si="141"/>
        <v>0.19845669836218796</v>
      </c>
      <c r="K73" s="118">
        <f t="shared" ref="K73:V73" si="142">IF(K51=0,0,K51/K62)</f>
        <v>0.19549502074847422</v>
      </c>
      <c r="L73" s="118">
        <f t="shared" si="142"/>
        <v>0.19455904590799952</v>
      </c>
      <c r="M73" s="118">
        <f t="shared" si="142"/>
        <v>0.19666802552551363</v>
      </c>
      <c r="N73" s="118">
        <f t="shared" si="142"/>
        <v>0.19359354527477757</v>
      </c>
      <c r="O73" s="118">
        <f t="shared" si="142"/>
        <v>0.19651880449022205</v>
      </c>
      <c r="P73" s="118">
        <f t="shared" si="142"/>
        <v>0.19835426264271813</v>
      </c>
      <c r="Q73" s="118">
        <f t="shared" si="142"/>
        <v>0.20140252083176982</v>
      </c>
      <c r="R73" s="118">
        <f t="shared" si="142"/>
        <v>0.20338960579731535</v>
      </c>
      <c r="S73" s="118">
        <f t="shared" si="142"/>
        <v>0.20283224089347979</v>
      </c>
      <c r="T73" s="118">
        <f t="shared" si="142"/>
        <v>0.20499373416875574</v>
      </c>
      <c r="U73" s="118">
        <f t="shared" si="142"/>
        <v>0.18936387575525856</v>
      </c>
      <c r="V73" s="118">
        <f t="shared" si="142"/>
        <v>0.13291404304093224</v>
      </c>
      <c r="W73" s="118">
        <f t="shared" ref="W73" si="143">IF(W51=0,0,W51/W62)</f>
        <v>0.17157215610556836</v>
      </c>
      <c r="DA73" s="203"/>
    </row>
    <row r="74" spans="1:105" ht="11.45" customHeight="1" x14ac:dyDescent="0.25">
      <c r="A74" s="109" t="s">
        <v>24</v>
      </c>
      <c r="B74" s="119">
        <f t="shared" si="141"/>
        <v>0.47974826269122472</v>
      </c>
      <c r="C74" s="119">
        <f t="shared" si="141"/>
        <v>0.44055753372276368</v>
      </c>
      <c r="D74" s="119">
        <f t="shared" si="141"/>
        <v>0.40611342481428064</v>
      </c>
      <c r="E74" s="119">
        <f t="shared" si="141"/>
        <v>0.35233000672726034</v>
      </c>
      <c r="F74" s="119">
        <f t="shared" si="141"/>
        <v>0.30474867935765099</v>
      </c>
      <c r="G74" s="119">
        <f t="shared" si="141"/>
        <v>0.27928218149817313</v>
      </c>
      <c r="H74" s="119">
        <f t="shared" si="141"/>
        <v>0.399206397984116</v>
      </c>
      <c r="I74" s="119">
        <f t="shared" si="141"/>
        <v>0.34758153408043019</v>
      </c>
      <c r="J74" s="119">
        <f t="shared" si="141"/>
        <v>0.33881654507658782</v>
      </c>
      <c r="K74" s="119">
        <f t="shared" ref="K74:V74" si="144">IF(K52=0,0,K52/K63)</f>
        <v>0.31609537189306591</v>
      </c>
      <c r="L74" s="119">
        <f t="shared" si="144"/>
        <v>0.29154157456483121</v>
      </c>
      <c r="M74" s="119">
        <f t="shared" si="144"/>
        <v>0.23064311038814847</v>
      </c>
      <c r="N74" s="119">
        <f t="shared" si="144"/>
        <v>0.20458810632983765</v>
      </c>
      <c r="O74" s="119">
        <f t="shared" si="144"/>
        <v>0.32595409145617343</v>
      </c>
      <c r="P74" s="119">
        <f t="shared" si="144"/>
        <v>0.33067692595792153</v>
      </c>
      <c r="Q74" s="119">
        <f t="shared" si="144"/>
        <v>0.2921660661461713</v>
      </c>
      <c r="R74" s="119">
        <f t="shared" si="144"/>
        <v>0.27044151249012932</v>
      </c>
      <c r="S74" s="119">
        <f t="shared" si="144"/>
        <v>0.29458402755101226</v>
      </c>
      <c r="T74" s="119">
        <f t="shared" si="144"/>
        <v>0.30901957373218664</v>
      </c>
      <c r="U74" s="119">
        <f t="shared" si="144"/>
        <v>0.35237375809875909</v>
      </c>
      <c r="V74" s="119">
        <f t="shared" si="144"/>
        <v>0.17365090246748299</v>
      </c>
      <c r="W74" s="119">
        <f t="shared" ref="W74" si="145">IF(W52=0,0,W52/W63)</f>
        <v>0.23756406054675333</v>
      </c>
      <c r="DA74" s="176"/>
    </row>
    <row r="75" spans="1:105" ht="11.45" customHeight="1" x14ac:dyDescent="0.25">
      <c r="A75" s="111" t="s">
        <v>92</v>
      </c>
      <c r="B75" s="120">
        <f t="shared" si="141"/>
        <v>0.34618005078905789</v>
      </c>
      <c r="C75" s="120">
        <f t="shared" si="141"/>
        <v>0.35799980765763628</v>
      </c>
      <c r="D75" s="120">
        <f t="shared" si="141"/>
        <v>0.33425258287624604</v>
      </c>
      <c r="E75" s="120">
        <f t="shared" si="141"/>
        <v>0.25539481427023047</v>
      </c>
      <c r="F75" s="120">
        <f t="shared" si="141"/>
        <v>0.19169971465515784</v>
      </c>
      <c r="G75" s="120">
        <f t="shared" si="141"/>
        <v>0.1691095835815474</v>
      </c>
      <c r="H75" s="120">
        <f t="shared" si="141"/>
        <v>0.3660332825799259</v>
      </c>
      <c r="I75" s="120">
        <f t="shared" si="141"/>
        <v>0.29106704025128993</v>
      </c>
      <c r="J75" s="120">
        <f t="shared" si="141"/>
        <v>0.2675145558258521</v>
      </c>
      <c r="K75" s="120">
        <f t="shared" ref="K75:V75" si="146">IF(K53=0,0,K53/K64)</f>
        <v>0.32181232698904372</v>
      </c>
      <c r="L75" s="120">
        <f t="shared" si="146"/>
        <v>0.31151542605142735</v>
      </c>
      <c r="M75" s="120">
        <f t="shared" si="146"/>
        <v>0.15250451049877897</v>
      </c>
      <c r="N75" s="120">
        <f t="shared" si="146"/>
        <v>0.13986493723476784</v>
      </c>
      <c r="O75" s="120">
        <f t="shared" si="146"/>
        <v>0.31072930816097838</v>
      </c>
      <c r="P75" s="120">
        <f t="shared" si="146"/>
        <v>0.31589473234724574</v>
      </c>
      <c r="Q75" s="120">
        <f t="shared" si="146"/>
        <v>0.18724409997898583</v>
      </c>
      <c r="R75" s="120">
        <f t="shared" si="146"/>
        <v>0.13145852530825047</v>
      </c>
      <c r="S75" s="120">
        <f t="shared" si="146"/>
        <v>0.25382925434919967</v>
      </c>
      <c r="T75" s="120">
        <f t="shared" si="146"/>
        <v>0.26793509000030236</v>
      </c>
      <c r="U75" s="120">
        <f t="shared" si="146"/>
        <v>0.31417960834179087</v>
      </c>
      <c r="V75" s="120">
        <f t="shared" si="146"/>
        <v>0.16692400958437117</v>
      </c>
      <c r="W75" s="120">
        <f t="shared" ref="W75" si="147">IF(W53=0,0,W53/W64)</f>
        <v>5.967407803009854E-2</v>
      </c>
      <c r="DA75" s="171"/>
    </row>
    <row r="76" spans="1:105" ht="11.45" customHeight="1" x14ac:dyDescent="0.25">
      <c r="A76" s="111" t="s">
        <v>93</v>
      </c>
      <c r="B76" s="120">
        <f t="shared" si="141"/>
        <v>0.55401692224502486</v>
      </c>
      <c r="C76" s="120">
        <f t="shared" si="141"/>
        <v>0.48239259711062576</v>
      </c>
      <c r="D76" s="120">
        <f t="shared" si="141"/>
        <v>0.43956174595249209</v>
      </c>
      <c r="E76" s="120">
        <f t="shared" si="141"/>
        <v>0.40317687599536328</v>
      </c>
      <c r="F76" s="120">
        <f t="shared" si="141"/>
        <v>0.37441642116247137</v>
      </c>
      <c r="G76" s="120">
        <f t="shared" si="141"/>
        <v>0.34852801626606006</v>
      </c>
      <c r="H76" s="120">
        <f t="shared" si="141"/>
        <v>0.42863441670488395</v>
      </c>
      <c r="I76" s="120">
        <f t="shared" si="141"/>
        <v>0.39825751030319895</v>
      </c>
      <c r="J76" s="120">
        <f t="shared" si="141"/>
        <v>0.39945806020223518</v>
      </c>
      <c r="K76" s="120">
        <f t="shared" ref="K76:V76" si="148">IF(K54=0,0,K54/K65)</f>
        <v>0.30831394998461004</v>
      </c>
      <c r="L76" s="120">
        <f t="shared" si="148"/>
        <v>0.26509327862649967</v>
      </c>
      <c r="M76" s="120">
        <f t="shared" si="148"/>
        <v>0.28750220831231249</v>
      </c>
      <c r="N76" s="120">
        <f t="shared" si="148"/>
        <v>0.2564328007440605</v>
      </c>
      <c r="O76" s="120">
        <f t="shared" si="148"/>
        <v>0.32922004152884915</v>
      </c>
      <c r="P76" s="120">
        <f t="shared" si="148"/>
        <v>0.33364054675343258</v>
      </c>
      <c r="Q76" s="120">
        <f t="shared" si="148"/>
        <v>0.31892000310572582</v>
      </c>
      <c r="R76" s="120">
        <f t="shared" si="148"/>
        <v>0.31100526629892761</v>
      </c>
      <c r="S76" s="120">
        <f t="shared" si="148"/>
        <v>0.30277885282963768</v>
      </c>
      <c r="T76" s="120">
        <f t="shared" si="148"/>
        <v>0.3172081478576379</v>
      </c>
      <c r="U76" s="120">
        <f t="shared" si="148"/>
        <v>0.3599079958969697</v>
      </c>
      <c r="V76" s="120">
        <f t="shared" si="148"/>
        <v>0.17451434584016423</v>
      </c>
      <c r="W76" s="120">
        <f t="shared" ref="W76" si="149">IF(W54=0,0,W54/W65)</f>
        <v>0.26833776140687038</v>
      </c>
      <c r="DA76" s="171"/>
    </row>
    <row r="77" spans="1:105" ht="11.45" customHeight="1" x14ac:dyDescent="0.25">
      <c r="A77" s="112" t="s">
        <v>25</v>
      </c>
      <c r="B77" s="121">
        <f t="shared" si="141"/>
        <v>0.33197404528414726</v>
      </c>
      <c r="C77" s="121">
        <f t="shared" si="141"/>
        <v>0.33478179230096233</v>
      </c>
      <c r="D77" s="121">
        <f t="shared" si="141"/>
        <v>0.32296764434144909</v>
      </c>
      <c r="E77" s="121">
        <f t="shared" si="141"/>
        <v>0.32433239801013369</v>
      </c>
      <c r="F77" s="121">
        <f t="shared" si="141"/>
        <v>0.31802501833469832</v>
      </c>
      <c r="G77" s="121">
        <f t="shared" si="141"/>
        <v>0.3223711112914332</v>
      </c>
      <c r="H77" s="121">
        <f t="shared" si="141"/>
        <v>0.32808921780528061</v>
      </c>
      <c r="I77" s="121">
        <f t="shared" si="141"/>
        <v>0.31220582321415447</v>
      </c>
      <c r="J77" s="121">
        <f t="shared" si="141"/>
        <v>0.33100463885545178</v>
      </c>
      <c r="K77" s="121">
        <f t="shared" ref="K77:V77" si="150">IF(K55=0,0,K55/K66)</f>
        <v>0.32310524548790737</v>
      </c>
      <c r="L77" s="121">
        <f t="shared" si="150"/>
        <v>0.31685640944599924</v>
      </c>
      <c r="M77" s="121">
        <f t="shared" si="150"/>
        <v>0.31578920239904773</v>
      </c>
      <c r="N77" s="121">
        <f t="shared" si="150"/>
        <v>0.32275217101792492</v>
      </c>
      <c r="O77" s="121">
        <f t="shared" si="150"/>
        <v>0.35550267468366731</v>
      </c>
      <c r="P77" s="121">
        <f t="shared" si="150"/>
        <v>0.36258706929675066</v>
      </c>
      <c r="Q77" s="121">
        <f t="shared" si="150"/>
        <v>0.41016284224149407</v>
      </c>
      <c r="R77" s="121">
        <f t="shared" si="150"/>
        <v>0.42962464558176505</v>
      </c>
      <c r="S77" s="121">
        <f t="shared" si="150"/>
        <v>0.41871422002623115</v>
      </c>
      <c r="T77" s="121">
        <f t="shared" si="150"/>
        <v>0.43061241793648097</v>
      </c>
      <c r="U77" s="121">
        <f t="shared" si="150"/>
        <v>0.43061241793648103</v>
      </c>
      <c r="V77" s="121">
        <f t="shared" si="150"/>
        <v>0.3107512294386976</v>
      </c>
      <c r="W77" s="121">
        <f t="shared" ref="W77" si="151">IF(W55=0,0,W55/W66)</f>
        <v>0.33279101536468092</v>
      </c>
      <c r="DA77" s="204"/>
    </row>
    <row r="78" spans="1:105" ht="11.45" customHeight="1" x14ac:dyDescent="0.25">
      <c r="A78" s="27" t="s">
        <v>34</v>
      </c>
      <c r="B78" s="30">
        <f t="shared" si="141"/>
        <v>0.21389675026926222</v>
      </c>
      <c r="C78" s="30">
        <f t="shared" si="141"/>
        <v>0.17728874728927713</v>
      </c>
      <c r="D78" s="30">
        <f t="shared" si="141"/>
        <v>0.16005974239342804</v>
      </c>
      <c r="E78" s="30">
        <f t="shared" si="141"/>
        <v>0.15311826552049998</v>
      </c>
      <c r="F78" s="30">
        <f t="shared" si="141"/>
        <v>0.15312137061660736</v>
      </c>
      <c r="G78" s="30">
        <f t="shared" si="141"/>
        <v>0.14528463294239249</v>
      </c>
      <c r="H78" s="30">
        <f t="shared" si="141"/>
        <v>0.21580945539823529</v>
      </c>
      <c r="I78" s="30">
        <f t="shared" si="141"/>
        <v>0.14892101929972631</v>
      </c>
      <c r="J78" s="30">
        <f t="shared" si="141"/>
        <v>0.15764039232150542</v>
      </c>
      <c r="K78" s="30">
        <f t="shared" ref="K78:V78" si="152">IF(K56=0,0,K56/K67)</f>
        <v>0.1937279914140842</v>
      </c>
      <c r="L78" s="30">
        <f t="shared" si="152"/>
        <v>0.17015809075106883</v>
      </c>
      <c r="M78" s="30">
        <f t="shared" si="152"/>
        <v>0.17344658988979744</v>
      </c>
      <c r="N78" s="30">
        <f t="shared" si="152"/>
        <v>0.18940672161641431</v>
      </c>
      <c r="O78" s="30">
        <f t="shared" si="152"/>
        <v>0.18868682233779469</v>
      </c>
      <c r="P78" s="30">
        <f t="shared" si="152"/>
        <v>0.19143221117699744</v>
      </c>
      <c r="Q78" s="30">
        <f t="shared" si="152"/>
        <v>0.18006117325798279</v>
      </c>
      <c r="R78" s="30">
        <f t="shared" si="152"/>
        <v>0.20152881310925624</v>
      </c>
      <c r="S78" s="30">
        <f t="shared" si="152"/>
        <v>0.18951641177821388</v>
      </c>
      <c r="T78" s="30">
        <f t="shared" si="152"/>
        <v>0.19359737636588409</v>
      </c>
      <c r="U78" s="30">
        <f t="shared" si="152"/>
        <v>0.19375195014705096</v>
      </c>
      <c r="V78" s="30">
        <f t="shared" si="152"/>
        <v>0.11980069055714117</v>
      </c>
      <c r="W78" s="30">
        <f t="shared" ref="W78" si="153">IF(W56=0,0,W56/W67)</f>
        <v>0.17877308146101334</v>
      </c>
      <c r="DA78" s="173"/>
    </row>
    <row r="79" spans="1:105" ht="11.45" customHeight="1" x14ac:dyDescent="0.25">
      <c r="A79" s="83" t="s">
        <v>92</v>
      </c>
      <c r="B79" s="120">
        <f t="shared" si="141"/>
        <v>0.16029815313148732</v>
      </c>
      <c r="C79" s="120">
        <f t="shared" si="141"/>
        <v>0.16262909461639849</v>
      </c>
      <c r="D79" s="120">
        <f t="shared" si="141"/>
        <v>0.16309827350015446</v>
      </c>
      <c r="E79" s="120">
        <f t="shared" si="141"/>
        <v>0.14942065071214072</v>
      </c>
      <c r="F79" s="120">
        <f t="shared" si="141"/>
        <v>0.14934120221593147</v>
      </c>
      <c r="G79" s="120">
        <f t="shared" si="141"/>
        <v>0.14948499509236618</v>
      </c>
      <c r="H79" s="120">
        <f t="shared" si="141"/>
        <v>0.23392866083026889</v>
      </c>
      <c r="I79" s="120">
        <f t="shared" si="141"/>
        <v>0.16108842463322609</v>
      </c>
      <c r="J79" s="120">
        <f t="shared" si="141"/>
        <v>0.16181904971329097</v>
      </c>
      <c r="K79" s="120">
        <f t="shared" ref="K79:V79" si="154">IF(K57=0,0,K57/K68)</f>
        <v>0.20906915689325883</v>
      </c>
      <c r="L79" s="120">
        <f t="shared" si="154"/>
        <v>0.18367466119351178</v>
      </c>
      <c r="M79" s="120">
        <f t="shared" si="154"/>
        <v>0.1688907853826285</v>
      </c>
      <c r="N79" s="120">
        <f t="shared" si="154"/>
        <v>0.18428959998199737</v>
      </c>
      <c r="O79" s="120">
        <f t="shared" si="154"/>
        <v>0.20634451368449053</v>
      </c>
      <c r="P79" s="120">
        <f t="shared" si="154"/>
        <v>0.20944461991700897</v>
      </c>
      <c r="Q79" s="120">
        <f t="shared" si="154"/>
        <v>0.22513386580025133</v>
      </c>
      <c r="R79" s="120">
        <f t="shared" si="154"/>
        <v>0.21931970951637061</v>
      </c>
      <c r="S79" s="120">
        <f t="shared" si="154"/>
        <v>0.15514415331679551</v>
      </c>
      <c r="T79" s="120">
        <f t="shared" si="154"/>
        <v>0.12804864497869495</v>
      </c>
      <c r="U79" s="120">
        <f t="shared" si="154"/>
        <v>0.11511110393249512</v>
      </c>
      <c r="V79" s="120">
        <f t="shared" si="154"/>
        <v>8.6372250649007984E-2</v>
      </c>
      <c r="W79" s="120">
        <f t="shared" ref="W79" si="155">IF(W57=0,0,W57/W68)</f>
        <v>8.3989825304692983E-2</v>
      </c>
      <c r="DA79" s="171"/>
    </row>
    <row r="80" spans="1:105" ht="11.45" customHeight="1" x14ac:dyDescent="0.25">
      <c r="A80" s="85" t="s">
        <v>93</v>
      </c>
      <c r="B80" s="122">
        <f t="shared" si="141"/>
        <v>0.24998212683538348</v>
      </c>
      <c r="C80" s="122">
        <f t="shared" si="141"/>
        <v>0.1856376454325698</v>
      </c>
      <c r="D80" s="122">
        <f t="shared" si="141"/>
        <v>0.15876520341897732</v>
      </c>
      <c r="E80" s="122">
        <f t="shared" si="141"/>
        <v>0.15429758211413383</v>
      </c>
      <c r="F80" s="122">
        <f t="shared" si="141"/>
        <v>0.15427520966433797</v>
      </c>
      <c r="G80" s="122">
        <f t="shared" si="141"/>
        <v>0.14402993999490954</v>
      </c>
      <c r="H80" s="122">
        <f t="shared" si="141"/>
        <v>0.20304256047131775</v>
      </c>
      <c r="I80" s="122">
        <f t="shared" si="141"/>
        <v>0.14059994502002418</v>
      </c>
      <c r="J80" s="122">
        <f t="shared" si="141"/>
        <v>0.15412424622018078</v>
      </c>
      <c r="K80" s="122">
        <f t="shared" ref="K80:V80" si="156">IF(K58=0,0,K58/K69)</f>
        <v>0.14236157211342881</v>
      </c>
      <c r="L80" s="122">
        <f t="shared" si="156"/>
        <v>0.13783655813767134</v>
      </c>
      <c r="M80" s="122">
        <f t="shared" si="156"/>
        <v>0.17613686968841341</v>
      </c>
      <c r="N80" s="122">
        <f t="shared" si="156"/>
        <v>0.19321689291111707</v>
      </c>
      <c r="O80" s="122">
        <f t="shared" si="156"/>
        <v>0.18383772362134881</v>
      </c>
      <c r="P80" s="122">
        <f t="shared" si="156"/>
        <v>0.18665653914691088</v>
      </c>
      <c r="Q80" s="122">
        <f t="shared" si="156"/>
        <v>0.17214251003298833</v>
      </c>
      <c r="R80" s="122">
        <f t="shared" si="156"/>
        <v>0.19864476115725338</v>
      </c>
      <c r="S80" s="122">
        <f t="shared" si="156"/>
        <v>0.20074731435918283</v>
      </c>
      <c r="T80" s="122">
        <f t="shared" si="156"/>
        <v>0.21960383407192197</v>
      </c>
      <c r="U80" s="122">
        <f t="shared" si="156"/>
        <v>0.23329128699234208</v>
      </c>
      <c r="V80" s="122">
        <f t="shared" si="156"/>
        <v>0.12767509749568612</v>
      </c>
      <c r="W80" s="122">
        <f t="shared" ref="W80" si="157">IF(W58=0,0,W58/W69)</f>
        <v>0.19289555541011968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143897.61868962346</v>
      </c>
      <c r="C82" s="54">
        <f t="shared" si="158"/>
        <v>145271.51808872214</v>
      </c>
      <c r="D82" s="54">
        <f t="shared" si="158"/>
        <v>146058.17597717699</v>
      </c>
      <c r="E82" s="54">
        <f t="shared" si="158"/>
        <v>145338.40602939899</v>
      </c>
      <c r="F82" s="54">
        <f t="shared" si="158"/>
        <v>145570.12349410579</v>
      </c>
      <c r="G82" s="54">
        <f t="shared" si="158"/>
        <v>145982.22649283751</v>
      </c>
      <c r="H82" s="54">
        <f t="shared" si="158"/>
        <v>117776.28352735394</v>
      </c>
      <c r="I82" s="54">
        <f t="shared" si="158"/>
        <v>132544.16319647673</v>
      </c>
      <c r="J82" s="54">
        <f t="shared" si="158"/>
        <v>139314.81887759082</v>
      </c>
      <c r="K82" s="54">
        <f t="shared" ref="K82:V82" si="159">IF(K14=0,0,K14/K25*1000000)</f>
        <v>124475.87825151868</v>
      </c>
      <c r="L82" s="54">
        <f t="shared" si="159"/>
        <v>130706.45827154811</v>
      </c>
      <c r="M82" s="54">
        <f t="shared" si="159"/>
        <v>152446.85930710263</v>
      </c>
      <c r="N82" s="54">
        <f t="shared" si="159"/>
        <v>152141.99975203976</v>
      </c>
      <c r="O82" s="54">
        <f t="shared" si="159"/>
        <v>129186.39970153828</v>
      </c>
      <c r="P82" s="54">
        <f t="shared" si="159"/>
        <v>132449.43464734542</v>
      </c>
      <c r="Q82" s="54">
        <f t="shared" si="159"/>
        <v>137469.6435889469</v>
      </c>
      <c r="R82" s="54">
        <f t="shared" si="159"/>
        <v>140177.77165340341</v>
      </c>
      <c r="S82" s="54">
        <f t="shared" si="159"/>
        <v>140320.1612780866</v>
      </c>
      <c r="T82" s="54">
        <f t="shared" si="159"/>
        <v>140940.39271351535</v>
      </c>
      <c r="U82" s="54">
        <f t="shared" si="159"/>
        <v>141539.52757675431</v>
      </c>
      <c r="V82" s="54">
        <f t="shared" si="159"/>
        <v>125979.75809383736</v>
      </c>
      <c r="W82" s="54">
        <f t="shared" ref="W82" si="160">IF(W14=0,0,W14/W25*1000000)</f>
        <v>132124.50699225967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138428.66553816467</v>
      </c>
      <c r="C83" s="28">
        <f t="shared" si="161"/>
        <v>139232.44642794342</v>
      </c>
      <c r="D83" s="28">
        <f t="shared" si="161"/>
        <v>139960.12240286433</v>
      </c>
      <c r="E83" s="28">
        <f t="shared" si="161"/>
        <v>139694.48255603711</v>
      </c>
      <c r="F83" s="28">
        <f t="shared" si="161"/>
        <v>140176.67442569311</v>
      </c>
      <c r="G83" s="28">
        <f t="shared" si="161"/>
        <v>141224.97376154381</v>
      </c>
      <c r="H83" s="28">
        <f t="shared" si="161"/>
        <v>116347.87925220402</v>
      </c>
      <c r="I83" s="28">
        <f t="shared" si="161"/>
        <v>128241.7339330696</v>
      </c>
      <c r="J83" s="28">
        <f t="shared" si="161"/>
        <v>136597.24548031058</v>
      </c>
      <c r="K83" s="28">
        <f t="shared" ref="K83:V83" si="162">IF(K15=0,0,K15/K26*1000000)</f>
        <v>126516.25215368398</v>
      </c>
      <c r="L83" s="28">
        <f t="shared" si="162"/>
        <v>130879.06196076424</v>
      </c>
      <c r="M83" s="28">
        <f t="shared" si="162"/>
        <v>153175.05919958354</v>
      </c>
      <c r="N83" s="28">
        <f t="shared" si="162"/>
        <v>152867.33804627421</v>
      </c>
      <c r="O83" s="28">
        <f t="shared" si="162"/>
        <v>128010.21567005308</v>
      </c>
      <c r="P83" s="28">
        <f t="shared" si="162"/>
        <v>130725.28363087837</v>
      </c>
      <c r="Q83" s="28">
        <f t="shared" si="162"/>
        <v>135638.61532180896</v>
      </c>
      <c r="R83" s="28">
        <f t="shared" si="162"/>
        <v>139725.66430139195</v>
      </c>
      <c r="S83" s="28">
        <f t="shared" si="162"/>
        <v>138214.12275171839</v>
      </c>
      <c r="T83" s="28">
        <f t="shared" si="162"/>
        <v>138223.34064779824</v>
      </c>
      <c r="U83" s="28">
        <f t="shared" si="162"/>
        <v>138127.57988070478</v>
      </c>
      <c r="V83" s="28">
        <f t="shared" si="162"/>
        <v>119853.98931903634</v>
      </c>
      <c r="W83" s="28">
        <f t="shared" ref="W83" si="163">IF(W15=0,0,W15/W26*1000000)</f>
        <v>129621.21481822677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109999.99982325787</v>
      </c>
      <c r="C84" s="108">
        <f t="shared" si="161"/>
        <v>109999.99985749282</v>
      </c>
      <c r="D84" s="108">
        <f t="shared" si="161"/>
        <v>109999.99990161047</v>
      </c>
      <c r="E84" s="108">
        <f t="shared" si="161"/>
        <v>109999.99996787493</v>
      </c>
      <c r="F84" s="108">
        <f t="shared" si="161"/>
        <v>109999.99988631792</v>
      </c>
      <c r="G84" s="108">
        <f t="shared" si="161"/>
        <v>109999.99992225057</v>
      </c>
      <c r="H84" s="108">
        <f t="shared" si="161"/>
        <v>109999.99986732472</v>
      </c>
      <c r="I84" s="108">
        <f t="shared" si="161"/>
        <v>109999.99997264404</v>
      </c>
      <c r="J84" s="108">
        <f t="shared" si="161"/>
        <v>109999.99999138124</v>
      </c>
      <c r="K84" s="108">
        <f t="shared" ref="K84:V84" si="164">IF(K16=0,0,K16/K27*1000000)</f>
        <v>109999.99989554514</v>
      </c>
      <c r="L84" s="108">
        <f t="shared" si="164"/>
        <v>109999.99988827581</v>
      </c>
      <c r="M84" s="108">
        <f t="shared" si="164"/>
        <v>109999.99995954658</v>
      </c>
      <c r="N84" s="108">
        <f t="shared" si="164"/>
        <v>109999.99991048125</v>
      </c>
      <c r="O84" s="108">
        <f t="shared" si="164"/>
        <v>109999.99990250915</v>
      </c>
      <c r="P84" s="108">
        <f t="shared" si="164"/>
        <v>109999.99996439298</v>
      </c>
      <c r="Q84" s="108">
        <f t="shared" si="164"/>
        <v>109999.99996405261</v>
      </c>
      <c r="R84" s="108">
        <f t="shared" si="164"/>
        <v>109999.99997876195</v>
      </c>
      <c r="S84" s="108">
        <f t="shared" si="164"/>
        <v>109999.99997351896</v>
      </c>
      <c r="T84" s="108">
        <f t="shared" si="164"/>
        <v>109999.99998340153</v>
      </c>
      <c r="U84" s="108">
        <f t="shared" si="164"/>
        <v>109999.99999231407</v>
      </c>
      <c r="V84" s="108">
        <f t="shared" si="164"/>
        <v>104316.76626871704</v>
      </c>
      <c r="W84" s="108">
        <f t="shared" ref="W84" si="165">IF(W16=0,0,W16/W27*1000000)</f>
        <v>107715.27916858683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149999.99967341369</v>
      </c>
      <c r="C85" s="110">
        <f t="shared" si="161"/>
        <v>149999.9998740147</v>
      </c>
      <c r="D85" s="110">
        <f t="shared" si="161"/>
        <v>149999.99990490856</v>
      </c>
      <c r="E85" s="110">
        <f t="shared" si="161"/>
        <v>149999.99980869531</v>
      </c>
      <c r="F85" s="110">
        <f t="shared" si="161"/>
        <v>149999.99992788178</v>
      </c>
      <c r="G85" s="110">
        <f t="shared" si="161"/>
        <v>149999.9998759155</v>
      </c>
      <c r="H85" s="110">
        <f t="shared" si="161"/>
        <v>111656.45226897974</v>
      </c>
      <c r="I85" s="110">
        <f t="shared" si="161"/>
        <v>130390.23669789062</v>
      </c>
      <c r="J85" s="110">
        <f t="shared" si="161"/>
        <v>135957.37957717734</v>
      </c>
      <c r="K85" s="110">
        <f t="shared" ref="K85:V85" si="166">IF(K17=0,0,K17/K28*1000000)</f>
        <v>97866.588641154842</v>
      </c>
      <c r="L85" s="110">
        <f t="shared" si="166"/>
        <v>105047.52767894544</v>
      </c>
      <c r="M85" s="110">
        <f t="shared" si="166"/>
        <v>149999.99980403724</v>
      </c>
      <c r="N85" s="110">
        <f t="shared" si="166"/>
        <v>149999.99992911957</v>
      </c>
      <c r="O85" s="110">
        <f t="shared" si="166"/>
        <v>98812.344560228754</v>
      </c>
      <c r="P85" s="110">
        <f t="shared" si="166"/>
        <v>105542.55337581583</v>
      </c>
      <c r="Q85" s="110">
        <f t="shared" si="166"/>
        <v>115803.6142251959</v>
      </c>
      <c r="R85" s="110">
        <f t="shared" si="166"/>
        <v>122962.80769818318</v>
      </c>
      <c r="S85" s="110">
        <f t="shared" si="166"/>
        <v>118106.26479140324</v>
      </c>
      <c r="T85" s="110">
        <f t="shared" si="166"/>
        <v>120312.14895526739</v>
      </c>
      <c r="U85" s="110">
        <f t="shared" si="166"/>
        <v>118727.95953515715</v>
      </c>
      <c r="V85" s="110">
        <f t="shared" si="166"/>
        <v>119475.81120221893</v>
      </c>
      <c r="W85" s="110">
        <f t="shared" ref="W85" si="167">IF(W17=0,0,W17/W28*1000000)</f>
        <v>132893.67090218674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149999.99947374483</v>
      </c>
      <c r="C86" s="84">
        <f t="shared" si="161"/>
        <v>149999.99967690816</v>
      </c>
      <c r="D86" s="84">
        <f t="shared" si="161"/>
        <v>149999.99982188904</v>
      </c>
      <c r="E86" s="84">
        <f t="shared" si="161"/>
        <v>149999.99980429831</v>
      </c>
      <c r="F86" s="84">
        <f t="shared" si="161"/>
        <v>149999.9998347557</v>
      </c>
      <c r="G86" s="84">
        <f t="shared" si="161"/>
        <v>149999.99984369188</v>
      </c>
      <c r="H86" s="84">
        <f t="shared" si="161"/>
        <v>135416.06359900298</v>
      </c>
      <c r="I86" s="84">
        <f t="shared" si="161"/>
        <v>149999.99982193238</v>
      </c>
      <c r="J86" s="84">
        <f t="shared" si="161"/>
        <v>149999.99972828093</v>
      </c>
      <c r="K86" s="84">
        <f t="shared" ref="K86:V86" si="168">IF(K18=0,0,K18/K29*1000000)</f>
        <v>134147.92328499671</v>
      </c>
      <c r="L86" s="84">
        <f t="shared" si="168"/>
        <v>140782.11779836274</v>
      </c>
      <c r="M86" s="84">
        <f t="shared" si="168"/>
        <v>149999.99987364624</v>
      </c>
      <c r="N86" s="84">
        <f t="shared" si="168"/>
        <v>149999.99989229807</v>
      </c>
      <c r="O86" s="84">
        <f t="shared" si="168"/>
        <v>38680.275455046671</v>
      </c>
      <c r="P86" s="84">
        <f t="shared" si="168"/>
        <v>42586.268272531786</v>
      </c>
      <c r="Q86" s="84">
        <f t="shared" si="168"/>
        <v>61140.348247716298</v>
      </c>
      <c r="R86" s="84">
        <f t="shared" si="168"/>
        <v>76016.482450928786</v>
      </c>
      <c r="S86" s="84">
        <f t="shared" si="168"/>
        <v>57404.6680012754</v>
      </c>
      <c r="T86" s="84">
        <f t="shared" si="168"/>
        <v>60366.81987464206</v>
      </c>
      <c r="U86" s="84">
        <f t="shared" si="168"/>
        <v>59448.818571018419</v>
      </c>
      <c r="V86" s="84">
        <f t="shared" si="168"/>
        <v>46212.079619920274</v>
      </c>
      <c r="W86" s="84">
        <f t="shared" ref="W86" si="169">IF(W18=0,0,W18/W29*1000000)</f>
        <v>80093.553493807092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149999.99978443666</v>
      </c>
      <c r="C87" s="84">
        <f t="shared" si="161"/>
        <v>149999.99997389587</v>
      </c>
      <c r="D87" s="84">
        <f t="shared" si="161"/>
        <v>149999.99994355082</v>
      </c>
      <c r="E87" s="84">
        <f t="shared" si="161"/>
        <v>149999.99981100173</v>
      </c>
      <c r="F87" s="84">
        <f t="shared" si="161"/>
        <v>149999.99998527183</v>
      </c>
      <c r="G87" s="84">
        <f t="shared" si="161"/>
        <v>149999.99989616871</v>
      </c>
      <c r="H87" s="84">
        <f t="shared" si="161"/>
        <v>96618.035581798875</v>
      </c>
      <c r="I87" s="84">
        <f t="shared" si="161"/>
        <v>116708.93340322442</v>
      </c>
      <c r="J87" s="84">
        <f t="shared" si="161"/>
        <v>125930.70495186686</v>
      </c>
      <c r="K87" s="84">
        <f t="shared" ref="K87:V87" si="170">IF(K19=0,0,K19/K30*1000000)</f>
        <v>71533.448728774034</v>
      </c>
      <c r="L87" s="84">
        <f t="shared" si="170"/>
        <v>78622.108873257428</v>
      </c>
      <c r="M87" s="84">
        <f t="shared" si="170"/>
        <v>149999.99975338491</v>
      </c>
      <c r="N87" s="84">
        <f t="shared" si="170"/>
        <v>149999.99995861441</v>
      </c>
      <c r="O87" s="84">
        <f t="shared" si="170"/>
        <v>148252.02337458471</v>
      </c>
      <c r="P87" s="84">
        <f t="shared" si="170"/>
        <v>149999.99978306028</v>
      </c>
      <c r="Q87" s="84">
        <f t="shared" si="170"/>
        <v>149999.99981922263</v>
      </c>
      <c r="R87" s="84">
        <f t="shared" si="170"/>
        <v>149999.9999517485</v>
      </c>
      <c r="S87" s="84">
        <f t="shared" si="170"/>
        <v>149999.99987061476</v>
      </c>
      <c r="T87" s="84">
        <f t="shared" si="170"/>
        <v>149999.99985887666</v>
      </c>
      <c r="U87" s="84">
        <f t="shared" si="170"/>
        <v>147800.00580367059</v>
      </c>
      <c r="V87" s="84">
        <f t="shared" si="170"/>
        <v>149999.99985647452</v>
      </c>
      <c r="W87" s="84">
        <f t="shared" ref="W87" si="171">IF(W19=0,0,W19/W30*1000000)</f>
        <v>149999.99988848058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449999.99950927019</v>
      </c>
      <c r="C88" s="113">
        <f t="shared" si="161"/>
        <v>449999.99500144192</v>
      </c>
      <c r="D88" s="113">
        <f t="shared" si="161"/>
        <v>449999.99792948092</v>
      </c>
      <c r="E88" s="113">
        <f t="shared" si="161"/>
        <v>449999.9860286254</v>
      </c>
      <c r="F88" s="113">
        <f t="shared" si="161"/>
        <v>449999.98516472004</v>
      </c>
      <c r="G88" s="113">
        <f t="shared" si="161"/>
        <v>449999.98449990206</v>
      </c>
      <c r="H88" s="113">
        <f t="shared" si="161"/>
        <v>449999.99047293206</v>
      </c>
      <c r="I88" s="113">
        <f t="shared" si="161"/>
        <v>449999.99029524415</v>
      </c>
      <c r="J88" s="113">
        <f t="shared" si="161"/>
        <v>449999.99950219179</v>
      </c>
      <c r="K88" s="113">
        <f t="shared" ref="K88:V88" si="172">IF(K20=0,0,K20/K31*1000000)</f>
        <v>449999.99767648248</v>
      </c>
      <c r="L88" s="113">
        <f t="shared" si="172"/>
        <v>449999.99844263942</v>
      </c>
      <c r="M88" s="113">
        <f t="shared" si="172"/>
        <v>439825.37034476298</v>
      </c>
      <c r="N88" s="113">
        <f t="shared" si="172"/>
        <v>435265.12844859372</v>
      </c>
      <c r="O88" s="113">
        <f t="shared" si="172"/>
        <v>449999.99945587257</v>
      </c>
      <c r="P88" s="113">
        <f t="shared" si="172"/>
        <v>449999.99689159729</v>
      </c>
      <c r="Q88" s="113">
        <f t="shared" si="172"/>
        <v>446931.68106827891</v>
      </c>
      <c r="R88" s="113">
        <f t="shared" si="172"/>
        <v>449999.99793882726</v>
      </c>
      <c r="S88" s="113">
        <f t="shared" si="172"/>
        <v>449999.99868722295</v>
      </c>
      <c r="T88" s="113">
        <f t="shared" si="172"/>
        <v>449999.99984044285</v>
      </c>
      <c r="U88" s="113">
        <f t="shared" si="172"/>
        <v>449999.99830669316</v>
      </c>
      <c r="V88" s="113">
        <f t="shared" si="172"/>
        <v>221100.60467937021</v>
      </c>
      <c r="W88" s="113">
        <f t="shared" ref="W88" si="173">IF(W20=0,0,W20/W31*1000000)</f>
        <v>238262.94688987755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199999.99790784021</v>
      </c>
      <c r="C89" s="28">
        <f t="shared" si="161"/>
        <v>199999.99879272029</v>
      </c>
      <c r="D89" s="28">
        <f t="shared" si="161"/>
        <v>199815.37760649124</v>
      </c>
      <c r="E89" s="28">
        <f t="shared" si="161"/>
        <v>197465.41829852271</v>
      </c>
      <c r="F89" s="28">
        <f t="shared" si="161"/>
        <v>199999.99803394458</v>
      </c>
      <c r="G89" s="28">
        <f t="shared" si="161"/>
        <v>199999.99902221805</v>
      </c>
      <c r="H89" s="28">
        <f t="shared" si="161"/>
        <v>133520.79566055606</v>
      </c>
      <c r="I89" s="28">
        <f t="shared" si="161"/>
        <v>177036.80794530033</v>
      </c>
      <c r="J89" s="28">
        <f t="shared" si="161"/>
        <v>167701.08978897511</v>
      </c>
      <c r="K89" s="28">
        <f t="shared" ref="K89:V89" si="174">IF(K21=0,0,K21/K32*1000000)</f>
        <v>102237.10054651261</v>
      </c>
      <c r="L89" s="28">
        <f t="shared" si="174"/>
        <v>128808.61629261084</v>
      </c>
      <c r="M89" s="28">
        <f t="shared" si="174"/>
        <v>144073.85449153499</v>
      </c>
      <c r="N89" s="28">
        <f t="shared" si="174"/>
        <v>142771.41570777658</v>
      </c>
      <c r="O89" s="28">
        <f t="shared" si="174"/>
        <v>143669.73384157591</v>
      </c>
      <c r="P89" s="28">
        <f t="shared" si="174"/>
        <v>153555.83500174538</v>
      </c>
      <c r="Q89" s="28">
        <f t="shared" si="174"/>
        <v>157888.53780914357</v>
      </c>
      <c r="R89" s="28">
        <f t="shared" si="174"/>
        <v>145636.69015202916</v>
      </c>
      <c r="S89" s="28">
        <f t="shared" si="174"/>
        <v>168163.12591816328</v>
      </c>
      <c r="T89" s="28">
        <f t="shared" si="174"/>
        <v>181822.51651708546</v>
      </c>
      <c r="U89" s="28">
        <f t="shared" si="174"/>
        <v>194004.89396064836</v>
      </c>
      <c r="V89" s="28">
        <f t="shared" si="174"/>
        <v>194745.03625546081</v>
      </c>
      <c r="W89" s="28">
        <f t="shared" ref="W89" si="175">IF(W21=0,0,W21/W32*1000000)</f>
        <v>162793.43209534153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199999.99646732904</v>
      </c>
      <c r="C90" s="84">
        <f t="shared" si="161"/>
        <v>199999.99899416234</v>
      </c>
      <c r="D90" s="84">
        <f t="shared" si="161"/>
        <v>199383.37258428879</v>
      </c>
      <c r="E90" s="84">
        <f t="shared" si="161"/>
        <v>189919.08345249222</v>
      </c>
      <c r="F90" s="84">
        <f t="shared" si="161"/>
        <v>199999.99599127396</v>
      </c>
      <c r="G90" s="84">
        <f t="shared" si="161"/>
        <v>199999.99655119385</v>
      </c>
      <c r="H90" s="84">
        <f t="shared" si="161"/>
        <v>199999.99990112512</v>
      </c>
      <c r="I90" s="84">
        <f t="shared" si="161"/>
        <v>199999.99900208114</v>
      </c>
      <c r="J90" s="84">
        <f t="shared" si="161"/>
        <v>199999.99776398533</v>
      </c>
      <c r="K90" s="84">
        <f t="shared" ref="K90:V90" si="176">IF(K22=0,0,K22/K33*1000000)</f>
        <v>199999.99997288658</v>
      </c>
      <c r="L90" s="84">
        <f t="shared" si="176"/>
        <v>199999.99807581233</v>
      </c>
      <c r="M90" s="84">
        <f t="shared" si="176"/>
        <v>116785.96905973507</v>
      </c>
      <c r="N90" s="84">
        <f t="shared" si="176"/>
        <v>131736.21917625784</v>
      </c>
      <c r="O90" s="84">
        <f t="shared" si="176"/>
        <v>70926.448152753073</v>
      </c>
      <c r="P90" s="84">
        <f t="shared" si="176"/>
        <v>81858.567786249434</v>
      </c>
      <c r="Q90" s="84">
        <f t="shared" si="176"/>
        <v>71817.032035960379</v>
      </c>
      <c r="R90" s="84">
        <f t="shared" si="176"/>
        <v>62958.515880938605</v>
      </c>
      <c r="S90" s="84">
        <f t="shared" si="176"/>
        <v>131127.03710428119</v>
      </c>
      <c r="T90" s="84">
        <f t="shared" si="176"/>
        <v>167850.56950482613</v>
      </c>
      <c r="U90" s="84">
        <f t="shared" si="176"/>
        <v>199999.99681162782</v>
      </c>
      <c r="V90" s="84">
        <f t="shared" si="176"/>
        <v>175202.61089242905</v>
      </c>
      <c r="W90" s="84">
        <f t="shared" ref="W90" si="177">IF(W22=0,0,W22/W33*1000000)</f>
        <v>107374.87805192426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199999.99887766762</v>
      </c>
      <c r="C91" s="86">
        <f t="shared" si="161"/>
        <v>199999.99867799593</v>
      </c>
      <c r="D91" s="86">
        <f t="shared" si="161"/>
        <v>199999.99868941653</v>
      </c>
      <c r="E91" s="86">
        <f t="shared" si="161"/>
        <v>199999.99945943561</v>
      </c>
      <c r="F91" s="86">
        <f t="shared" si="161"/>
        <v>199999.99865743882</v>
      </c>
      <c r="G91" s="86">
        <f t="shared" si="161"/>
        <v>199999.9997603393</v>
      </c>
      <c r="H91" s="86">
        <f t="shared" si="161"/>
        <v>108183.37139846086</v>
      </c>
      <c r="I91" s="86">
        <f t="shared" si="161"/>
        <v>164147.82081322939</v>
      </c>
      <c r="J91" s="86">
        <f t="shared" si="161"/>
        <v>147638.4745162981</v>
      </c>
      <c r="K91" s="86">
        <f t="shared" ref="K91:V91" si="178">IF(K23=0,0,K23/K34*1000000)</f>
        <v>38774.868132301985</v>
      </c>
      <c r="L91" s="86">
        <f t="shared" si="178"/>
        <v>69581.789985714175</v>
      </c>
      <c r="M91" s="86">
        <f t="shared" si="178"/>
        <v>167134.88385411745</v>
      </c>
      <c r="N91" s="86">
        <f t="shared" si="178"/>
        <v>152268.81286347302</v>
      </c>
      <c r="O91" s="86">
        <f t="shared" si="178"/>
        <v>199999.99969886668</v>
      </c>
      <c r="P91" s="86">
        <f t="shared" si="178"/>
        <v>199999.99965857717</v>
      </c>
      <c r="Q91" s="86">
        <f t="shared" si="178"/>
        <v>199999.99908242677</v>
      </c>
      <c r="R91" s="86">
        <f t="shared" si="178"/>
        <v>185025.54289644418</v>
      </c>
      <c r="S91" s="86">
        <f t="shared" si="178"/>
        <v>185260.19111260393</v>
      </c>
      <c r="T91" s="86">
        <f t="shared" si="178"/>
        <v>188032.40383672598</v>
      </c>
      <c r="U91" s="86">
        <f t="shared" si="178"/>
        <v>191124.41948177057</v>
      </c>
      <c r="V91" s="86">
        <f t="shared" si="178"/>
        <v>199999.99882989159</v>
      </c>
      <c r="W91" s="86">
        <f t="shared" ref="W91" si="179">IF(W23=0,0,W23/W34*1000000)</f>
        <v>176355.3226893387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18257405.819971837</v>
      </c>
      <c r="C94" s="28">
        <f t="shared" si="180"/>
        <v>17449242.440585982</v>
      </c>
      <c r="D94" s="28">
        <f t="shared" si="180"/>
        <v>16616721.012383386</v>
      </c>
      <c r="E94" s="28">
        <f t="shared" si="180"/>
        <v>14804681.417630177</v>
      </c>
      <c r="F94" s="28">
        <f t="shared" si="180"/>
        <v>13418463.613874333</v>
      </c>
      <c r="G94" s="28">
        <f t="shared" si="180"/>
        <v>12813832.669299733</v>
      </c>
      <c r="H94" s="28">
        <f t="shared" si="180"/>
        <v>13464192.952801926</v>
      </c>
      <c r="I94" s="28">
        <f t="shared" si="180"/>
        <v>13462944.418974128</v>
      </c>
      <c r="J94" s="28">
        <f t="shared" si="180"/>
        <v>14760722.363563081</v>
      </c>
      <c r="K94" s="28">
        <f t="shared" ref="K94:V94" si="181">IF(K4=0,0,K4/K26*1000000)</f>
        <v>14377326.48872179</v>
      </c>
      <c r="L94" s="28">
        <f t="shared" si="181"/>
        <v>14110866.895734131</v>
      </c>
      <c r="M94" s="28">
        <f t="shared" si="181"/>
        <v>14692917.169178659</v>
      </c>
      <c r="N94" s="28">
        <f t="shared" si="181"/>
        <v>13846606.916858418</v>
      </c>
      <c r="O94" s="28">
        <f t="shared" si="181"/>
        <v>15227748.38700895</v>
      </c>
      <c r="P94" s="28">
        <f t="shared" si="181"/>
        <v>15647470.710037803</v>
      </c>
      <c r="Q94" s="28">
        <f t="shared" si="181"/>
        <v>16187226.371446116</v>
      </c>
      <c r="R94" s="28">
        <f t="shared" si="181"/>
        <v>16526535.94219186</v>
      </c>
      <c r="S94" s="28">
        <f t="shared" si="181"/>
        <v>16891491.310192205</v>
      </c>
      <c r="T94" s="28">
        <f t="shared" si="181"/>
        <v>17211941.411903959</v>
      </c>
      <c r="U94" s="28">
        <f t="shared" si="181"/>
        <v>17756110.781942036</v>
      </c>
      <c r="V94" s="28">
        <f t="shared" si="181"/>
        <v>8414582.0027028862</v>
      </c>
      <c r="W94" s="28">
        <f t="shared" ref="W94" si="182">IF(W4=0,0,W4/W26*1000000)</f>
        <v>11345692.291040316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9077551.1895261258</v>
      </c>
      <c r="C95" s="108">
        <f t="shared" si="180"/>
        <v>9076432.6135430504</v>
      </c>
      <c r="D95" s="108">
        <f t="shared" si="180"/>
        <v>9099121.6422661208</v>
      </c>
      <c r="E95" s="108">
        <f t="shared" si="180"/>
        <v>8600559.3416770659</v>
      </c>
      <c r="F95" s="108">
        <f t="shared" si="180"/>
        <v>8600559.3353003748</v>
      </c>
      <c r="G95" s="108">
        <f t="shared" si="180"/>
        <v>8727462.8018916845</v>
      </c>
      <c r="H95" s="108">
        <f t="shared" si="180"/>
        <v>8745171.3078207634</v>
      </c>
      <c r="I95" s="108">
        <f t="shared" si="180"/>
        <v>8677231.8961019907</v>
      </c>
      <c r="J95" s="108">
        <f t="shared" si="180"/>
        <v>8732094.7272520885</v>
      </c>
      <c r="K95" s="108">
        <f t="shared" ref="K95:V95" si="183">IF(K5=0,0,K5/K27*1000000)</f>
        <v>8601780.9047647044</v>
      </c>
      <c r="L95" s="108">
        <f t="shared" si="183"/>
        <v>8560598.0112571977</v>
      </c>
      <c r="M95" s="108">
        <f t="shared" si="183"/>
        <v>8653393.1199402418</v>
      </c>
      <c r="N95" s="108">
        <f t="shared" si="183"/>
        <v>8518115.9851581138</v>
      </c>
      <c r="O95" s="108">
        <f t="shared" si="183"/>
        <v>8646827.3899062574</v>
      </c>
      <c r="P95" s="108">
        <f t="shared" si="183"/>
        <v>8727587.5534544773</v>
      </c>
      <c r="Q95" s="108">
        <f t="shared" si="183"/>
        <v>8861710.9137019124</v>
      </c>
      <c r="R95" s="108">
        <f t="shared" si="183"/>
        <v>8949142.6533540338</v>
      </c>
      <c r="S95" s="108">
        <f t="shared" si="183"/>
        <v>8924618.5971646272</v>
      </c>
      <c r="T95" s="108">
        <f t="shared" si="183"/>
        <v>9019724.3020642195</v>
      </c>
      <c r="U95" s="108">
        <f t="shared" si="183"/>
        <v>8332010.5326492013</v>
      </c>
      <c r="V95" s="108">
        <f t="shared" si="183"/>
        <v>5546065.2646924499</v>
      </c>
      <c r="W95" s="108">
        <f t="shared" ref="W95" si="184">IF(W5=0,0,W5/W27*1000000)</f>
        <v>7392377.0769870616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23027916.559041437</v>
      </c>
      <c r="C96" s="110">
        <f t="shared" si="180"/>
        <v>21146761.600931447</v>
      </c>
      <c r="D96" s="110">
        <f t="shared" si="180"/>
        <v>19493444.378727738</v>
      </c>
      <c r="E96" s="110">
        <f t="shared" si="180"/>
        <v>16911840.301339742</v>
      </c>
      <c r="F96" s="110">
        <f t="shared" si="180"/>
        <v>14627936.602134308</v>
      </c>
      <c r="G96" s="110">
        <f t="shared" si="180"/>
        <v>13405544.70082284</v>
      </c>
      <c r="H96" s="110">
        <f t="shared" si="180"/>
        <v>14263670.439035129</v>
      </c>
      <c r="I96" s="110">
        <f t="shared" si="180"/>
        <v>14502796.320180232</v>
      </c>
      <c r="J96" s="110">
        <f t="shared" si="180"/>
        <v>14740675.08032175</v>
      </c>
      <c r="K96" s="110">
        <f t="shared" ref="K96:V96" si="185">IF(K6=0,0,K6/K28*1000000)</f>
        <v>9899256.2343780939</v>
      </c>
      <c r="L96" s="110">
        <f t="shared" si="185"/>
        <v>9800230.9195719808</v>
      </c>
      <c r="M96" s="110">
        <f t="shared" si="185"/>
        <v>11070869.284167942</v>
      </c>
      <c r="N96" s="110">
        <f t="shared" si="185"/>
        <v>9820229.0991917923</v>
      </c>
      <c r="O96" s="110">
        <f t="shared" si="185"/>
        <v>10306652.158650789</v>
      </c>
      <c r="P96" s="110">
        <f t="shared" si="185"/>
        <v>11168155.874580681</v>
      </c>
      <c r="Q96" s="110">
        <f t="shared" si="185"/>
        <v>10826843.652378971</v>
      </c>
      <c r="R96" s="110">
        <f t="shared" si="185"/>
        <v>10641359.262057466</v>
      </c>
      <c r="S96" s="110">
        <f t="shared" si="185"/>
        <v>11133510.131602522</v>
      </c>
      <c r="T96" s="110">
        <f t="shared" si="185"/>
        <v>11897218.875187222</v>
      </c>
      <c r="U96" s="110">
        <f t="shared" si="185"/>
        <v>13387717.533696232</v>
      </c>
      <c r="V96" s="110">
        <f t="shared" si="185"/>
        <v>6639066.3802559776</v>
      </c>
      <c r="W96" s="110">
        <f t="shared" ref="W96" si="186">IF(W6=0,0,W6/W28*1000000)</f>
        <v>10102643.225755967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16616642.37957748</v>
      </c>
      <c r="C97" s="84">
        <f t="shared" si="180"/>
        <v>17183990.730553161</v>
      </c>
      <c r="D97" s="84">
        <f t="shared" si="180"/>
        <v>16044123.959008917</v>
      </c>
      <c r="E97" s="84">
        <f t="shared" si="180"/>
        <v>12258951.06897708</v>
      </c>
      <c r="F97" s="84">
        <f t="shared" si="180"/>
        <v>9201586.2933108453</v>
      </c>
      <c r="G97" s="84">
        <f t="shared" si="180"/>
        <v>8117260.0034556519</v>
      </c>
      <c r="H97" s="84">
        <f t="shared" si="180"/>
        <v>15861371.607422426</v>
      </c>
      <c r="I97" s="84">
        <f t="shared" si="180"/>
        <v>13971217.91547644</v>
      </c>
      <c r="J97" s="84">
        <f t="shared" si="180"/>
        <v>12840698.656380482</v>
      </c>
      <c r="K97" s="84">
        <f t="shared" ref="K97:V97" si="187">IF(K7=0,0,K7/K29*1000000)</f>
        <v>13814545.7129896</v>
      </c>
      <c r="L97" s="84">
        <f t="shared" si="187"/>
        <v>14033856.450041343</v>
      </c>
      <c r="M97" s="84">
        <f t="shared" si="187"/>
        <v>7320216.4977751449</v>
      </c>
      <c r="N97" s="84">
        <f t="shared" si="187"/>
        <v>6713516.9824484643</v>
      </c>
      <c r="O97" s="84">
        <f t="shared" si="187"/>
        <v>3846110.4741192716</v>
      </c>
      <c r="P97" s="84">
        <f t="shared" si="187"/>
        <v>4304888.9016382182</v>
      </c>
      <c r="Q97" s="84">
        <f t="shared" si="187"/>
        <v>3663414.2336145286</v>
      </c>
      <c r="R97" s="84">
        <f t="shared" si="187"/>
        <v>3197764.6982782721</v>
      </c>
      <c r="S97" s="84">
        <f t="shared" si="187"/>
        <v>4662714.9039766714</v>
      </c>
      <c r="T97" s="84">
        <f t="shared" si="187"/>
        <v>5175804.5811661631</v>
      </c>
      <c r="U97" s="84">
        <f t="shared" si="187"/>
        <v>5976834.0912079206</v>
      </c>
      <c r="V97" s="84">
        <f t="shared" si="187"/>
        <v>2468449.798844574</v>
      </c>
      <c r="W97" s="84">
        <f t="shared" ref="W97" si="188">IF(W7=0,0,W7/W29*1000000)</f>
        <v>1529442.8674871412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26592812.229544949</v>
      </c>
      <c r="C98" s="84">
        <f t="shared" si="180"/>
        <v>23154844.657280456</v>
      </c>
      <c r="D98" s="84">
        <f t="shared" si="180"/>
        <v>21098963.797779489</v>
      </c>
      <c r="E98" s="84">
        <f t="shared" si="180"/>
        <v>19352490.023393523</v>
      </c>
      <c r="F98" s="84">
        <f t="shared" si="180"/>
        <v>17971988.214033995</v>
      </c>
      <c r="G98" s="84">
        <f t="shared" si="180"/>
        <v>16729344.769190686</v>
      </c>
      <c r="H98" s="84">
        <f t="shared" si="180"/>
        <v>13252420.903928347</v>
      </c>
      <c r="I98" s="84">
        <f t="shared" si="180"/>
        <v>14873666.959139202</v>
      </c>
      <c r="J98" s="84">
        <f t="shared" si="180"/>
        <v>16097291.238391282</v>
      </c>
      <c r="K98" s="84">
        <f t="shared" ref="K98:V98" si="189">IF(K8=0,0,K8/K30*1000000)</f>
        <v>7057523.242748769</v>
      </c>
      <c r="L98" s="84">
        <f t="shared" si="189"/>
        <v>6669501.6363972574</v>
      </c>
      <c r="M98" s="84">
        <f t="shared" si="189"/>
        <v>13800105.976302236</v>
      </c>
      <c r="N98" s="84">
        <f t="shared" si="189"/>
        <v>12308774.432318864</v>
      </c>
      <c r="O98" s="84">
        <f t="shared" si="189"/>
        <v>15618411.933477342</v>
      </c>
      <c r="P98" s="84">
        <f t="shared" si="189"/>
        <v>16014746.221003201</v>
      </c>
      <c r="Q98" s="84">
        <f t="shared" si="189"/>
        <v>15308160.130625712</v>
      </c>
      <c r="R98" s="84">
        <f t="shared" si="189"/>
        <v>14928252.777546456</v>
      </c>
      <c r="S98" s="84">
        <f t="shared" si="189"/>
        <v>14533384.923286576</v>
      </c>
      <c r="T98" s="84">
        <f t="shared" si="189"/>
        <v>15225991.082841668</v>
      </c>
      <c r="U98" s="84">
        <f t="shared" si="189"/>
        <v>17022209.242355064</v>
      </c>
      <c r="V98" s="84">
        <f t="shared" si="189"/>
        <v>8376688.5923127625</v>
      </c>
      <c r="W98" s="84">
        <f t="shared" ref="W98" si="190">IF(W8=0,0,W8/W30*1000000)</f>
        <v>12880212.537953822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83657459.320375755</v>
      </c>
      <c r="C99" s="113">
        <f t="shared" si="180"/>
        <v>84365010.722723812</v>
      </c>
      <c r="D99" s="113">
        <f t="shared" si="180"/>
        <v>81387845.999567196</v>
      </c>
      <c r="E99" s="113">
        <f t="shared" si="180"/>
        <v>81731761.76098682</v>
      </c>
      <c r="F99" s="113">
        <f t="shared" si="180"/>
        <v>80142301.978269488</v>
      </c>
      <c r="G99" s="113">
        <f t="shared" si="180"/>
        <v>81237517.247242257</v>
      </c>
      <c r="H99" s="113">
        <f t="shared" si="180"/>
        <v>82678481.136522874</v>
      </c>
      <c r="I99" s="113">
        <f t="shared" si="180"/>
        <v>78675865.753233403</v>
      </c>
      <c r="J99" s="113">
        <f t="shared" si="180"/>
        <v>83413168.899298817</v>
      </c>
      <c r="K99" s="113">
        <f t="shared" ref="K99:V99" si="191">IF(K9=0,0,K9/K31*1000000)</f>
        <v>81422521.442537874</v>
      </c>
      <c r="L99" s="113">
        <f t="shared" si="191"/>
        <v>79847814.904054388</v>
      </c>
      <c r="M99" s="113">
        <f t="shared" si="191"/>
        <v>77779577.621781558</v>
      </c>
      <c r="N99" s="113">
        <f t="shared" si="191"/>
        <v>78670348.498100549</v>
      </c>
      <c r="O99" s="113">
        <f t="shared" si="191"/>
        <v>89586673.911958456</v>
      </c>
      <c r="P99" s="113">
        <f t="shared" si="191"/>
        <v>91371940.831623867</v>
      </c>
      <c r="Q99" s="113">
        <f t="shared" si="191"/>
        <v>102656270.41305116</v>
      </c>
      <c r="R99" s="113">
        <f t="shared" si="191"/>
        <v>108265410.19070765</v>
      </c>
      <c r="S99" s="113">
        <f t="shared" si="191"/>
        <v>105515983.13879034</v>
      </c>
      <c r="T99" s="113">
        <f t="shared" si="191"/>
        <v>108514329.28151712</v>
      </c>
      <c r="U99" s="113">
        <f t="shared" si="191"/>
        <v>108514328.91166422</v>
      </c>
      <c r="V99" s="113">
        <f t="shared" si="191"/>
        <v>38476079.450902097</v>
      </c>
      <c r="W99" s="113">
        <f t="shared" ref="W99" si="192">IF(W9=0,0,W9/W31*1000000)</f>
        <v>44403390.0907875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89836634.173327148</v>
      </c>
      <c r="C100" s="28">
        <f t="shared" si="180"/>
        <v>74461273.412018478</v>
      </c>
      <c r="D100" s="28">
        <f t="shared" si="180"/>
        <v>67163035.51847513</v>
      </c>
      <c r="E100" s="28">
        <f t="shared" si="180"/>
        <v>63494680.935314566</v>
      </c>
      <c r="F100" s="28">
        <f t="shared" si="180"/>
        <v>64310975.026780382</v>
      </c>
      <c r="G100" s="28">
        <f t="shared" si="180"/>
        <v>61019545.537485793</v>
      </c>
      <c r="H100" s="28">
        <f t="shared" si="180"/>
        <v>60511605.411271676</v>
      </c>
      <c r="I100" s="28">
        <f t="shared" si="180"/>
        <v>55365453.974846423</v>
      </c>
      <c r="J100" s="28">
        <f t="shared" si="180"/>
        <v>55516577.732863888</v>
      </c>
      <c r="K100" s="28">
        <f t="shared" ref="K100:V100" si="193">IF(K10=0,0,K10/K32*1000000)</f>
        <v>41592995.087438881</v>
      </c>
      <c r="L100" s="28">
        <f t="shared" si="193"/>
        <v>46027439.263339125</v>
      </c>
      <c r="M100" s="28">
        <f t="shared" si="193"/>
        <v>52477149.383054785</v>
      </c>
      <c r="N100" s="28">
        <f t="shared" si="193"/>
        <v>56787918.1584628</v>
      </c>
      <c r="O100" s="28">
        <f t="shared" si="193"/>
        <v>56928029.643835738</v>
      </c>
      <c r="P100" s="28">
        <f t="shared" si="193"/>
        <v>61730619.370380029</v>
      </c>
      <c r="Q100" s="28">
        <f t="shared" si="193"/>
        <v>59702150.25999371</v>
      </c>
      <c r="R100" s="28">
        <f t="shared" si="193"/>
        <v>61634977.554147772</v>
      </c>
      <c r="S100" s="28">
        <f t="shared" si="193"/>
        <v>66926311.656578347</v>
      </c>
      <c r="T100" s="28">
        <f t="shared" si="193"/>
        <v>73920760.540095761</v>
      </c>
      <c r="U100" s="28">
        <f t="shared" si="193"/>
        <v>78936535.740189627</v>
      </c>
      <c r="V100" s="28">
        <f t="shared" si="193"/>
        <v>48994238.634557366</v>
      </c>
      <c r="W100" s="28">
        <f t="shared" ref="W100" si="194">IF(W10=0,0,W10/W32*1000000)</f>
        <v>61116475.344326712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67325223.126035348</v>
      </c>
      <c r="C101" s="84">
        <f t="shared" si="180"/>
        <v>68304219.395372584</v>
      </c>
      <c r="D101" s="84">
        <f t="shared" si="180"/>
        <v>68290076.049584627</v>
      </c>
      <c r="E101" s="84">
        <f t="shared" si="180"/>
        <v>59593449.367461964</v>
      </c>
      <c r="F101" s="84">
        <f t="shared" si="180"/>
        <v>62723303.673488505</v>
      </c>
      <c r="G101" s="84">
        <f t="shared" si="180"/>
        <v>62783696.856149778</v>
      </c>
      <c r="H101" s="84">
        <f t="shared" si="180"/>
        <v>98250037.500140622</v>
      </c>
      <c r="I101" s="84">
        <f t="shared" si="180"/>
        <v>67657138.008373275</v>
      </c>
      <c r="J101" s="84">
        <f t="shared" si="180"/>
        <v>67964000.119739696</v>
      </c>
      <c r="K101" s="84">
        <f t="shared" ref="K101:V101" si="195">IF(K11=0,0,K11/K33*1000000)</f>
        <v>87809045.883264691</v>
      </c>
      <c r="L101" s="84">
        <f t="shared" si="195"/>
        <v>77143356.959083468</v>
      </c>
      <c r="M101" s="84">
        <f t="shared" si="195"/>
        <v>41420555.475957006</v>
      </c>
      <c r="N101" s="84">
        <f t="shared" si="195"/>
        <v>50982991.783779919</v>
      </c>
      <c r="O101" s="84">
        <f t="shared" si="195"/>
        <v>30734095.248040933</v>
      </c>
      <c r="P101" s="84">
        <f t="shared" si="195"/>
        <v>36004156.895577624</v>
      </c>
      <c r="Q101" s="84">
        <f t="shared" si="195"/>
        <v>33953736.710368127</v>
      </c>
      <c r="R101" s="84">
        <f t="shared" si="195"/>
        <v>28996891.170637447</v>
      </c>
      <c r="S101" s="84">
        <f t="shared" si="195"/>
        <v>42721545.61181584</v>
      </c>
      <c r="T101" s="84">
        <f t="shared" si="195"/>
        <v>45135379.766390011</v>
      </c>
      <c r="U101" s="84">
        <f t="shared" si="195"/>
        <v>48346662.880912155</v>
      </c>
      <c r="V101" s="84">
        <f t="shared" si="195"/>
        <v>31778552.026959151</v>
      </c>
      <c r="W101" s="84">
        <f t="shared" ref="W101" si="196">IF(W11=0,0,W11/W33*1000000)</f>
        <v>18938634.224357046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104992492.6816787</v>
      </c>
      <c r="C102" s="86">
        <f t="shared" si="180"/>
        <v>77967810.56631051</v>
      </c>
      <c r="D102" s="86">
        <f t="shared" si="180"/>
        <v>66681384.999012865</v>
      </c>
      <c r="E102" s="86">
        <f t="shared" si="180"/>
        <v>64804984.312779881</v>
      </c>
      <c r="F102" s="86">
        <f t="shared" si="180"/>
        <v>64795587.624061741</v>
      </c>
      <c r="G102" s="86">
        <f t="shared" si="180"/>
        <v>60492574.725373551</v>
      </c>
      <c r="H102" s="86">
        <f t="shared" si="180"/>
        <v>46128240.33124233</v>
      </c>
      <c r="I102" s="86">
        <f t="shared" si="180"/>
        <v>48466266.621143349</v>
      </c>
      <c r="J102" s="86">
        <f t="shared" si="180"/>
        <v>47784804.05563581</v>
      </c>
      <c r="K102" s="86">
        <f t="shared" ref="K102:V102" si="197">IF(K12=0,0,K12/K34*1000000)</f>
        <v>11592107.490191344</v>
      </c>
      <c r="L102" s="86">
        <f t="shared" si="197"/>
        <v>20140920.325447168</v>
      </c>
      <c r="M102" s="86">
        <f t="shared" si="197"/>
        <v>61821092.041381672</v>
      </c>
      <c r="N102" s="86">
        <f t="shared" si="197"/>
        <v>61783904.508363642</v>
      </c>
      <c r="O102" s="86">
        <f t="shared" si="197"/>
        <v>77211843.804711208</v>
      </c>
      <c r="P102" s="86">
        <f t="shared" si="197"/>
        <v>78395746.307872087</v>
      </c>
      <c r="Q102" s="86">
        <f t="shared" si="197"/>
        <v>72299853.882153049</v>
      </c>
      <c r="R102" s="86">
        <f t="shared" si="197"/>
        <v>77184145.030976117</v>
      </c>
      <c r="S102" s="86">
        <f t="shared" si="197"/>
        <v>78100020.229400814</v>
      </c>
      <c r="T102" s="86">
        <f t="shared" si="197"/>
        <v>86714537.305840492</v>
      </c>
      <c r="U102" s="86">
        <f t="shared" si="197"/>
        <v>93634089.772789687</v>
      </c>
      <c r="V102" s="86">
        <f t="shared" si="197"/>
        <v>53623540.634461388</v>
      </c>
      <c r="W102" s="86">
        <f t="shared" ref="W102" si="198">IF(W12=0,0,W12/W34*1000000)</f>
        <v>71438131.63135083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0.20611649720186018</v>
      </c>
      <c r="C106" s="123">
        <f t="shared" si="199"/>
        <v>0.20406603485172731</v>
      </c>
      <c r="D106" s="123">
        <f t="shared" si="199"/>
        <v>0.20590767848451949</v>
      </c>
      <c r="E106" s="123">
        <f t="shared" si="199"/>
        <v>0.20952594754368242</v>
      </c>
      <c r="F106" s="123">
        <f t="shared" si="199"/>
        <v>0.2214924005193615</v>
      </c>
      <c r="G106" s="123">
        <f t="shared" si="199"/>
        <v>0.21720243266724587</v>
      </c>
      <c r="H106" s="123">
        <f t="shared" si="199"/>
        <v>0.21904257198374846</v>
      </c>
      <c r="I106" s="123">
        <f t="shared" si="199"/>
        <v>0.2264925505184556</v>
      </c>
      <c r="J106" s="123">
        <f t="shared" si="199"/>
        <v>0.21333158292034526</v>
      </c>
      <c r="K106" s="123">
        <f t="shared" ref="K106:V106" si="202">IF(K5=0,0,K5/K$4)</f>
        <v>0.21328142266954556</v>
      </c>
      <c r="L106" s="123">
        <f t="shared" si="202"/>
        <v>0.25258529733831697</v>
      </c>
      <c r="M106" s="123">
        <f t="shared" si="202"/>
        <v>0.25080769470947645</v>
      </c>
      <c r="N106" s="123">
        <f t="shared" si="202"/>
        <v>0.24559207059400059</v>
      </c>
      <c r="O106" s="123">
        <f t="shared" si="202"/>
        <v>0.22660519736392931</v>
      </c>
      <c r="P106" s="123">
        <f t="shared" si="202"/>
        <v>0.22196327661700499</v>
      </c>
      <c r="Q106" s="123">
        <f t="shared" si="202"/>
        <v>0.21598853163547155</v>
      </c>
      <c r="R106" s="123">
        <f t="shared" si="202"/>
        <v>0.21917707955170923</v>
      </c>
      <c r="S106" s="123">
        <f t="shared" si="202"/>
        <v>0.21827546727046998</v>
      </c>
      <c r="T106" s="123">
        <f t="shared" si="202"/>
        <v>0.23831475128644944</v>
      </c>
      <c r="U106" s="123">
        <f t="shared" si="202"/>
        <v>0.22129842083951951</v>
      </c>
      <c r="V106" s="123">
        <f t="shared" si="202"/>
        <v>0.29872829683188018</v>
      </c>
      <c r="W106" s="123">
        <f t="shared" ref="W106" si="203">IF(W5=0,0,W5/W$4)</f>
        <v>0.27415274348372359</v>
      </c>
      <c r="DA106" s="203"/>
    </row>
    <row r="107" spans="1:105" ht="11.45" customHeight="1" x14ac:dyDescent="0.25">
      <c r="A107" s="109" t="s">
        <v>24</v>
      </c>
      <c r="B107" s="124">
        <f t="shared" si="199"/>
        <v>0.71734846693465748</v>
      </c>
      <c r="C107" s="124">
        <f t="shared" si="199"/>
        <v>0.71656221339040049</v>
      </c>
      <c r="D107" s="124">
        <f t="shared" si="199"/>
        <v>0.71244056755643748</v>
      </c>
      <c r="E107" s="124">
        <f t="shared" si="199"/>
        <v>0.71463314251505972</v>
      </c>
      <c r="F107" s="124">
        <f t="shared" si="199"/>
        <v>0.69888490032841977</v>
      </c>
      <c r="G107" s="124">
        <f t="shared" si="199"/>
        <v>0.69866782507964087</v>
      </c>
      <c r="H107" s="124">
        <f t="shared" si="199"/>
        <v>0.68567390920332094</v>
      </c>
      <c r="I107" s="124">
        <f t="shared" si="199"/>
        <v>0.68177796652156986</v>
      </c>
      <c r="J107" s="124">
        <f t="shared" si="199"/>
        <v>0.606715021825462</v>
      </c>
      <c r="K107" s="124">
        <f t="shared" ref="K107:V107" si="204">IF(K6=0,0,K6/K$4)</f>
        <v>0.39551845492102894</v>
      </c>
      <c r="L107" s="124">
        <f t="shared" si="204"/>
        <v>0.35749827757789177</v>
      </c>
      <c r="M107" s="124">
        <f t="shared" si="204"/>
        <v>0.38006842809298597</v>
      </c>
      <c r="N107" s="124">
        <f t="shared" si="204"/>
        <v>0.37925143238825354</v>
      </c>
      <c r="O107" s="124">
        <f t="shared" si="204"/>
        <v>0.3590622246642326</v>
      </c>
      <c r="P107" s="124">
        <f t="shared" si="204"/>
        <v>0.38119827337415085</v>
      </c>
      <c r="Q107" s="124">
        <f t="shared" si="204"/>
        <v>0.36027579257375408</v>
      </c>
      <c r="R107" s="124">
        <f t="shared" si="204"/>
        <v>0.33993922076097016</v>
      </c>
      <c r="S107" s="124">
        <f t="shared" si="204"/>
        <v>0.34023597194246447</v>
      </c>
      <c r="T107" s="124">
        <f t="shared" si="204"/>
        <v>0.32949185248713547</v>
      </c>
      <c r="U107" s="124">
        <f t="shared" si="204"/>
        <v>0.34487785126197862</v>
      </c>
      <c r="V107" s="124">
        <f t="shared" si="204"/>
        <v>0.37511639777259875</v>
      </c>
      <c r="W107" s="124">
        <f t="shared" ref="W107" si="205">IF(W6=0,0,W6/W$4)</f>
        <v>0.45390001360316728</v>
      </c>
      <c r="DA107" s="176"/>
    </row>
    <row r="108" spans="1:105" ht="11.45" customHeight="1" x14ac:dyDescent="0.25">
      <c r="A108" s="111" t="s">
        <v>92</v>
      </c>
      <c r="B108" s="125">
        <f t="shared" si="199"/>
        <v>0.18497021028160912</v>
      </c>
      <c r="C108" s="125">
        <f t="shared" si="199"/>
        <v>0.19583002904033275</v>
      </c>
      <c r="D108" s="125">
        <f t="shared" si="199"/>
        <v>0.18624483158487781</v>
      </c>
      <c r="E108" s="125">
        <f t="shared" si="199"/>
        <v>0.17823299004122672</v>
      </c>
      <c r="F108" s="125">
        <f t="shared" si="199"/>
        <v>0.16762499073884812</v>
      </c>
      <c r="G108" s="125">
        <f t="shared" si="199"/>
        <v>0.1632759924393406</v>
      </c>
      <c r="H108" s="125">
        <f t="shared" si="199"/>
        <v>0.29554221934968017</v>
      </c>
      <c r="I108" s="125">
        <f t="shared" si="199"/>
        <v>0.26991389608601046</v>
      </c>
      <c r="J108" s="125">
        <f t="shared" si="199"/>
        <v>0.22016566166230478</v>
      </c>
      <c r="K108" s="125">
        <f t="shared" ref="K108:V108" si="206">IF(K7=0,0,K7/K$4)</f>
        <v>0.23212862600699413</v>
      </c>
      <c r="L108" s="125">
        <f t="shared" si="206"/>
        <v>0.21763336922020005</v>
      </c>
      <c r="M108" s="125">
        <f t="shared" si="206"/>
        <v>0.1058467676599838</v>
      </c>
      <c r="N108" s="125">
        <f t="shared" si="206"/>
        <v>0.11531377355016628</v>
      </c>
      <c r="O108" s="125">
        <f t="shared" si="206"/>
        <v>6.0457600115644987E-2</v>
      </c>
      <c r="P108" s="125">
        <f t="shared" si="206"/>
        <v>6.0815756794937358E-2</v>
      </c>
      <c r="Q108" s="125">
        <f t="shared" si="206"/>
        <v>4.6913177021030109E-2</v>
      </c>
      <c r="R108" s="125">
        <f t="shared" si="206"/>
        <v>3.7331658657531026E-2</v>
      </c>
      <c r="S108" s="125">
        <f t="shared" si="206"/>
        <v>4.9079855027767086E-2</v>
      </c>
      <c r="T108" s="125">
        <f t="shared" si="206"/>
        <v>4.7477413916932595E-2</v>
      </c>
      <c r="U108" s="125">
        <f t="shared" si="206"/>
        <v>5.066326509353853E-2</v>
      </c>
      <c r="V108" s="125">
        <f t="shared" si="206"/>
        <v>4.1018583363946891E-2</v>
      </c>
      <c r="W108" s="125">
        <f t="shared" ref="W108" si="207">IF(W7=0,0,W7/W$4)</f>
        <v>1.6815044936570728E-2</v>
      </c>
      <c r="DA108" s="171"/>
    </row>
    <row r="109" spans="1:105" ht="11.45" customHeight="1" x14ac:dyDescent="0.25">
      <c r="A109" s="111" t="s">
        <v>93</v>
      </c>
      <c r="B109" s="125">
        <f t="shared" si="199"/>
        <v>0.53237825665304839</v>
      </c>
      <c r="C109" s="125">
        <f t="shared" si="199"/>
        <v>0.52073218435006774</v>
      </c>
      <c r="D109" s="125">
        <f t="shared" si="199"/>
        <v>0.52619573597155966</v>
      </c>
      <c r="E109" s="125">
        <f t="shared" si="199"/>
        <v>0.53640015247383288</v>
      </c>
      <c r="F109" s="125">
        <f t="shared" si="199"/>
        <v>0.5312599095895717</v>
      </c>
      <c r="G109" s="125">
        <f t="shared" si="199"/>
        <v>0.53539183264030032</v>
      </c>
      <c r="H109" s="125">
        <f t="shared" si="199"/>
        <v>0.39013168985364077</v>
      </c>
      <c r="I109" s="125">
        <f t="shared" si="199"/>
        <v>0.41186407043555939</v>
      </c>
      <c r="J109" s="125">
        <f t="shared" si="199"/>
        <v>0.38654936016315711</v>
      </c>
      <c r="K109" s="125">
        <f t="shared" ref="K109:V109" si="208">IF(K8=0,0,K8/K$4)</f>
        <v>0.16338982891403478</v>
      </c>
      <c r="L109" s="125">
        <f t="shared" si="208"/>
        <v>0.13986490835769169</v>
      </c>
      <c r="M109" s="125">
        <f t="shared" si="208"/>
        <v>0.27422166043300217</v>
      </c>
      <c r="N109" s="125">
        <f t="shared" si="208"/>
        <v>0.26393765883808729</v>
      </c>
      <c r="O109" s="125">
        <f t="shared" si="208"/>
        <v>0.2986046245485876</v>
      </c>
      <c r="P109" s="125">
        <f t="shared" si="208"/>
        <v>0.32038251657921352</v>
      </c>
      <c r="Q109" s="125">
        <f t="shared" si="208"/>
        <v>0.31336261555272399</v>
      </c>
      <c r="R109" s="125">
        <f t="shared" si="208"/>
        <v>0.30260756210343914</v>
      </c>
      <c r="S109" s="125">
        <f t="shared" si="208"/>
        <v>0.29115611691469739</v>
      </c>
      <c r="T109" s="125">
        <f t="shared" si="208"/>
        <v>0.28201443857020286</v>
      </c>
      <c r="U109" s="125">
        <f t="shared" si="208"/>
        <v>0.2942145861684401</v>
      </c>
      <c r="V109" s="125">
        <f t="shared" si="208"/>
        <v>0.33409781440865188</v>
      </c>
      <c r="W109" s="125">
        <f t="shared" ref="W109" si="209">IF(W8=0,0,W8/W$4)</f>
        <v>0.43708496866659657</v>
      </c>
      <c r="DA109" s="171"/>
    </row>
    <row r="110" spans="1:105" ht="11.45" customHeight="1" x14ac:dyDescent="0.25">
      <c r="A110" s="112" t="s">
        <v>25</v>
      </c>
      <c r="B110" s="126">
        <f t="shared" si="199"/>
        <v>7.6535035863482301E-2</v>
      </c>
      <c r="C110" s="126">
        <f t="shared" si="199"/>
        <v>7.9371751757872214E-2</v>
      </c>
      <c r="D110" s="126">
        <f t="shared" si="199"/>
        <v>8.1651753959043089E-2</v>
      </c>
      <c r="E110" s="126">
        <f t="shared" si="199"/>
        <v>7.5840909941257917E-2</v>
      </c>
      <c r="F110" s="126">
        <f t="shared" si="199"/>
        <v>7.9622699152218743E-2</v>
      </c>
      <c r="G110" s="126">
        <f t="shared" si="199"/>
        <v>8.4129742253113232E-2</v>
      </c>
      <c r="H110" s="126">
        <f t="shared" si="199"/>
        <v>9.5283518812930582E-2</v>
      </c>
      <c r="I110" s="126">
        <f t="shared" si="199"/>
        <v>9.1729482959974518E-2</v>
      </c>
      <c r="J110" s="126">
        <f t="shared" si="199"/>
        <v>0.17995339525419279</v>
      </c>
      <c r="K110" s="126">
        <f t="shared" ref="K110:V110" si="210">IF(K9=0,0,K9/K$4)</f>
        <v>0.39120012240942553</v>
      </c>
      <c r="L110" s="126">
        <f t="shared" si="210"/>
        <v>0.38991642508379126</v>
      </c>
      <c r="M110" s="126">
        <f t="shared" si="210"/>
        <v>0.36912387719753764</v>
      </c>
      <c r="N110" s="126">
        <f t="shared" si="210"/>
        <v>0.37515649701774584</v>
      </c>
      <c r="O110" s="126">
        <f t="shared" si="210"/>
        <v>0.41433257797183809</v>
      </c>
      <c r="P110" s="126">
        <f t="shared" si="210"/>
        <v>0.39683845000884416</v>
      </c>
      <c r="Q110" s="126">
        <f t="shared" si="210"/>
        <v>0.42373567579077431</v>
      </c>
      <c r="R110" s="126">
        <f t="shared" si="210"/>
        <v>0.44088369968732066</v>
      </c>
      <c r="S110" s="126">
        <f t="shared" si="210"/>
        <v>0.44148856078706561</v>
      </c>
      <c r="T110" s="126">
        <f t="shared" si="210"/>
        <v>0.43219339622641512</v>
      </c>
      <c r="U110" s="126">
        <f t="shared" si="210"/>
        <v>0.43382372789850188</v>
      </c>
      <c r="V110" s="126">
        <f t="shared" si="210"/>
        <v>0.32615530539552107</v>
      </c>
      <c r="W110" s="126">
        <f t="shared" ref="W110" si="211">IF(W9=0,0,W9/W$4)</f>
        <v>0.27194724291310907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0.30153708443756072</v>
      </c>
      <c r="C112" s="125">
        <f t="shared" si="212"/>
        <v>0.33285644454971058</v>
      </c>
      <c r="D112" s="125">
        <f t="shared" si="212"/>
        <v>0.30442945290631607</v>
      </c>
      <c r="E112" s="125">
        <f t="shared" si="212"/>
        <v>0.23597575533870221</v>
      </c>
      <c r="F112" s="125">
        <f t="shared" si="212"/>
        <v>0.22808108304005023</v>
      </c>
      <c r="G112" s="125">
        <f t="shared" si="212"/>
        <v>0.23665530072427174</v>
      </c>
      <c r="H112" s="125">
        <f t="shared" si="212"/>
        <v>0.44805896533569783</v>
      </c>
      <c r="I112" s="125">
        <f t="shared" si="212"/>
        <v>0.43931699179834111</v>
      </c>
      <c r="J112" s="125">
        <f t="shared" si="212"/>
        <v>0.46906336880452493</v>
      </c>
      <c r="K112" s="125">
        <f t="shared" ref="K112:V112" si="215">IF(K11=0,0,K11/K$10)</f>
        <v>0.83100123250924374</v>
      </c>
      <c r="L112" s="125">
        <f t="shared" si="215"/>
        <v>0.76113545507340596</v>
      </c>
      <c r="M112" s="125">
        <f t="shared" si="215"/>
        <v>0.36152160593618493</v>
      </c>
      <c r="N112" s="125">
        <f t="shared" si="215"/>
        <v>0.41526961541626956</v>
      </c>
      <c r="O112" s="125">
        <f t="shared" si="215"/>
        <v>0.23561276783204096</v>
      </c>
      <c r="P112" s="125">
        <f t="shared" si="215"/>
        <v>0.22928779455590587</v>
      </c>
      <c r="Q112" s="125">
        <f t="shared" si="215"/>
        <v>0.18683902628556356</v>
      </c>
      <c r="R112" s="125">
        <f t="shared" si="215"/>
        <v>0.15180957368866149</v>
      </c>
      <c r="S112" s="125">
        <f t="shared" si="215"/>
        <v>0.20160825065693116</v>
      </c>
      <c r="T112" s="125">
        <f t="shared" si="215"/>
        <v>0.18787706084130004</v>
      </c>
      <c r="U112" s="125">
        <f t="shared" si="215"/>
        <v>0.19877229823046927</v>
      </c>
      <c r="V112" s="125">
        <f t="shared" si="215"/>
        <v>0.13745254417029945</v>
      </c>
      <c r="W112" s="125">
        <f t="shared" ref="W112" si="216">IF(W11=0,0,W11/W$10)</f>
        <v>6.0923466070097361E-2</v>
      </c>
      <c r="DA112" s="171"/>
    </row>
    <row r="113" spans="1:105" ht="11.45" customHeight="1" x14ac:dyDescent="0.25">
      <c r="A113" s="85" t="s">
        <v>93</v>
      </c>
      <c r="B113" s="127">
        <f t="shared" si="212"/>
        <v>0.69846291556243933</v>
      </c>
      <c r="C113" s="127">
        <f t="shared" si="212"/>
        <v>0.66714355545028947</v>
      </c>
      <c r="D113" s="127">
        <f t="shared" si="212"/>
        <v>0.69557054709368393</v>
      </c>
      <c r="E113" s="127">
        <f t="shared" si="212"/>
        <v>0.7640242446612977</v>
      </c>
      <c r="F113" s="127">
        <f t="shared" si="212"/>
        <v>0.77191891695994974</v>
      </c>
      <c r="G113" s="127">
        <f t="shared" si="212"/>
        <v>0.76334469927572823</v>
      </c>
      <c r="H113" s="127">
        <f t="shared" si="212"/>
        <v>0.55194103466430222</v>
      </c>
      <c r="I113" s="127">
        <f t="shared" si="212"/>
        <v>0.56068300820165884</v>
      </c>
      <c r="J113" s="127">
        <f t="shared" si="212"/>
        <v>0.53093663119547507</v>
      </c>
      <c r="K113" s="127">
        <f t="shared" ref="K113:V113" si="217">IF(K12=0,0,K12/K$10)</f>
        <v>0.16899876749075626</v>
      </c>
      <c r="L113" s="127">
        <f t="shared" si="217"/>
        <v>0.23886454492659409</v>
      </c>
      <c r="M113" s="127">
        <f t="shared" si="217"/>
        <v>0.63847839406381501</v>
      </c>
      <c r="N113" s="127">
        <f t="shared" si="217"/>
        <v>0.58473038458373039</v>
      </c>
      <c r="O113" s="127">
        <f t="shared" si="217"/>
        <v>0.76438723216795901</v>
      </c>
      <c r="P113" s="127">
        <f t="shared" si="217"/>
        <v>0.77071220544409413</v>
      </c>
      <c r="Q113" s="127">
        <f t="shared" si="217"/>
        <v>0.81316097371443652</v>
      </c>
      <c r="R113" s="127">
        <f t="shared" si="217"/>
        <v>0.84819042631133856</v>
      </c>
      <c r="S113" s="127">
        <f t="shared" si="217"/>
        <v>0.79839174934306889</v>
      </c>
      <c r="T113" s="127">
        <f t="shared" si="217"/>
        <v>0.81212293915870004</v>
      </c>
      <c r="U113" s="127">
        <f t="shared" si="217"/>
        <v>0.80122770176953073</v>
      </c>
      <c r="V113" s="127">
        <f t="shared" si="217"/>
        <v>0.8625474558297006</v>
      </c>
      <c r="W113" s="127">
        <f t="shared" ref="W113" si="218">IF(W12=0,0,W12/W$10)</f>
        <v>0.93907653392990265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0.32941985212581887</v>
      </c>
      <c r="C117" s="123">
        <f t="shared" si="219"/>
        <v>0.30994479359347488</v>
      </c>
      <c r="D117" s="123">
        <f t="shared" si="219"/>
        <v>0.29553353639166929</v>
      </c>
      <c r="E117" s="123">
        <f t="shared" si="219"/>
        <v>0.28400344920109233</v>
      </c>
      <c r="F117" s="123">
        <f t="shared" si="219"/>
        <v>0.27117637985575116</v>
      </c>
      <c r="G117" s="123">
        <f t="shared" si="219"/>
        <v>0.24839160238798494</v>
      </c>
      <c r="H117" s="123">
        <f t="shared" si="219"/>
        <v>0.31884143050887737</v>
      </c>
      <c r="I117" s="123">
        <f t="shared" si="219"/>
        <v>0.30142278269508033</v>
      </c>
      <c r="J117" s="123">
        <f t="shared" si="219"/>
        <v>0.29039897052172164</v>
      </c>
      <c r="K117" s="123">
        <f t="shared" ref="K117:V117" si="222">IF(K16=0,0,K16/K$15)</f>
        <v>0.30994822541961453</v>
      </c>
      <c r="L117" s="123">
        <f t="shared" si="222"/>
        <v>0.34992918854047428</v>
      </c>
      <c r="M117" s="123">
        <f t="shared" si="222"/>
        <v>0.30582084281458527</v>
      </c>
      <c r="N117" s="123">
        <f t="shared" si="222"/>
        <v>0.28727123179156888</v>
      </c>
      <c r="O117" s="123">
        <f t="shared" si="222"/>
        <v>0.34292316601146289</v>
      </c>
      <c r="P117" s="123">
        <f t="shared" si="222"/>
        <v>0.33486067820536369</v>
      </c>
      <c r="Q117" s="123">
        <f t="shared" si="222"/>
        <v>0.31995941287960949</v>
      </c>
      <c r="R117" s="123">
        <f t="shared" si="222"/>
        <v>0.31864861804419942</v>
      </c>
      <c r="S117" s="123">
        <f t="shared" si="222"/>
        <v>0.32879372387576111</v>
      </c>
      <c r="T117" s="123">
        <f t="shared" si="222"/>
        <v>0.36190853175880905</v>
      </c>
      <c r="U117" s="123">
        <f t="shared" si="222"/>
        <v>0.37556804462729743</v>
      </c>
      <c r="V117" s="123">
        <f t="shared" si="222"/>
        <v>0.39448051435047504</v>
      </c>
      <c r="W117" s="123">
        <f t="shared" ref="W117" si="223">IF(W16=0,0,W16/W$15)</f>
        <v>0.34965577810545023</v>
      </c>
      <c r="DA117" s="203"/>
    </row>
    <row r="118" spans="1:105" ht="11.45" customHeight="1" x14ac:dyDescent="0.25">
      <c r="A118" s="109" t="s">
        <v>24</v>
      </c>
      <c r="B118" s="124">
        <f t="shared" si="219"/>
        <v>0.61628248094224347</v>
      </c>
      <c r="C118" s="124">
        <f t="shared" si="219"/>
        <v>0.63699704079149566</v>
      </c>
      <c r="D118" s="124">
        <f t="shared" si="219"/>
        <v>0.65086711767850036</v>
      </c>
      <c r="E118" s="124">
        <f t="shared" si="219"/>
        <v>0.67174331948553168</v>
      </c>
      <c r="F118" s="124">
        <f t="shared" si="219"/>
        <v>0.68602649242555436</v>
      </c>
      <c r="G118" s="124">
        <f t="shared" si="219"/>
        <v>0.70932469977010093</v>
      </c>
      <c r="H118" s="124">
        <f t="shared" si="219"/>
        <v>0.62114359064401614</v>
      </c>
      <c r="I118" s="124">
        <f t="shared" si="219"/>
        <v>0.64349764100124951</v>
      </c>
      <c r="J118" s="124">
        <f t="shared" si="219"/>
        <v>0.6046942372438413</v>
      </c>
      <c r="K118" s="124">
        <f t="shared" ref="K118:V118" si="224">IF(K17=0,0,K17/K$15)</f>
        <v>0.44435539149202624</v>
      </c>
      <c r="L118" s="124">
        <f t="shared" si="224"/>
        <v>0.41314928170199117</v>
      </c>
      <c r="M118" s="124">
        <f t="shared" si="224"/>
        <v>0.49395945593675272</v>
      </c>
      <c r="N118" s="124">
        <f t="shared" si="224"/>
        <v>0.52471747652110901</v>
      </c>
      <c r="O118" s="124">
        <f t="shared" si="224"/>
        <v>0.40950043287573307</v>
      </c>
      <c r="P118" s="124">
        <f t="shared" si="224"/>
        <v>0.43120283682413779</v>
      </c>
      <c r="Q118" s="124">
        <f t="shared" si="224"/>
        <v>0.4598798949311721</v>
      </c>
      <c r="R118" s="124">
        <f t="shared" si="224"/>
        <v>0.46460468997076776</v>
      </c>
      <c r="S118" s="124">
        <f t="shared" si="224"/>
        <v>0.44109956220792623</v>
      </c>
      <c r="T118" s="124">
        <f t="shared" si="224"/>
        <v>0.41491313797280976</v>
      </c>
      <c r="U118" s="124">
        <f t="shared" si="224"/>
        <v>0.39316894824912235</v>
      </c>
      <c r="V118" s="124">
        <f t="shared" si="224"/>
        <v>0.47393532397834726</v>
      </c>
      <c r="W118" s="124">
        <f t="shared" ref="W118" si="225">IF(W17=0,0,W17/W$15)</f>
        <v>0.52261803301291543</v>
      </c>
      <c r="DA118" s="176"/>
    </row>
    <row r="119" spans="1:105" ht="11.45" customHeight="1" x14ac:dyDescent="0.25">
      <c r="A119" s="111" t="s">
        <v>92</v>
      </c>
      <c r="B119" s="125">
        <f t="shared" si="219"/>
        <v>0.22022306939780836</v>
      </c>
      <c r="C119" s="125">
        <f t="shared" si="219"/>
        <v>0.21423115999391504</v>
      </c>
      <c r="D119" s="125">
        <f t="shared" si="219"/>
        <v>0.20672856695908159</v>
      </c>
      <c r="E119" s="125">
        <f t="shared" si="219"/>
        <v>0.23112442977775466</v>
      </c>
      <c r="F119" s="125">
        <f t="shared" si="219"/>
        <v>0.2615738727955732</v>
      </c>
      <c r="G119" s="125">
        <f t="shared" si="219"/>
        <v>0.27376106357717206</v>
      </c>
      <c r="H119" s="125">
        <f t="shared" si="219"/>
        <v>0.29199191786638207</v>
      </c>
      <c r="I119" s="125">
        <f t="shared" si="219"/>
        <v>0.30422360438381485</v>
      </c>
      <c r="J119" s="125">
        <f t="shared" si="219"/>
        <v>0.27791875702808599</v>
      </c>
      <c r="K119" s="125">
        <f t="shared" ref="K119:V119" si="226">IF(K18=0,0,K18/K$15)</f>
        <v>0.25615796457313589</v>
      </c>
      <c r="L119" s="125">
        <f t="shared" si="226"/>
        <v>0.23538537261410175</v>
      </c>
      <c r="M119" s="125">
        <f t="shared" si="226"/>
        <v>0.20804865216641466</v>
      </c>
      <c r="N119" s="125">
        <f t="shared" si="226"/>
        <v>0.23337321629704907</v>
      </c>
      <c r="O119" s="125">
        <f t="shared" si="226"/>
        <v>7.232855192401938E-2</v>
      </c>
      <c r="P119" s="125">
        <f t="shared" si="226"/>
        <v>7.201256955836699E-2</v>
      </c>
      <c r="Q119" s="125">
        <f t="shared" si="226"/>
        <v>9.3438491218189965E-2</v>
      </c>
      <c r="R119" s="125">
        <f t="shared" si="226"/>
        <v>0.10496492533588135</v>
      </c>
      <c r="S119" s="125">
        <f t="shared" si="226"/>
        <v>7.3846036637393378E-2</v>
      </c>
      <c r="T119" s="125">
        <f t="shared" si="226"/>
        <v>6.8953442990105251E-2</v>
      </c>
      <c r="U119" s="125">
        <f t="shared" si="226"/>
        <v>6.4778762369585755E-2</v>
      </c>
      <c r="V119" s="125">
        <f t="shared" si="226"/>
        <v>5.3912804489566271E-2</v>
      </c>
      <c r="W119" s="125">
        <f t="shared" ref="W119" si="227">IF(W18=0,0,W18/W$15)</f>
        <v>7.707565950996044E-2</v>
      </c>
      <c r="DA119" s="171"/>
    </row>
    <row r="120" spans="1:105" ht="11.45" customHeight="1" x14ac:dyDescent="0.25">
      <c r="A120" s="111" t="s">
        <v>93</v>
      </c>
      <c r="B120" s="125">
        <f t="shared" si="219"/>
        <v>0.39605941154443508</v>
      </c>
      <c r="C120" s="125">
        <f t="shared" si="219"/>
        <v>0.42276588079758065</v>
      </c>
      <c r="D120" s="125">
        <f t="shared" si="219"/>
        <v>0.44413855071941877</v>
      </c>
      <c r="E120" s="125">
        <f t="shared" si="219"/>
        <v>0.44061888970777702</v>
      </c>
      <c r="F120" s="125">
        <f t="shared" si="219"/>
        <v>0.42445261962998115</v>
      </c>
      <c r="G120" s="125">
        <f t="shared" si="219"/>
        <v>0.43556363619292882</v>
      </c>
      <c r="H120" s="125">
        <f t="shared" si="219"/>
        <v>0.32915167277763413</v>
      </c>
      <c r="I120" s="125">
        <f t="shared" si="219"/>
        <v>0.33927403661743466</v>
      </c>
      <c r="J120" s="125">
        <f t="shared" si="219"/>
        <v>0.32677548021575531</v>
      </c>
      <c r="K120" s="125">
        <f t="shared" ref="K120:V120" si="228">IF(K19=0,0,K19/K$15)</f>
        <v>0.18819742691889033</v>
      </c>
      <c r="L120" s="125">
        <f t="shared" si="228"/>
        <v>0.17776390908788939</v>
      </c>
      <c r="M120" s="125">
        <f t="shared" si="228"/>
        <v>0.28591080377033806</v>
      </c>
      <c r="N120" s="125">
        <f t="shared" si="228"/>
        <v>0.29134426022405985</v>
      </c>
      <c r="O120" s="125">
        <f t="shared" si="228"/>
        <v>0.33717188095171369</v>
      </c>
      <c r="P120" s="125">
        <f t="shared" si="228"/>
        <v>0.3591902672657708</v>
      </c>
      <c r="Q120" s="125">
        <f t="shared" si="228"/>
        <v>0.36644140371298212</v>
      </c>
      <c r="R120" s="125">
        <f t="shared" si="228"/>
        <v>0.35963976463488645</v>
      </c>
      <c r="S120" s="125">
        <f t="shared" si="228"/>
        <v>0.36725352557053287</v>
      </c>
      <c r="T120" s="125">
        <f t="shared" si="228"/>
        <v>0.34595969498270457</v>
      </c>
      <c r="U120" s="125">
        <f t="shared" si="228"/>
        <v>0.32839018587953661</v>
      </c>
      <c r="V120" s="125">
        <f t="shared" si="228"/>
        <v>0.420022519488781</v>
      </c>
      <c r="W120" s="125">
        <f t="shared" ref="W120" si="229">IF(W19=0,0,W19/W$15)</f>
        <v>0.445542373502955</v>
      </c>
      <c r="DA120" s="171"/>
    </row>
    <row r="121" spans="1:105" ht="11.45" customHeight="1" x14ac:dyDescent="0.25">
      <c r="A121" s="112" t="s">
        <v>25</v>
      </c>
      <c r="B121" s="126">
        <f t="shared" si="219"/>
        <v>5.4297666931937626E-2</v>
      </c>
      <c r="C121" s="126">
        <f t="shared" si="219"/>
        <v>5.305816561502949E-2</v>
      </c>
      <c r="D121" s="126">
        <f t="shared" si="219"/>
        <v>5.3599345929830344E-2</v>
      </c>
      <c r="E121" s="126">
        <f t="shared" si="219"/>
        <v>4.4253231313375996E-2</v>
      </c>
      <c r="F121" s="126">
        <f t="shared" si="219"/>
        <v>4.2797127718694657E-2</v>
      </c>
      <c r="G121" s="126">
        <f t="shared" si="219"/>
        <v>4.2283697841914207E-2</v>
      </c>
      <c r="H121" s="126">
        <f t="shared" si="219"/>
        <v>6.0014978847106409E-2</v>
      </c>
      <c r="I121" s="126">
        <f t="shared" si="219"/>
        <v>5.5079576303670184E-2</v>
      </c>
      <c r="J121" s="126">
        <f t="shared" si="219"/>
        <v>0.10490679223443698</v>
      </c>
      <c r="K121" s="126">
        <f t="shared" ref="K121:V121" si="230">IF(K20=0,0,K20/K$15)</f>
        <v>0.24569638308835903</v>
      </c>
      <c r="L121" s="126">
        <f t="shared" si="230"/>
        <v>0.2369215297575345</v>
      </c>
      <c r="M121" s="126">
        <f t="shared" si="230"/>
        <v>0.20021970124866201</v>
      </c>
      <c r="N121" s="126">
        <f t="shared" si="230"/>
        <v>0.18801129168732231</v>
      </c>
      <c r="O121" s="126">
        <f t="shared" si="230"/>
        <v>0.24757640111280405</v>
      </c>
      <c r="P121" s="126">
        <f t="shared" si="230"/>
        <v>0.2339364849704986</v>
      </c>
      <c r="Q121" s="126">
        <f t="shared" si="230"/>
        <v>0.22016069218921835</v>
      </c>
      <c r="R121" s="126">
        <f t="shared" si="230"/>
        <v>0.21674669198503294</v>
      </c>
      <c r="S121" s="126">
        <f t="shared" si="230"/>
        <v>0.2301067139163126</v>
      </c>
      <c r="T121" s="126">
        <f t="shared" si="230"/>
        <v>0.22317833026838124</v>
      </c>
      <c r="U121" s="126">
        <f t="shared" si="230"/>
        <v>0.23126300712358022</v>
      </c>
      <c r="V121" s="126">
        <f t="shared" si="230"/>
        <v>0.13158416167117773</v>
      </c>
      <c r="W121" s="126">
        <f t="shared" ref="W121" si="231">IF(W20=0,0,W20/W$15)</f>
        <v>0.12772618888163428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0.40236148194394311</v>
      </c>
      <c r="C123" s="125">
        <f t="shared" si="232"/>
        <v>0.36286066906155279</v>
      </c>
      <c r="D123" s="125">
        <f t="shared" si="232"/>
        <v>0.29875791302665772</v>
      </c>
      <c r="E123" s="125">
        <f t="shared" si="232"/>
        <v>0.24181529253249417</v>
      </c>
      <c r="F123" s="125">
        <f t="shared" si="232"/>
        <v>0.23385433844516809</v>
      </c>
      <c r="G123" s="125">
        <f t="shared" si="232"/>
        <v>0.23000554991056188</v>
      </c>
      <c r="H123" s="125">
        <f t="shared" si="232"/>
        <v>0.41335405825091592</v>
      </c>
      <c r="I123" s="125">
        <f t="shared" si="232"/>
        <v>0.40613429775142396</v>
      </c>
      <c r="J123" s="125">
        <f t="shared" si="232"/>
        <v>0.45695073363120225</v>
      </c>
      <c r="K123" s="125">
        <f t="shared" ref="K123:V123" si="235">IF(K22=0,0,K22/K$21)</f>
        <v>0.77002367077434275</v>
      </c>
      <c r="L123" s="125">
        <f t="shared" si="235"/>
        <v>0.70512369532445718</v>
      </c>
      <c r="M123" s="125">
        <f t="shared" si="235"/>
        <v>0.37127359896547674</v>
      </c>
      <c r="N123" s="125">
        <f t="shared" si="235"/>
        <v>0.42680029936897312</v>
      </c>
      <c r="O123" s="125">
        <f t="shared" si="235"/>
        <v>0.21545047973709178</v>
      </c>
      <c r="P123" s="125">
        <f t="shared" si="235"/>
        <v>0.20956885655562082</v>
      </c>
      <c r="Q123" s="125">
        <f t="shared" si="235"/>
        <v>0.14943311244522728</v>
      </c>
      <c r="R123" s="125">
        <f t="shared" si="235"/>
        <v>0.13949500148236565</v>
      </c>
      <c r="S123" s="125">
        <f t="shared" si="235"/>
        <v>0.24627465123590975</v>
      </c>
      <c r="T123" s="125">
        <f t="shared" si="235"/>
        <v>0.28405225267523143</v>
      </c>
      <c r="U123" s="125">
        <f t="shared" si="235"/>
        <v>0.33456824842848887</v>
      </c>
      <c r="V123" s="125">
        <f t="shared" si="235"/>
        <v>0.19065046454971532</v>
      </c>
      <c r="W123" s="125">
        <f t="shared" ref="W123" si="236">IF(W22=0,0,W22/W$21)</f>
        <v>0.12967613306880196</v>
      </c>
      <c r="DA123" s="171"/>
    </row>
    <row r="124" spans="1:105" ht="11.45" customHeight="1" x14ac:dyDescent="0.25">
      <c r="A124" s="85" t="s">
        <v>93</v>
      </c>
      <c r="B124" s="127">
        <f t="shared" si="232"/>
        <v>0.59763851805605694</v>
      </c>
      <c r="C124" s="127">
        <f t="shared" si="232"/>
        <v>0.63713933093844721</v>
      </c>
      <c r="D124" s="127">
        <f t="shared" si="232"/>
        <v>0.70124208697334223</v>
      </c>
      <c r="E124" s="127">
        <f t="shared" si="232"/>
        <v>0.75818470746750577</v>
      </c>
      <c r="F124" s="127">
        <f t="shared" si="232"/>
        <v>0.76614566155483188</v>
      </c>
      <c r="G124" s="127">
        <f t="shared" si="232"/>
        <v>0.76999445008943812</v>
      </c>
      <c r="H124" s="127">
        <f t="shared" si="232"/>
        <v>0.58664594174908402</v>
      </c>
      <c r="I124" s="127">
        <f t="shared" si="232"/>
        <v>0.59386570224857604</v>
      </c>
      <c r="J124" s="127">
        <f t="shared" si="232"/>
        <v>0.5430492663687978</v>
      </c>
      <c r="K124" s="127">
        <f t="shared" ref="K124:V124" si="237">IF(K23=0,0,K23/K$21)</f>
        <v>0.22997632922565719</v>
      </c>
      <c r="L124" s="127">
        <f t="shared" si="237"/>
        <v>0.29487630467554288</v>
      </c>
      <c r="M124" s="127">
        <f t="shared" si="237"/>
        <v>0.62872640103452326</v>
      </c>
      <c r="N124" s="127">
        <f t="shared" si="237"/>
        <v>0.57319970063102688</v>
      </c>
      <c r="O124" s="127">
        <f t="shared" si="237"/>
        <v>0.78454952026290814</v>
      </c>
      <c r="P124" s="127">
        <f t="shared" si="237"/>
        <v>0.79043114344437915</v>
      </c>
      <c r="Q124" s="127">
        <f t="shared" si="237"/>
        <v>0.85056688755477272</v>
      </c>
      <c r="R124" s="127">
        <f t="shared" si="237"/>
        <v>0.86050499851763429</v>
      </c>
      <c r="S124" s="127">
        <f t="shared" si="237"/>
        <v>0.75372534876409025</v>
      </c>
      <c r="T124" s="127">
        <f t="shared" si="237"/>
        <v>0.71594774732476851</v>
      </c>
      <c r="U124" s="127">
        <f t="shared" si="237"/>
        <v>0.66543175157151124</v>
      </c>
      <c r="V124" s="127">
        <f t="shared" si="237"/>
        <v>0.80934953545028465</v>
      </c>
      <c r="W124" s="127">
        <f t="shared" ref="W124" si="238">IF(W23=0,0,W23/W$21)</f>
        <v>0.87032386693119801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709.20988822012032</v>
      </c>
      <c r="C4" s="146">
        <f t="shared" ref="C4:V4" si="0">SUM(C5,C8)</f>
        <v>772.25563198624241</v>
      </c>
      <c r="D4" s="146">
        <f t="shared" si="0"/>
        <v>789.67231298366301</v>
      </c>
      <c r="E4" s="146">
        <f t="shared" si="0"/>
        <v>863.43748925193472</v>
      </c>
      <c r="F4" s="146">
        <f t="shared" si="0"/>
        <v>951.96328460877032</v>
      </c>
      <c r="G4" s="146">
        <f t="shared" si="0"/>
        <v>1030.8875322441961</v>
      </c>
      <c r="H4" s="146">
        <f t="shared" si="0"/>
        <v>846.13551160791053</v>
      </c>
      <c r="I4" s="146">
        <f t="shared" si="0"/>
        <v>988.32046431642289</v>
      </c>
      <c r="J4" s="146">
        <f t="shared" si="0"/>
        <v>980.63912295786758</v>
      </c>
      <c r="K4" s="146">
        <f t="shared" si="0"/>
        <v>862.22416165090283</v>
      </c>
      <c r="L4" s="146">
        <f t="shared" si="0"/>
        <v>899.96182287188299</v>
      </c>
      <c r="M4" s="146">
        <f t="shared" si="0"/>
        <v>844.42536543422193</v>
      </c>
      <c r="N4" s="146">
        <f t="shared" si="0"/>
        <v>890.43662940670674</v>
      </c>
      <c r="O4" s="146">
        <f t="shared" si="0"/>
        <v>385.52115219260531</v>
      </c>
      <c r="P4" s="146">
        <f t="shared" si="0"/>
        <v>391.20094582975065</v>
      </c>
      <c r="Q4" s="146">
        <f t="shared" si="0"/>
        <v>403.80240756663795</v>
      </c>
      <c r="R4" s="146">
        <f t="shared" si="0"/>
        <v>388.70739466895952</v>
      </c>
      <c r="S4" s="146">
        <f t="shared" si="0"/>
        <v>393.01134995700767</v>
      </c>
      <c r="T4" s="146">
        <f t="shared" si="0"/>
        <v>394.46354256233883</v>
      </c>
      <c r="U4" s="146">
        <f t="shared" si="0"/>
        <v>382.15821152192598</v>
      </c>
      <c r="V4" s="146">
        <f t="shared" si="0"/>
        <v>311.8419604471195</v>
      </c>
      <c r="W4" s="146">
        <f t="shared" ref="W4" si="1">SUM(W5,W8)</f>
        <v>320.73473774720554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497.08607050730859</v>
      </c>
      <c r="C5" s="101">
        <f t="shared" ref="C5:V5" si="2">SUM(C6:C7)</f>
        <v>529.95124677558033</v>
      </c>
      <c r="D5" s="101">
        <f t="shared" si="2"/>
        <v>519.68091143594154</v>
      </c>
      <c r="E5" s="101">
        <f t="shared" si="2"/>
        <v>577.19501289767845</v>
      </c>
      <c r="F5" s="101">
        <f t="shared" si="2"/>
        <v>659.35795356835763</v>
      </c>
      <c r="G5" s="101">
        <f t="shared" si="2"/>
        <v>716.87205503009454</v>
      </c>
      <c r="H5" s="101">
        <f t="shared" si="2"/>
        <v>636.76319862424759</v>
      </c>
      <c r="I5" s="101">
        <f t="shared" si="2"/>
        <v>754.87248495270842</v>
      </c>
      <c r="J5" s="101">
        <f t="shared" si="2"/>
        <v>724.06130696474634</v>
      </c>
      <c r="K5" s="101">
        <f t="shared" si="2"/>
        <v>616.2224419604471</v>
      </c>
      <c r="L5" s="101">
        <f t="shared" si="2"/>
        <v>636.76319862424759</v>
      </c>
      <c r="M5" s="101">
        <f t="shared" si="2"/>
        <v>523.78907996560622</v>
      </c>
      <c r="N5" s="101">
        <f t="shared" si="2"/>
        <v>577.19501289767845</v>
      </c>
      <c r="O5" s="101">
        <f t="shared" si="2"/>
        <v>81.135941530524505</v>
      </c>
      <c r="P5" s="101">
        <f t="shared" si="2"/>
        <v>80.108942390369734</v>
      </c>
      <c r="Q5" s="101">
        <f t="shared" si="2"/>
        <v>88.325193465176255</v>
      </c>
      <c r="R5" s="101">
        <f t="shared" si="2"/>
        <v>80.108942390369734</v>
      </c>
      <c r="S5" s="101">
        <f t="shared" si="2"/>
        <v>79.081857265692165</v>
      </c>
      <c r="T5" s="101">
        <f t="shared" si="2"/>
        <v>81.135941530524505</v>
      </c>
      <c r="U5" s="101">
        <f t="shared" si="2"/>
        <v>83.190025795356831</v>
      </c>
      <c r="V5" s="101">
        <f t="shared" si="2"/>
        <v>60.595184866723983</v>
      </c>
      <c r="W5" s="101">
        <f t="shared" ref="W5" si="3">SUM(W6:W7)</f>
        <v>55.214531384350813</v>
      </c>
      <c r="DA5" s="175"/>
    </row>
    <row r="6" spans="1:105" ht="11.45" customHeight="1" x14ac:dyDescent="0.25">
      <c r="A6" s="164" t="s">
        <v>182</v>
      </c>
      <c r="B6" s="165">
        <v>497.08607050730859</v>
      </c>
      <c r="C6" s="165">
        <v>529.95124677558033</v>
      </c>
      <c r="D6" s="165">
        <v>519.68091143594154</v>
      </c>
      <c r="E6" s="165">
        <v>577.19501289767845</v>
      </c>
      <c r="F6" s="165">
        <v>659.35795356835763</v>
      </c>
      <c r="G6" s="165">
        <v>716.87205503009454</v>
      </c>
      <c r="H6" s="165">
        <v>636.76319862424759</v>
      </c>
      <c r="I6" s="165">
        <v>754.87248495270842</v>
      </c>
      <c r="J6" s="165">
        <v>724.06130696474634</v>
      </c>
      <c r="K6" s="165">
        <v>616.2224419604471</v>
      </c>
      <c r="L6" s="165">
        <v>636.76319862424759</v>
      </c>
      <c r="M6" s="165">
        <v>523.78907996560622</v>
      </c>
      <c r="N6" s="165">
        <v>577.19501289767845</v>
      </c>
      <c r="O6" s="165">
        <v>81.135941530524505</v>
      </c>
      <c r="P6" s="165">
        <v>80.108942390369734</v>
      </c>
      <c r="Q6" s="165">
        <v>88.325193465176255</v>
      </c>
      <c r="R6" s="165">
        <v>80.108942390369734</v>
      </c>
      <c r="S6" s="165">
        <v>79.081857265692165</v>
      </c>
      <c r="T6" s="165">
        <v>81.135941530524505</v>
      </c>
      <c r="U6" s="165">
        <v>83.190025795356831</v>
      </c>
      <c r="V6" s="165">
        <v>60.595184866723983</v>
      </c>
      <c r="W6" s="165">
        <v>55.214531384350813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212.1238177128117</v>
      </c>
      <c r="C8" s="88">
        <v>242.3043852106621</v>
      </c>
      <c r="D8" s="88">
        <v>269.99140154772141</v>
      </c>
      <c r="E8" s="88">
        <v>286.24247635425621</v>
      </c>
      <c r="F8" s="88">
        <v>292.60533104041269</v>
      </c>
      <c r="G8" s="88">
        <v>314.01547721410151</v>
      </c>
      <c r="H8" s="88">
        <v>209.37231298366291</v>
      </c>
      <c r="I8" s="88">
        <v>233.4479793637145</v>
      </c>
      <c r="J8" s="88">
        <v>256.57781599312119</v>
      </c>
      <c r="K8" s="88">
        <v>246.0017196904557</v>
      </c>
      <c r="L8" s="88">
        <v>263.19862424763539</v>
      </c>
      <c r="M8" s="88">
        <v>320.63628546861571</v>
      </c>
      <c r="N8" s="88">
        <v>313.24161650902829</v>
      </c>
      <c r="O8" s="88">
        <v>304.38521066208079</v>
      </c>
      <c r="P8" s="88">
        <v>311.0920034393809</v>
      </c>
      <c r="Q8" s="88">
        <v>315.4772141014617</v>
      </c>
      <c r="R8" s="88">
        <v>308.59845227858978</v>
      </c>
      <c r="S8" s="88">
        <v>313.92949269131549</v>
      </c>
      <c r="T8" s="88">
        <v>313.32760103181431</v>
      </c>
      <c r="U8" s="88">
        <v>298.96818572656917</v>
      </c>
      <c r="V8" s="88">
        <v>251.24677558039551</v>
      </c>
      <c r="W8" s="88">
        <v>265.52020636285471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709.20988822012032</v>
      </c>
      <c r="C10" s="62">
        <f t="shared" ref="C10:V10" si="5">SUM(C11,C17)</f>
        <v>772.25563198624241</v>
      </c>
      <c r="D10" s="62">
        <f t="shared" si="5"/>
        <v>789.67231298366301</v>
      </c>
      <c r="E10" s="62">
        <f t="shared" si="5"/>
        <v>863.43748925193461</v>
      </c>
      <c r="F10" s="62">
        <f t="shared" si="5"/>
        <v>951.96328460877044</v>
      </c>
      <c r="G10" s="62">
        <f t="shared" si="5"/>
        <v>1030.8875322441961</v>
      </c>
      <c r="H10" s="62">
        <f t="shared" si="5"/>
        <v>846.13551160791042</v>
      </c>
      <c r="I10" s="62">
        <f t="shared" si="5"/>
        <v>988.320464316423</v>
      </c>
      <c r="J10" s="62">
        <f t="shared" si="5"/>
        <v>980.63912295786747</v>
      </c>
      <c r="K10" s="62">
        <f t="shared" si="5"/>
        <v>862.22416165090272</v>
      </c>
      <c r="L10" s="62">
        <f t="shared" si="5"/>
        <v>899.96182287188299</v>
      </c>
      <c r="M10" s="62">
        <f t="shared" si="5"/>
        <v>844.42536543422193</v>
      </c>
      <c r="N10" s="62">
        <f t="shared" si="5"/>
        <v>890.43662940670663</v>
      </c>
      <c r="O10" s="62">
        <f t="shared" si="5"/>
        <v>385.52115219260531</v>
      </c>
      <c r="P10" s="62">
        <f t="shared" si="5"/>
        <v>391.20094582975059</v>
      </c>
      <c r="Q10" s="62">
        <f t="shared" si="5"/>
        <v>403.80240756663795</v>
      </c>
      <c r="R10" s="62">
        <f t="shared" si="5"/>
        <v>388.70739466895952</v>
      </c>
      <c r="S10" s="62">
        <f t="shared" si="5"/>
        <v>393.01134995700767</v>
      </c>
      <c r="T10" s="62">
        <f t="shared" si="5"/>
        <v>394.46354256233877</v>
      </c>
      <c r="U10" s="62">
        <f t="shared" si="5"/>
        <v>382.15821152192598</v>
      </c>
      <c r="V10" s="62">
        <f t="shared" si="5"/>
        <v>311.8419604471195</v>
      </c>
      <c r="W10" s="62">
        <f t="shared" ref="W10" si="6">SUM(W11,W17)</f>
        <v>320.73473774720549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502.79059147107421</v>
      </c>
      <c r="C11" s="29">
        <f t="shared" ref="C11:V11" si="8">SUM(C12,C13,C16)</f>
        <v>540.57577783006252</v>
      </c>
      <c r="D11" s="29">
        <f t="shared" si="8"/>
        <v>571.39196474407856</v>
      </c>
      <c r="E11" s="29">
        <f t="shared" si="8"/>
        <v>667.39253513144172</v>
      </c>
      <c r="F11" s="29">
        <f t="shared" si="8"/>
        <v>764.25123608008084</v>
      </c>
      <c r="G11" s="29">
        <f t="shared" si="8"/>
        <v>852.29780735937027</v>
      </c>
      <c r="H11" s="29">
        <f t="shared" si="8"/>
        <v>672.17427862749355</v>
      </c>
      <c r="I11" s="29">
        <f t="shared" si="8"/>
        <v>749.94175681594254</v>
      </c>
      <c r="J11" s="29">
        <f t="shared" si="8"/>
        <v>744.14373225902784</v>
      </c>
      <c r="K11" s="29">
        <f t="shared" si="8"/>
        <v>656.64304404753807</v>
      </c>
      <c r="L11" s="29">
        <f t="shared" si="8"/>
        <v>654.57336338430821</v>
      </c>
      <c r="M11" s="29">
        <f t="shared" si="8"/>
        <v>694.27560630025835</v>
      </c>
      <c r="N11" s="29">
        <f t="shared" si="8"/>
        <v>739.01076163951211</v>
      </c>
      <c r="O11" s="29">
        <f t="shared" si="8"/>
        <v>327.0499656307594</v>
      </c>
      <c r="P11" s="29">
        <f t="shared" si="8"/>
        <v>329.03358310294016</v>
      </c>
      <c r="Q11" s="29">
        <f t="shared" si="8"/>
        <v>343.2116747053098</v>
      </c>
      <c r="R11" s="29">
        <f t="shared" si="8"/>
        <v>339.39980915972291</v>
      </c>
      <c r="S11" s="29">
        <f t="shared" si="8"/>
        <v>329.05231611294039</v>
      </c>
      <c r="T11" s="29">
        <f t="shared" si="8"/>
        <v>327.81093493539998</v>
      </c>
      <c r="U11" s="29">
        <f t="shared" si="8"/>
        <v>310.23510313699774</v>
      </c>
      <c r="V11" s="29">
        <f t="shared" si="8"/>
        <v>236.86860045680339</v>
      </c>
      <c r="W11" s="29">
        <f t="shared" ref="W11" si="9">SUM(W12,W13,W16)</f>
        <v>269.89907823233835</v>
      </c>
      <c r="DA11" s="173" t="s">
        <v>394</v>
      </c>
    </row>
    <row r="12" spans="1:105" ht="11.45" customHeight="1" x14ac:dyDescent="0.25">
      <c r="A12" s="107" t="s">
        <v>23</v>
      </c>
      <c r="B12" s="115">
        <v>28.913711748319191</v>
      </c>
      <c r="C12" s="115">
        <v>29.45801089683766</v>
      </c>
      <c r="D12" s="115">
        <v>29.485117589125331</v>
      </c>
      <c r="E12" s="115">
        <v>31.761299992753646</v>
      </c>
      <c r="F12" s="115">
        <v>32.12061192158815</v>
      </c>
      <c r="G12" s="115">
        <v>31.482022159180314</v>
      </c>
      <c r="H12" s="115">
        <v>32.109690131708298</v>
      </c>
      <c r="I12" s="115">
        <v>32.614018949336682</v>
      </c>
      <c r="J12" s="115">
        <v>32.270304238377626</v>
      </c>
      <c r="K12" s="115">
        <v>31.202828052495864</v>
      </c>
      <c r="L12" s="115">
        <v>37.943805322022513</v>
      </c>
      <c r="M12" s="115">
        <v>37.02254062874718</v>
      </c>
      <c r="N12" s="115">
        <v>35.751554702808349</v>
      </c>
      <c r="O12" s="115">
        <v>32.557854562077203</v>
      </c>
      <c r="P12" s="115">
        <v>32.410299445726459</v>
      </c>
      <c r="Q12" s="115">
        <v>31.535366341441708</v>
      </c>
      <c r="R12" s="115">
        <v>32.001844539637204</v>
      </c>
      <c r="S12" s="115">
        <v>32.583795286266408</v>
      </c>
      <c r="T12" s="115">
        <v>37.015640046593916</v>
      </c>
      <c r="U12" s="115">
        <v>36.722339745121317</v>
      </c>
      <c r="V12" s="115">
        <v>32.638555282848777</v>
      </c>
      <c r="W12" s="115">
        <v>31.499137116450431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448.40473170489065</v>
      </c>
      <c r="C13" s="116">
        <f t="shared" ref="C13:V13" si="11">SUM(C14:C15)</f>
        <v>484.24506026108065</v>
      </c>
      <c r="D13" s="116">
        <f t="shared" si="11"/>
        <v>512.7077233961005</v>
      </c>
      <c r="E13" s="116">
        <f t="shared" si="11"/>
        <v>609.37993097219669</v>
      </c>
      <c r="F13" s="116">
        <f t="shared" si="11"/>
        <v>704.79737994492416</v>
      </c>
      <c r="G13" s="116">
        <f t="shared" si="11"/>
        <v>791.79523301265147</v>
      </c>
      <c r="H13" s="116">
        <f t="shared" si="11"/>
        <v>607.17945682632603</v>
      </c>
      <c r="I13" s="116">
        <f t="shared" si="11"/>
        <v>684.76225640046562</v>
      </c>
      <c r="J13" s="116">
        <f t="shared" si="11"/>
        <v>646.05130832150292</v>
      </c>
      <c r="K13" s="116">
        <f t="shared" si="11"/>
        <v>484.8498458557292</v>
      </c>
      <c r="L13" s="116">
        <f t="shared" si="11"/>
        <v>470.09055711227728</v>
      </c>
      <c r="M13" s="116">
        <f t="shared" si="11"/>
        <v>518.87175406644576</v>
      </c>
      <c r="N13" s="116">
        <f t="shared" si="11"/>
        <v>571.22735970042083</v>
      </c>
      <c r="O13" s="116">
        <f t="shared" si="11"/>
        <v>159.21250228659432</v>
      </c>
      <c r="P13" s="116">
        <f t="shared" si="11"/>
        <v>166.97499023866791</v>
      </c>
      <c r="Q13" s="116">
        <f t="shared" si="11"/>
        <v>186.59990092445511</v>
      </c>
      <c r="R13" s="116">
        <f t="shared" si="11"/>
        <v>182.61928037343353</v>
      </c>
      <c r="S13" s="116">
        <f t="shared" si="11"/>
        <v>165.64293221540274</v>
      </c>
      <c r="T13" s="116">
        <f t="shared" si="11"/>
        <v>159.75829168431386</v>
      </c>
      <c r="U13" s="116">
        <f t="shared" si="11"/>
        <v>143.64360148089145</v>
      </c>
      <c r="V13" s="116">
        <f t="shared" si="11"/>
        <v>141.68122086499579</v>
      </c>
      <c r="W13" s="116">
        <f t="shared" ref="W13" si="12">SUM(W14:W15)</f>
        <v>172.27549211405608</v>
      </c>
      <c r="DA13" s="176" t="s">
        <v>396</v>
      </c>
    </row>
    <row r="14" spans="1:105" ht="11.45" customHeight="1" x14ac:dyDescent="0.25">
      <c r="A14" s="111" t="s">
        <v>95</v>
      </c>
      <c r="B14" s="87">
        <v>324.29752638392551</v>
      </c>
      <c r="C14" s="87">
        <v>341.08772317833115</v>
      </c>
      <c r="D14" s="87">
        <v>352.40269460002429</v>
      </c>
      <c r="E14" s="87">
        <v>437.93254976783845</v>
      </c>
      <c r="F14" s="87">
        <v>527.4275018333866</v>
      </c>
      <c r="G14" s="87">
        <v>591.53380543769515</v>
      </c>
      <c r="H14" s="87">
        <v>488.86096542581851</v>
      </c>
      <c r="I14" s="87">
        <v>552.46343318614277</v>
      </c>
      <c r="J14" s="87">
        <v>516.85544727848878</v>
      </c>
      <c r="K14" s="87">
        <v>417.61232046365745</v>
      </c>
      <c r="L14" s="87">
        <v>402.85809788233189</v>
      </c>
      <c r="M14" s="87">
        <v>398.63216926485859</v>
      </c>
      <c r="N14" s="87">
        <v>446.3565947901065</v>
      </c>
      <c r="O14" s="87">
        <v>49.609770597724172</v>
      </c>
      <c r="P14" s="87">
        <v>47.195628049961861</v>
      </c>
      <c r="Q14" s="87">
        <v>62.296166463468261</v>
      </c>
      <c r="R14" s="87">
        <v>59.922705535579738</v>
      </c>
      <c r="S14" s="87">
        <v>41.988099311681829</v>
      </c>
      <c r="T14" s="87">
        <v>39.524144888962567</v>
      </c>
      <c r="U14" s="87">
        <v>34.528605912483684</v>
      </c>
      <c r="V14" s="87">
        <v>23.579013319735097</v>
      </c>
      <c r="W14" s="87">
        <v>35.865035431687055</v>
      </c>
      <c r="DA14" s="171" t="s">
        <v>1106</v>
      </c>
    </row>
    <row r="15" spans="1:105" ht="11.45" customHeight="1" x14ac:dyDescent="0.25">
      <c r="A15" s="111" t="s">
        <v>93</v>
      </c>
      <c r="B15" s="87">
        <v>124.10720532096514</v>
      </c>
      <c r="C15" s="87">
        <v>143.15733708274954</v>
      </c>
      <c r="D15" s="87">
        <v>160.30502879607621</v>
      </c>
      <c r="E15" s="87">
        <v>171.44738120435829</v>
      </c>
      <c r="F15" s="87">
        <v>177.36987811153759</v>
      </c>
      <c r="G15" s="87">
        <v>200.26142757495629</v>
      </c>
      <c r="H15" s="87">
        <v>118.31849140050754</v>
      </c>
      <c r="I15" s="87">
        <v>132.29882321432285</v>
      </c>
      <c r="J15" s="87">
        <v>129.19586104301413</v>
      </c>
      <c r="K15" s="87">
        <v>67.237525392071746</v>
      </c>
      <c r="L15" s="87">
        <v>67.232459229945405</v>
      </c>
      <c r="M15" s="87">
        <v>120.23958480158714</v>
      </c>
      <c r="N15" s="87">
        <v>124.87076491031438</v>
      </c>
      <c r="O15" s="87">
        <v>109.60273168887014</v>
      </c>
      <c r="P15" s="87">
        <v>119.77936218870606</v>
      </c>
      <c r="Q15" s="87">
        <v>124.30373446098685</v>
      </c>
      <c r="R15" s="87">
        <v>122.69657483785377</v>
      </c>
      <c r="S15" s="87">
        <v>123.65483290372092</v>
      </c>
      <c r="T15" s="87">
        <v>120.23414679535129</v>
      </c>
      <c r="U15" s="87">
        <v>109.11499556840776</v>
      </c>
      <c r="V15" s="87">
        <v>118.10220754526071</v>
      </c>
      <c r="W15" s="87">
        <v>136.41045668236902</v>
      </c>
      <c r="DA15" s="171" t="s">
        <v>1107</v>
      </c>
    </row>
    <row r="16" spans="1:105" ht="11.45" customHeight="1" x14ac:dyDescent="0.25">
      <c r="A16" s="112" t="s">
        <v>25</v>
      </c>
      <c r="B16" s="117">
        <v>25.472148017864356</v>
      </c>
      <c r="C16" s="117">
        <v>26.872706672144183</v>
      </c>
      <c r="D16" s="117">
        <v>29.199123758852647</v>
      </c>
      <c r="E16" s="117">
        <v>26.251304166491444</v>
      </c>
      <c r="F16" s="117">
        <v>27.333244213568516</v>
      </c>
      <c r="G16" s="117">
        <v>29.020552187538449</v>
      </c>
      <c r="H16" s="117">
        <v>32.885131669459255</v>
      </c>
      <c r="I16" s="117">
        <v>32.565481466140199</v>
      </c>
      <c r="J16" s="117">
        <v>65.822119699147308</v>
      </c>
      <c r="K16" s="117">
        <v>140.59037013931305</v>
      </c>
      <c r="L16" s="117">
        <v>146.53900095000844</v>
      </c>
      <c r="M16" s="117">
        <v>138.38131160506541</v>
      </c>
      <c r="N16" s="117">
        <v>132.03184723628297</v>
      </c>
      <c r="O16" s="117">
        <v>135.27960878208791</v>
      </c>
      <c r="P16" s="117">
        <v>129.64829341854582</v>
      </c>
      <c r="Q16" s="117">
        <v>125.07640743941298</v>
      </c>
      <c r="R16" s="117">
        <v>124.77868424665216</v>
      </c>
      <c r="S16" s="117">
        <v>130.82558861127126</v>
      </c>
      <c r="T16" s="117">
        <v>131.03700320449221</v>
      </c>
      <c r="U16" s="117">
        <v>129.86916191098499</v>
      </c>
      <c r="V16" s="117">
        <v>62.548824308958828</v>
      </c>
      <c r="W16" s="117">
        <v>66.124449001831834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206.41929674904605</v>
      </c>
      <c r="C17" s="29">
        <f t="shared" si="13"/>
        <v>231.67985415617994</v>
      </c>
      <c r="D17" s="29">
        <f t="shared" si="13"/>
        <v>218.2803482395845</v>
      </c>
      <c r="E17" s="29">
        <f t="shared" si="13"/>
        <v>196.04495412049289</v>
      </c>
      <c r="F17" s="29">
        <f t="shared" si="13"/>
        <v>187.71204852868954</v>
      </c>
      <c r="G17" s="29">
        <f t="shared" si="13"/>
        <v>178.58972488482584</v>
      </c>
      <c r="H17" s="29">
        <f t="shared" si="13"/>
        <v>173.9612329804169</v>
      </c>
      <c r="I17" s="29">
        <f t="shared" si="13"/>
        <v>238.37870750048043</v>
      </c>
      <c r="J17" s="29">
        <f t="shared" si="13"/>
        <v>236.49539069883963</v>
      </c>
      <c r="K17" s="29">
        <f t="shared" si="13"/>
        <v>205.58111760336467</v>
      </c>
      <c r="L17" s="29">
        <f t="shared" si="13"/>
        <v>245.38845948757478</v>
      </c>
      <c r="M17" s="29">
        <f t="shared" si="13"/>
        <v>150.14975913396358</v>
      </c>
      <c r="N17" s="29">
        <f t="shared" si="13"/>
        <v>151.42586776719455</v>
      </c>
      <c r="O17" s="29">
        <f t="shared" si="13"/>
        <v>58.471186561845883</v>
      </c>
      <c r="P17" s="29">
        <f t="shared" si="13"/>
        <v>62.167362726810467</v>
      </c>
      <c r="Q17" s="29">
        <f t="shared" si="13"/>
        <v>60.590732861328171</v>
      </c>
      <c r="R17" s="29">
        <f t="shared" si="13"/>
        <v>49.307585509236631</v>
      </c>
      <c r="S17" s="29">
        <f t="shared" si="13"/>
        <v>63.959033844067264</v>
      </c>
      <c r="T17" s="29">
        <f t="shared" si="13"/>
        <v>66.652607626938774</v>
      </c>
      <c r="U17" s="29">
        <f t="shared" si="13"/>
        <v>71.92310838492827</v>
      </c>
      <c r="V17" s="29">
        <f t="shared" si="13"/>
        <v>74.973359990316084</v>
      </c>
      <c r="W17" s="29">
        <f t="shared" si="13"/>
        <v>50.835659514867153</v>
      </c>
      <c r="DA17" s="173" t="s">
        <v>401</v>
      </c>
    </row>
    <row r="18" spans="1:105" ht="11.45" customHeight="1" x14ac:dyDescent="0.25">
      <c r="A18" s="83" t="s">
        <v>95</v>
      </c>
      <c r="B18" s="87">
        <v>172.78854412338302</v>
      </c>
      <c r="C18" s="87">
        <v>188.86352359724918</v>
      </c>
      <c r="D18" s="87">
        <v>167.27821683591725</v>
      </c>
      <c r="E18" s="87">
        <v>139.26246312984006</v>
      </c>
      <c r="F18" s="87">
        <v>131.93045173497111</v>
      </c>
      <c r="G18" s="87">
        <v>125.33824959239938</v>
      </c>
      <c r="H18" s="87">
        <v>147.90223319842909</v>
      </c>
      <c r="I18" s="87">
        <v>202.40905176656568</v>
      </c>
      <c r="J18" s="87">
        <v>207.2058596862575</v>
      </c>
      <c r="K18" s="87">
        <v>198.61012149678965</v>
      </c>
      <c r="L18" s="87">
        <v>233.90510074191573</v>
      </c>
      <c r="M18" s="87">
        <v>125.15691070074755</v>
      </c>
      <c r="N18" s="87">
        <v>130.8384181075719</v>
      </c>
      <c r="O18" s="87">
        <v>31.526170932800337</v>
      </c>
      <c r="P18" s="87">
        <v>32.913314340407872</v>
      </c>
      <c r="Q18" s="87">
        <v>26.029027001707995</v>
      </c>
      <c r="R18" s="87">
        <v>20.186236854789989</v>
      </c>
      <c r="S18" s="87">
        <v>37.093757954010336</v>
      </c>
      <c r="T18" s="87">
        <v>41.611796641561945</v>
      </c>
      <c r="U18" s="87">
        <v>48.661419882873147</v>
      </c>
      <c r="V18" s="87">
        <v>37.016171546988886</v>
      </c>
      <c r="W18" s="87">
        <v>19.349495952663759</v>
      </c>
      <c r="DA18" s="171" t="s">
        <v>1108</v>
      </c>
    </row>
    <row r="19" spans="1:105" ht="11.45" customHeight="1" x14ac:dyDescent="0.25">
      <c r="A19" s="85" t="s">
        <v>93</v>
      </c>
      <c r="B19" s="88">
        <v>33.630752625663042</v>
      </c>
      <c r="C19" s="88">
        <v>42.816330558930744</v>
      </c>
      <c r="D19" s="88">
        <v>51.002131403667242</v>
      </c>
      <c r="E19" s="88">
        <v>56.782490990652832</v>
      </c>
      <c r="F19" s="88">
        <v>55.781596793718421</v>
      </c>
      <c r="G19" s="88">
        <v>53.25147529242647</v>
      </c>
      <c r="H19" s="88">
        <v>26.058999781987797</v>
      </c>
      <c r="I19" s="88">
        <v>35.969655733914749</v>
      </c>
      <c r="J19" s="88">
        <v>29.289531012582117</v>
      </c>
      <c r="K19" s="88">
        <v>6.9709961065750186</v>
      </c>
      <c r="L19" s="88">
        <v>11.483358745659046</v>
      </c>
      <c r="M19" s="88">
        <v>24.992848433216036</v>
      </c>
      <c r="N19" s="88">
        <v>20.587449659622646</v>
      </c>
      <c r="O19" s="88">
        <v>26.94501562904555</v>
      </c>
      <c r="P19" s="88">
        <v>29.254048386402594</v>
      </c>
      <c r="Q19" s="88">
        <v>34.561705859620176</v>
      </c>
      <c r="R19" s="88">
        <v>29.121348654446642</v>
      </c>
      <c r="S19" s="88">
        <v>26.865275890056932</v>
      </c>
      <c r="T19" s="88">
        <v>25.040810985376826</v>
      </c>
      <c r="U19" s="88">
        <v>23.261688502055119</v>
      </c>
      <c r="V19" s="88">
        <v>37.957188443327198</v>
      </c>
      <c r="W19" s="88">
        <v>31.486163562203394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323.12758627166687</v>
      </c>
      <c r="C23" s="62">
        <f>IF(C10=0,0,C10/TrRail_act!C14*100)</f>
        <v>319.24808667856649</v>
      </c>
      <c r="D23" s="62">
        <f>IF(D10=0,0,D10/TrRail_act!D14*100)</f>
        <v>302.07207985600985</v>
      </c>
      <c r="E23" s="62">
        <f>IF(E10=0,0,E10/TrRail_act!E14*100)</f>
        <v>296.92912077598186</v>
      </c>
      <c r="F23" s="62">
        <f>IF(F10=0,0,F10/TrRail_act!F14*100)</f>
        <v>304.89364581518169</v>
      </c>
      <c r="G23" s="62">
        <f>IF(G10=0,0,G10/TrRail_act!G14*100)</f>
        <v>301.05624078408641</v>
      </c>
      <c r="H23" s="62">
        <f>IF(H10=0,0,H10/TrRail_act!H14*100)</f>
        <v>313.31731496144562</v>
      </c>
      <c r="I23" s="62">
        <f>IF(I10=0,0,I10/TrRail_act!I14*100)</f>
        <v>323.93913827982226</v>
      </c>
      <c r="J23" s="62">
        <f>IF(J10=0,0,J10/TrRail_act!J14*100)</f>
        <v>311.21146330073594</v>
      </c>
      <c r="K23" s="62">
        <f>IF(K10=0,0,K10/TrRail_act!K14*100)</f>
        <v>310.17221420505615</v>
      </c>
      <c r="L23" s="62">
        <f>IF(L10=0,0,L10/TrRail_act!L14*100)</f>
        <v>296.41909882728066</v>
      </c>
      <c r="M23" s="62">
        <f>IF(M10=0,0,M10/TrRail_act!M14*100)</f>
        <v>246.08604647315485</v>
      </c>
      <c r="N23" s="62">
        <f>IF(N10=0,0,N10/TrRail_act!N14*100)</f>
        <v>252.46730276437751</v>
      </c>
      <c r="O23" s="62">
        <f>IF(O10=0,0,O10/TrRail_act!O14*100)</f>
        <v>136.64715149717102</v>
      </c>
      <c r="P23" s="62">
        <f>IF(P10=0,0,P10/TrRail_act!P14*100)</f>
        <v>132.5875737079503</v>
      </c>
      <c r="Q23" s="62">
        <f>IF(Q10=0,0,Q10/TrRail_act!Q14*100)</f>
        <v>130.86450283422653</v>
      </c>
      <c r="R23" s="62">
        <f>IF(R10=0,0,R10/TrRail_act!R14*100)</f>
        <v>123.90737144857312</v>
      </c>
      <c r="S23" s="62">
        <f>IF(S10=0,0,S10/TrRail_act!S14*100)</f>
        <v>124.95526404303942</v>
      </c>
      <c r="T23" s="62">
        <f>IF(T10=0,0,T10/TrRail_act!T14*100)</f>
        <v>121.06201347352558</v>
      </c>
      <c r="U23" s="62">
        <f>IF(U10=0,0,U10/TrRail_act!U14*100)</f>
        <v>121.51248115369219</v>
      </c>
      <c r="V23" s="62">
        <f>IF(V10=0,0,V10/TrRail_act!V14*100)</f>
        <v>111.21020432807111</v>
      </c>
      <c r="W23" s="62">
        <f>IF(W10=0,0,W10/TrRail_act!W14*100)</f>
        <v>108.70834948563892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261.34322348473893</v>
      </c>
      <c r="C24" s="29">
        <f>IF(C11=0,0,C11/TrRail_act!C15*100)</f>
        <v>258.89411201121106</v>
      </c>
      <c r="D24" s="29">
        <f>IF(D11=0,0,D11/TrRail_act!D15*100)</f>
        <v>253.97150709537951</v>
      </c>
      <c r="E24" s="29">
        <f>IF(E11=0,0,E11/TrRail_act!E15*100)</f>
        <v>264.63723114455064</v>
      </c>
      <c r="F24" s="29">
        <f>IF(F11=0,0,F11/TrRail_act!F15*100)</f>
        <v>279.37917248339505</v>
      </c>
      <c r="G24" s="29">
        <f>IF(G11=0,0,G11/TrRail_act!G15*100)</f>
        <v>279.94476562732996</v>
      </c>
      <c r="H24" s="29">
        <f>IF(H11=0,0,H11/TrRail_act!H15*100)</f>
        <v>274.81509621702116</v>
      </c>
      <c r="I24" s="29">
        <f>IF(I11=0,0,I11/TrRail_act!I15*100)</f>
        <v>278.61991515682564</v>
      </c>
      <c r="J24" s="29">
        <f>IF(J11=0,0,J11/TrRail_act!J15*100)</f>
        <v>263.9151352050298</v>
      </c>
      <c r="K24" s="29">
        <f>IF(K11=0,0,K11/TrRail_act!K15*100)</f>
        <v>253.73099584138927</v>
      </c>
      <c r="L24" s="29">
        <f>IF(L11=0,0,L11/TrRail_act!L15*100)</f>
        <v>234.89354771373087</v>
      </c>
      <c r="M24" s="29">
        <f>IF(M11=0,0,M11/TrRail_act!M15*100)</f>
        <v>218.87975378439242</v>
      </c>
      <c r="N24" s="29">
        <f>IF(N11=0,0,N11/TrRail_act!N15*100)</f>
        <v>224.68115317340045</v>
      </c>
      <c r="O24" s="29">
        <f>IF(O11=0,0,O11/TrRail_act!O15*100)</f>
        <v>126.48775665635587</v>
      </c>
      <c r="P24" s="29">
        <f>IF(P11=0,0,P11/TrRail_act!P15*100)</f>
        <v>122.21820427671608</v>
      </c>
      <c r="Q24" s="29">
        <f>IF(Q11=0,0,Q11/TrRail_act!Q15*100)</f>
        <v>122.83856947118643</v>
      </c>
      <c r="R24" s="29">
        <f>IF(R11=0,0,R11/TrRail_act!R15*100)</f>
        <v>117.52903013571428</v>
      </c>
      <c r="S24" s="29">
        <f>IF(S11=0,0,S11/TrRail_act!S15*100)</f>
        <v>114.24809448204525</v>
      </c>
      <c r="T24" s="29">
        <f>IF(T11=0,0,T11/TrRail_act!T15*100)</f>
        <v>109.401526491932</v>
      </c>
      <c r="U24" s="29">
        <f>IF(U11=0,0,U11/TrRail_act!U15*100)</f>
        <v>107.65365539091701</v>
      </c>
      <c r="V24" s="29">
        <f>IF(V11=0,0,V11/TrRail_act!V15*100)</f>
        <v>96.700017895691445</v>
      </c>
      <c r="W24" s="29">
        <f>IF(W11=0,0,W11/TrRail_act!W15*100)</f>
        <v>100.85595419598836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45.622405509523084</v>
      </c>
      <c r="C25" s="115">
        <f>IF(C12=0,0,C12/TrRail_act!C16*100)</f>
        <v>45.518156482899521</v>
      </c>
      <c r="D25" s="115">
        <f>IF(D12=0,0,D12/TrRail_act!D16*100)</f>
        <v>44.345235011560767</v>
      </c>
      <c r="E25" s="115">
        <f>IF(E12=0,0,E12/TrRail_act!E16*100)</f>
        <v>44.34495867471783</v>
      </c>
      <c r="F25" s="115">
        <f>IF(F12=0,0,F12/TrRail_act!F16*100)</f>
        <v>43.300192633742626</v>
      </c>
      <c r="G25" s="115">
        <f>IF(G12=0,0,G12/TrRail_act!G16*100)</f>
        <v>41.630026896481603</v>
      </c>
      <c r="H25" s="115">
        <f>IF(H12=0,0,H12/TrRail_act!H16*100)</f>
        <v>41.173715715765461</v>
      </c>
      <c r="I25" s="115">
        <f>IF(I12=0,0,I12/TrRail_act!I16*100)</f>
        <v>40.198779198528165</v>
      </c>
      <c r="J25" s="115">
        <f>IF(J12=0,0,J12/TrRail_act!J16*100)</f>
        <v>39.410818672564581</v>
      </c>
      <c r="K25" s="115">
        <f>IF(K12=0,0,K12/TrRail_act!K16*100)</f>
        <v>38.89994431269033</v>
      </c>
      <c r="L25" s="115">
        <f>IF(L12=0,0,L12/TrRail_act!L16*100)</f>
        <v>38.911096794379027</v>
      </c>
      <c r="M25" s="115">
        <f>IF(M12=0,0,M12/TrRail_act!M16*100)</f>
        <v>38.165664008563986</v>
      </c>
      <c r="N25" s="115">
        <f>IF(N12=0,0,N12/TrRail_act!N16*100)</f>
        <v>37.837172704297259</v>
      </c>
      <c r="O25" s="115">
        <f>IF(O12=0,0,O12/TrRail_act!O16*100)</f>
        <v>36.719210636054648</v>
      </c>
      <c r="P25" s="115">
        <f>IF(P12=0,0,P12/TrRail_act!P16*100)</f>
        <v>35.951296984840788</v>
      </c>
      <c r="Q25" s="115">
        <f>IF(Q12=0,0,Q12/TrRail_act!Q16*100)</f>
        <v>35.275703781056144</v>
      </c>
      <c r="R25" s="115">
        <f>IF(R12=0,0,R12/TrRail_act!R16*100)</f>
        <v>34.777353542891831</v>
      </c>
      <c r="S25" s="115">
        <f>IF(S12=0,0,S12/TrRail_act!S16*100)</f>
        <v>34.408216551797167</v>
      </c>
      <c r="T25" s="115">
        <f>IF(T12=0,0,T12/TrRail_act!T16*100)</f>
        <v>34.133937363013139</v>
      </c>
      <c r="U25" s="115">
        <f>IF(U12=0,0,U12/TrRail_act!U16*100)</f>
        <v>33.929663727433748</v>
      </c>
      <c r="V25" s="115">
        <f>IF(V12=0,0,V12/TrRail_act!V16*100)</f>
        <v>33.777261139434991</v>
      </c>
      <c r="W25" s="115">
        <f>IF(W12=0,0,W12/TrRail_act!W16*100)</f>
        <v>33.663408621648756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378.19385301473864</v>
      </c>
      <c r="C26" s="116">
        <f>IF(C13=0,0,C13/TrRail_act!C17*100)</f>
        <v>364.07711070949222</v>
      </c>
      <c r="D26" s="116">
        <f>IF(D13=0,0,D13/TrRail_act!D17*100)</f>
        <v>350.12925187955562</v>
      </c>
      <c r="E26" s="116">
        <f>IF(E13=0,0,E13/TrRail_act!E17*100)</f>
        <v>359.71155632065603</v>
      </c>
      <c r="F26" s="116">
        <f>IF(F13=0,0,F13/TrRail_act!F17*100)</f>
        <v>375.56167772768384</v>
      </c>
      <c r="G26" s="116">
        <f>IF(G13=0,0,G13/TrRail_act!G17*100)</f>
        <v>366.64754400104056</v>
      </c>
      <c r="H26" s="116">
        <f>IF(H13=0,0,H13/TrRail_act!H17*100)</f>
        <v>399.65362553930697</v>
      </c>
      <c r="I26" s="116">
        <f>IF(I13=0,0,I13/TrRail_act!I17*100)</f>
        <v>395.34611460792229</v>
      </c>
      <c r="J26" s="116">
        <f>IF(J13=0,0,J13/TrRail_act!J17*100)</f>
        <v>378.91225312595657</v>
      </c>
      <c r="K26" s="116">
        <f>IF(K13=0,0,K13/TrRail_act!K17*100)</f>
        <v>421.61978634955267</v>
      </c>
      <c r="L26" s="116">
        <f>IF(L13=0,0,L13/TrRail_act!L17*100)</f>
        <v>408.30743121444044</v>
      </c>
      <c r="M26" s="116">
        <f>IF(M13=0,0,M13/TrRail_act!M17*100)</f>
        <v>331.16345970374124</v>
      </c>
      <c r="N26" s="116">
        <f>IF(N13=0,0,N13/TrRail_act!N17*100)</f>
        <v>330.97817167509226</v>
      </c>
      <c r="O26" s="116">
        <f>IF(O13=0,0,O13/TrRail_act!O17*100)</f>
        <v>150.36861001460565</v>
      </c>
      <c r="P26" s="116">
        <f>IF(P13=0,0,P13/TrRail_act!P17*100)</f>
        <v>143.8353018143319</v>
      </c>
      <c r="Q26" s="116">
        <f>IF(Q13=0,0,Q13/TrRail_act!Q17*100)</f>
        <v>145.22443085687399</v>
      </c>
      <c r="R26" s="116">
        <f>IF(R13=0,0,R13/TrRail_act!R17*100)</f>
        <v>136.11205661906379</v>
      </c>
      <c r="S26" s="116">
        <f>IF(S13=0,0,S13/TrRail_act!S17*100)</f>
        <v>130.38279788209127</v>
      </c>
      <c r="T26" s="116">
        <f>IF(T13=0,0,T13/TrRail_act!T17*100)</f>
        <v>128.5008991611362</v>
      </c>
      <c r="U26" s="116">
        <f>IF(U13=0,0,U13/TrRail_act!U17*100)</f>
        <v>126.77829851136431</v>
      </c>
      <c r="V26" s="116">
        <f>IF(V13=0,0,V13/TrRail_act!V17*100)</f>
        <v>122.04283052377021</v>
      </c>
      <c r="W26" s="116">
        <f>IF(W13=0,0,W13/TrRail_act!W17*100)</f>
        <v>123.17973044185204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765.42902369357353</v>
      </c>
      <c r="C27" s="87">
        <f>IF(C14=0,0,C14/TrRail_act!C18*100)</f>
        <v>762.51613917963698</v>
      </c>
      <c r="D27" s="87">
        <f>IF(D14=0,0,D14/TrRail_act!D18*100)</f>
        <v>757.68657751887781</v>
      </c>
      <c r="E27" s="87">
        <f>IF(E14=0,0,E14/TrRail_act!E18*100)</f>
        <v>751.33041881208726</v>
      </c>
      <c r="F27" s="87">
        <f>IF(F14=0,0,F14/TrRail_act!F18*100)</f>
        <v>737.09978743671309</v>
      </c>
      <c r="G27" s="87">
        <f>IF(G14=0,0,G14/TrRail_act!G18*100)</f>
        <v>709.72298419340927</v>
      </c>
      <c r="H27" s="87">
        <f>IF(H14=0,0,H14/TrRail_act!H18*100)</f>
        <v>684.49964385772137</v>
      </c>
      <c r="I27" s="87">
        <f>IF(I14=0,0,I14/TrRail_act!I18*100)</f>
        <v>674.67598268408904</v>
      </c>
      <c r="J27" s="87">
        <f>IF(J14=0,0,J14/TrRail_act!J18*100)</f>
        <v>659.56668034157485</v>
      </c>
      <c r="K27" s="87">
        <f>IF(K14=0,0,K14/TrRail_act!K18*100)</f>
        <v>629.9551272583343</v>
      </c>
      <c r="L27" s="87">
        <f>IF(L14=0,0,L14/TrRail_act!L18*100)</f>
        <v>614.16545545999077</v>
      </c>
      <c r="M27" s="87">
        <f>IF(M14=0,0,M14/TrRail_act!M18*100)</f>
        <v>604.06145097143803</v>
      </c>
      <c r="N27" s="87">
        <f>IF(N14=0,0,N14/TrRail_act!N18*100)</f>
        <v>581.49612582851978</v>
      </c>
      <c r="O27" s="87">
        <f>IF(O14=0,0,O14/TrRail_act!O18*100)</f>
        <v>265.27225600861584</v>
      </c>
      <c r="P27" s="87">
        <f>IF(P14=0,0,P14/TrRail_act!P18*100)</f>
        <v>243.43842728763701</v>
      </c>
      <c r="Q27" s="87">
        <f>IF(Q14=0,0,Q14/TrRail_act!Q18*100)</f>
        <v>238.62074804094874</v>
      </c>
      <c r="R27" s="87">
        <f>IF(R14=0,0,R14/TrRail_act!R18*100)</f>
        <v>197.68821092061438</v>
      </c>
      <c r="S27" s="87">
        <f>IF(S14=0,0,S14/TrRail_act!S18*100)</f>
        <v>197.41631342956228</v>
      </c>
      <c r="T27" s="87">
        <f>IF(T14=0,0,T14/TrRail_act!T18*100)</f>
        <v>191.29625668059816</v>
      </c>
      <c r="U27" s="87">
        <f>IF(U14=0,0,U14/TrRail_act!U18*100)</f>
        <v>184.96273644076501</v>
      </c>
      <c r="V27" s="87">
        <f>IF(V14=0,0,V14/TrRail_act!V18*100)</f>
        <v>178.54708501936639</v>
      </c>
      <c r="W27" s="87">
        <f>IF(W14=0,0,W14/TrRail_act!W18*100)</f>
        <v>173.88181146858349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162.87737427450386</v>
      </c>
      <c r="C28" s="87">
        <f>IF(C15=0,0,C15/TrRail_act!C19*100)</f>
        <v>162.17326952208836</v>
      </c>
      <c r="D28" s="87">
        <f>IF(D15=0,0,D15/TrRail_act!D19*100)</f>
        <v>160.42776853248287</v>
      </c>
      <c r="E28" s="87">
        <f>IF(E15=0,0,E15/TrRail_act!E19*100)</f>
        <v>154.28984518254788</v>
      </c>
      <c r="F28" s="87">
        <f>IF(F15=0,0,F15/TrRail_act!F19*100)</f>
        <v>152.75960478436554</v>
      </c>
      <c r="G28" s="87">
        <f>IF(G15=0,0,G15/TrRail_act!G19*100)</f>
        <v>151.01729025628566</v>
      </c>
      <c r="H28" s="87">
        <f>IF(H15=0,0,H15/TrRail_act!H19*100)</f>
        <v>146.96545147195042</v>
      </c>
      <c r="I28" s="87">
        <f>IF(I15=0,0,I15/TrRail_act!I19*100)</f>
        <v>144.87384114595696</v>
      </c>
      <c r="J28" s="87">
        <f>IF(J15=0,0,J15/TrRail_act!J19*100)</f>
        <v>140.21891691023225</v>
      </c>
      <c r="K28" s="87">
        <f>IF(K15=0,0,K15/TrRail_act!K19*100)</f>
        <v>138.05184522757352</v>
      </c>
      <c r="L28" s="87">
        <f>IF(L15=0,0,L15/TrRail_act!L19*100)</f>
        <v>135.72134784537909</v>
      </c>
      <c r="M28" s="87">
        <f>IF(M15=0,0,M15/TrRail_act!M19*100)</f>
        <v>132.58383797048023</v>
      </c>
      <c r="N28" s="87">
        <f>IF(N15=0,0,N15/TrRail_act!N19*100)</f>
        <v>130.30773232619325</v>
      </c>
      <c r="O28" s="87">
        <f>IF(O15=0,0,O15/TrRail_act!O19*100)</f>
        <v>125.72001149542163</v>
      </c>
      <c r="P28" s="87">
        <f>IF(P15=0,0,P15/TrRail_act!P19*100)</f>
        <v>123.8662835667691</v>
      </c>
      <c r="Q28" s="87">
        <f>IF(Q15=0,0,Q15/TrRail_act!Q19*100)</f>
        <v>121.40940647755798</v>
      </c>
      <c r="R28" s="87">
        <f>IF(R15=0,0,R15/TrRail_act!R19*100)</f>
        <v>118.14036084372401</v>
      </c>
      <c r="S28" s="87">
        <f>IF(S15=0,0,S15/TrRail_act!S19*100)</f>
        <v>116.90393627725932</v>
      </c>
      <c r="T28" s="87">
        <f>IF(T15=0,0,T15/TrRail_act!T19*100)</f>
        <v>115.98511721440403</v>
      </c>
      <c r="U28" s="87">
        <f>IF(U15=0,0,U15/TrRail_act!U19*100)</f>
        <v>115.30074516079256</v>
      </c>
      <c r="V28" s="87">
        <f>IF(V15=0,0,V15/TrRail_act!V19*100)</f>
        <v>114.79011743315428</v>
      </c>
      <c r="W28" s="87">
        <f>IF(W15=0,0,W15/TrRail_act!W19*100)</f>
        <v>114.40863129153327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243.84199438504231</v>
      </c>
      <c r="C29" s="117">
        <f>IF(C16=0,0,C16/TrRail_act!C20*100)</f>
        <v>242.56312113913995</v>
      </c>
      <c r="D29" s="117">
        <f>IF(D16=0,0,D16/TrRail_act!D20*100)</f>
        <v>242.13702162537385</v>
      </c>
      <c r="E29" s="117">
        <f>IF(E16=0,0,E16/TrRail_act!E20*100)</f>
        <v>235.2206769352978</v>
      </c>
      <c r="F29" s="117">
        <f>IF(F16=0,0,F16/TrRail_act!F20*100)</f>
        <v>233.47180218769651</v>
      </c>
      <c r="G29" s="117">
        <f>IF(G16=0,0,G16/TrRail_act!G20*100)</f>
        <v>225.43102792741695</v>
      </c>
      <c r="H29" s="117">
        <f>IF(H16=0,0,H16/TrRail_act!H20*100)</f>
        <v>224.02610274526018</v>
      </c>
      <c r="I29" s="117">
        <f>IF(I16=0,0,I16/TrRail_act!I20*100)</f>
        <v>219.66027977318251</v>
      </c>
      <c r="J29" s="117">
        <f>IF(J16=0,0,J16/TrRail_act!J20*100)</f>
        <v>222.52341961410323</v>
      </c>
      <c r="K29" s="117">
        <f>IF(K16=0,0,K16/TrRail_act!K20*100)</f>
        <v>221.10623374163549</v>
      </c>
      <c r="L29" s="117">
        <f>IF(L16=0,0,L16/TrRail_act!L20*100)</f>
        <v>221.95322358942539</v>
      </c>
      <c r="M29" s="117">
        <f>IF(M16=0,0,M16/TrRail_act!M20*100)</f>
        <v>217.89352195237029</v>
      </c>
      <c r="N29" s="117">
        <f>IF(N16=0,0,N16/TrRail_act!N20*100)</f>
        <v>213.50627708553017</v>
      </c>
      <c r="O29" s="117">
        <f>IF(O16=0,0,O16/TrRail_act!O20*100)</f>
        <v>211.32821046161121</v>
      </c>
      <c r="P29" s="117">
        <f>IF(P16=0,0,P16/TrRail_act!P20*100)</f>
        <v>205.85646746930883</v>
      </c>
      <c r="Q29" s="117">
        <f>IF(Q16=0,0,Q16/TrRail_act!Q20*100)</f>
        <v>203.33320880964453</v>
      </c>
      <c r="R29" s="117">
        <f>IF(R16=0,0,R16/TrRail_act!R20*100)</f>
        <v>199.35240638522521</v>
      </c>
      <c r="S29" s="117">
        <f>IF(S16=0,0,S16/TrRail_act!S20*100)</f>
        <v>197.40012358501272</v>
      </c>
      <c r="T29" s="117">
        <f>IF(T16=0,0,T16/TrRail_act!T20*100)</f>
        <v>195.94846857162719</v>
      </c>
      <c r="U29" s="117">
        <f>IF(U16=0,0,U16/TrRail_act!U20*100)</f>
        <v>194.86673724403713</v>
      </c>
      <c r="V29" s="117">
        <f>IF(V16=0,0,V16/TrRail_act!V20*100)</f>
        <v>194.05935942617702</v>
      </c>
      <c r="W29" s="117">
        <f>IF(W16=0,0,W16/TrRail_act!W20*100)</f>
        <v>193.45602218681037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761.81147984326356</v>
      </c>
      <c r="C30" s="29">
        <f>IF(C17=0,0,C17/TrRail_act!C21*100)</f>
        <v>700.01530062144377</v>
      </c>
      <c r="D30" s="29">
        <f>IF(D17=0,0,D17/TrRail_act!D21*100)</f>
        <v>599.08207927189426</v>
      </c>
      <c r="E30" s="29">
        <f>IF(E17=0,0,E17/TrRail_act!E21*100)</f>
        <v>507.91985345136828</v>
      </c>
      <c r="F30" s="29">
        <f>IF(F17=0,0,F17/TrRail_act!F21*100)</f>
        <v>485.36285718176674</v>
      </c>
      <c r="G30" s="29">
        <f>IF(G17=0,0,G17/TrRail_act!G21*100)</f>
        <v>470.32645245634041</v>
      </c>
      <c r="H30" s="29">
        <f>IF(H17=0,0,H17/TrRail_act!H21*100)</f>
        <v>683.12282986577873</v>
      </c>
      <c r="I30" s="29">
        <f>IF(I17=0,0,I17/TrRail_act!I21*100)</f>
        <v>663.42582727309787</v>
      </c>
      <c r="J30" s="29">
        <f>IF(J17=0,0,J17/TrRail_act!J21*100)</f>
        <v>713.61384523912909</v>
      </c>
      <c r="K30" s="29">
        <f>IF(K17=0,0,K17/TrRail_act!K21*100)</f>
        <v>1071.4362755639404</v>
      </c>
      <c r="L30" s="29">
        <f>IF(L17=0,0,L17/TrRail_act!L21*100)</f>
        <v>983.78937162996317</v>
      </c>
      <c r="M30" s="29">
        <f>IF(M17=0,0,M17/TrRail_act!M21*100)</f>
        <v>578.67129148848721</v>
      </c>
      <c r="N30" s="29">
        <f>IF(N17=0,0,N17/TrRail_act!N21*100)</f>
        <v>636.81816537936606</v>
      </c>
      <c r="O30" s="29">
        <f>IF(O17=0,0,O17/TrRail_act!O21*100)</f>
        <v>248.11264746645568</v>
      </c>
      <c r="P30" s="29">
        <f>IF(P17=0,0,P17/TrRail_act!P21*100)</f>
        <v>240.65243130144574</v>
      </c>
      <c r="Q30" s="29">
        <f>IF(Q17=0,0,Q17/TrRail_act!Q21*100)</f>
        <v>207.75372451850473</v>
      </c>
      <c r="R30" s="29">
        <f>IF(R17=0,0,R17/TrRail_act!R21*100)</f>
        <v>197.79609752052326</v>
      </c>
      <c r="S30" s="29">
        <f>IF(S17=0,0,S17/TrRail_act!S21*100)</f>
        <v>241.29966678690712</v>
      </c>
      <c r="T30" s="29">
        <f>IF(T17=0,0,T17/TrRail_act!T21*100)</f>
        <v>254.44053451166315</v>
      </c>
      <c r="U30" s="29">
        <f>IF(U17=0,0,U17/TrRail_act!U21*100)</f>
        <v>273.2400492199522</v>
      </c>
      <c r="V30" s="29">
        <f>IF(V17=0,0,V17/TrRail_act!V21*100)</f>
        <v>211.4563523596515</v>
      </c>
      <c r="W30" s="29">
        <f>IF(W17=0,0,W17/TrRail_act!W21*100)</f>
        <v>185.30827992143836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1584.8777377060824</v>
      </c>
      <c r="C31" s="87">
        <f>IF(C18=0,0,C18/TrRail_act!C22*100)</f>
        <v>1572.6332460977501</v>
      </c>
      <c r="D31" s="87">
        <f>IF(D18=0,0,D18/TrRail_act!D22*100)</f>
        <v>1536.7091025320417</v>
      </c>
      <c r="E31" s="87">
        <f>IF(E18=0,0,E18/TrRail_act!E22*100)</f>
        <v>1492.0721694336696</v>
      </c>
      <c r="F31" s="87">
        <f>IF(F18=0,0,F18/TrRail_act!F22*100)</f>
        <v>1458.7269527003291</v>
      </c>
      <c r="G31" s="87">
        <f>IF(G18=0,0,G18/TrRail_act!G22*100)</f>
        <v>1435.1200994239982</v>
      </c>
      <c r="H31" s="87">
        <f>IF(H18=0,0,H18/TrRail_act!H22*100)</f>
        <v>1405.0728698504754</v>
      </c>
      <c r="I31" s="87">
        <f>IF(I18=0,0,I18/TrRail_act!I22*100)</f>
        <v>1387.0278375172352</v>
      </c>
      <c r="J31" s="87">
        <f>IF(J18=0,0,J18/TrRail_act!J22*100)</f>
        <v>1368.2745233806952</v>
      </c>
      <c r="K31" s="87">
        <f>IF(K18=0,0,K18/TrRail_act!K22*100)</f>
        <v>1344.2511752171122</v>
      </c>
      <c r="L31" s="87">
        <f>IF(L18=0,0,L18/TrRail_act!L22*100)</f>
        <v>1329.9103793704201</v>
      </c>
      <c r="M31" s="87">
        <f>IF(M18=0,0,M18/TrRail_act!M22*100)</f>
        <v>1299.1762240810481</v>
      </c>
      <c r="N31" s="87">
        <f>IF(N18=0,0,N18/TrRail_act!N22*100)</f>
        <v>1289.2167560181849</v>
      </c>
      <c r="O31" s="87">
        <f>IF(O18=0,0,O18/TrRail_act!O22*100)</f>
        <v>620.91300502591002</v>
      </c>
      <c r="P31" s="87">
        <f>IF(P18=0,0,P18/TrRail_act!P22*100)</f>
        <v>607.95674816034204</v>
      </c>
      <c r="Q31" s="87">
        <f>IF(Q18=0,0,Q18/TrRail_act!Q22*100)</f>
        <v>597.24662557309966</v>
      </c>
      <c r="R31" s="87">
        <f>IF(R18=0,0,R18/TrRail_act!R22*100)</f>
        <v>580.49796438312194</v>
      </c>
      <c r="S31" s="87">
        <f>IF(S18=0,0,S18/TrRail_act!S22*100)</f>
        <v>568.24542583523623</v>
      </c>
      <c r="T31" s="87">
        <f>IF(T18=0,0,T18/TrRail_act!T22*100)</f>
        <v>559.22603763809832</v>
      </c>
      <c r="U31" s="87">
        <f>IF(U18=0,0,U18/TrRail_act!U22*100)</f>
        <v>552.55556937300423</v>
      </c>
      <c r="V31" s="87">
        <f>IF(V18=0,0,V18/TrRail_act!V22*100)</f>
        <v>547.60498518568295</v>
      </c>
      <c r="W31" s="87">
        <f>IF(W18=0,0,W18/TrRail_act!W22*100)</f>
        <v>543.92117642907397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207.68026298505492</v>
      </c>
      <c r="C32" s="88">
        <f>IF(C19=0,0,C19/TrRail_act!C23*100)</f>
        <v>203.04593119910629</v>
      </c>
      <c r="D32" s="88">
        <f>IF(D19=0,0,D19/TrRail_act!D23*100)</f>
        <v>199.61448046354147</v>
      </c>
      <c r="E32" s="88">
        <f>IF(E19=0,0,E19/TrRail_act!E23*100)</f>
        <v>194.03449300839034</v>
      </c>
      <c r="F32" s="88">
        <f>IF(F19=0,0,F19/TrRail_act!F23*100)</f>
        <v>188.25823589888299</v>
      </c>
      <c r="G32" s="88">
        <f>IF(G19=0,0,G19/TrRail_act!G23*100)</f>
        <v>182.13230599822364</v>
      </c>
      <c r="H32" s="88">
        <f>IF(H19=0,0,H19/TrRail_act!H23*100)</f>
        <v>174.4327364981441</v>
      </c>
      <c r="I32" s="88">
        <f>IF(I19=0,0,I19/TrRail_act!I23*100)</f>
        <v>168.56715271200744</v>
      </c>
      <c r="J32" s="88">
        <f>IF(J19=0,0,J19/TrRail_act!J23*100)</f>
        <v>162.74729282373414</v>
      </c>
      <c r="K32" s="88">
        <f>IF(K19=0,0,K19/TrRail_act!K23*100)</f>
        <v>157.97735055109288</v>
      </c>
      <c r="L32" s="88">
        <f>IF(L19=0,0,L19/TrRail_act!L23*100)</f>
        <v>156.12665293197517</v>
      </c>
      <c r="M32" s="88">
        <f>IF(M19=0,0,M19/TrRail_act!M23*100)</f>
        <v>153.20091366458917</v>
      </c>
      <c r="N32" s="88">
        <f>IF(N19=0,0,N19/TrRail_act!N23*100)</f>
        <v>151.04695250886158</v>
      </c>
      <c r="O32" s="88">
        <f>IF(O19=0,0,O19/TrRail_act!O23*100)</f>
        <v>145.73540573998324</v>
      </c>
      <c r="P32" s="88">
        <f>IF(P19=0,0,P19/TrRail_act!P23*100)</f>
        <v>143.2681792632049</v>
      </c>
      <c r="Q32" s="88">
        <f>IF(Q19=0,0,Q19/TrRail_act!Q23*100)</f>
        <v>139.32508318350912</v>
      </c>
      <c r="R32" s="88">
        <f>IF(R19=0,0,R19/TrRail_act!R23*100)</f>
        <v>135.75694890747974</v>
      </c>
      <c r="S32" s="88">
        <f>IF(S19=0,0,S19/TrRail_act!S23*100)</f>
        <v>134.47235506823409</v>
      </c>
      <c r="T32" s="88">
        <f>IF(T19=0,0,T19/TrRail_act!T23*100)</f>
        <v>133.51689298989504</v>
      </c>
      <c r="U32" s="88">
        <f>IF(U19=0,0,U19/TrRail_act!U23*100)</f>
        <v>132.8047542166656</v>
      </c>
      <c r="V32" s="88">
        <f>IF(V19=0,0,V19/TrRail_act!V23*100)</f>
        <v>132.27314387065226</v>
      </c>
      <c r="W32" s="88">
        <f>IF(W19=0,0,W19/TrRail_act!W23*100)</f>
        <v>131.87583315689511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19.815188439783803</v>
      </c>
      <c r="C35" s="29">
        <f>IF(C11=0,0,C11/TrRail_act!C4*1000)</f>
        <v>20.657894291885604</v>
      </c>
      <c r="D35" s="29">
        <f>IF(D11=0,0,D11/TrRail_act!D4*1000)</f>
        <v>21.39163508457484</v>
      </c>
      <c r="E35" s="29">
        <f>IF(E11=0,0,E11/TrRail_act!E4*1000)</f>
        <v>24.970723804820658</v>
      </c>
      <c r="F35" s="29">
        <f>IF(F11=0,0,F11/TrRail_act!F4*1000)</f>
        <v>29.185489806770061</v>
      </c>
      <c r="G35" s="29">
        <f>IF(G11=0,0,G11/TrRail_act!G4*1000)</f>
        <v>30.853526185902489</v>
      </c>
      <c r="H35" s="29">
        <f>IF(H11=0,0,H11/TrRail_act!H4*1000)</f>
        <v>23.747545614820474</v>
      </c>
      <c r="I35" s="29">
        <f>IF(I11=0,0,I11/TrRail_act!I4*1000)</f>
        <v>26.540034568989721</v>
      </c>
      <c r="J35" s="29">
        <f>IF(J11=0,0,J11/TrRail_act!J4*1000)</f>
        <v>24.422978511241848</v>
      </c>
      <c r="K35" s="29">
        <f>IF(K11=0,0,K11/TrRail_act!K4*1000)</f>
        <v>22.32758272148585</v>
      </c>
      <c r="L35" s="29">
        <f>IF(L11=0,0,L11/TrRail_act!L4*1000)</f>
        <v>21.786504977027988</v>
      </c>
      <c r="M35" s="29">
        <f>IF(M11=0,0,M11/TrRail_act!M4*1000)</f>
        <v>22.818422548412656</v>
      </c>
      <c r="N35" s="29">
        <f>IF(N11=0,0,N11/TrRail_act!N4*1000)</f>
        <v>24.804928746094273</v>
      </c>
      <c r="O35" s="29">
        <f>IF(O11=0,0,O11/TrRail_act!O4*1000)</f>
        <v>10.63303949979548</v>
      </c>
      <c r="P35" s="29">
        <f>IF(P11=0,0,P11/TrRail_act!P4*1000)</f>
        <v>10.210601901738112</v>
      </c>
      <c r="Q35" s="29">
        <f>IF(Q11=0,0,Q11/TrRail_act!Q4*1000)</f>
        <v>10.293087332474899</v>
      </c>
      <c r="R35" s="29">
        <f>IF(R11=0,0,R11/TrRail_act!R4*1000)</f>
        <v>9.93663878979409</v>
      </c>
      <c r="S35" s="29">
        <f>IF(S11=0,0,S11/TrRail_act!S4*1000)</f>
        <v>9.348316181747272</v>
      </c>
      <c r="T35" s="29">
        <f>IF(T11=0,0,T11/TrRail_act!T4*1000)</f>
        <v>8.7856704260130787</v>
      </c>
      <c r="U35" s="29">
        <f>IF(U11=0,0,U11/TrRail_act!U4*1000)</f>
        <v>8.3745472570386763</v>
      </c>
      <c r="V35" s="29">
        <f>IF(V11=0,0,V11/TrRail_act!V4*1000)</f>
        <v>13.773569392155174</v>
      </c>
      <c r="W35" s="29">
        <f>IF(W11=0,0,W11/TrRail_act!W4*1000)</f>
        <v>11.522497675050856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5.5284343687034783</v>
      </c>
      <c r="C36" s="115">
        <f>IF(C12=0,0,C12/TrRail_act!C5*1000)</f>
        <v>5.5164814413553671</v>
      </c>
      <c r="D36" s="115">
        <f>IF(D12=0,0,D12/TrRail_act!D5*1000)</f>
        <v>5.36093047075006</v>
      </c>
      <c r="E36" s="115">
        <f>IF(E12=0,0,E12/TrRail_act!E5*1000)</f>
        <v>5.6716607129917227</v>
      </c>
      <c r="F36" s="115">
        <f>IF(F12=0,0,F12/TrRail_act!F5*1000)</f>
        <v>5.538036538204854</v>
      </c>
      <c r="G36" s="115">
        <f>IF(G12=0,0,G12/TrRail_act!G5*1000)</f>
        <v>5.247003693196719</v>
      </c>
      <c r="H36" s="115">
        <f>IF(H12=0,0,H12/TrRail_act!H5*1000)</f>
        <v>5.1789822793077898</v>
      </c>
      <c r="I36" s="115">
        <f>IF(I12=0,0,I12/TrRail_act!I5*1000)</f>
        <v>5.0959404608338561</v>
      </c>
      <c r="J36" s="115">
        <f>IF(J12=0,0,J12/TrRail_act!J5*1000)</f>
        <v>4.9646621905196344</v>
      </c>
      <c r="K36" s="115">
        <f>IF(K12=0,0,K12/TrRail_act!K5*1000)</f>
        <v>4.9745441295330197</v>
      </c>
      <c r="L36" s="115">
        <f>IF(L12=0,0,L12/TrRail_act!L5*1000)</f>
        <v>4.9999084613082934</v>
      </c>
      <c r="M36" s="115">
        <f>IF(M12=0,0,M12/TrRail_act!M5*1000)</f>
        <v>4.8515339372760389</v>
      </c>
      <c r="N36" s="115">
        <f>IF(N12=0,0,N12/TrRail_act!N5*1000)</f>
        <v>4.8861614485380898</v>
      </c>
      <c r="O36" s="115">
        <f>IF(O12=0,0,O12/TrRail_act!O5*1000)</f>
        <v>4.6712082758830391</v>
      </c>
      <c r="P36" s="115">
        <f>IF(P12=0,0,P12/TrRail_act!P5*1000)</f>
        <v>4.5311979316518878</v>
      </c>
      <c r="Q36" s="115">
        <f>IF(Q12=0,0,Q12/TrRail_act!Q5*1000)</f>
        <v>4.3787564866829181</v>
      </c>
      <c r="R36" s="115">
        <f>IF(R12=0,0,R12/TrRail_act!R5*1000)</f>
        <v>4.2747210958199915</v>
      </c>
      <c r="S36" s="115">
        <f>IF(S12=0,0,S12/TrRail_act!S5*1000)</f>
        <v>4.2409698280988684</v>
      </c>
      <c r="T36" s="115">
        <f>IF(T12=0,0,T12/TrRail_act!T5*1000)</f>
        <v>4.1628025243582893</v>
      </c>
      <c r="U36" s="115">
        <f>IF(U12=0,0,U12/TrRail_act!U5*1000)</f>
        <v>4.4794266583460987</v>
      </c>
      <c r="V36" s="115">
        <f>IF(V12=0,0,V12/TrRail_act!V5*1000)</f>
        <v>6.3532152748210624</v>
      </c>
      <c r="W36" s="115">
        <f>IF(W12=0,0,W12/TrRail_act!W5*1000)</f>
        <v>4.9051386579497862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24.634915487577775</v>
      </c>
      <c r="C37" s="116">
        <f>IF(C13=0,0,C13/TrRail_act!C6*1000)</f>
        <v>25.825025879210745</v>
      </c>
      <c r="D37" s="116">
        <f>IF(D13=0,0,D13/TrRail_act!D6*1000)</f>
        <v>26.942076899427246</v>
      </c>
      <c r="E37" s="116">
        <f>IF(E13=0,0,E13/TrRail_act!E6*1000)</f>
        <v>31.904708427863699</v>
      </c>
      <c r="F37" s="116">
        <f>IF(F13=0,0,F13/TrRail_act!F6*1000)</f>
        <v>38.511413580947718</v>
      </c>
      <c r="G37" s="116">
        <f>IF(G13=0,0,G13/TrRail_act!G6*1000)</f>
        <v>41.025659741588157</v>
      </c>
      <c r="H37" s="116">
        <f>IF(H13=0,0,H13/TrRail_act!H6*1000)</f>
        <v>31.285009111001962</v>
      </c>
      <c r="I37" s="116">
        <f>IF(I13=0,0,I13/TrRail_act!I6*1000)</f>
        <v>35.544368357148493</v>
      </c>
      <c r="J37" s="116">
        <f>IF(J13=0,0,J13/TrRail_act!J6*1000)</f>
        <v>34.948139582467974</v>
      </c>
      <c r="K37" s="116">
        <f>IF(K13=0,0,K13/TrRail_act!K6*1000)</f>
        <v>41.682414533676855</v>
      </c>
      <c r="L37" s="116">
        <f>IF(L13=0,0,L13/TrRail_act!L6*1000)</f>
        <v>43.765995448494301</v>
      </c>
      <c r="M37" s="116">
        <f>IF(M13=0,0,M13/TrRail_act!M6*1000)</f>
        <v>44.869574028575386</v>
      </c>
      <c r="N37" s="116">
        <f>IF(N13=0,0,N13/TrRail_act!N6*1000)</f>
        <v>50.555567722844572</v>
      </c>
      <c r="O37" s="116">
        <f>IF(O13=0,0,O13/TrRail_act!O6*1000)</f>
        <v>14.416199048043673</v>
      </c>
      <c r="P37" s="116">
        <f>IF(P13=0,0,P13/TrRail_act!P6*1000)</f>
        <v>13.592884259090518</v>
      </c>
      <c r="Q37" s="116">
        <f>IF(Q13=0,0,Q13/TrRail_act!Q6*1000)</f>
        <v>15.533164149209615</v>
      </c>
      <c r="R37" s="116">
        <f>IF(R13=0,0,R13/TrRail_act!R6*1000)</f>
        <v>15.727991350813745</v>
      </c>
      <c r="S37" s="116">
        <f>IF(S13=0,0,S13/TrRail_act!S6*1000)</f>
        <v>13.831240164946788</v>
      </c>
      <c r="T37" s="116">
        <f>IF(T13=0,0,T13/TrRail_act!T6*1000)</f>
        <v>12.994817934302414</v>
      </c>
      <c r="U37" s="116">
        <f>IF(U13=0,0,U13/TrRail_act!U6*1000)</f>
        <v>11.243237435886934</v>
      </c>
      <c r="V37" s="116">
        <f>IF(V13=0,0,V13/TrRail_act!V6*1000)</f>
        <v>21.962675688264735</v>
      </c>
      <c r="W37" s="116">
        <f>IF(W13=0,0,W13/TrRail_act!W6*1000)</f>
        <v>16.203488724045904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69.096000580921498</v>
      </c>
      <c r="C38" s="87">
        <f>IF(C14=0,0,C14/TrRail_act!C7*1000)</f>
        <v>66.56045293787291</v>
      </c>
      <c r="D38" s="87">
        <f>IF(D14=0,0,D14/TrRail_act!D7*1000)</f>
        <v>70.837763896147308</v>
      </c>
      <c r="E38" s="87">
        <f>IF(E14=0,0,E14/TrRail_act!E7*1000)</f>
        <v>91.932467990656889</v>
      </c>
      <c r="F38" s="87">
        <f>IF(F14=0,0,F14/TrRail_act!F7*1000)</f>
        <v>120.15859490888151</v>
      </c>
      <c r="G38" s="87">
        <f>IF(G14=0,0,G14/TrRail_act!G7*1000)</f>
        <v>131.15071769630987</v>
      </c>
      <c r="H38" s="87">
        <f>IF(H14=0,0,H14/TrRail_act!H7*1000)</f>
        <v>58.438985984513593</v>
      </c>
      <c r="I38" s="87">
        <f>IF(I14=0,0,I14/TrRail_act!I7*1000)</f>
        <v>72.435630089464738</v>
      </c>
      <c r="J38" s="87">
        <f>IF(J14=0,0,J14/TrRail_act!J7*1000)</f>
        <v>77.047989770291082</v>
      </c>
      <c r="K38" s="87">
        <f>IF(K14=0,0,K14/TrRail_act!K7*1000)</f>
        <v>61.172603023044459</v>
      </c>
      <c r="L38" s="87">
        <f>IF(L14=0,0,L14/TrRail_act!L7*1000)</f>
        <v>61.610658343308629</v>
      </c>
      <c r="M38" s="87">
        <f>IF(M14=0,0,M14/TrRail_act!M7*1000)</f>
        <v>123.77942318636259</v>
      </c>
      <c r="N38" s="87">
        <f>IF(N14=0,0,N14/TrRail_act!N7*1000)</f>
        <v>129.92358407625326</v>
      </c>
      <c r="O38" s="87">
        <f>IF(O14=0,0,O14/TrRail_act!O7*1000)</f>
        <v>26.678391070772765</v>
      </c>
      <c r="P38" s="87">
        <f>IF(P14=0,0,P14/TrRail_act!P7*1000)</f>
        <v>24.082233965130524</v>
      </c>
      <c r="Q38" s="87">
        <f>IF(Q14=0,0,Q14/TrRail_act!Q7*1000)</f>
        <v>39.824477124334102</v>
      </c>
      <c r="R38" s="87">
        <f>IF(R14=0,0,R14/TrRail_act!R7*1000)</f>
        <v>46.993959325066889</v>
      </c>
      <c r="S38" s="87">
        <f>IF(S14=0,0,S14/TrRail_act!S7*1000)</f>
        <v>24.304762705509923</v>
      </c>
      <c r="T38" s="87">
        <f>IF(T14=0,0,T14/TrRail_act!T7*1000)</f>
        <v>22.311403934669205</v>
      </c>
      <c r="U38" s="87">
        <f>IF(U14=0,0,U14/TrRail_act!U7*1000)</f>
        <v>18.397392320528475</v>
      </c>
      <c r="V38" s="87">
        <f>IF(V14=0,0,V14/TrRail_act!V7*1000)</f>
        <v>33.425966826150386</v>
      </c>
      <c r="W38" s="87">
        <f>IF(W14=0,0,W14/TrRail_act!W7*1000)</f>
        <v>91.058073920346445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9.1872968887891293</v>
      </c>
      <c r="C39" s="87">
        <f>IF(C15=0,0,C15/TrRail_act!C8*1000)</f>
        <v>10.505788652065593</v>
      </c>
      <c r="D39" s="87">
        <f>IF(D15=0,0,D15/TrRail_act!D8*1000)</f>
        <v>11.405377771845359</v>
      </c>
      <c r="E39" s="87">
        <f>IF(E15=0,0,E15/TrRail_act!E8*1000)</f>
        <v>11.958914186363385</v>
      </c>
      <c r="F39" s="87">
        <f>IF(F15=0,0,F15/TrRail_act!F8*1000)</f>
        <v>12.749808447744186</v>
      </c>
      <c r="G39" s="87">
        <f>IF(G15=0,0,G15/TrRail_act!G8*1000)</f>
        <v>13.540634038746269</v>
      </c>
      <c r="H39" s="87">
        <f>IF(H15=0,0,H15/TrRail_act!H8*1000)</f>
        <v>10.714656078726682</v>
      </c>
      <c r="I39" s="87">
        <f>IF(I15=0,0,I15/TrRail_act!I8*1000)</f>
        <v>11.367789479637064</v>
      </c>
      <c r="J39" s="87">
        <f>IF(J15=0,0,J15/TrRail_act!J8*1000)</f>
        <v>10.969464857528084</v>
      </c>
      <c r="K39" s="87">
        <f>IF(K15=0,0,K15/TrRail_act!K8*1000)</f>
        <v>13.992620715270974</v>
      </c>
      <c r="L39" s="87">
        <f>IF(L15=0,0,L15/TrRail_act!L8*1000)</f>
        <v>15.999244274102546</v>
      </c>
      <c r="M39" s="87">
        <f>IF(M15=0,0,M15/TrRail_act!M8*1000)</f>
        <v>14.411176042434837</v>
      </c>
      <c r="N39" s="87">
        <f>IF(N15=0,0,N15/TrRail_act!N8*1000)</f>
        <v>15.87985867399944</v>
      </c>
      <c r="O39" s="87">
        <f>IF(O15=0,0,O15/TrRail_act!O8*1000)</f>
        <v>11.93350909315056</v>
      </c>
      <c r="P39" s="87">
        <f>IF(P15=0,0,P15/TrRail_act!P8*1000)</f>
        <v>11.601771424748781</v>
      </c>
      <c r="Q39" s="87">
        <f>IF(Q15=0,0,Q15/TrRail_act!Q8*1000)</f>
        <v>11.89653805178823</v>
      </c>
      <c r="R39" s="87">
        <f>IF(R15=0,0,R15/TrRail_act!R8*1000)</f>
        <v>11.87081595209343</v>
      </c>
      <c r="S39" s="87">
        <f>IF(S15=0,0,S15/TrRail_act!S8*1000)</f>
        <v>12.065730398681112</v>
      </c>
      <c r="T39" s="87">
        <f>IF(T15=0,0,T15/TrRail_act!T8*1000)</f>
        <v>11.426361325929141</v>
      </c>
      <c r="U39" s="87">
        <f>IF(U15=0,0,U15/TrRail_act!U8*1000)</f>
        <v>10.011303798057975</v>
      </c>
      <c r="V39" s="87">
        <f>IF(V15=0,0,V15/TrRail_act!V8*1000)</f>
        <v>20.555279581837588</v>
      </c>
      <c r="W39" s="87">
        <f>IF(W15=0,0,W15/TrRail_act!W8*1000)</f>
        <v>13.32376669282624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13.116451090558371</v>
      </c>
      <c r="C40" s="117">
        <f>IF(C16=0,0,C16/TrRail_act!C9*1000)</f>
        <v>12.93823142616475</v>
      </c>
      <c r="D40" s="117">
        <f>IF(D16=0,0,D16/TrRail_act!D9*1000)</f>
        <v>13.387952204884295</v>
      </c>
      <c r="E40" s="117">
        <f>IF(E16=0,0,E16/TrRail_act!E9*1000)</f>
        <v>12.950816066349995</v>
      </c>
      <c r="F40" s="117">
        <f>IF(F16=0,0,F16/TrRail_act!F9*1000)</f>
        <v>13.109469646795452</v>
      </c>
      <c r="G40" s="117">
        <f>IF(G16=0,0,G16/TrRail_act!G9*1000)</f>
        <v>12.487328824242017</v>
      </c>
      <c r="H40" s="117">
        <f>IF(H16=0,0,H16/TrRail_act!H9*1000)</f>
        <v>12.19322642545764</v>
      </c>
      <c r="I40" s="117">
        <f>IF(I16=0,0,I16/TrRail_act!I9*1000)</f>
        <v>12.563843158233102</v>
      </c>
      <c r="J40" s="117">
        <f>IF(J16=0,0,J16/TrRail_act!J9*1000)</f>
        <v>12.00476376055942</v>
      </c>
      <c r="K40" s="117">
        <f>IF(K16=0,0,K16/TrRail_act!K9*1000)</f>
        <v>12.219936561435293</v>
      </c>
      <c r="L40" s="117">
        <f>IF(L16=0,0,L16/TrRail_act!L9*1000)</f>
        <v>12.508664186940543</v>
      </c>
      <c r="M40" s="117">
        <f>IF(M16=0,0,M16/TrRail_act!M9*1000)</f>
        <v>12.321370457222455</v>
      </c>
      <c r="N40" s="117">
        <f>IF(N16=0,0,N16/TrRail_act!N9*1000)</f>
        <v>11.812816250897646</v>
      </c>
      <c r="O40" s="117">
        <f>IF(O16=0,0,O16/TrRail_act!O9*1000)</f>
        <v>10.615160764445065</v>
      </c>
      <c r="P40" s="117">
        <f>IF(P16=0,0,P16/TrRail_act!P9*1000)</f>
        <v>10.138277558535018</v>
      </c>
      <c r="Q40" s="117">
        <f>IF(Q16=0,0,Q16/TrRail_act!Q9*1000)</f>
        <v>8.8524600070360933</v>
      </c>
      <c r="R40" s="117">
        <f>IF(R16=0,0,R16/TrRail_act!R9*1000)</f>
        <v>8.2859873993394082</v>
      </c>
      <c r="S40" s="117">
        <f>IF(S16=0,0,S16/TrRail_act!S9*1000)</f>
        <v>8.4186350457703512</v>
      </c>
      <c r="T40" s="117">
        <f>IF(T16=0,0,T16/TrRail_act!T9*1000)</f>
        <v>8.1258218531869151</v>
      </c>
      <c r="U40" s="117">
        <f>IF(U16=0,0,U16/TrRail_act!U9*1000)</f>
        <v>8.0809633445949203</v>
      </c>
      <c r="V40" s="117">
        <f>IF(V16=0,0,V16/TrRail_act!V9*1000)</f>
        <v>11.1515108413191</v>
      </c>
      <c r="W40" s="117">
        <f>IF(W16=0,0,W16/TrRail_act!W9*1000)</f>
        <v>10.380604238906097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16.959929073128425</v>
      </c>
      <c r="C41" s="29">
        <f>IF(C17=0,0,C17/TrRail_act!C10*1000)</f>
        <v>18.80213067328193</v>
      </c>
      <c r="D41" s="29">
        <f>IF(D17=0,0,D17/TrRail_act!D10*1000)</f>
        <v>17.823168795589492</v>
      </c>
      <c r="E41" s="29">
        <f>IF(E17=0,0,E17/TrRail_act!E10*1000)</f>
        <v>15.796064307508896</v>
      </c>
      <c r="F41" s="29">
        <f>IF(F17=0,0,F17/TrRail_act!F10*1000)</f>
        <v>15.094246423985972</v>
      </c>
      <c r="G41" s="29">
        <f>IF(G17=0,0,G17/TrRail_act!G10*1000)</f>
        <v>15.415599903739823</v>
      </c>
      <c r="H41" s="29">
        <f>IF(H17=0,0,H17/TrRail_act!H10*1000)</f>
        <v>15.073324060342856</v>
      </c>
      <c r="I41" s="29">
        <f>IF(I17=0,0,I17/TrRail_act!I10*1000)</f>
        <v>21.213732090458343</v>
      </c>
      <c r="J41" s="29">
        <f>IF(J17=0,0,J17/TrRail_act!J10*1000)</f>
        <v>21.556411512062677</v>
      </c>
      <c r="K41" s="29">
        <f>IF(K17=0,0,K17/TrRail_act!K10*1000)</f>
        <v>26.336294850546334</v>
      </c>
      <c r="L41" s="29">
        <f>IF(L17=0,0,L17/TrRail_act!L10*1000)</f>
        <v>27.531522437739795</v>
      </c>
      <c r="M41" s="29">
        <f>IF(M17=0,0,M17/TrRail_act!M10*1000)</f>
        <v>15.887182217116029</v>
      </c>
      <c r="N41" s="29">
        <f>IF(N17=0,0,N17/TrRail_act!N10*1000)</f>
        <v>16.010347617592995</v>
      </c>
      <c r="O41" s="29">
        <f>IF(O17=0,0,O17/TrRail_act!O10*1000)</f>
        <v>6.2616391691846092</v>
      </c>
      <c r="P41" s="29">
        <f>IF(P17=0,0,P17/TrRail_act!P10*1000)</f>
        <v>5.9862650675792457</v>
      </c>
      <c r="Q41" s="29">
        <f>IF(Q17=0,0,Q17/TrRail_act!Q10*1000)</f>
        <v>5.4942630450968597</v>
      </c>
      <c r="R41" s="29">
        <f>IF(R17=0,0,R17/TrRail_act!R10*1000)</f>
        <v>4.6737047876053683</v>
      </c>
      <c r="S41" s="29">
        <f>IF(S17=0,0,S17/TrRail_act!S10*1000)</f>
        <v>6.0630423589029547</v>
      </c>
      <c r="T41" s="29">
        <f>IF(T17=0,0,T17/TrRail_act!T10*1000)</f>
        <v>6.2584608100411998</v>
      </c>
      <c r="U41" s="29">
        <f>IF(U17=0,0,U17/TrRail_act!U10*1000)</f>
        <v>6.7155096531212202</v>
      </c>
      <c r="V41" s="29">
        <f>IF(V17=0,0,V17/TrRail_act!V10*1000)</f>
        <v>8.405085200708081</v>
      </c>
      <c r="W41" s="29">
        <f>IF(W17=0,0,W17/TrRail_act!W10*1000)</f>
        <v>4.9359801451468259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47.081246407304853</v>
      </c>
      <c r="C42" s="87">
        <f>IF(C18=0,0,C18/TrRail_act!C11*1000)</f>
        <v>46.047908961103587</v>
      </c>
      <c r="D42" s="87">
        <f>IF(D18=0,0,D18/TrRail_act!D11*1000)</f>
        <v>44.866584029185269</v>
      </c>
      <c r="E42" s="87">
        <f>IF(E18=0,0,E18/TrRail_act!E11*1000)</f>
        <v>47.551028153529899</v>
      </c>
      <c r="F42" s="87">
        <f>IF(F18=0,0,F18/TrRail_act!F11*1000)</f>
        <v>46.513076895811253</v>
      </c>
      <c r="G42" s="87">
        <f>IF(G18=0,0,G18/TrRail_act!G11*1000)</f>
        <v>45.716329128082251</v>
      </c>
      <c r="H42" s="87">
        <f>IF(H18=0,0,H18/TrRail_act!H11*1000)</f>
        <v>28.601981330619488</v>
      </c>
      <c r="I42" s="87">
        <f>IF(I18=0,0,I18/TrRail_act!I11*1000)</f>
        <v>41.001670228051026</v>
      </c>
      <c r="J42" s="87">
        <f>IF(J18=0,0,J18/TrRail_act!J11*1000)</f>
        <v>40.264684411530965</v>
      </c>
      <c r="K42" s="87">
        <f>IF(K18=0,0,K18/TrRail_act!K11*1000)</f>
        <v>30.617601216666301</v>
      </c>
      <c r="L42" s="87">
        <f>IF(L18=0,0,L18/TrRail_act!L11*1000)</f>
        <v>34.478934259519299</v>
      </c>
      <c r="M42" s="87">
        <f>IF(M18=0,0,M18/TrRail_act!M11*1000)</f>
        <v>36.630497241096478</v>
      </c>
      <c r="N42" s="87">
        <f>IF(N18=0,0,N18/TrRail_act!N11*1000)</f>
        <v>33.312392073183268</v>
      </c>
      <c r="O42" s="87">
        <f>IF(O18=0,0,O18/TrRail_act!O11*1000)</f>
        <v>14.329087517599033</v>
      </c>
      <c r="P42" s="87">
        <f>IF(P18=0,0,P18/TrRail_act!P11*1000)</f>
        <v>13.822423012078344</v>
      </c>
      <c r="Q42" s="87">
        <f>IF(Q18=0,0,Q18/TrRail_act!Q11*1000)</f>
        <v>12.632624328813526</v>
      </c>
      <c r="R42" s="87">
        <f>IF(R18=0,0,R18/TrRail_act!R11*1000)</f>
        <v>12.60386504691078</v>
      </c>
      <c r="S42" s="87">
        <f>IF(S18=0,0,S18/TrRail_act!S11*1000)</f>
        <v>17.44139589772394</v>
      </c>
      <c r="T42" s="87">
        <f>IF(T18=0,0,T18/TrRail_act!T11*1000)</f>
        <v>20.796636559903195</v>
      </c>
      <c r="U42" s="87">
        <f>IF(U18=0,0,U18/TrRail_act!U11*1000)</f>
        <v>22.858064140861135</v>
      </c>
      <c r="V42" s="87">
        <f>IF(V18=0,0,V18/TrRail_act!V11*1000)</f>
        <v>30.190747224999395</v>
      </c>
      <c r="W42" s="87">
        <f>IF(W18=0,0,W18/TrRail_act!W11*1000)</f>
        <v>30.83826916822655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3.9560973649664368</v>
      </c>
      <c r="C43" s="88">
        <f>IF(C19=0,0,C19/TrRail_act!C12*1000)</f>
        <v>5.2084553454090106</v>
      </c>
      <c r="D43" s="88">
        <f>IF(D19=0,0,D19/TrRail_act!D12*1000)</f>
        <v>5.9871125699755439</v>
      </c>
      <c r="E43" s="88">
        <f>IF(E19=0,0,E19/TrRail_act!E12*1000)</f>
        <v>5.9882582965361513</v>
      </c>
      <c r="F43" s="88">
        <f>IF(F19=0,0,F19/TrRail_act!F12*1000)</f>
        <v>5.8108350132542839</v>
      </c>
      <c r="G43" s="88">
        <f>IF(G19=0,0,G19/TrRail_act!G12*1000)</f>
        <v>6.0216417174115966</v>
      </c>
      <c r="H43" s="88">
        <f>IF(H19=0,0,H19/TrRail_act!H12*1000)</f>
        <v>4.0909259449568838</v>
      </c>
      <c r="I43" s="88">
        <f>IF(I19=0,0,I19/TrRail_act!I12*1000)</f>
        <v>5.7091112452833128</v>
      </c>
      <c r="J43" s="88">
        <f>IF(J19=0,0,J19/TrRail_act!J12*1000)</f>
        <v>5.0283270003949108</v>
      </c>
      <c r="K43" s="88">
        <f>IF(K19=0,0,K19/TrRail_act!K12*1000)</f>
        <v>5.2842426976218109</v>
      </c>
      <c r="L43" s="88">
        <f>IF(L19=0,0,L19/TrRail_act!L12*1000)</f>
        <v>5.3937813168147706</v>
      </c>
      <c r="M43" s="88">
        <f>IF(M19=0,0,M19/TrRail_act!M12*1000)</f>
        <v>4.1418253974770005</v>
      </c>
      <c r="N43" s="88">
        <f>IF(N19=0,0,N19/TrRail_act!N12*1000)</f>
        <v>3.7226103348739121</v>
      </c>
      <c r="O43" s="88">
        <f>IF(O19=0,0,O19/TrRail_act!O12*1000)</f>
        <v>3.7749494983996743</v>
      </c>
      <c r="P43" s="88">
        <f>IF(P19=0,0,P19/TrRail_act!P12*1000)</f>
        <v>3.654998791796527</v>
      </c>
      <c r="Q43" s="88">
        <f>IF(Q19=0,0,Q19/TrRail_act!Q12*1000)</f>
        <v>3.8540902937757155</v>
      </c>
      <c r="R43" s="88">
        <f>IF(R19=0,0,R19/TrRail_act!R12*1000)</f>
        <v>3.2543604860156878</v>
      </c>
      <c r="S43" s="88">
        <f>IF(S19=0,0,S19/TrRail_act!S12*1000)</f>
        <v>3.1898038087734966</v>
      </c>
      <c r="T43" s="88">
        <f>IF(T19=0,0,T19/TrRail_act!T12*1000)</f>
        <v>2.895189563562365</v>
      </c>
      <c r="U43" s="88">
        <f>IF(U19=0,0,U19/TrRail_act!U12*1000)</f>
        <v>2.7107895869625445</v>
      </c>
      <c r="V43" s="88">
        <f>IF(V19=0,0,V19/TrRail_act!V12*1000)</f>
        <v>4.9333983370645536</v>
      </c>
      <c r="W43" s="88">
        <f>IF(W19=0,0,W19/TrRail_act!W12*1000)</f>
        <v>3.2555449842004576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464972.90197418723</v>
      </c>
      <c r="C45" s="54">
        <f>IF(C10=0,0,1000000*C10/TrRail_act!C25)</f>
        <v>463776.541987153</v>
      </c>
      <c r="D45" s="54">
        <f>IF(D10=0,0,1000000*D10/TrRail_act!D25)</f>
        <v>441200.96997400949</v>
      </c>
      <c r="E45" s="54">
        <f>IF(E10=0,0,1000000*E10/TrRail_act!E25)</f>
        <v>431552.05117292103</v>
      </c>
      <c r="F45" s="54">
        <f>IF(F10=0,0,1000000*F10/TrRail_act!F25)</f>
        <v>443834.05673884146</v>
      </c>
      <c r="G45" s="54">
        <f>IF(G10=0,0,1000000*G10/TrRail_act!G25)</f>
        <v>439488.60329224728</v>
      </c>
      <c r="H45" s="54">
        <f>IF(H10=0,0,1000000*H10/TrRail_act!H25)</f>
        <v>369013.48920928471</v>
      </c>
      <c r="I45" s="54">
        <f>IF(I10=0,0,1000000*I10/TrRail_act!I25)</f>
        <v>429362.42009886802</v>
      </c>
      <c r="J45" s="54">
        <f>IF(J10=0,0,1000000*J10/TrRail_act!J25)</f>
        <v>433563.68642372027</v>
      </c>
      <c r="K45" s="54">
        <f>IF(K10=0,0,1000000*K10/TrRail_act!K25)</f>
        <v>386089.58772392542</v>
      </c>
      <c r="L45" s="54">
        <f>IF(L10=0,0,1000000*L10/TrRail_act!L25)</f>
        <v>387438.9057175786</v>
      </c>
      <c r="M45" s="54">
        <f>IF(M10=0,0,1000000*M10/TrRail_act!M25)</f>
        <v>375150.44904134161</v>
      </c>
      <c r="N45" s="54">
        <f>IF(N10=0,0,1000000*N10/TrRail_act!N25)</f>
        <v>384108.80314576073</v>
      </c>
      <c r="O45" s="54">
        <f>IF(O10=0,0,1000000*O10/TrRail_act!O25)</f>
        <v>176529.5353139019</v>
      </c>
      <c r="P45" s="54">
        <f>IF(P10=0,0,1000000*P10/TrRail_act!P25)</f>
        <v>175611.49178881259</v>
      </c>
      <c r="Q45" s="54">
        <f>IF(Q10=0,0,1000000*Q10/TrRail_act!Q25)</f>
        <v>179898.96563065852</v>
      </c>
      <c r="R45" s="54">
        <f>IF(R10=0,0,1000000*R10/TrRail_act!R25)</f>
        <v>173690.59221091517</v>
      </c>
      <c r="S45" s="54">
        <f>IF(S10=0,0,1000000*S10/TrRail_act!S25)</f>
        <v>175337.42803065188</v>
      </c>
      <c r="T45" s="54">
        <f>IF(T10=0,0,1000000*T10/TrRail_act!T25)</f>
        <v>170625.27721647584</v>
      </c>
      <c r="U45" s="54">
        <f>IF(U10=0,0,1000000*U10/TrRail_act!U25)</f>
        <v>171988.19177172857</v>
      </c>
      <c r="V45" s="54">
        <f>IF(V10=0,0,1000000*V10/TrRail_act!V25)</f>
        <v>140102.34638816625</v>
      </c>
      <c r="W45" s="54">
        <f>IF(W10=0,0,1000000*W10/TrRail_act!W25)</f>
        <v>143630.37081732307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361773.93674434751</v>
      </c>
      <c r="C46" s="28">
        <f>IF(C11=0,0,1000000*C11/TrRail_act!C26)</f>
        <v>360464.60581110924</v>
      </c>
      <c r="D46" s="28">
        <f>IF(D11=0,0,1000000*D11/TrRail_act!D26)</f>
        <v>355458.83219909243</v>
      </c>
      <c r="E46" s="28">
        <f>IF(E11=0,0,1000000*E11/TrRail_act!E26)</f>
        <v>369683.61069800385</v>
      </c>
      <c r="F46" s="28">
        <f>IF(F11=0,0,1000000*F11/TrRail_act!F26)</f>
        <v>391624.43302524433</v>
      </c>
      <c r="G46" s="28">
        <f>IF(G11=0,0,1000000*G11/TrRail_act!G26)</f>
        <v>395351.92180401203</v>
      </c>
      <c r="H46" s="28">
        <f>IF(H11=0,0,1000000*H11/TrRail_act!H26)</f>
        <v>319741.53631340811</v>
      </c>
      <c r="I46" s="28">
        <f>IF(I11=0,0,1000000*I11/TrRail_act!I26)</f>
        <v>357307.01027996058</v>
      </c>
      <c r="J46" s="28">
        <f>IF(J11=0,0,1000000*J11/TrRail_act!J26)</f>
        <v>360500.80509570811</v>
      </c>
      <c r="K46" s="28">
        <f>IF(K11=0,0,1000000*K11/TrRail_act!K26)</f>
        <v>321010.94649074547</v>
      </c>
      <c r="L46" s="28">
        <f>IF(L11=0,0,1000000*L11/TrRail_act!L26)</f>
        <v>307426.47185409116</v>
      </c>
      <c r="M46" s="28">
        <f>IF(M11=0,0,1000000*M11/TrRail_act!M26)</f>
        <v>335269.19243514584</v>
      </c>
      <c r="N46" s="28">
        <f>IF(N11=0,0,1000000*N11/TrRail_act!N26)</f>
        <v>343464.09794784914</v>
      </c>
      <c r="O46" s="28">
        <f>IF(O11=0,0,1000000*O11/TrRail_act!O26)</f>
        <v>161917.25009201307</v>
      </c>
      <c r="P46" s="28">
        <f>IF(P11=0,0,1000000*P11/TrRail_act!P26)</f>
        <v>159770.0941893034</v>
      </c>
      <c r="Q46" s="28">
        <f>IF(Q11=0,0,1000000*Q11/TrRail_act!Q26)</f>
        <v>166616.53471183561</v>
      </c>
      <c r="R46" s="28">
        <f>IF(R11=0,0,1000000*R11/TrRail_act!R26)</f>
        <v>164218.2181041099</v>
      </c>
      <c r="S46" s="28">
        <f>IF(S11=0,0,1000000*S11/TrRail_act!S26)</f>
        <v>157907.00154891322</v>
      </c>
      <c r="T46" s="28">
        <f>IF(T11=0,0,1000000*T11/TrRail_act!T26)</f>
        <v>151218.44463683441</v>
      </c>
      <c r="U46" s="28">
        <f>IF(U11=0,0,1000000*U11/TrRail_act!U26)</f>
        <v>148699.38884458755</v>
      </c>
      <c r="V46" s="28">
        <f>IF(V11=0,0,1000000*V11/TrRail_act!V26)</f>
        <v>115898.82912020825</v>
      </c>
      <c r="W46" s="28">
        <f>IF(W11=0,0,1000000*W11/TrRail_act!W26)</f>
        <v>130730.71304535447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50184.645979841378</v>
      </c>
      <c r="C47" s="108">
        <f>IF(C12=0,0,1000000*C12/TrRail_act!C27)</f>
        <v>50069.972066322822</v>
      </c>
      <c r="D47" s="108">
        <f>IF(D12=0,0,1000000*D12/TrRail_act!D27)</f>
        <v>48779.758469085777</v>
      </c>
      <c r="E47" s="108">
        <f>IF(E12=0,0,1000000*E12/TrRail_act!E27)</f>
        <v>48779.454527943766</v>
      </c>
      <c r="F47" s="108">
        <f>IF(F12=0,0,1000000*F12/TrRail_act!F27)</f>
        <v>47630.211847892322</v>
      </c>
      <c r="G47" s="108">
        <f>IF(G12=0,0,1000000*G12/TrRail_act!G27)</f>
        <v>45793.029553762652</v>
      </c>
      <c r="H47" s="108">
        <f>IF(H12=0,0,1000000*H12/TrRail_act!H27)</f>
        <v>45291.087232714664</v>
      </c>
      <c r="I47" s="108">
        <f>IF(I12=0,0,1000000*I12/TrRail_act!I27)</f>
        <v>44218.657107384228</v>
      </c>
      <c r="J47" s="108">
        <f>IF(J12=0,0,1000000*J12/TrRail_act!J27)</f>
        <v>43351.900536424306</v>
      </c>
      <c r="K47" s="108">
        <f>IF(K12=0,0,1000000*K12/TrRail_act!K27)</f>
        <v>42789.938703326479</v>
      </c>
      <c r="L47" s="108">
        <f>IF(L12=0,0,1000000*L12/TrRail_act!L27)</f>
        <v>42802.206430343824</v>
      </c>
      <c r="M47" s="108">
        <f>IF(M12=0,0,1000000*M12/TrRail_act!M27)</f>
        <v>41982.230393981074</v>
      </c>
      <c r="N47" s="108">
        <f>IF(N12=0,0,1000000*N12/TrRail_act!N27)</f>
        <v>41620.889940855617</v>
      </c>
      <c r="O47" s="108">
        <f>IF(O12=0,0,1000000*O12/TrRail_act!O27)</f>
        <v>40391.131663862245</v>
      </c>
      <c r="P47" s="108">
        <f>IF(P12=0,0,1000000*P12/TrRail_act!P27)</f>
        <v>39546.426670523681</v>
      </c>
      <c r="Q47" s="108">
        <f>IF(Q12=0,0,1000000*Q12/TrRail_act!Q27)</f>
        <v>38803.274146481068</v>
      </c>
      <c r="R47" s="108">
        <f>IF(R12=0,0,1000000*R12/TrRail_act!R27)</f>
        <v>38255.088889794984</v>
      </c>
      <c r="S47" s="108">
        <f>IF(S12=0,0,1000000*S12/TrRail_act!S27)</f>
        <v>37849.038197865229</v>
      </c>
      <c r="T47" s="108">
        <f>IF(T12=0,0,1000000*T12/TrRail_act!T27)</f>
        <v>37547.331093648747</v>
      </c>
      <c r="U47" s="108">
        <f>IF(U12=0,0,1000000*U12/TrRail_act!U27)</f>
        <v>37322.630097569308</v>
      </c>
      <c r="V47" s="108">
        <f>IF(V12=0,0,1000000*V12/TrRail_act!V27)</f>
        <v>35235.346554798591</v>
      </c>
      <c r="W47" s="108">
        <f>IF(W12=0,0,1000000*W12/TrRail_act!W27)</f>
        <v>36260.634574471078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567290.7782869786</v>
      </c>
      <c r="C48" s="110">
        <f>IF(C13=0,0,1000000*C13/TrRail_act!C28)</f>
        <v>546115.66560555471</v>
      </c>
      <c r="D48" s="110">
        <f>IF(D13=0,0,1000000*D13/TrRail_act!D28)</f>
        <v>525193.87748639053</v>
      </c>
      <c r="E48" s="110">
        <f>IF(E13=0,0,1000000*E13/TrRail_act!E28)</f>
        <v>539567.33379283897</v>
      </c>
      <c r="F48" s="110">
        <f>IF(F13=0,0,1000000*F13/TrRail_act!F28)</f>
        <v>563342.51632067736</v>
      </c>
      <c r="G48" s="110">
        <f>IF(G13=0,0,1000000*G13/TrRail_act!G28)</f>
        <v>549971.31554660806</v>
      </c>
      <c r="H48" s="110">
        <f>IF(H13=0,0,1000000*H13/TrRail_act!H28)</f>
        <v>446239.05964154331</v>
      </c>
      <c r="I48" s="110">
        <f>IF(I13=0,0,1000000*I13/TrRail_act!I28)</f>
        <v>515492.73461318383</v>
      </c>
      <c r="J48" s="110">
        <f>IF(J13=0,0,1000000*J13/TrRail_act!J28)</f>
        <v>515159.17024689179</v>
      </c>
      <c r="K48" s="110">
        <f>IF(K13=0,0,1000000*K13/TrRail_act!K28)</f>
        <v>412624.90193643264</v>
      </c>
      <c r="L48" s="110">
        <f>IF(L13=0,0,1000000*L13/TrRail_act!L28)</f>
        <v>428916.86182018038</v>
      </c>
      <c r="M48" s="110">
        <f>IF(M13=0,0,1000000*M13/TrRail_act!M28)</f>
        <v>496745.18890665483</v>
      </c>
      <c r="N48" s="110">
        <f>IF(N13=0,0,1000000*N13/TrRail_act!N28)</f>
        <v>496467.25727803964</v>
      </c>
      <c r="O48" s="110">
        <f>IF(O13=0,0,1000000*O13/TrRail_act!O28)</f>
        <v>148582.74903805877</v>
      </c>
      <c r="P48" s="110">
        <f>IF(P13=0,0,1000000*P13/TrRail_act!P28)</f>
        <v>151807.45019065702</v>
      </c>
      <c r="Q48" s="110">
        <f>IF(Q13=0,0,1000000*Q13/TrRail_act!Q28)</f>
        <v>168175.13967023071</v>
      </c>
      <c r="R48" s="110">
        <f>IF(R13=0,0,1000000*R13/TrRail_act!R28)</f>
        <v>167367.20643454159</v>
      </c>
      <c r="S48" s="110">
        <f>IF(S13=0,0,1000000*S13/TrRail_act!S28)</f>
        <v>153990.25250906282</v>
      </c>
      <c r="T48" s="110">
        <f>IF(T13=0,0,1000000*T13/TrRail_act!T28)</f>
        <v>154602.19320760411</v>
      </c>
      <c r="U48" s="110">
        <f>IF(U13=0,0,1000000*U13/TrRail_act!U28)</f>
        <v>150521.28695593335</v>
      </c>
      <c r="V48" s="110">
        <f>IF(V13=0,0,1000000*V13/TrRail_act!V28)</f>
        <v>145811.6617824237</v>
      </c>
      <c r="W48" s="110">
        <f>IF(W13=0,0,1000000*W13/TrRail_act!W28)</f>
        <v>163698.06559159557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1148143.5315122504</v>
      </c>
      <c r="C49" s="84">
        <f>IF(C14=0,0,1000000*C14/TrRail_act!C29)</f>
        <v>1143774.2063058282</v>
      </c>
      <c r="D49" s="84">
        <f>IF(D14=0,0,1000000*D14/TrRail_act!D29)</f>
        <v>1136529.8649287939</v>
      </c>
      <c r="E49" s="84">
        <f>IF(E14=0,0,1000000*E14/TrRail_act!E29)</f>
        <v>1126995.6267477646</v>
      </c>
      <c r="F49" s="84">
        <f>IF(F14=0,0,1000000*F14/TrRail_act!F29)</f>
        <v>1105649.6799370544</v>
      </c>
      <c r="G49" s="84">
        <f>IF(G14=0,0,1000000*G14/TrRail_act!G29)</f>
        <v>1064584.4751807593</v>
      </c>
      <c r="H49" s="84">
        <f>IF(H14=0,0,1000000*H14/TrRail_act!H29)</f>
        <v>926922.47306132107</v>
      </c>
      <c r="I49" s="84">
        <f>IF(I14=0,0,1000000*I14/TrRail_act!I29)</f>
        <v>1012013.972824754</v>
      </c>
      <c r="J49" s="84">
        <f>IF(J14=0,0,1000000*J14/TrRail_act!J29)</f>
        <v>989350.01872019377</v>
      </c>
      <c r="K49" s="84">
        <f>IF(K14=0,0,1000000*K14/TrRail_act!K29)</f>
        <v>845071.7208444135</v>
      </c>
      <c r="L49" s="84">
        <f>IF(L14=0,0,1000000*L14/TrRail_act!L29)</f>
        <v>864635.13498253538</v>
      </c>
      <c r="M49" s="84">
        <f>IF(M14=0,0,1000000*M14/TrRail_act!M29)</f>
        <v>906092.17569390265</v>
      </c>
      <c r="N49" s="84">
        <f>IF(N14=0,0,1000000*N14/TrRail_act!N29)</f>
        <v>872244.18811649701</v>
      </c>
      <c r="O49" s="84">
        <f>IF(O14=0,0,1000000*O14/TrRail_act!O29)</f>
        <v>102608.03932994918</v>
      </c>
      <c r="P49" s="84">
        <f>IF(P14=0,0,1000000*P14/TrRail_act!P29)</f>
        <v>103671.34172314533</v>
      </c>
      <c r="Q49" s="84">
        <f>IF(Q14=0,0,1000000*Q14/TrRail_act!Q29)</f>
        <v>145893.55634354174</v>
      </c>
      <c r="R49" s="84">
        <f>IF(R14=0,0,1000000*R14/TrRail_act!R29)</f>
        <v>150275.62416202392</v>
      </c>
      <c r="S49" s="84">
        <f>IF(S14=0,0,1000000*S14/TrRail_act!S29)</f>
        <v>113326.17930459749</v>
      </c>
      <c r="T49" s="84">
        <f>IF(T14=0,0,1000000*T14/TrRail_act!T29)</f>
        <v>115479.46669730963</v>
      </c>
      <c r="U49" s="84">
        <f>IF(U14=0,0,1000000*U14/TrRail_act!U29)</f>
        <v>109958.16161066138</v>
      </c>
      <c r="V49" s="84">
        <f>IF(V14=0,0,1000000*V14/TrRail_act!V29)</f>
        <v>82510.321088196331</v>
      </c>
      <c r="W49" s="84">
        <f>IF(W14=0,0,1000000*W14/TrRail_act!W29)</f>
        <v>139268.12168459073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244316.06106065187</v>
      </c>
      <c r="C50" s="84">
        <f>IF(C15=0,0,1000000*C15/TrRail_act!C30)</f>
        <v>243259.90424079867</v>
      </c>
      <c r="D50" s="84">
        <f>IF(D15=0,0,1000000*D15/TrRail_act!D30)</f>
        <v>240641.65270816415</v>
      </c>
      <c r="E50" s="84">
        <f>IF(E15=0,0,1000000*E15/TrRail_act!E30)</f>
        <v>231434.76748221664</v>
      </c>
      <c r="F50" s="84">
        <f>IF(F15=0,0,1000000*F15/TrRail_act!F30)</f>
        <v>229139.40715404958</v>
      </c>
      <c r="G50" s="84">
        <f>IF(G15=0,0,1000000*G15/TrRail_act!G30)</f>
        <v>226525.93522762528</v>
      </c>
      <c r="H50" s="84">
        <f>IF(H15=0,0,1000000*H15/TrRail_act!H30)</f>
        <v>141995.13219612039</v>
      </c>
      <c r="I50" s="84">
        <f>IF(I15=0,0,1000000*I15/TrRail_act!I30)</f>
        <v>169080.71478172805</v>
      </c>
      <c r="J50" s="84">
        <f>IF(J15=0,0,1000000*J15/TrRail_act!J30)</f>
        <v>176578.67054092791</v>
      </c>
      <c r="K50" s="84">
        <f>IF(K15=0,0,1000000*K15/TrRail_act!K30)</f>
        <v>98753.245924992792</v>
      </c>
      <c r="L50" s="84">
        <f>IF(L15=0,0,1000000*L15/TrRail_act!L30)</f>
        <v>106706.98586724637</v>
      </c>
      <c r="M50" s="84">
        <f>IF(M15=0,0,1000000*M15/TrRail_act!M30)</f>
        <v>198875.75662874858</v>
      </c>
      <c r="N50" s="84">
        <f>IF(N15=0,0,1000000*N15/TrRail_act!N30)</f>
        <v>195461.59843536129</v>
      </c>
      <c r="O50" s="84">
        <f>IF(O15=0,0,1000000*O15/TrRail_act!O30)</f>
        <v>186382.46082872307</v>
      </c>
      <c r="P50" s="84">
        <f>IF(P15=0,0,1000000*P15/TrRail_act!P30)</f>
        <v>185799.42508143847</v>
      </c>
      <c r="Q50" s="84">
        <f>IF(Q15=0,0,1000000*Q15/TrRail_act!Q30)</f>
        <v>182114.10949685625</v>
      </c>
      <c r="R50" s="84">
        <f>IF(R15=0,0,1000000*R15/TrRail_act!R30)</f>
        <v>177210.54120858153</v>
      </c>
      <c r="S50" s="84">
        <f>IF(S15=0,0,1000000*S15/TrRail_act!S30)</f>
        <v>175355.90426463258</v>
      </c>
      <c r="T50" s="84">
        <f>IF(T15=0,0,1000000*T15/TrRail_act!T30)</f>
        <v>173977.675657924</v>
      </c>
      <c r="U50" s="84">
        <f>IF(U15=0,0,1000000*U15/TrRail_act!U30)</f>
        <v>170414.50803932681</v>
      </c>
      <c r="V50" s="84">
        <f>IF(V15=0,0,1000000*V15/TrRail_act!V30)</f>
        <v>172185.17598497836</v>
      </c>
      <c r="W50" s="84">
        <f>IF(W15=0,0,1000000*W15/TrRail_act!W30)</f>
        <v>171612.94680971207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1097288.9735360851</v>
      </c>
      <c r="C51" s="113">
        <f>IF(C16=0,0,1000000*C16/TrRail_act!C31)</f>
        <v>1091534.0330014711</v>
      </c>
      <c r="D51" s="113">
        <f>IF(D16=0,0,1000000*D16/TrRail_act!D31)</f>
        <v>1089616.5923006891</v>
      </c>
      <c r="E51" s="113">
        <f>IF(E16=0,0,1000000*E16/TrRail_act!E31)</f>
        <v>1058493.0133452783</v>
      </c>
      <c r="F51" s="113">
        <f>IF(F16=0,0,1000000*F16/TrRail_act!F31)</f>
        <v>1050623.0752084388</v>
      </c>
      <c r="G51" s="113">
        <f>IF(G16=0,0,1000000*G16/TrRail_act!G31)</f>
        <v>1014439.5907313463</v>
      </c>
      <c r="H51" s="113">
        <f>IF(H16=0,0,1000000*H16/TrRail_act!H31)</f>
        <v>1008117.4410105518</v>
      </c>
      <c r="I51" s="113">
        <f>IF(I16=0,0,1000000*I16/TrRail_act!I31)</f>
        <v>988471.23766182747</v>
      </c>
      <c r="J51" s="113">
        <f>IF(J16=0,0,1000000*J16/TrRail_act!J31)</f>
        <v>1001355.3871557246</v>
      </c>
      <c r="K51" s="113">
        <f>IF(K16=0,0,1000000*K16/TrRail_act!K31)</f>
        <v>994978.04669991753</v>
      </c>
      <c r="L51" s="113">
        <f>IF(L16=0,0,1000000*L16/TrRail_act!L31)</f>
        <v>998789.50269580237</v>
      </c>
      <c r="M51" s="113">
        <f>IF(M16=0,0,1000000*M16/TrRail_act!M31)</f>
        <v>958350.98988426011</v>
      </c>
      <c r="N51" s="113">
        <f>IF(N16=0,0,1000000*N16/TrRail_act!N31)</f>
        <v>929318.37120214337</v>
      </c>
      <c r="O51" s="113">
        <f>IF(O16=0,0,1000000*O16/TrRail_act!O31)</f>
        <v>950976.94592735555</v>
      </c>
      <c r="P51" s="113">
        <f>IF(P16=0,0,1000000*P16/TrRail_act!P31)</f>
        <v>926354.09721304162</v>
      </c>
      <c r="Q51" s="113">
        <f>IF(Q16=0,0,1000000*Q16/TrRail_act!Q31)</f>
        <v>908760.52830301807</v>
      </c>
      <c r="R51" s="113">
        <f>IF(R16=0,0,1000000*R16/TrRail_act!R31)</f>
        <v>897085.82462451607</v>
      </c>
      <c r="S51" s="113">
        <f>IF(S16=0,0,1000000*S16/TrRail_act!S31)</f>
        <v>888300.55354113388</v>
      </c>
      <c r="T51" s="113">
        <f>IF(T16=0,0,1000000*T16/TrRail_act!T31)</f>
        <v>881768.10825967265</v>
      </c>
      <c r="U51" s="113">
        <f>IF(U16=0,0,1000000*U16/TrRail_act!U31)</f>
        <v>876900.31429847539</v>
      </c>
      <c r="V51" s="113">
        <f>IF(V16=0,0,1000000*V16/TrRail_act!V31)</f>
        <v>429066.41712818982</v>
      </c>
      <c r="W51" s="113">
        <f>IF(W16=0,0,1000000*W16/TrRail_act!W31)</f>
        <v>460934.01939822978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1523622.9437482136</v>
      </c>
      <c r="C52" s="28">
        <f>IF(C17=0,0,1000000*C17/TrRail_act!C32)</f>
        <v>1400030.5927917447</v>
      </c>
      <c r="D52" s="28">
        <f>IF(D17=0,0,1000000*D17/TrRail_act!D32)</f>
        <v>1197058.1188699547</v>
      </c>
      <c r="E52" s="28">
        <f>IF(E17=0,0,1000000*E17/TrRail_act!E32)</f>
        <v>1002966.0632389878</v>
      </c>
      <c r="F52" s="28">
        <f>IF(F17=0,0,1000000*F17/TrRail_act!F32)</f>
        <v>970725.70482103084</v>
      </c>
      <c r="G52" s="28">
        <f>IF(G17=0,0,1000000*G17/TrRail_act!G32)</f>
        <v>940652.90031391371</v>
      </c>
      <c r="H52" s="28">
        <f>IF(H17=0,0,1000000*H17/TrRail_act!H32)</f>
        <v>912111.03777569428</v>
      </c>
      <c r="I52" s="28">
        <f>IF(I17=0,0,1000000*I17/TrRail_act!I32)</f>
        <v>1174507.9076889942</v>
      </c>
      <c r="J52" s="28">
        <f>IF(J17=0,0,1000000*J17/TrRail_act!J32)</f>
        <v>1196738.1953510295</v>
      </c>
      <c r="K52" s="28">
        <f>IF(K17=0,0,1000000*K17/TrRail_act!K32)</f>
        <v>1095405.3823401155</v>
      </c>
      <c r="L52" s="28">
        <f>IF(L17=0,0,1000000*L17/TrRail_act!L32)</f>
        <v>1267205.4768303267</v>
      </c>
      <c r="M52" s="28">
        <f>IF(M17=0,0,1000000*M17/TrRail_act!M32)</f>
        <v>833714.03448340937</v>
      </c>
      <c r="N52" s="28">
        <f>IF(N17=0,0,1000000*N17/TrRail_act!N32)</f>
        <v>909194.31019641086</v>
      </c>
      <c r="O52" s="28">
        <f>IF(O17=0,0,1000000*O17/TrRail_act!O32)</f>
        <v>356462.78024234442</v>
      </c>
      <c r="P52" s="28">
        <f>IF(P17=0,0,1000000*P17/TrRail_act!P32)</f>
        <v>369535.85033693671</v>
      </c>
      <c r="Q52" s="28">
        <f>IF(Q17=0,0,1000000*Q17/TrRail_act!Q32)</f>
        <v>328019.3178863033</v>
      </c>
      <c r="R52" s="28">
        <f>IF(R17=0,0,1000000*R17/TrRail_act!R32)</f>
        <v>288063.68967876985</v>
      </c>
      <c r="S52" s="28">
        <f>IF(S17=0,0,1000000*S17/TrRail_act!S32)</f>
        <v>405777.06249897508</v>
      </c>
      <c r="T52" s="28">
        <f>IF(T17=0,0,1000000*T17/TrRail_act!T32)</f>
        <v>462630.18288862921</v>
      </c>
      <c r="U52" s="28">
        <f>IF(U17=0,0,1000000*U17/TrRail_act!U32)</f>
        <v>530099.06774719164</v>
      </c>
      <c r="V52" s="28">
        <f>IF(V17=0,0,1000000*V17/TrRail_act!V32)</f>
        <v>411800.75006727822</v>
      </c>
      <c r="W52" s="28">
        <f>IF(W17=0,0,1000000*W17/TrRail_act!W32)</f>
        <v>301669.7088409522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3169755.4194236491</v>
      </c>
      <c r="C53" s="84">
        <f>IF(C18=0,0,1000000*C18/TrRail_act!C33)</f>
        <v>3145266.4763773624</v>
      </c>
      <c r="D53" s="84">
        <f>IF(D18=0,0,1000000*D18/TrRail_act!D33)</f>
        <v>3063942.4354381403</v>
      </c>
      <c r="E53" s="84">
        <f>IF(E18=0,0,1000000*E18/TrRail_act!E33)</f>
        <v>2833729.7886381424</v>
      </c>
      <c r="F53" s="84">
        <f>IF(F18=0,0,1000000*F18/TrRail_act!F33)</f>
        <v>2917453.846924291</v>
      </c>
      <c r="G53" s="84">
        <f>IF(G18=0,0,1000000*G18/TrRail_act!G33)</f>
        <v>2870240.149353486</v>
      </c>
      <c r="H53" s="84">
        <f>IF(H18=0,0,1000000*H18/TrRail_act!H33)</f>
        <v>2810145.7383116866</v>
      </c>
      <c r="I53" s="84">
        <f>IF(I18=0,0,1000000*I18/TrRail_act!I33)</f>
        <v>2774055.6611930584</v>
      </c>
      <c r="J53" s="84">
        <f>IF(J18=0,0,1000000*J18/TrRail_act!J33)</f>
        <v>2736549.0161665715</v>
      </c>
      <c r="K53" s="84">
        <f>IF(K18=0,0,1000000*K18/TrRail_act!K33)</f>
        <v>2688502.350069752</v>
      </c>
      <c r="L53" s="84">
        <f>IF(L18=0,0,1000000*L18/TrRail_act!L33)</f>
        <v>2659820.7331508691</v>
      </c>
      <c r="M53" s="84">
        <f>IF(M18=0,0,1000000*M18/TrRail_act!M33)</f>
        <v>1517255.5430867271</v>
      </c>
      <c r="N53" s="84">
        <f>IF(N18=0,0,1000000*N18/TrRail_act!N33)</f>
        <v>1698365.4113651577</v>
      </c>
      <c r="O53" s="84">
        <f>IF(O18=0,0,1000000*O18/TrRail_act!O33)</f>
        <v>440391.54058340314</v>
      </c>
      <c r="P53" s="84">
        <f>IF(P18=0,0,1000000*P18/TrRail_act!P33)</f>
        <v>497664.68680391135</v>
      </c>
      <c r="Q53" s="84">
        <f>IF(Q18=0,0,1000000*Q18/TrRail_act!Q33)</f>
        <v>428924.80042152532</v>
      </c>
      <c r="R53" s="84">
        <f>IF(R18=0,0,1000000*R18/TrRail_act!R33)</f>
        <v>365472.90309467318</v>
      </c>
      <c r="S53" s="84">
        <f>IF(S18=0,0,1000000*S18/TrRail_act!S33)</f>
        <v>745123.39037835097</v>
      </c>
      <c r="T53" s="84">
        <f>IF(T18=0,0,1000000*T18/TrRail_act!T33)</f>
        <v>938664.08899482153</v>
      </c>
      <c r="U53" s="84">
        <f>IF(U18=0,0,1000000*U18/TrRail_act!U33)</f>
        <v>1105111.1211284802</v>
      </c>
      <c r="V53" s="84">
        <f>IF(V18=0,0,1000000*V18/TrRail_act!V33)</f>
        <v>959418.23142241593</v>
      </c>
      <c r="W53" s="84">
        <f>IF(W18=0,0,1000000*W18/TrRail_act!W33)</f>
        <v>584034.69988930994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415360.523639247</v>
      </c>
      <c r="C54" s="86">
        <f>IF(C19=0,0,1000000*C19/TrRail_act!C34)</f>
        <v>406091.85971393704</v>
      </c>
      <c r="D54" s="86">
        <f>IF(D19=0,0,1000000*D19/TrRail_act!D34)</f>
        <v>399228.95831096859</v>
      </c>
      <c r="E54" s="86">
        <f>IF(E19=0,0,1000000*E19/TrRail_act!E34)</f>
        <v>388068.98496789928</v>
      </c>
      <c r="F54" s="86">
        <f>IF(F19=0,0,1000000*F19/TrRail_act!F34)</f>
        <v>376516.46927028394</v>
      </c>
      <c r="G54" s="86">
        <f>IF(G19=0,0,1000000*G19/TrRail_act!G34)</f>
        <v>364264.61155994772</v>
      </c>
      <c r="H54" s="86">
        <f>IF(H19=0,0,1000000*H19/TrRail_act!H34)</f>
        <v>188707.21516628581</v>
      </c>
      <c r="I54" s="86">
        <f>IF(I19=0,0,1000000*I19/TrRail_act!I34)</f>
        <v>276699.30778366874</v>
      </c>
      <c r="J54" s="86">
        <f>IF(J19=0,0,1000000*J19/TrRail_act!J34)</f>
        <v>240277.62044153377</v>
      </c>
      <c r="K54" s="86">
        <f>IF(K19=0,0,1000000*K19/TrRail_act!K34)</f>
        <v>61255.509355090711</v>
      </c>
      <c r="L54" s="86">
        <f>IF(L19=0,0,1000000*L19/TrRail_act!L34)</f>
        <v>108635.71975485182</v>
      </c>
      <c r="M54" s="86">
        <f>IF(M19=0,0,1000000*M19/TrRail_act!M34)</f>
        <v>256052.16911675784</v>
      </c>
      <c r="N54" s="86">
        <f>IF(N19=0,0,1000000*N19/TrRail_act!N34)</f>
        <v>229997.4014516974</v>
      </c>
      <c r="O54" s="86">
        <f>IF(O19=0,0,1000000*O19/TrRail_act!O34)</f>
        <v>291470.81104110857</v>
      </c>
      <c r="P54" s="86">
        <f>IF(P19=0,0,1000000*P19/TrRail_act!P34)</f>
        <v>286536.35803725949</v>
      </c>
      <c r="Q54" s="86">
        <f>IF(Q19=0,0,1000000*Q19/TrRail_act!Q34)</f>
        <v>278650.16508860857</v>
      </c>
      <c r="R54" s="86">
        <f>IF(R19=0,0,1000000*R19/TrRail_act!R34)</f>
        <v>251185.03173571275</v>
      </c>
      <c r="S54" s="86">
        <f>IF(S19=0,0,1000000*S19/TrRail_act!S34)</f>
        <v>249123.74199302983</v>
      </c>
      <c r="T54" s="86">
        <f>IF(T19=0,0,1000000*T19/TrRail_act!T34)</f>
        <v>251055.02341700875</v>
      </c>
      <c r="U54" s="86">
        <f>IF(U19=0,0,1000000*U19/TrRail_act!U34)</f>
        <v>253822.31554079437</v>
      </c>
      <c r="V54" s="86">
        <f>IF(V19=0,0,1000000*V19/TrRail_act!V34)</f>
        <v>264546.28619356529</v>
      </c>
      <c r="W54" s="86">
        <f>IF(W19=0,0,1000000*W19/TrRail_act!W34)</f>
        <v>232570.05111309627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0.70894470004205734</v>
      </c>
      <c r="C57" s="31">
        <f t="shared" ref="C57:V57" si="17">IF(C11=0,0,C11/C$10)</f>
        <v>0.69999590218552499</v>
      </c>
      <c r="D57" s="31">
        <f t="shared" si="17"/>
        <v>0.72358110490813132</v>
      </c>
      <c r="E57" s="31">
        <f t="shared" si="17"/>
        <v>0.77294829497113637</v>
      </c>
      <c r="F57" s="31">
        <f t="shared" si="17"/>
        <v>0.80281587371740515</v>
      </c>
      <c r="G57" s="31">
        <f t="shared" si="17"/>
        <v>0.82676119431181405</v>
      </c>
      <c r="H57" s="31">
        <f t="shared" si="17"/>
        <v>0.79440499707920487</v>
      </c>
      <c r="I57" s="31">
        <f t="shared" si="17"/>
        <v>0.75880423799040086</v>
      </c>
      <c r="J57" s="31">
        <f t="shared" si="17"/>
        <v>0.75883545214318304</v>
      </c>
      <c r="K57" s="31">
        <f t="shared" si="17"/>
        <v>0.76156882775154666</v>
      </c>
      <c r="L57" s="31">
        <f t="shared" si="17"/>
        <v>0.72733458992236844</v>
      </c>
      <c r="M57" s="31">
        <f t="shared" si="17"/>
        <v>0.82218705728154751</v>
      </c>
      <c r="N57" s="31">
        <f t="shared" si="17"/>
        <v>0.8299420051170977</v>
      </c>
      <c r="O57" s="31">
        <f t="shared" si="17"/>
        <v>0.84833209220999151</v>
      </c>
      <c r="P57" s="31">
        <f t="shared" si="17"/>
        <v>0.84108585781930734</v>
      </c>
      <c r="Q57" s="31">
        <f t="shared" si="17"/>
        <v>0.84994955026034835</v>
      </c>
      <c r="R57" s="31">
        <f t="shared" si="17"/>
        <v>0.87314986494859681</v>
      </c>
      <c r="S57" s="31">
        <f t="shared" si="17"/>
        <v>0.83725906681559226</v>
      </c>
      <c r="T57" s="31">
        <f t="shared" si="17"/>
        <v>0.83102973929103885</v>
      </c>
      <c r="U57" s="31">
        <f t="shared" si="17"/>
        <v>0.81179755866425574</v>
      </c>
      <c r="V57" s="31">
        <f t="shared" si="17"/>
        <v>0.75957898711636118</v>
      </c>
      <c r="W57" s="31">
        <f t="shared" ref="W57" si="18">IF(W11=0,0,W11/W$10)</f>
        <v>0.84150248310510589</v>
      </c>
      <c r="DA57" s="173"/>
    </row>
    <row r="58" spans="1:105" ht="11.45" customHeight="1" x14ac:dyDescent="0.25">
      <c r="A58" s="107" t="s">
        <v>23</v>
      </c>
      <c r="B58" s="123">
        <f t="shared" si="14"/>
        <v>4.0768906678505204E-2</v>
      </c>
      <c r="C58" s="123">
        <f t="shared" ref="C58:V58" si="19">IF(C12=0,0,C12/C$10)</f>
        <v>3.8145414130644303E-2</v>
      </c>
      <c r="D58" s="123">
        <f t="shared" si="19"/>
        <v>3.733842139876991E-2</v>
      </c>
      <c r="E58" s="123">
        <f t="shared" si="19"/>
        <v>3.6784712718775987E-2</v>
      </c>
      <c r="F58" s="123">
        <f t="shared" si="19"/>
        <v>3.3741439865287243E-2</v>
      </c>
      <c r="G58" s="123">
        <f t="shared" si="19"/>
        <v>3.0538755368051992E-2</v>
      </c>
      <c r="H58" s="123">
        <f t="shared" si="19"/>
        <v>3.7948637885071489E-2</v>
      </c>
      <c r="I58" s="123">
        <f t="shared" si="19"/>
        <v>3.2999437051922563E-2</v>
      </c>
      <c r="J58" s="123">
        <f t="shared" si="19"/>
        <v>3.2907420765594012E-2</v>
      </c>
      <c r="K58" s="123">
        <f t="shared" si="19"/>
        <v>3.6188765567357485E-2</v>
      </c>
      <c r="L58" s="123">
        <f t="shared" si="19"/>
        <v>4.2161572144182084E-2</v>
      </c>
      <c r="M58" s="123">
        <f t="shared" si="19"/>
        <v>4.3843472903859752E-2</v>
      </c>
      <c r="N58" s="123">
        <f t="shared" si="19"/>
        <v>4.0150588511424362E-2</v>
      </c>
      <c r="O58" s="123">
        <f t="shared" si="19"/>
        <v>8.4451538850484106E-2</v>
      </c>
      <c r="P58" s="123">
        <f t="shared" si="19"/>
        <v>8.2848213408541496E-2</v>
      </c>
      <c r="Q58" s="123">
        <f t="shared" si="19"/>
        <v>7.809603348201323E-2</v>
      </c>
      <c r="R58" s="123">
        <f t="shared" si="19"/>
        <v>8.232888022851069E-2</v>
      </c>
      <c r="S58" s="123">
        <f t="shared" si="19"/>
        <v>8.2908026167261631E-2</v>
      </c>
      <c r="T58" s="123">
        <f t="shared" si="19"/>
        <v>9.3837924301316572E-2</v>
      </c>
      <c r="U58" s="123">
        <f t="shared" si="19"/>
        <v>9.6091981378278998E-2</v>
      </c>
      <c r="V58" s="123">
        <f t="shared" si="19"/>
        <v>0.10466377018683298</v>
      </c>
      <c r="W58" s="123">
        <f t="shared" ref="W58" si="20">IF(W12=0,0,W12/W$10)</f>
        <v>9.820930946767982E-2</v>
      </c>
      <c r="DA58" s="203"/>
    </row>
    <row r="59" spans="1:105" ht="11.45" customHeight="1" x14ac:dyDescent="0.25">
      <c r="A59" s="109" t="s">
        <v>24</v>
      </c>
      <c r="B59" s="124">
        <f t="shared" si="14"/>
        <v>0.63225955976197201</v>
      </c>
      <c r="C59" s="124">
        <f t="shared" ref="C59:V59" si="21">IF(C13=0,0,C13/C$10)</f>
        <v>0.62705280506093786</v>
      </c>
      <c r="D59" s="124">
        <f t="shared" si="21"/>
        <v>0.64926642984215599</v>
      </c>
      <c r="E59" s="124">
        <f t="shared" si="21"/>
        <v>0.70576033419645878</v>
      </c>
      <c r="F59" s="124">
        <f t="shared" si="21"/>
        <v>0.7403619355284019</v>
      </c>
      <c r="G59" s="124">
        <f t="shared" si="21"/>
        <v>0.76807140279303665</v>
      </c>
      <c r="H59" s="124">
        <f t="shared" si="21"/>
        <v>0.71759127054306415</v>
      </c>
      <c r="I59" s="124">
        <f t="shared" si="21"/>
        <v>0.69285447496433761</v>
      </c>
      <c r="J59" s="124">
        <f t="shared" si="21"/>
        <v>0.65880637759264693</v>
      </c>
      <c r="K59" s="124">
        <f t="shared" si="21"/>
        <v>0.56232458729454537</v>
      </c>
      <c r="L59" s="124">
        <f t="shared" si="21"/>
        <v>0.52234499860467809</v>
      </c>
      <c r="M59" s="124">
        <f t="shared" si="21"/>
        <v>0.61446727597960138</v>
      </c>
      <c r="N59" s="124">
        <f t="shared" si="21"/>
        <v>0.64151377070036608</v>
      </c>
      <c r="O59" s="124">
        <f t="shared" si="21"/>
        <v>0.41297993996202881</v>
      </c>
      <c r="P59" s="124">
        <f t="shared" si="21"/>
        <v>0.4268266526925395</v>
      </c>
      <c r="Q59" s="124">
        <f t="shared" si="21"/>
        <v>0.46210695485677916</v>
      </c>
      <c r="R59" s="124">
        <f t="shared" si="21"/>
        <v>0.46981169609330486</v>
      </c>
      <c r="S59" s="124">
        <f t="shared" si="21"/>
        <v>0.42147111586859454</v>
      </c>
      <c r="T59" s="124">
        <f t="shared" si="21"/>
        <v>0.40500141190884975</v>
      </c>
      <c r="U59" s="124">
        <f t="shared" si="21"/>
        <v>0.37587469574142601</v>
      </c>
      <c r="V59" s="124">
        <f t="shared" si="21"/>
        <v>0.45433661545050907</v>
      </c>
      <c r="W59" s="124">
        <f t="shared" ref="W59" si="22">IF(W13=0,0,W13/W$10)</f>
        <v>0.53712763801044527</v>
      </c>
      <c r="DA59" s="176"/>
    </row>
    <row r="60" spans="1:105" ht="11.45" customHeight="1" x14ac:dyDescent="0.25">
      <c r="A60" s="111" t="s">
        <v>92</v>
      </c>
      <c r="B60" s="125">
        <f t="shared" si="14"/>
        <v>0.45726594026742051</v>
      </c>
      <c r="C60" s="125">
        <f t="shared" ref="C60:V60" si="23">IF(C14=0,0,C14/C$10)</f>
        <v>0.44167722325449815</v>
      </c>
      <c r="D60" s="125">
        <f t="shared" si="23"/>
        <v>0.4462644679392665</v>
      </c>
      <c r="E60" s="125">
        <f t="shared" si="23"/>
        <v>0.50719658946851454</v>
      </c>
      <c r="F60" s="125">
        <f t="shared" si="23"/>
        <v>0.55404185262265038</v>
      </c>
      <c r="G60" s="125">
        <f t="shared" si="23"/>
        <v>0.57381022365257683</v>
      </c>
      <c r="H60" s="125">
        <f t="shared" si="23"/>
        <v>0.57775729622414329</v>
      </c>
      <c r="I60" s="125">
        <f t="shared" si="23"/>
        <v>0.55899220256281645</v>
      </c>
      <c r="J60" s="125">
        <f t="shared" si="23"/>
        <v>0.52705978700861511</v>
      </c>
      <c r="K60" s="125">
        <f t="shared" si="23"/>
        <v>0.48434309665372183</v>
      </c>
      <c r="L60" s="125">
        <f t="shared" si="23"/>
        <v>0.44763909717499434</v>
      </c>
      <c r="M60" s="125">
        <f t="shared" si="23"/>
        <v>0.47207507683035227</v>
      </c>
      <c r="N60" s="125">
        <f t="shared" si="23"/>
        <v>0.50127833924297527</v>
      </c>
      <c r="O60" s="125">
        <f t="shared" si="23"/>
        <v>0.12868235715621451</v>
      </c>
      <c r="P60" s="125">
        <f t="shared" si="23"/>
        <v>0.12064292930033264</v>
      </c>
      <c r="Q60" s="125">
        <f t="shared" si="23"/>
        <v>0.15427388568303116</v>
      </c>
      <c r="R60" s="125">
        <f t="shared" si="23"/>
        <v>0.15415890296250365</v>
      </c>
      <c r="S60" s="125">
        <f t="shared" si="23"/>
        <v>0.10683686187758953</v>
      </c>
      <c r="T60" s="125">
        <f t="shared" si="23"/>
        <v>0.10019720614032765</v>
      </c>
      <c r="U60" s="125">
        <f t="shared" si="23"/>
        <v>9.0351600126490114E-2</v>
      </c>
      <c r="V60" s="125">
        <f t="shared" si="23"/>
        <v>7.5612060948845594E-2</v>
      </c>
      <c r="W60" s="125">
        <f t="shared" ref="W60" si="24">IF(W14=0,0,W14/W$10)</f>
        <v>0.11182148738735906</v>
      </c>
      <c r="DA60" s="171"/>
    </row>
    <row r="61" spans="1:105" ht="11.45" customHeight="1" x14ac:dyDescent="0.25">
      <c r="A61" s="111" t="s">
        <v>93</v>
      </c>
      <c r="B61" s="125">
        <f t="shared" si="14"/>
        <v>0.1749936194945515</v>
      </c>
      <c r="C61" s="125">
        <f t="shared" ref="C61:V61" si="25">IF(C15=0,0,C15/C$10)</f>
        <v>0.18537558180643979</v>
      </c>
      <c r="D61" s="125">
        <f t="shared" si="25"/>
        <v>0.20300196190288952</v>
      </c>
      <c r="E61" s="125">
        <f t="shared" si="25"/>
        <v>0.1985637447279443</v>
      </c>
      <c r="F61" s="125">
        <f t="shared" si="25"/>
        <v>0.18632008290575147</v>
      </c>
      <c r="G61" s="125">
        <f t="shared" si="25"/>
        <v>0.19426117914045979</v>
      </c>
      <c r="H61" s="125">
        <f t="shared" si="25"/>
        <v>0.13983397431892089</v>
      </c>
      <c r="I61" s="125">
        <f t="shared" si="25"/>
        <v>0.13386227240152113</v>
      </c>
      <c r="J61" s="125">
        <f t="shared" si="25"/>
        <v>0.13174659058403174</v>
      </c>
      <c r="K61" s="125">
        <f t="shared" si="25"/>
        <v>7.7981490640823478E-2</v>
      </c>
      <c r="L61" s="125">
        <f t="shared" si="25"/>
        <v>7.4705901429683766E-2</v>
      </c>
      <c r="M61" s="125">
        <f t="shared" si="25"/>
        <v>0.14239219914924905</v>
      </c>
      <c r="N61" s="125">
        <f t="shared" si="25"/>
        <v>0.1402354314573909</v>
      </c>
      <c r="O61" s="125">
        <f t="shared" si="25"/>
        <v>0.2842975828058143</v>
      </c>
      <c r="P61" s="125">
        <f t="shared" si="25"/>
        <v>0.3061837233922069</v>
      </c>
      <c r="Q61" s="125">
        <f t="shared" si="25"/>
        <v>0.30783306917374803</v>
      </c>
      <c r="R61" s="125">
        <f t="shared" si="25"/>
        <v>0.31565279313080119</v>
      </c>
      <c r="S61" s="125">
        <f t="shared" si="25"/>
        <v>0.31463425399100503</v>
      </c>
      <c r="T61" s="125">
        <f t="shared" si="25"/>
        <v>0.30480420576852213</v>
      </c>
      <c r="U61" s="125">
        <f t="shared" si="25"/>
        <v>0.28552309561493588</v>
      </c>
      <c r="V61" s="125">
        <f t="shared" si="25"/>
        <v>0.37872455450166354</v>
      </c>
      <c r="W61" s="125">
        <f t="shared" ref="W61" si="26">IF(W15=0,0,W15/W$10)</f>
        <v>0.42530615062308619</v>
      </c>
      <c r="DA61" s="171"/>
    </row>
    <row r="62" spans="1:105" ht="11.45" customHeight="1" x14ac:dyDescent="0.25">
      <c r="A62" s="112" t="s">
        <v>25</v>
      </c>
      <c r="B62" s="126">
        <f t="shared" si="14"/>
        <v>3.5916233601580104E-2</v>
      </c>
      <c r="C62" s="126">
        <f t="shared" ref="C62:V62" si="27">IF(C16=0,0,C16/C$10)</f>
        <v>3.4797682993942758E-2</v>
      </c>
      <c r="D62" s="126">
        <f t="shared" si="27"/>
        <v>3.6976253667205285E-2</v>
      </c>
      <c r="E62" s="126">
        <f t="shared" si="27"/>
        <v>3.0403248055901604E-2</v>
      </c>
      <c r="F62" s="126">
        <f t="shared" si="27"/>
        <v>2.8712498323716019E-2</v>
      </c>
      <c r="G62" s="126">
        <f t="shared" si="27"/>
        <v>2.8151036150725388E-2</v>
      </c>
      <c r="H62" s="126">
        <f t="shared" si="27"/>
        <v>3.8865088651069232E-2</v>
      </c>
      <c r="I62" s="126">
        <f t="shared" si="27"/>
        <v>3.2950325974140666E-2</v>
      </c>
      <c r="J62" s="126">
        <f t="shared" si="27"/>
        <v>6.7121653784942156E-2</v>
      </c>
      <c r="K62" s="126">
        <f t="shared" si="27"/>
        <v>0.16305547488964392</v>
      </c>
      <c r="L62" s="126">
        <f t="shared" si="27"/>
        <v>0.16282801917350831</v>
      </c>
      <c r="M62" s="126">
        <f t="shared" si="27"/>
        <v>0.16387630839808645</v>
      </c>
      <c r="N62" s="126">
        <f t="shared" si="27"/>
        <v>0.14827764590530729</v>
      </c>
      <c r="O62" s="126">
        <f t="shared" si="27"/>
        <v>0.35090061339747858</v>
      </c>
      <c r="P62" s="126">
        <f t="shared" si="27"/>
        <v>0.33141099171822641</v>
      </c>
      <c r="Q62" s="126">
        <f t="shared" si="27"/>
        <v>0.30974656192155592</v>
      </c>
      <c r="R62" s="126">
        <f t="shared" si="27"/>
        <v>0.32100928862678113</v>
      </c>
      <c r="S62" s="126">
        <f t="shared" si="27"/>
        <v>0.3328799247797361</v>
      </c>
      <c r="T62" s="126">
        <f t="shared" si="27"/>
        <v>0.33219040308087244</v>
      </c>
      <c r="U62" s="126">
        <f t="shared" si="27"/>
        <v>0.33983088154455071</v>
      </c>
      <c r="V62" s="126">
        <f t="shared" si="27"/>
        <v>0.20057860147901913</v>
      </c>
      <c r="W62" s="126">
        <f t="shared" ref="W62" si="28">IF(W16=0,0,W16/W$10)</f>
        <v>0.20616553562698078</v>
      </c>
      <c r="DA62" s="204"/>
    </row>
    <row r="63" spans="1:105" ht="11.45" customHeight="1" x14ac:dyDescent="0.25">
      <c r="A63" s="27" t="s">
        <v>34</v>
      </c>
      <c r="B63" s="31">
        <f t="shared" si="14"/>
        <v>0.2910552999579426</v>
      </c>
      <c r="C63" s="31">
        <f t="shared" ref="C63:V63" si="29">IF(C17=0,0,C17/C$10)</f>
        <v>0.30000409781447507</v>
      </c>
      <c r="D63" s="31">
        <f t="shared" si="29"/>
        <v>0.27641889509186879</v>
      </c>
      <c r="E63" s="31">
        <f t="shared" si="29"/>
        <v>0.22705170502886365</v>
      </c>
      <c r="F63" s="31">
        <f t="shared" si="29"/>
        <v>0.19718412628259482</v>
      </c>
      <c r="G63" s="31">
        <f t="shared" si="29"/>
        <v>0.17323880568818598</v>
      </c>
      <c r="H63" s="31">
        <f t="shared" si="29"/>
        <v>0.20559500292079522</v>
      </c>
      <c r="I63" s="31">
        <f t="shared" si="29"/>
        <v>0.24119576200959908</v>
      </c>
      <c r="J63" s="31">
        <f t="shared" si="29"/>
        <v>0.24116454785681696</v>
      </c>
      <c r="K63" s="31">
        <f t="shared" si="29"/>
        <v>0.23843117224845337</v>
      </c>
      <c r="L63" s="31">
        <f t="shared" si="29"/>
        <v>0.27266541007763156</v>
      </c>
      <c r="M63" s="31">
        <f t="shared" si="29"/>
        <v>0.17781294271845247</v>
      </c>
      <c r="N63" s="31">
        <f t="shared" si="29"/>
        <v>0.17005799488290235</v>
      </c>
      <c r="O63" s="31">
        <f t="shared" si="29"/>
        <v>0.15166790779000847</v>
      </c>
      <c r="P63" s="31">
        <f t="shared" si="29"/>
        <v>0.15891414218069275</v>
      </c>
      <c r="Q63" s="31">
        <f t="shared" si="29"/>
        <v>0.15005044973965173</v>
      </c>
      <c r="R63" s="31">
        <f t="shared" si="29"/>
        <v>0.12685013505140327</v>
      </c>
      <c r="S63" s="31">
        <f t="shared" si="29"/>
        <v>0.16274093318440772</v>
      </c>
      <c r="T63" s="31">
        <f t="shared" si="29"/>
        <v>0.16897026070896115</v>
      </c>
      <c r="U63" s="31">
        <f t="shared" si="29"/>
        <v>0.1882024413357444</v>
      </c>
      <c r="V63" s="31">
        <f t="shared" si="29"/>
        <v>0.24042101288363876</v>
      </c>
      <c r="W63" s="31">
        <f t="shared" ref="W63" si="30">IF(W17=0,0,W17/W$10)</f>
        <v>0.15849751689489416</v>
      </c>
      <c r="DA63" s="173"/>
    </row>
    <row r="64" spans="1:105" ht="11.45" customHeight="1" x14ac:dyDescent="0.25">
      <c r="A64" s="83" t="s">
        <v>92</v>
      </c>
      <c r="B64" s="125">
        <f t="shared" si="14"/>
        <v>0.24363527214351804</v>
      </c>
      <c r="C64" s="125">
        <f t="shared" ref="C64:V64" si="31">IF(C18=0,0,C18/C$10)</f>
        <v>0.24456088861597808</v>
      </c>
      <c r="D64" s="125">
        <f t="shared" si="31"/>
        <v>0.21183244503518253</v>
      </c>
      <c r="E64" s="125">
        <f t="shared" si="31"/>
        <v>0.16128841388447743</v>
      </c>
      <c r="F64" s="125">
        <f t="shared" si="31"/>
        <v>0.13858775214129265</v>
      </c>
      <c r="G64" s="125">
        <f t="shared" si="31"/>
        <v>0.12158285523110712</v>
      </c>
      <c r="H64" s="125">
        <f t="shared" si="31"/>
        <v>0.1747973358515241</v>
      </c>
      <c r="I64" s="125">
        <f t="shared" si="31"/>
        <v>0.2048010327364444</v>
      </c>
      <c r="J64" s="125">
        <f t="shared" si="31"/>
        <v>0.21129675008403673</v>
      </c>
      <c r="K64" s="125">
        <f t="shared" si="31"/>
        <v>0.23034627226927898</v>
      </c>
      <c r="L64" s="125">
        <f t="shared" si="31"/>
        <v>0.25990558132288022</v>
      </c>
      <c r="M64" s="125">
        <f t="shared" si="31"/>
        <v>0.14821547980902863</v>
      </c>
      <c r="N64" s="125">
        <f t="shared" si="31"/>
        <v>0.14693737183155736</v>
      </c>
      <c r="O64" s="125">
        <f t="shared" si="31"/>
        <v>8.1775463560167891E-2</v>
      </c>
      <c r="P64" s="125">
        <f t="shared" si="31"/>
        <v>8.4134035695127493E-2</v>
      </c>
      <c r="Q64" s="125">
        <f t="shared" si="31"/>
        <v>6.4459811318516039E-2</v>
      </c>
      <c r="R64" s="125">
        <f t="shared" si="31"/>
        <v>5.1931702693697103E-2</v>
      </c>
      <c r="S64" s="125">
        <f t="shared" si="31"/>
        <v>9.4383426733268896E-2</v>
      </c>
      <c r="T64" s="125">
        <f t="shared" si="31"/>
        <v>0.10548958814105325</v>
      </c>
      <c r="U64" s="125">
        <f t="shared" si="31"/>
        <v>0.12733317881377315</v>
      </c>
      <c r="V64" s="125">
        <f t="shared" si="31"/>
        <v>0.11870170227866397</v>
      </c>
      <c r="W64" s="125">
        <f t="shared" ref="W64" si="32">IF(W18=0,0,W18/W$10)</f>
        <v>6.0328656909980585E-2</v>
      </c>
      <c r="DA64" s="171"/>
    </row>
    <row r="65" spans="1:105" ht="11.45" customHeight="1" x14ac:dyDescent="0.25">
      <c r="A65" s="85" t="s">
        <v>93</v>
      </c>
      <c r="B65" s="127">
        <f t="shared" si="14"/>
        <v>4.7420027814424566E-2</v>
      </c>
      <c r="C65" s="127">
        <f t="shared" ref="C65:V65" si="33">IF(C19=0,0,C19/C$10)</f>
        <v>5.5443209198496997E-2</v>
      </c>
      <c r="D65" s="127">
        <f t="shared" si="33"/>
        <v>6.4586450056686229E-2</v>
      </c>
      <c r="E65" s="127">
        <f t="shared" si="33"/>
        <v>6.5763291144386227E-2</v>
      </c>
      <c r="F65" s="127">
        <f t="shared" si="33"/>
        <v>5.8596374141302157E-2</v>
      </c>
      <c r="G65" s="127">
        <f t="shared" si="33"/>
        <v>5.1655950457078853E-2</v>
      </c>
      <c r="H65" s="127">
        <f t="shared" si="33"/>
        <v>3.07976670692711E-2</v>
      </c>
      <c r="I65" s="127">
        <f t="shared" si="33"/>
        <v>3.639472927315468E-2</v>
      </c>
      <c r="J65" s="127">
        <f t="shared" si="33"/>
        <v>2.9867797772780195E-2</v>
      </c>
      <c r="K65" s="127">
        <f t="shared" si="33"/>
        <v>8.0848999791743661E-3</v>
      </c>
      <c r="L65" s="127">
        <f t="shared" si="33"/>
        <v>1.2759828754751297E-2</v>
      </c>
      <c r="M65" s="127">
        <f t="shared" si="33"/>
        <v>2.9597462909423815E-2</v>
      </c>
      <c r="N65" s="127">
        <f t="shared" si="33"/>
        <v>2.3120623051344998E-2</v>
      </c>
      <c r="O65" s="127">
        <f t="shared" si="33"/>
        <v>6.9892444229840575E-2</v>
      </c>
      <c r="P65" s="127">
        <f t="shared" si="33"/>
        <v>7.4780106485565254E-2</v>
      </c>
      <c r="Q65" s="127">
        <f t="shared" si="33"/>
        <v>8.5590638421135692E-2</v>
      </c>
      <c r="R65" s="127">
        <f t="shared" si="33"/>
        <v>7.4918432357706177E-2</v>
      </c>
      <c r="S65" s="127">
        <f t="shared" si="33"/>
        <v>6.8357506451138833E-2</v>
      </c>
      <c r="T65" s="127">
        <f t="shared" si="33"/>
        <v>6.3480672567907889E-2</v>
      </c>
      <c r="U65" s="127">
        <f t="shared" si="33"/>
        <v>6.0869262521971217E-2</v>
      </c>
      <c r="V65" s="127">
        <f t="shared" si="33"/>
        <v>0.12171931060497478</v>
      </c>
      <c r="W65" s="127">
        <f t="shared" ref="W65" si="34">IF(W19=0,0,W19/W$10)</f>
        <v>9.8168859984913592E-2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1542.1691703599997</v>
      </c>
      <c r="C4" s="26">
        <f t="shared" ref="C4:W4" si="0">SUM(C5:C6)</f>
        <v>1644.1307110799999</v>
      </c>
      <c r="D4" s="26">
        <f t="shared" si="0"/>
        <v>1612.2678296400002</v>
      </c>
      <c r="E4" s="26">
        <f t="shared" si="0"/>
        <v>1790.7006592800001</v>
      </c>
      <c r="F4" s="26">
        <f t="shared" si="0"/>
        <v>2045.6045110799998</v>
      </c>
      <c r="G4" s="26">
        <f t="shared" si="0"/>
        <v>2224.03734072</v>
      </c>
      <c r="H4" s="26">
        <f t="shared" si="0"/>
        <v>1975.50611856</v>
      </c>
      <c r="I4" s="26">
        <f t="shared" si="0"/>
        <v>2341.93058892</v>
      </c>
      <c r="J4" s="26">
        <f t="shared" si="0"/>
        <v>2246.3414110799999</v>
      </c>
      <c r="K4" s="26">
        <f t="shared" si="0"/>
        <v>1911.78008892</v>
      </c>
      <c r="L4" s="26">
        <f t="shared" si="0"/>
        <v>1975.50611856</v>
      </c>
      <c r="M4" s="26">
        <f t="shared" si="0"/>
        <v>1625.0130889200002</v>
      </c>
      <c r="N4" s="26">
        <f t="shared" si="0"/>
        <v>1790.7006592800001</v>
      </c>
      <c r="O4" s="26">
        <f t="shared" si="0"/>
        <v>251.71767036</v>
      </c>
      <c r="P4" s="26">
        <f t="shared" si="0"/>
        <v>248.53148892000002</v>
      </c>
      <c r="Q4" s="26">
        <f t="shared" si="0"/>
        <v>274.02174071999997</v>
      </c>
      <c r="R4" s="26">
        <f t="shared" si="0"/>
        <v>248.53148892000002</v>
      </c>
      <c r="S4" s="26">
        <f t="shared" si="0"/>
        <v>245.34504071999999</v>
      </c>
      <c r="T4" s="26">
        <f t="shared" si="0"/>
        <v>251.71767036</v>
      </c>
      <c r="U4" s="26">
        <f t="shared" si="0"/>
        <v>258.09030000000001</v>
      </c>
      <c r="V4" s="26">
        <f t="shared" si="0"/>
        <v>187.99164071999999</v>
      </c>
      <c r="W4" s="26">
        <f t="shared" si="0"/>
        <v>171.29860020000001</v>
      </c>
      <c r="DA4" s="202" t="s">
        <v>1135</v>
      </c>
    </row>
    <row r="5" spans="1:105" ht="11.45" customHeight="1" x14ac:dyDescent="0.25">
      <c r="A5" s="107" t="s">
        <v>92</v>
      </c>
      <c r="B5" s="129">
        <v>1542.1691703599997</v>
      </c>
      <c r="C5" s="129">
        <v>1644.1307110799999</v>
      </c>
      <c r="D5" s="129">
        <v>1612.2678296400002</v>
      </c>
      <c r="E5" s="129">
        <v>1790.7006592800001</v>
      </c>
      <c r="F5" s="129">
        <v>2045.6045110799998</v>
      </c>
      <c r="G5" s="129">
        <v>2224.03734072</v>
      </c>
      <c r="H5" s="129">
        <v>1975.50611856</v>
      </c>
      <c r="I5" s="129">
        <v>2341.93058892</v>
      </c>
      <c r="J5" s="129">
        <v>2246.3414110799999</v>
      </c>
      <c r="K5" s="129">
        <v>1911.78008892</v>
      </c>
      <c r="L5" s="129">
        <v>1975.50611856</v>
      </c>
      <c r="M5" s="129">
        <v>1625.0130889200002</v>
      </c>
      <c r="N5" s="129">
        <v>1790.7006592800001</v>
      </c>
      <c r="O5" s="129">
        <v>251.71767036</v>
      </c>
      <c r="P5" s="129">
        <v>248.53148892000002</v>
      </c>
      <c r="Q5" s="129">
        <v>274.02174071999997</v>
      </c>
      <c r="R5" s="129">
        <v>248.53148892000002</v>
      </c>
      <c r="S5" s="129">
        <v>245.34504071999999</v>
      </c>
      <c r="T5" s="129">
        <v>251.71767036</v>
      </c>
      <c r="U5" s="129">
        <v>258.09030000000001</v>
      </c>
      <c r="V5" s="129">
        <v>187.99164071999999</v>
      </c>
      <c r="W5" s="129">
        <v>171.29860020000001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1542.1691703599995</v>
      </c>
      <c r="C8" s="79">
        <f t="shared" si="1"/>
        <v>1644.1307110799999</v>
      </c>
      <c r="D8" s="79">
        <f t="shared" si="1"/>
        <v>1612.2678296400002</v>
      </c>
      <c r="E8" s="79">
        <f t="shared" si="1"/>
        <v>1790.7006592800003</v>
      </c>
      <c r="F8" s="79">
        <f t="shared" si="1"/>
        <v>2045.6045110800001</v>
      </c>
      <c r="G8" s="79">
        <f t="shared" si="1"/>
        <v>2224.03734072</v>
      </c>
      <c r="H8" s="79">
        <f t="shared" si="1"/>
        <v>1975.50611856</v>
      </c>
      <c r="I8" s="79">
        <f t="shared" si="1"/>
        <v>2341.9305889200004</v>
      </c>
      <c r="J8" s="79">
        <f t="shared" si="1"/>
        <v>2246.3414110799999</v>
      </c>
      <c r="K8" s="79">
        <f t="shared" si="1"/>
        <v>1911.78008892</v>
      </c>
      <c r="L8" s="79">
        <f t="shared" si="1"/>
        <v>1975.50611856</v>
      </c>
      <c r="M8" s="79">
        <f t="shared" si="1"/>
        <v>1625.01308892</v>
      </c>
      <c r="N8" s="79">
        <f t="shared" si="1"/>
        <v>1790.7006592799999</v>
      </c>
      <c r="O8" s="79">
        <f t="shared" si="1"/>
        <v>251.71767036</v>
      </c>
      <c r="P8" s="79">
        <f t="shared" si="1"/>
        <v>248.53148892000002</v>
      </c>
      <c r="Q8" s="79">
        <f t="shared" si="1"/>
        <v>274.02174071999997</v>
      </c>
      <c r="R8" s="79">
        <f t="shared" si="1"/>
        <v>248.53148891999999</v>
      </c>
      <c r="S8" s="79">
        <f t="shared" si="1"/>
        <v>245.34504071999999</v>
      </c>
      <c r="T8" s="79">
        <f t="shared" si="1"/>
        <v>251.71767036000003</v>
      </c>
      <c r="U8" s="79">
        <f t="shared" si="1"/>
        <v>258.09030000000001</v>
      </c>
      <c r="V8" s="79">
        <f t="shared" si="1"/>
        <v>187.99164071999999</v>
      </c>
      <c r="W8" s="79">
        <f t="shared" si="1"/>
        <v>171.29860020000001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1006.1067426469866</v>
      </c>
      <c r="C9" s="32">
        <f t="shared" si="2"/>
        <v>1058.1969648376503</v>
      </c>
      <c r="D9" s="32">
        <f t="shared" si="2"/>
        <v>1093.3007448977739</v>
      </c>
      <c r="E9" s="32">
        <f t="shared" si="2"/>
        <v>1358.6501755316776</v>
      </c>
      <c r="F9" s="32">
        <f t="shared" si="2"/>
        <v>1636.3009973249332</v>
      </c>
      <c r="G9" s="32">
        <f t="shared" si="2"/>
        <v>1835.1855988254476</v>
      </c>
      <c r="H9" s="32">
        <f t="shared" si="2"/>
        <v>1516.6514497232095</v>
      </c>
      <c r="I9" s="32">
        <f t="shared" si="2"/>
        <v>1713.9729414292335</v>
      </c>
      <c r="J9" s="32">
        <f t="shared" si="2"/>
        <v>1603.5020565191926</v>
      </c>
      <c r="K9" s="32">
        <f t="shared" si="2"/>
        <v>1295.6083141180757</v>
      </c>
      <c r="L9" s="32">
        <f t="shared" si="2"/>
        <v>1249.8345366023866</v>
      </c>
      <c r="M9" s="32">
        <f t="shared" si="2"/>
        <v>1236.7239362120795</v>
      </c>
      <c r="N9" s="32">
        <f t="shared" si="2"/>
        <v>1384.7850911808084</v>
      </c>
      <c r="O9" s="32">
        <f t="shared" si="2"/>
        <v>153.91028496606671</v>
      </c>
      <c r="P9" s="32">
        <f t="shared" si="2"/>
        <v>146.42060374000903</v>
      </c>
      <c r="Q9" s="32">
        <f t="shared" si="2"/>
        <v>193.26879800419346</v>
      </c>
      <c r="R9" s="32">
        <f t="shared" si="2"/>
        <v>185.90532820044666</v>
      </c>
      <c r="S9" s="32">
        <f t="shared" si="2"/>
        <v>130.26466868082878</v>
      </c>
      <c r="T9" s="32">
        <f t="shared" si="2"/>
        <v>122.62045015744138</v>
      </c>
      <c r="U9" s="32">
        <f t="shared" si="2"/>
        <v>107.12219612068054</v>
      </c>
      <c r="V9" s="32">
        <f t="shared" si="2"/>
        <v>73.151974208596585</v>
      </c>
      <c r="W9" s="32">
        <f t="shared" si="2"/>
        <v>111.26836018593205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1006.1067426469866</v>
      </c>
      <c r="C11" s="130">
        <f t="shared" si="3"/>
        <v>1058.1969648376503</v>
      </c>
      <c r="D11" s="130">
        <f t="shared" si="3"/>
        <v>1093.3007448977739</v>
      </c>
      <c r="E11" s="130">
        <f t="shared" si="3"/>
        <v>1358.6501755316776</v>
      </c>
      <c r="F11" s="130">
        <f t="shared" si="3"/>
        <v>1636.3009973249332</v>
      </c>
      <c r="G11" s="130">
        <f t="shared" si="3"/>
        <v>1835.1855988254476</v>
      </c>
      <c r="H11" s="130">
        <f t="shared" si="3"/>
        <v>1516.6514497232095</v>
      </c>
      <c r="I11" s="130">
        <f t="shared" si="3"/>
        <v>1713.9729414292335</v>
      </c>
      <c r="J11" s="130">
        <f t="shared" si="3"/>
        <v>1603.5020565191926</v>
      </c>
      <c r="K11" s="130">
        <f t="shared" si="3"/>
        <v>1295.6083141180757</v>
      </c>
      <c r="L11" s="130">
        <f t="shared" si="3"/>
        <v>1249.8345366023866</v>
      </c>
      <c r="M11" s="130">
        <f t="shared" si="3"/>
        <v>1236.7239362120795</v>
      </c>
      <c r="N11" s="130">
        <f t="shared" si="3"/>
        <v>1384.7850911808084</v>
      </c>
      <c r="O11" s="130">
        <f t="shared" si="3"/>
        <v>153.91028496606671</v>
      </c>
      <c r="P11" s="130">
        <f t="shared" si="3"/>
        <v>146.42060374000903</v>
      </c>
      <c r="Q11" s="130">
        <f t="shared" si="3"/>
        <v>193.26879800419346</v>
      </c>
      <c r="R11" s="130">
        <f t="shared" si="3"/>
        <v>185.90532820044666</v>
      </c>
      <c r="S11" s="130">
        <f t="shared" si="3"/>
        <v>130.26466868082878</v>
      </c>
      <c r="T11" s="130">
        <f t="shared" si="3"/>
        <v>122.62045015744138</v>
      </c>
      <c r="U11" s="130">
        <f t="shared" si="3"/>
        <v>107.12219612068054</v>
      </c>
      <c r="V11" s="130">
        <f t="shared" si="3"/>
        <v>73.151974208596585</v>
      </c>
      <c r="W11" s="130">
        <f t="shared" si="3"/>
        <v>111.26836018593205</v>
      </c>
      <c r="DA11" s="176" t="s">
        <v>408</v>
      </c>
    </row>
    <row r="12" spans="1:105" ht="11.45" customHeight="1" x14ac:dyDescent="0.25">
      <c r="A12" s="111" t="s">
        <v>92</v>
      </c>
      <c r="B12" s="96">
        <v>1006.1067426469866</v>
      </c>
      <c r="C12" s="96">
        <v>1058.1969648376503</v>
      </c>
      <c r="D12" s="96">
        <v>1093.3007448977739</v>
      </c>
      <c r="E12" s="96">
        <v>1358.6501755316776</v>
      </c>
      <c r="F12" s="96">
        <v>1636.3009973249332</v>
      </c>
      <c r="G12" s="96">
        <v>1835.1855988254476</v>
      </c>
      <c r="H12" s="96">
        <v>1516.6514497232095</v>
      </c>
      <c r="I12" s="96">
        <v>1713.9729414292335</v>
      </c>
      <c r="J12" s="96">
        <v>1603.5020565191926</v>
      </c>
      <c r="K12" s="96">
        <v>1295.6083141180757</v>
      </c>
      <c r="L12" s="96">
        <v>1249.8345366023866</v>
      </c>
      <c r="M12" s="96">
        <v>1236.7239362120795</v>
      </c>
      <c r="N12" s="96">
        <v>1384.7850911808084</v>
      </c>
      <c r="O12" s="96">
        <v>153.91028496606671</v>
      </c>
      <c r="P12" s="96">
        <v>146.42060374000903</v>
      </c>
      <c r="Q12" s="96">
        <v>193.26879800419346</v>
      </c>
      <c r="R12" s="96">
        <v>185.90532820044666</v>
      </c>
      <c r="S12" s="96">
        <v>130.26466868082878</v>
      </c>
      <c r="T12" s="96">
        <v>122.62045015744138</v>
      </c>
      <c r="U12" s="96">
        <v>107.12219612068054</v>
      </c>
      <c r="V12" s="96">
        <v>73.151974208596585</v>
      </c>
      <c r="W12" s="96">
        <v>111.26836018593205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536.06242771301299</v>
      </c>
      <c r="C15" s="32">
        <f t="shared" si="4"/>
        <v>585.93374624234957</v>
      </c>
      <c r="D15" s="32">
        <f t="shared" si="4"/>
        <v>518.96708474222623</v>
      </c>
      <c r="E15" s="32">
        <f t="shared" si="4"/>
        <v>432.05048374832268</v>
      </c>
      <c r="F15" s="32">
        <f t="shared" si="4"/>
        <v>409.303513755067</v>
      </c>
      <c r="G15" s="32">
        <f t="shared" si="4"/>
        <v>388.85174189455216</v>
      </c>
      <c r="H15" s="32">
        <f t="shared" si="4"/>
        <v>458.85466883679055</v>
      </c>
      <c r="I15" s="32">
        <f t="shared" si="4"/>
        <v>627.9576474907667</v>
      </c>
      <c r="J15" s="32">
        <f t="shared" si="4"/>
        <v>642.83935456080735</v>
      </c>
      <c r="K15" s="32">
        <f t="shared" si="4"/>
        <v>616.17177480192436</v>
      </c>
      <c r="L15" s="32">
        <f t="shared" si="4"/>
        <v>725.6715819576134</v>
      </c>
      <c r="M15" s="32">
        <f t="shared" si="4"/>
        <v>388.28915270792038</v>
      </c>
      <c r="N15" s="32">
        <f t="shared" si="4"/>
        <v>405.91556809919149</v>
      </c>
      <c r="O15" s="32">
        <f t="shared" si="4"/>
        <v>97.807385393933302</v>
      </c>
      <c r="P15" s="32">
        <f t="shared" si="4"/>
        <v>102.11088517999099</v>
      </c>
      <c r="Q15" s="32">
        <f t="shared" si="4"/>
        <v>80.752942715806512</v>
      </c>
      <c r="R15" s="32">
        <f t="shared" si="4"/>
        <v>62.626160719553333</v>
      </c>
      <c r="S15" s="32">
        <f t="shared" si="4"/>
        <v>115.08037203917121</v>
      </c>
      <c r="T15" s="32">
        <f t="shared" si="4"/>
        <v>129.09722020255865</v>
      </c>
      <c r="U15" s="32">
        <f t="shared" si="4"/>
        <v>150.96810387931947</v>
      </c>
      <c r="V15" s="32">
        <f t="shared" si="4"/>
        <v>114.83966651140341</v>
      </c>
      <c r="W15" s="32">
        <f t="shared" si="4"/>
        <v>60.030240014067964</v>
      </c>
      <c r="DA15" s="173" t="s">
        <v>413</v>
      </c>
    </row>
    <row r="16" spans="1:105" ht="11.45" customHeight="1" x14ac:dyDescent="0.25">
      <c r="A16" s="83" t="s">
        <v>92</v>
      </c>
      <c r="B16" s="96">
        <v>536.06242771301299</v>
      </c>
      <c r="C16" s="96">
        <v>585.93374624234957</v>
      </c>
      <c r="D16" s="96">
        <v>518.96708474222623</v>
      </c>
      <c r="E16" s="96">
        <v>432.05048374832268</v>
      </c>
      <c r="F16" s="96">
        <v>409.303513755067</v>
      </c>
      <c r="G16" s="96">
        <v>388.85174189455216</v>
      </c>
      <c r="H16" s="96">
        <v>458.85466883679055</v>
      </c>
      <c r="I16" s="96">
        <v>627.9576474907667</v>
      </c>
      <c r="J16" s="96">
        <v>642.83935456080735</v>
      </c>
      <c r="K16" s="96">
        <v>616.17177480192436</v>
      </c>
      <c r="L16" s="96">
        <v>725.6715819576134</v>
      </c>
      <c r="M16" s="96">
        <v>388.28915270792038</v>
      </c>
      <c r="N16" s="96">
        <v>405.91556809919149</v>
      </c>
      <c r="O16" s="96">
        <v>97.807385393933302</v>
      </c>
      <c r="P16" s="96">
        <v>102.11088517999099</v>
      </c>
      <c r="Q16" s="96">
        <v>80.752942715806512</v>
      </c>
      <c r="R16" s="96">
        <v>62.626160719553333</v>
      </c>
      <c r="S16" s="96">
        <v>115.08037203917121</v>
      </c>
      <c r="T16" s="96">
        <v>129.09722020255865</v>
      </c>
      <c r="U16" s="96">
        <v>150.96810387931947</v>
      </c>
      <c r="V16" s="96">
        <v>114.83966651140341</v>
      </c>
      <c r="W16" s="96">
        <v>60.030240014067964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2.1744890983264895</v>
      </c>
      <c r="C22" s="134">
        <f>IF(C4=0,0,C4/TrRail_ene!C4)</f>
        <v>2.1289980195434688</v>
      </c>
      <c r="D22" s="134">
        <f>IF(D4=0,0,D4/TrRail_ene!D4)</f>
        <v>2.0416922350338949</v>
      </c>
      <c r="E22" s="134">
        <f>IF(E4=0,0,E4/TrRail_ene!E4)</f>
        <v>2.0739204419203849</v>
      </c>
      <c r="F22" s="134">
        <f>IF(F4=0,0,F4/TrRail_ene!F4)</f>
        <v>2.1488271072562264</v>
      </c>
      <c r="G22" s="134">
        <f>IF(G4=0,0,G4/TrRail_ene!G4)</f>
        <v>2.157400561318624</v>
      </c>
      <c r="H22" s="134">
        <f>IF(H4=0,0,H4/TrRail_ene!H4)</f>
        <v>2.3347396385786334</v>
      </c>
      <c r="I22" s="134">
        <f>IF(I4=0,0,I4/TrRail_ene!I4)</f>
        <v>2.3696064925052509</v>
      </c>
      <c r="J22" s="134">
        <f>IF(J4=0,0,J4/TrRail_ene!J4)</f>
        <v>2.2906912017791403</v>
      </c>
      <c r="K22" s="134">
        <f>IF(K4=0,0,K4/TrRail_ene!K4)</f>
        <v>2.2172657343068534</v>
      </c>
      <c r="L22" s="134">
        <f>IF(L4=0,0,L4/TrRail_ene!L4)</f>
        <v>2.1950999124117621</v>
      </c>
      <c r="M22" s="134">
        <f>IF(M4=0,0,M4/TrRail_ene!M4)</f>
        <v>1.9244010843804804</v>
      </c>
      <c r="N22" s="134">
        <f>IF(N4=0,0,N4/TrRail_ene!N4)</f>
        <v>2.011036608492998</v>
      </c>
      <c r="O22" s="134">
        <f>IF(O4=0,0,O4/TrRail_ene!O4)</f>
        <v>0.65292829959753429</v>
      </c>
      <c r="P22" s="134">
        <f>IF(P4=0,0,P4/TrRail_ene!P4)</f>
        <v>0.63530390600885733</v>
      </c>
      <c r="Q22" s="134">
        <f>IF(Q4=0,0,Q4/TrRail_ene!Q4)</f>
        <v>0.67860353377110372</v>
      </c>
      <c r="R22" s="134">
        <f>IF(R4=0,0,R4/TrRail_ene!R4)</f>
        <v>0.63937936949118368</v>
      </c>
      <c r="S22" s="134">
        <f>IF(S4=0,0,S4/TrRail_ene!S4)</f>
        <v>0.62426960632775308</v>
      </c>
      <c r="T22" s="134">
        <f>IF(T4=0,0,T4/TrRail_ene!T4)</f>
        <v>0.63812657749028845</v>
      </c>
      <c r="U22" s="134">
        <f>IF(U4=0,0,U4/TrRail_ene!U4)</f>
        <v>0.67534935065811696</v>
      </c>
      <c r="V22" s="134">
        <f>IF(V4=0,0,V4/TrRail_ene!V4)</f>
        <v>0.60284267213577436</v>
      </c>
      <c r="W22" s="134">
        <f>IF(W4=0,0,W4/TrRail_ene!W4)</f>
        <v>0.5340818440907793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1.5512094000000003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1.5512094000000003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7026.3741371629167</v>
      </c>
      <c r="C26" s="54">
        <f>IF(C8=0,0,C8/TrRail_act!C14*1000)</f>
        <v>6796.7854428170967</v>
      </c>
      <c r="D26" s="54">
        <f>IF(D8=0,0,D8/TrRail_act!D14*1000)</f>
        <v>6167.3821986255398</v>
      </c>
      <c r="E26" s="54">
        <f>IF(E8=0,0,E8/TrRail_act!E14*1000)</f>
        <v>6158.0737337875589</v>
      </c>
      <c r="F26" s="54">
        <f>IF(F8=0,0,F8/TrRail_act!F14*1000)</f>
        <v>6551.6373095784138</v>
      </c>
      <c r="G26" s="54">
        <f>IF(G8=0,0,G8/TrRail_act!G14*1000)</f>
        <v>6494.9890285606289</v>
      </c>
      <c r="H26" s="54">
        <f>IF(H8=0,0,H8/TrRail_act!H14*1000)</f>
        <v>7315.1435469351345</v>
      </c>
      <c r="I26" s="54">
        <f>IF(I8=0,0,I8/TrRail_act!I14*1000)</f>
        <v>7676.0828524442313</v>
      </c>
      <c r="J26" s="54">
        <f>IF(J8=0,0,J8/TrRail_act!J14*1000)</f>
        <v>7128.8936087580787</v>
      </c>
      <c r="K26" s="54">
        <f>IF(K8=0,0,K8/TrRail_act!K14*1000)</f>
        <v>6877.342222909565</v>
      </c>
      <c r="L26" s="54">
        <f>IF(L8=0,0,L8/TrRail_act!L14*1000)</f>
        <v>6506.6953787293724</v>
      </c>
      <c r="M26" s="54">
        <f>IF(M8=0,0,M8/TrRail_act!M14*1000)</f>
        <v>4735.6825468384441</v>
      </c>
      <c r="N26" s="54">
        <f>IF(N8=0,0,N8/TrRail_act!N14*1000)</f>
        <v>5077.2098830664863</v>
      </c>
      <c r="O26" s="54">
        <f>IF(O8=0,0,O8/TrRail_act!O14*1000)</f>
        <v>892.2079227189455</v>
      </c>
      <c r="P26" s="54">
        <f>IF(P8=0,0,P8/TrRail_act!P14*1000)</f>
        <v>842.33403464898129</v>
      </c>
      <c r="Q26" s="54">
        <f>IF(Q8=0,0,Q8/TrRail_act!Q14*1000)</f>
        <v>888.05114068504747</v>
      </c>
      <c r="R26" s="54">
        <f>IF(R8=0,0,R8/TrRail_act!R14*1000)</f>
        <v>792.23817032098555</v>
      </c>
      <c r="S26" s="54">
        <f>IF(S8=0,0,S8/TrRail_act!S14*1000)</f>
        <v>780.05773492728656</v>
      </c>
      <c r="T26" s="54">
        <f>IF(T8=0,0,T8/TrRail_act!T14*1000)</f>
        <v>772.5288832194409</v>
      </c>
      <c r="U26" s="54">
        <f>IF(U8=0,0,U8/TrRail_act!U14*1000)</f>
        <v>820.63375244002702</v>
      </c>
      <c r="V26" s="54">
        <f>IF(V8=0,0,V8/TrRail_act!V14*1000)</f>
        <v>670.42256745899851</v>
      </c>
      <c r="W26" s="54">
        <f>IF(W8=0,0,W8/TrRail_act!W14*1000)</f>
        <v>580.59155761354964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5229.5962524633114</v>
      </c>
      <c r="C27" s="28">
        <f>IF(C9=0,0,C9/TrRail_act!C15*1000)</f>
        <v>5067.947451221642</v>
      </c>
      <c r="D27" s="28">
        <f>IF(D9=0,0,D9/TrRail_act!D15*1000)</f>
        <v>4859.4879701284108</v>
      </c>
      <c r="E27" s="28">
        <f>IF(E9=0,0,E9/TrRail_act!E15*1000)</f>
        <v>5387.375519205475</v>
      </c>
      <c r="F27" s="28">
        <f>IF(F9=0,0,F9/TrRail_act!F15*1000)</f>
        <v>5981.6510197765938</v>
      </c>
      <c r="G27" s="28">
        <f>IF(G9=0,0,G9/TrRail_act!G15*1000)</f>
        <v>6027.8296847620404</v>
      </c>
      <c r="H27" s="28">
        <f>IF(H9=0,0,H9/TrRail_act!H15*1000)</f>
        <v>6200.7536934383443</v>
      </c>
      <c r="I27" s="28">
        <f>IF(I9=0,0,I9/TrRail_act!I15*1000)</f>
        <v>6367.7877806090992</v>
      </c>
      <c r="J27" s="28">
        <f>IF(J9=0,0,J9/TrRail_act!J15*1000)</f>
        <v>5686.9183156742502</v>
      </c>
      <c r="K27" s="28">
        <f>IF(K9=0,0,K9/TrRail_act!K15*1000)</f>
        <v>5006.3118880425354</v>
      </c>
      <c r="L27" s="28">
        <f>IF(L9=0,0,L9/TrRail_act!L15*1000)</f>
        <v>4485.0292538610074</v>
      </c>
      <c r="M27" s="28">
        <f>IF(M9=0,0,M9/TrRail_act!M15*1000)</f>
        <v>3898.9390985500895</v>
      </c>
      <c r="N27" s="28">
        <f>IF(N9=0,0,N9/TrRail_act!N15*1000)</f>
        <v>4210.1567031794802</v>
      </c>
      <c r="O27" s="28">
        <f>IF(O9=0,0,O9/TrRail_act!O15*1000)</f>
        <v>595.25359173030506</v>
      </c>
      <c r="P27" s="28">
        <f>IF(P9=0,0,P9/TrRail_act!P15*1000)</f>
        <v>543.87345782323621</v>
      </c>
      <c r="Q27" s="28">
        <f>IF(Q9=0,0,Q9/TrRail_act!Q15*1000)</f>
        <v>691.72654719963475</v>
      </c>
      <c r="R27" s="28">
        <f>IF(R9=0,0,R9/TrRail_act!R15*1000)</f>
        <v>643.76208621195167</v>
      </c>
      <c r="S27" s="28">
        <f>IF(S9=0,0,S9/TrRail_act!S15*1000)</f>
        <v>452.28340438155556</v>
      </c>
      <c r="T27" s="28">
        <f>IF(T9=0,0,T9/TrRail_act!T15*1000)</f>
        <v>409.22565408001253</v>
      </c>
      <c r="U27" s="28">
        <f>IF(U9=0,0,U9/TrRail_act!U15*1000)</f>
        <v>371.72118400803515</v>
      </c>
      <c r="V27" s="28">
        <f>IF(V9=0,0,V9/TrRail_act!V15*1000)</f>
        <v>298.6380297529754</v>
      </c>
      <c r="W27" s="28">
        <f>IF(W9=0,0,W9/TrRail_act!W15*1000)</f>
        <v>415.78788308105112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8485.7129874399543</v>
      </c>
      <c r="C29" s="110">
        <f>IF(C11=0,0,C11/TrRail_act!C17*1000)</f>
        <v>7955.9984217893762</v>
      </c>
      <c r="D29" s="110">
        <f>IF(D11=0,0,D11/TrRail_act!D17*1000)</f>
        <v>7466.1752578024434</v>
      </c>
      <c r="E29" s="110">
        <f>IF(E11=0,0,E11/TrRail_act!E17*1000)</f>
        <v>8019.9912123153026</v>
      </c>
      <c r="F29" s="110">
        <f>IF(F11=0,0,F11/TrRail_act!F17*1000)</f>
        <v>8719.2711736649235</v>
      </c>
      <c r="G29" s="110">
        <f>IF(G11=0,0,G11/TrRail_act!G17*1000)</f>
        <v>8497.9836268435593</v>
      </c>
      <c r="H29" s="110">
        <f>IF(H11=0,0,H11/TrRail_act!H17*1000)</f>
        <v>9982.8023452826055</v>
      </c>
      <c r="I29" s="110">
        <f>IF(I11=0,0,I11/TrRail_act!I17*1000)</f>
        <v>9895.5883827346224</v>
      </c>
      <c r="J29" s="110">
        <f>IF(J11=0,0,J11/TrRail_act!J17*1000)</f>
        <v>9404.6180125593219</v>
      </c>
      <c r="K29" s="110">
        <f>IF(K11=0,0,K11/TrRail_act!K17*1000)</f>
        <v>11266.459198869361</v>
      </c>
      <c r="L29" s="110">
        <f>IF(L11=0,0,L11/TrRail_act!L17*1000)</f>
        <v>10855.711125491212</v>
      </c>
      <c r="M29" s="110">
        <f>IF(M11=0,0,M11/TrRail_act!M17*1000)</f>
        <v>7893.237089987635</v>
      </c>
      <c r="N29" s="110">
        <f>IF(N11=0,0,N11/TrRail_act!N17*1000)</f>
        <v>8023.663955492646</v>
      </c>
      <c r="O29" s="110">
        <f>IF(O11=0,0,O11/TrRail_act!O17*1000)</f>
        <v>1453.6091880296999</v>
      </c>
      <c r="P29" s="110">
        <f>IF(P11=0,0,P11/TrRail_act!P17*1000)</f>
        <v>1261.2937842174961</v>
      </c>
      <c r="Q29" s="110">
        <f>IF(Q11=0,0,Q11/TrRail_act!Q17*1000)</f>
        <v>1504.1460929775196</v>
      </c>
      <c r="R29" s="110">
        <f>IF(R11=0,0,R11/TrRail_act!R17*1000)</f>
        <v>1385.6125435420297</v>
      </c>
      <c r="S29" s="110">
        <f>IF(S11=0,0,S11/TrRail_act!S17*1000)</f>
        <v>1025.3544621936339</v>
      </c>
      <c r="T29" s="110">
        <f>IF(T11=0,0,T11/TrRail_act!T17*1000)</f>
        <v>986.29235044090137</v>
      </c>
      <c r="U29" s="110">
        <f>IF(U11=0,0,U11/TrRail_act!U17*1000)</f>
        <v>945.44898742232988</v>
      </c>
      <c r="V29" s="110">
        <f>IF(V11=0,0,V11/TrRail_act!V17*1000)</f>
        <v>630.12401617613818</v>
      </c>
      <c r="W29" s="110">
        <f>IF(W11=0,0,W11/TrRail_act!W17*1000)</f>
        <v>795.58656000447615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23746.813931725883</v>
      </c>
      <c r="C30" s="84">
        <f>IF(C12=0,0,C12/TrRail_act!C18*1000)</f>
        <v>23656.444054943222</v>
      </c>
      <c r="D30" s="84">
        <f>IF(D12=0,0,D12/TrRail_act!D18*1000)</f>
        <v>23506.610826022239</v>
      </c>
      <c r="E30" s="84">
        <f>IF(E12=0,0,E12/TrRail_act!E18*1000)</f>
        <v>23309.416163344929</v>
      </c>
      <c r="F30" s="84">
        <f>IF(F12=0,0,F12/TrRail_act!F18*1000)</f>
        <v>22867.922380196629</v>
      </c>
      <c r="G30" s="84">
        <f>IF(G12=0,0,G12/TrRail_act!G18*1000)</f>
        <v>22018.579289537356</v>
      </c>
      <c r="H30" s="84">
        <f>IF(H12=0,0,H12/TrRail_act!H18*1000)</f>
        <v>21236.045636974995</v>
      </c>
      <c r="I30" s="84">
        <f>IF(I12=0,0,I12/TrRail_act!I18*1000)</f>
        <v>20931.274525875924</v>
      </c>
      <c r="J30" s="84">
        <f>IF(J12=0,0,J12/TrRail_act!J18*1000)</f>
        <v>20462.520689452922</v>
      </c>
      <c r="K30" s="84">
        <f>IF(K12=0,0,K12/TrRail_act!K18*1000)</f>
        <v>19543.846299626486</v>
      </c>
      <c r="L30" s="84">
        <f>IF(L12=0,0,L12/TrRail_act!L18*1000)</f>
        <v>19053.984553296381</v>
      </c>
      <c r="M30" s="84">
        <f>IF(M12=0,0,M12/TrRail_act!M18*1000)</f>
        <v>18740.516018490678</v>
      </c>
      <c r="N30" s="84">
        <f>IF(N12=0,0,N12/TrRail_act!N18*1000)</f>
        <v>18040.445128975651</v>
      </c>
      <c r="O30" s="84">
        <f>IF(O12=0,0,O12/TrRail_act!O18*1000)</f>
        <v>8229.8563415954268</v>
      </c>
      <c r="P30" s="84">
        <f>IF(P12=0,0,P12/TrRail_act!P18*1000)</f>
        <v>7552.479534595981</v>
      </c>
      <c r="Q30" s="84">
        <f>IF(Q12=0,0,Q12/TrRail_act!Q18*1000)</f>
        <v>7403.0149479230258</v>
      </c>
      <c r="R30" s="84">
        <f>IF(R12=0,0,R12/TrRail_act!R18*1000)</f>
        <v>6133.1162209847935</v>
      </c>
      <c r="S30" s="84">
        <f>IF(S12=0,0,S12/TrRail_act!S18*1000)</f>
        <v>6124.6808221056663</v>
      </c>
      <c r="T30" s="84">
        <f>IF(T12=0,0,T12/TrRail_act!T18*1000)</f>
        <v>5934.811030955133</v>
      </c>
      <c r="U30" s="84">
        <f>IF(U12=0,0,U12/TrRail_act!U18*1000)</f>
        <v>5738.3187083327448</v>
      </c>
      <c r="V30" s="84">
        <f>IF(V12=0,0,V12/TrRail_act!V18*1000)</f>
        <v>5539.2783324928068</v>
      </c>
      <c r="W30" s="84">
        <f>IF(W12=0,0,W12/TrRail_act!W18*1000)</f>
        <v>5394.542008781892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19783.930949096706</v>
      </c>
      <c r="C33" s="28">
        <f>IF(C15=0,0,C15/TrRail_act!C21*1000)</f>
        <v>17703.852111525779</v>
      </c>
      <c r="D33" s="28">
        <f>IF(D15=0,0,D15/TrRail_act!D21*1000)</f>
        <v>14243.328944106235</v>
      </c>
      <c r="E33" s="28">
        <f>IF(E15=0,0,E15/TrRail_act!E21*1000)</f>
        <v>11193.709084405438</v>
      </c>
      <c r="F33" s="28">
        <f>IF(F15=0,0,F15/TrRail_act!F21*1000)</f>
        <v>10583.269664777697</v>
      </c>
      <c r="G33" s="28">
        <f>IF(G15=0,0,G15/TrRail_act!G21*1000)</f>
        <v>10240.637327521441</v>
      </c>
      <c r="H33" s="28">
        <f>IF(H15=0,0,H15/TrRail_act!H21*1000)</f>
        <v>18018.617970372696</v>
      </c>
      <c r="I33" s="28">
        <f>IF(I15=0,0,I15/TrRail_act!I21*1000)</f>
        <v>17476.532453226369</v>
      </c>
      <c r="J33" s="28">
        <f>IF(J15=0,0,J15/TrRail_act!J21*1000)</f>
        <v>19397.378626433769</v>
      </c>
      <c r="K33" s="28">
        <f>IF(K15=0,0,K15/TrRail_act!K21*1000)</f>
        <v>32113.299081052945</v>
      </c>
      <c r="L33" s="28">
        <f>IF(L15=0,0,L15/TrRail_act!L21*1000)</f>
        <v>29092.973284668689</v>
      </c>
      <c r="M33" s="28">
        <f>IF(M15=0,0,M15/TrRail_act!M21*1000)</f>
        <v>14964.511882299641</v>
      </c>
      <c r="N33" s="28">
        <f>IF(N15=0,0,N15/TrRail_act!N21*1000)</f>
        <v>17070.69017912219</v>
      </c>
      <c r="O33" s="28">
        <f>IF(O15=0,0,O15/TrRail_act!O21*1000)</f>
        <v>4150.2919230470707</v>
      </c>
      <c r="P33" s="28">
        <f>IF(P15=0,0,P15/TrRail_act!P21*1000)</f>
        <v>3952.7545810319657</v>
      </c>
      <c r="Q33" s="28">
        <f>IF(Q15=0,0,Q15/TrRail_act!Q21*1000)</f>
        <v>2768.8598276958533</v>
      </c>
      <c r="R33" s="28">
        <f>IF(R15=0,0,R15/TrRail_act!R21*1000)</f>
        <v>2512.232157605908</v>
      </c>
      <c r="S33" s="28">
        <f>IF(S15=0,0,S15/TrRail_act!S21*1000)</f>
        <v>4341.6627421962075</v>
      </c>
      <c r="T33" s="28">
        <f>IF(T15=0,0,T15/TrRail_act!T21*1000)</f>
        <v>4928.1741377861708</v>
      </c>
      <c r="U33" s="28">
        <f>IF(U15=0,0,U15/TrRail_act!U21*1000)</f>
        <v>5735.3655954158257</v>
      </c>
      <c r="V33" s="28">
        <f>IF(V15=0,0,V15/TrRail_act!V21*1000)</f>
        <v>3238.9607441678982</v>
      </c>
      <c r="W33" s="28">
        <f>IF(W15=0,0,W15/TrRail_act!W21*1000)</f>
        <v>2188.2475070525511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49169.54489160818</v>
      </c>
      <c r="C34" s="84">
        <f>IF(C16=0,0,C16/TrRail_act!C22*1000)</f>
        <v>48789.669481986872</v>
      </c>
      <c r="D34" s="84">
        <f>IF(D16=0,0,D16/TrRail_act!D22*1000)</f>
        <v>47675.152098265338</v>
      </c>
      <c r="E34" s="84">
        <f>IF(E16=0,0,E16/TrRail_act!E22*1000)</f>
        <v>46290.327494078025</v>
      </c>
      <c r="F34" s="84">
        <f>IF(F16=0,0,F16/TrRail_act!F22*1000)</f>
        <v>45255.819221242113</v>
      </c>
      <c r="G34" s="84">
        <f>IF(G16=0,0,G16/TrRail_act!G22*1000)</f>
        <v>44523.435767108807</v>
      </c>
      <c r="H34" s="84">
        <f>IF(H16=0,0,H16/TrRail_act!H22*1000)</f>
        <v>43591.244867940681</v>
      </c>
      <c r="I34" s="84">
        <f>IF(I16=0,0,I16/TrRail_act!I22*1000)</f>
        <v>43031.412392368169</v>
      </c>
      <c r="J34" s="84">
        <f>IF(J16=0,0,J16/TrRail_act!J22*1000)</f>
        <v>42449.606048973081</v>
      </c>
      <c r="K34" s="84">
        <f>IF(K16=0,0,K16/TrRail_act!K22*1000)</f>
        <v>41704.301179156631</v>
      </c>
      <c r="L34" s="84">
        <f>IF(L16=0,0,L16/TrRail_act!L22*1000)</f>
        <v>41259.389632739243</v>
      </c>
      <c r="M34" s="84">
        <f>IF(M16=0,0,M16/TrRail_act!M22*1000)</f>
        <v>40305.887421020561</v>
      </c>
      <c r="N34" s="84">
        <f>IF(N16=0,0,N16/TrRail_act!N22*1000)</f>
        <v>39996.9030114583</v>
      </c>
      <c r="O34" s="84">
        <f>IF(O16=0,0,O16/TrRail_act!O22*1000)</f>
        <v>19263.321799568774</v>
      </c>
      <c r="P34" s="84">
        <f>IF(P16=0,0,P16/TrRail_act!P22*1000)</f>
        <v>18861.364450795107</v>
      </c>
      <c r="Q34" s="84">
        <f>IF(Q16=0,0,Q16/TrRail_act!Q22*1000)</f>
        <v>18529.091594145451</v>
      </c>
      <c r="R34" s="84">
        <f>IF(R16=0,0,R16/TrRail_act!R22*1000)</f>
        <v>18009.47798063928</v>
      </c>
      <c r="S34" s="84">
        <f>IF(S16=0,0,S16/TrRail_act!S22*1000)</f>
        <v>17629.352921252426</v>
      </c>
      <c r="T34" s="84">
        <f>IF(T16=0,0,T16/TrRail_act!T22*1000)</f>
        <v>17349.533726179441</v>
      </c>
      <c r="U34" s="84">
        <f>IF(U16=0,0,U16/TrRail_act!U22*1000)</f>
        <v>17142.587864675126</v>
      </c>
      <c r="V34" s="84">
        <f>IF(V16=0,0,V16/TrRail_act!V22*1000)</f>
        <v>16989.000010137843</v>
      </c>
      <c r="W34" s="84">
        <f>IF(W16=0,0,W16/TrRail_act!W22*1000)</f>
        <v>16874.71283471676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39.651089408330833</v>
      </c>
      <c r="C38" s="29">
        <f>IF(C9=0,0,C9/TrRail_act!C4*1000)</f>
        <v>40.438587772762546</v>
      </c>
      <c r="D38" s="29">
        <f>IF(D9=0,0,D9/TrRail_act!D4*1000)</f>
        <v>40.930730594053905</v>
      </c>
      <c r="E38" s="29">
        <f>IF(E9=0,0,E9/TrRail_act!E4*1000)</f>
        <v>50.834368822975925</v>
      </c>
      <c r="F38" s="29">
        <f>IF(F9=0,0,F9/TrRail_act!F4*1000)</f>
        <v>62.487626874090481</v>
      </c>
      <c r="G38" s="29">
        <f>IF(G9=0,0,G9/TrRail_act!G4*1000)</f>
        <v>66.434462743463925</v>
      </c>
      <c r="H38" s="29">
        <f>IF(H9=0,0,H9/TrRail_act!H4*1000)</f>
        <v>53.582457153266539</v>
      </c>
      <c r="I38" s="29">
        <f>IF(I9=0,0,I9/TrRail_act!I4*1000)</f>
        <v>60.656578597488533</v>
      </c>
      <c r="J38" s="29">
        <f>IF(J9=0,0,J9/TrRail_act!J4*1000)</f>
        <v>52.62732798973358</v>
      </c>
      <c r="K38" s="29">
        <f>IF(K9=0,0,K9/TrRail_act!K4*1000)</f>
        <v>44.054074843777549</v>
      </c>
      <c r="L38" s="29">
        <f>IF(L9=0,0,L9/TrRail_act!L4*1000)</f>
        <v>41.598891545732769</v>
      </c>
      <c r="M38" s="29">
        <f>IF(M9=0,0,M9/TrRail_act!M4*1000)</f>
        <v>40.646811001478319</v>
      </c>
      <c r="N38" s="29">
        <f>IF(N9=0,0,N9/TrRail_act!N4*1000)</f>
        <v>46.480372544492425</v>
      </c>
      <c r="O38" s="29">
        <f>IF(O9=0,0,O9/TrRail_act!O4*1000)</f>
        <v>5.0039269574992673</v>
      </c>
      <c r="P38" s="29">
        <f>IF(P9=0,0,P9/TrRail_act!P4*1000)</f>
        <v>4.5437383044685911</v>
      </c>
      <c r="Q38" s="29">
        <f>IF(Q9=0,0,Q9/TrRail_act!Q4*1000)</f>
        <v>5.7962265363137915</v>
      </c>
      <c r="R38" s="29">
        <f>IF(R9=0,0,R9/TrRail_act!R4*1000)</f>
        <v>5.442767042207219</v>
      </c>
      <c r="S38" s="29">
        <f>IF(S9=0,0,S9/TrRail_act!S4*1000)</f>
        <v>3.7007954374068879</v>
      </c>
      <c r="T38" s="29">
        <f>IF(T9=0,0,T9/TrRail_act!T4*1000)</f>
        <v>3.2863542602230216</v>
      </c>
      <c r="U38" s="29">
        <f>IF(U9=0,0,U9/TrRail_act!U4*1000)</f>
        <v>2.8916775845776908</v>
      </c>
      <c r="V38" s="29">
        <f>IF(V9=0,0,V9/TrRail_act!V4*1000)</f>
        <v>4.2536823833642536</v>
      </c>
      <c r="W38" s="29">
        <f>IF(W9=0,0,W9/TrRail_act!W4*1000)</f>
        <v>4.7502549098943456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55.274516132676993</v>
      </c>
      <c r="C40" s="116">
        <f>IF(C11=0,0,C11/TrRail_act!C6*1000)</f>
        <v>56.434161636054093</v>
      </c>
      <c r="D40" s="116">
        <f>IF(D11=0,0,D11/TrRail_act!D6*1000)</f>
        <v>57.451431681438464</v>
      </c>
      <c r="E40" s="116">
        <f>IF(E11=0,0,E11/TrRail_act!E6*1000)</f>
        <v>71.133517043543335</v>
      </c>
      <c r="F40" s="116">
        <f>IF(F11=0,0,F11/TrRail_act!F6*1000)</f>
        <v>89.410469227087759</v>
      </c>
      <c r="G40" s="116">
        <f>IF(G11=0,0,G11/TrRail_act!G6*1000)</f>
        <v>95.087336726707136</v>
      </c>
      <c r="H40" s="116">
        <f>IF(H11=0,0,H11/TrRail_act!H6*1000)</f>
        <v>78.145684754905687</v>
      </c>
      <c r="I40" s="116">
        <f>IF(I11=0,0,I11/TrRail_act!I6*1000)</f>
        <v>88.968229505799812</v>
      </c>
      <c r="J40" s="116">
        <f>IF(J11=0,0,J11/TrRail_act!J6*1000)</f>
        <v>86.741429001362789</v>
      </c>
      <c r="K40" s="116">
        <f>IF(K11=0,0,K11/TrRail_act!K6*1000)</f>
        <v>111.38310816008216</v>
      </c>
      <c r="L40" s="116">
        <f>IF(L11=0,0,L11/TrRail_act!L6*1000)</f>
        <v>116.36109641582595</v>
      </c>
      <c r="M40" s="116">
        <f>IF(M11=0,0,M11/TrRail_act!M6*1000)</f>
        <v>106.94603391664471</v>
      </c>
      <c r="N40" s="116">
        <f>IF(N11=0,0,N11/TrRail_act!N6*1000)</f>
        <v>122.55819906016536</v>
      </c>
      <c r="O40" s="116">
        <f>IF(O11=0,0,O11/TrRail_act!O6*1000)</f>
        <v>13.936099689067975</v>
      </c>
      <c r="P40" s="116">
        <f>IF(P11=0,0,P11/TrRail_act!P6*1000)</f>
        <v>11.91961932106879</v>
      </c>
      <c r="Q40" s="116">
        <f>IF(Q11=0,0,Q11/TrRail_act!Q6*1000)</f>
        <v>16.088304170831055</v>
      </c>
      <c r="R40" s="116">
        <f>IF(R11=0,0,R11/TrRail_act!R6*1000)</f>
        <v>16.011000525397819</v>
      </c>
      <c r="S40" s="116">
        <f>IF(S11=0,0,S11/TrRail_act!S6*1000)</f>
        <v>10.877143343422578</v>
      </c>
      <c r="T40" s="116">
        <f>IF(T11=0,0,T11/TrRail_act!T6*1000)</f>
        <v>9.9740076588125426</v>
      </c>
      <c r="U40" s="116">
        <f>IF(U11=0,0,U11/TrRail_act!U6*1000)</f>
        <v>8.384642777135296</v>
      </c>
      <c r="V40" s="116">
        <f>IF(V11=0,0,V11/TrRail_act!V6*1000)</f>
        <v>11.339633267492882</v>
      </c>
      <c r="W40" s="116">
        <f>IF(W11=0,0,W11/TrRail_act!W6*1000)</f>
        <v>10.465421386938681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214.36473120706179</v>
      </c>
      <c r="C41" s="87">
        <f>IF(C12=0,0,C12/TrRail_act!C7*1000)</f>
        <v>206.49840053097216</v>
      </c>
      <c r="D41" s="87">
        <f>IF(D12=0,0,D12/TrRail_act!D7*1000)</f>
        <v>219.76841046136866</v>
      </c>
      <c r="E41" s="87">
        <f>IF(E12=0,0,E12/TrRail_act!E7*1000)</f>
        <v>285.21301702461216</v>
      </c>
      <c r="F41" s="87">
        <f>IF(F12=0,0,F12/TrRail_act!F7*1000)</f>
        <v>372.78228382689827</v>
      </c>
      <c r="G41" s="87">
        <f>IF(G12=0,0,G12/TrRail_act!G7*1000)</f>
        <v>406.8844522145244</v>
      </c>
      <c r="H41" s="87">
        <f>IF(H12=0,0,H12/TrRail_act!H7*1000)</f>
        <v>181.3022087712915</v>
      </c>
      <c r="I41" s="87">
        <f>IF(I12=0,0,I12/TrRail_act!I7*1000)</f>
        <v>224.72566057940111</v>
      </c>
      <c r="J41" s="87">
        <f>IF(J12=0,0,J12/TrRail_act!J7*1000)</f>
        <v>239.03513196555875</v>
      </c>
      <c r="K41" s="87">
        <f>IF(K12=0,0,K12/TrRail_act!K7*1000)</f>
        <v>189.78303366362996</v>
      </c>
      <c r="L41" s="87">
        <f>IF(L12=0,0,L12/TrRail_act!L7*1000)</f>
        <v>191.14206472465756</v>
      </c>
      <c r="M41" s="87">
        <f>IF(M12=0,0,M12/TrRail_act!M7*1000)</f>
        <v>384.01560954652717</v>
      </c>
      <c r="N41" s="87">
        <f>IF(N12=0,0,N12/TrRail_act!N7*1000)</f>
        <v>403.07736980154874</v>
      </c>
      <c r="O41" s="87">
        <f>IF(O12=0,0,O12/TrRail_act!O7*1000)</f>
        <v>82.767542011717552</v>
      </c>
      <c r="P41" s="87">
        <f>IF(P12=0,0,P12/TrRail_act!P7*1000)</f>
        <v>74.71317539941947</v>
      </c>
      <c r="Q41" s="87">
        <f>IF(Q12=0,0,Q12/TrRail_act!Q7*1000)</f>
        <v>123.55220653070405</v>
      </c>
      <c r="R41" s="87">
        <f>IF(R12=0,0,R12/TrRail_act!R7*1000)</f>
        <v>145.79494289652285</v>
      </c>
      <c r="S41" s="87">
        <f>IF(S12=0,0,S12/TrRail_act!S7*1000)</f>
        <v>75.403552747112855</v>
      </c>
      <c r="T41" s="87">
        <f>IF(T12=0,0,T12/TrRail_act!T7*1000)</f>
        <v>69.219319021311705</v>
      </c>
      <c r="U41" s="87">
        <f>IF(U12=0,0,U12/TrRail_act!U7*1000)</f>
        <v>57.076415806183164</v>
      </c>
      <c r="V41" s="87">
        <f>IF(V12=0,0,V12/TrRail_act!V7*1000)</f>
        <v>103.7013478896253</v>
      </c>
      <c r="W41" s="87">
        <f>IF(W12=0,0,W12/TrRail_act!W7*1000)</f>
        <v>282.50028042227257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44.044238576371129</v>
      </c>
      <c r="C44" s="29">
        <f>IF(C15=0,0,C15/TrRail_act!C10*1000)</f>
        <v>47.551837870666255</v>
      </c>
      <c r="D44" s="29">
        <f>IF(D15=0,0,D15/TrRail_act!D10*1000)</f>
        <v>42.375037539170918</v>
      </c>
      <c r="E44" s="29">
        <f>IF(E15=0,0,E15/TrRail_act!E10*1000)</f>
        <v>34.811899423763002</v>
      </c>
      <c r="F44" s="29">
        <f>IF(F15=0,0,F15/TrRail_act!F10*1000)</f>
        <v>32.912794608802429</v>
      </c>
      <c r="G44" s="29">
        <f>IF(G15=0,0,G15/TrRail_act!G10*1000)</f>
        <v>33.565105040531051</v>
      </c>
      <c r="H44" s="29">
        <f>IF(H15=0,0,H15/TrRail_act!H10*1000)</f>
        <v>39.758657727821728</v>
      </c>
      <c r="I44" s="29">
        <f>IF(I15=0,0,I15/TrRail_act!I10*1000)</f>
        <v>55.883033504562313</v>
      </c>
      <c r="J44" s="29">
        <f>IF(J15=0,0,J15/TrRail_act!J10*1000)</f>
        <v>58.594417515341114</v>
      </c>
      <c r="K44" s="29">
        <f>IF(K15=0,0,K15/TrRail_act!K10*1000)</f>
        <v>78.93566164513507</v>
      </c>
      <c r="L44" s="29">
        <f>IF(L15=0,0,L15/TrRail_act!L10*1000)</f>
        <v>81.41720879138488</v>
      </c>
      <c r="M44" s="29">
        <f>IF(M15=0,0,M15/TrRail_act!M10*1000)</f>
        <v>41.084451667328366</v>
      </c>
      <c r="N44" s="29">
        <f>IF(N15=0,0,N15/TrRail_act!N10*1000)</f>
        <v>42.917695929286474</v>
      </c>
      <c r="O44" s="29">
        <f>IF(O15=0,0,O15/TrRail_act!O10*1000)</f>
        <v>10.474125657949592</v>
      </c>
      <c r="P44" s="29">
        <f>IF(P15=0,0,P15/TrRail_act!P10*1000)</f>
        <v>9.8325358863737105</v>
      </c>
      <c r="Q44" s="29">
        <f>IF(Q15=0,0,Q15/TrRail_act!Q10*1000)</f>
        <v>7.3225374243567751</v>
      </c>
      <c r="R44" s="29">
        <f>IF(R15=0,0,R15/TrRail_act!R10*1000)</f>
        <v>5.9361289781567139</v>
      </c>
      <c r="S44" s="29">
        <f>IF(S15=0,0,S15/TrRail_act!S10*1000)</f>
        <v>10.909126176810238</v>
      </c>
      <c r="T44" s="29">
        <f>IF(T15=0,0,T15/TrRail_act!T10*1000)</f>
        <v>12.121804713855271</v>
      </c>
      <c r="U44" s="29">
        <f>IF(U15=0,0,U15/TrRail_act!U10*1000)</f>
        <v>14.095994759973806</v>
      </c>
      <c r="V44" s="29">
        <f>IF(V15=0,0,V15/TrRail_act!V10*1000)</f>
        <v>12.87440207526944</v>
      </c>
      <c r="W44" s="29">
        <f>IF(W15=0,0,W15/TrRail_act!W10*1000)</f>
        <v>5.8287445396706445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146.06574398145503</v>
      </c>
      <c r="C45" s="87">
        <f>IF(C16=0,0,C16/TrRail_act!C11*1000)</f>
        <v>142.85989846161627</v>
      </c>
      <c r="D45" s="87">
        <f>IF(D16=0,0,D16/TrRail_act!D11*1000)</f>
        <v>139.19493378392414</v>
      </c>
      <c r="E45" s="87">
        <f>IF(E16=0,0,E16/TrRail_act!E11*1000)</f>
        <v>147.52320370284045</v>
      </c>
      <c r="F45" s="87">
        <f>IF(F16=0,0,F16/TrRail_act!F11*1000)</f>
        <v>144.30304420741047</v>
      </c>
      <c r="G45" s="87">
        <f>IF(G16=0,0,G16/TrRail_act!G11*1000)</f>
        <v>141.83119895394998</v>
      </c>
      <c r="H45" s="87">
        <f>IF(H16=0,0,H16/TrRail_act!H11*1000)</f>
        <v>88.735324597362933</v>
      </c>
      <c r="I45" s="87">
        <f>IF(I16=0,0,I16/TrRail_act!I11*1000)</f>
        <v>127.20435254690582</v>
      </c>
      <c r="J45" s="87">
        <f>IF(J16=0,0,J16/TrRail_act!J11*1000)</f>
        <v>124.9179138944006</v>
      </c>
      <c r="K45" s="87">
        <f>IF(K16=0,0,K16/TrRail_act!K11*1000)</f>
        <v>94.988621625488406</v>
      </c>
      <c r="L45" s="87">
        <f>IF(L16=0,0,L16/TrRail_act!L11*1000)</f>
        <v>106.96809385069676</v>
      </c>
      <c r="M45" s="87">
        <f>IF(M16=0,0,M16/TrRail_act!M11*1000)</f>
        <v>113.64314329412586</v>
      </c>
      <c r="N45" s="87">
        <f>IF(N16=0,0,N16/TrRail_act!N11*1000)</f>
        <v>103.34899144081476</v>
      </c>
      <c r="O45" s="87">
        <f>IF(O16=0,0,O16/TrRail_act!O11*1000)</f>
        <v>44.454830501444576</v>
      </c>
      <c r="P45" s="87">
        <f>IF(P16=0,0,P16/TrRail_act!P11*1000)</f>
        <v>42.882945014224482</v>
      </c>
      <c r="Q45" s="87">
        <f>IF(Q16=0,0,Q16/TrRail_act!Q11*1000)</f>
        <v>39.191691211048465</v>
      </c>
      <c r="R45" s="87">
        <f>IF(R16=0,0,R16/TrRail_act!R11*1000)</f>
        <v>39.102467874198886</v>
      </c>
      <c r="S45" s="87">
        <f>IF(S16=0,0,S16/TrRail_act!S11*1000)</f>
        <v>54.110514531341629</v>
      </c>
      <c r="T45" s="87">
        <f>IF(T16=0,0,T16/TrRail_act!T11*1000)</f>
        <v>64.519876240211005</v>
      </c>
      <c r="U45" s="87">
        <f>IF(U16=0,0,U16/TrRail_act!U11*1000)</f>
        <v>70.915287922213437</v>
      </c>
      <c r="V45" s="87">
        <f>IF(V16=0,0,V16/TrRail_act!V11*1000)</f>
        <v>93.664341776885962</v>
      </c>
      <c r="W45" s="87">
        <f>IF(W16=0,0,W16/TrRail_act!W11*1000)</f>
        <v>95.673226026966418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1011.0785063601013</v>
      </c>
      <c r="C48" s="62">
        <f>IF(C8=0,0,1000000*C8/TrRail_act!C25/1000)</f>
        <v>987.37933940136713</v>
      </c>
      <c r="D48" s="62">
        <f>IF(D8=0,0,1000000*D8/TrRail_act!D25/1000)</f>
        <v>900.79659448535779</v>
      </c>
      <c r="E48" s="62">
        <f>IF(E8=0,0,1000000*E8/TrRail_act!E25/1000)</f>
        <v>895.00462068019306</v>
      </c>
      <c r="F48" s="62">
        <f>IF(F8=0,0,1000000*F8/TrRail_act!F25/1000)</f>
        <v>953.72265224392061</v>
      </c>
      <c r="G48" s="62">
        <f>IF(G8=0,0,1000000*G8/TrRail_act!G25/1000)</f>
        <v>948.15295943583237</v>
      </c>
      <c r="H48" s="62">
        <f>IF(H8=0,0,1000000*H8/TrRail_act!H25/1000)</f>
        <v>861.55042042712591</v>
      </c>
      <c r="I48" s="62">
        <f>IF(I8=0,0,1000000*I8/TrRail_act!I25/1000)</f>
        <v>1017.4199783040449</v>
      </c>
      <c r="J48" s="62">
        <f>IF(J8=0,0,1000000*J8/TrRail_act!J25/1000)</f>
        <v>993.16052190174628</v>
      </c>
      <c r="K48" s="62">
        <f>IF(K8=0,0,1000000*K8/TrRail_act!K25/1000)</f>
        <v>856.06321323291991</v>
      </c>
      <c r="L48" s="62">
        <f>IF(L8=0,0,1000000*L8/TrRail_act!L25/1000)</f>
        <v>850.46710800556559</v>
      </c>
      <c r="M48" s="62">
        <f>IF(M8=0,0,1000000*M8/TrRail_act!M25/1000)</f>
        <v>721.93993094098198</v>
      </c>
      <c r="N48" s="62">
        <f>IF(N8=0,0,1000000*N8/TrRail_act!N25/1000)</f>
        <v>772.45686477055528</v>
      </c>
      <c r="O48" s="62">
        <f>IF(O8=0,0,1000000*O8/TrRail_act!O25/1000)</f>
        <v>115.26112932124886</v>
      </c>
      <c r="P48" s="62">
        <f>IF(P8=0,0,1000000*P8/TrRail_act!P25/1000)</f>
        <v>111.56666667347503</v>
      </c>
      <c r="Q48" s="62">
        <f>IF(Q8=0,0,1000000*Q8/TrRail_act!Q25/1000)</f>
        <v>122.08007379873121</v>
      </c>
      <c r="R48" s="62">
        <f>IF(R8=0,0,1000000*R8/TrRail_act!R25/1000)</f>
        <v>111.05418133436523</v>
      </c>
      <c r="S48" s="62">
        <f>IF(S8=0,0,1000000*S8/TrRail_act!S25/1000)</f>
        <v>109.4578271712158</v>
      </c>
      <c r="T48" s="62">
        <f>IF(T8=0,0,1000000*T8/TrRail_act!T25/1000)</f>
        <v>108.88052418348144</v>
      </c>
      <c r="U48" s="62">
        <f>IF(U8=0,0,1000000*U8/TrRail_act!U25/1000)</f>
        <v>116.15211363390056</v>
      </c>
      <c r="V48" s="62">
        <f>IF(V8=0,0,1000000*V8/TrRail_act!V25/1000)</f>
        <v>84.459672869133996</v>
      </c>
      <c r="W48" s="62">
        <f>IF(W8=0,0,1000000*W8/TrRail_act!W25/1000)</f>
        <v>76.710373313558378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723.92603053188304</v>
      </c>
      <c r="C49" s="29">
        <f>IF(C9=0,0,1000000*C9/TrRail_act!C26/1000)</f>
        <v>705.62272200184964</v>
      </c>
      <c r="D49" s="29">
        <f>IF(D9=0,0,1000000*D9/TrRail_act!D26/1000)</f>
        <v>680.13453111441925</v>
      </c>
      <c r="E49" s="29">
        <f>IF(E9=0,0,1000000*E9/TrRail_act!E26/1000)</f>
        <v>752.5866354904706</v>
      </c>
      <c r="F49" s="29">
        <f>IF(F9=0,0,1000000*F9/TrRail_act!F26/1000)</f>
        <v>838.48794752733897</v>
      </c>
      <c r="G49" s="29">
        <f>IF(G9=0,0,1000000*G9/TrRail_act!G26/1000)</f>
        <v>851.28008906957405</v>
      </c>
      <c r="H49" s="29">
        <f>IF(H9=0,0,1000000*H9/TrRail_act!H26/1000)</f>
        <v>721.44454199682241</v>
      </c>
      <c r="I49" s="29">
        <f>IF(I9=0,0,1000000*I9/TrRail_act!I26/1000)</f>
        <v>816.61614630312374</v>
      </c>
      <c r="J49" s="29">
        <f>IF(J9=0,0,1000000*J9/TrRail_act!J26/1000)</f>
        <v>776.81737719262981</v>
      </c>
      <c r="K49" s="29">
        <f>IF(K9=0,0,1000000*K9/TrRail_act!K26/1000)</f>
        <v>633.37981718757521</v>
      </c>
      <c r="L49" s="29">
        <f>IF(L9=0,0,1000000*L9/TrRail_act!L26/1000)</f>
        <v>586.99642161191514</v>
      </c>
      <c r="M49" s="29">
        <f>IF(M9=0,0,1000000*M9/TrRail_act!M26/1000)</f>
        <v>597.22022723598093</v>
      </c>
      <c r="N49" s="29">
        <f>IF(N9=0,0,1000000*N9/TrRail_act!N26/1000)</f>
        <v>643.59544797272497</v>
      </c>
      <c r="O49" s="29">
        <f>IF(O9=0,0,1000000*O9/TrRail_act!O26/1000)</f>
        <v>76.19854065577006</v>
      </c>
      <c r="P49" s="29">
        <f>IF(P9=0,0,1000000*P9/TrRail_act!P26/1000)</f>
        <v>71.09801203324912</v>
      </c>
      <c r="Q49" s="29">
        <f>IF(Q9=0,0,1000000*Q9/TrRail_act!Q26/1000)</f>
        <v>93.824831043494385</v>
      </c>
      <c r="R49" s="29">
        <f>IF(R9=0,0,1000000*R9/TrRail_act!R26/1000)</f>
        <v>89.950085148014878</v>
      </c>
      <c r="S49" s="29">
        <f>IF(S9=0,0,1000000*S9/TrRail_act!S26/1000)</f>
        <v>62.511953971757407</v>
      </c>
      <c r="T49" s="29">
        <f>IF(T9=0,0,1000000*T9/TrRail_act!T26/1000)</f>
        <v>56.56453698571962</v>
      </c>
      <c r="U49" s="29">
        <f>IF(U9=0,0,1000000*U9/TrRail_act!U26/1000)</f>
        <v>51.34494753742004</v>
      </c>
      <c r="V49" s="29">
        <f>IF(V9=0,0,1000000*V9/TrRail_act!V26/1000)</f>
        <v>35.792959228271165</v>
      </c>
      <c r="W49" s="29">
        <f>IF(W9=0,0,1000000*W9/TrRail_act!W26/1000)</f>
        <v>53.89493051166469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1272.8569453446753</v>
      </c>
      <c r="C51" s="116">
        <f>IF(C11=0,0,1000000*C11/TrRail_act!C28/1000)</f>
        <v>1193.3997622660672</v>
      </c>
      <c r="D51" s="116">
        <f>IF(D11=0,0,1000000*D11/TrRail_act!D28/1000)</f>
        <v>1119.9262879603973</v>
      </c>
      <c r="E51" s="116">
        <f>IF(E11=0,0,1000000*E11/TrRail_act!E28/1000)</f>
        <v>1202.9986803130334</v>
      </c>
      <c r="F51" s="116">
        <f>IF(F11=0,0,1000000*F11/TrRail_act!F28/1000)</f>
        <v>1307.8906754209204</v>
      </c>
      <c r="G51" s="116">
        <f>IF(G11=0,0,1000000*G11/TrRail_act!G28/1000)</f>
        <v>1274.6975429720658</v>
      </c>
      <c r="H51" s="116">
        <f>IF(H11=0,0,1000000*H11/TrRail_act!H28/1000)</f>
        <v>1114.6442935767061</v>
      </c>
      <c r="I51" s="116">
        <f>IF(I11=0,0,1000000*I11/TrRail_act!I28/1000)</f>
        <v>1290.2881114896641</v>
      </c>
      <c r="J51" s="116">
        <f>IF(J11=0,0,1000000*J11/TrRail_act!J28/1000)</f>
        <v>1278.6272209118868</v>
      </c>
      <c r="K51" s="116">
        <f>IF(K11=0,0,1000000*K11/TrRail_act!K28/1000)</f>
        <v>1102.6099278581025</v>
      </c>
      <c r="L51" s="116">
        <f>IF(L11=0,0,1000000*L11/TrRail_act!L28/1000)</f>
        <v>1140.3656149296739</v>
      </c>
      <c r="M51" s="116">
        <f>IF(M11=0,0,1000000*M11/TrRail_act!M28/1000)</f>
        <v>1183.9855619513648</v>
      </c>
      <c r="N51" s="116">
        <f>IF(N11=0,0,1000000*N11/TrRail_act!N28/1000)</f>
        <v>1203.5495927551758</v>
      </c>
      <c r="O51" s="116">
        <f>IF(O11=0,0,1000000*O11/TrRail_act!O28/1000)</f>
        <v>143.63453194350504</v>
      </c>
      <c r="P51" s="116">
        <f>IF(P11=0,0,1000000*P11/TrRail_act!P28/1000)</f>
        <v>133.1201665433598</v>
      </c>
      <c r="Q51" s="116">
        <f>IF(Q11=0,0,1000000*Q11/TrRail_act!Q28/1000)</f>
        <v>174.18555388950432</v>
      </c>
      <c r="R51" s="116">
        <f>IF(R11=0,0,1000000*R11/TrRail_act!R28/1000)</f>
        <v>170.37880873574906</v>
      </c>
      <c r="S51" s="116">
        <f>IF(S11=0,0,1000000*S11/TrRail_act!S28/1000)</f>
        <v>121.1007856168882</v>
      </c>
      <c r="T51" s="116">
        <f>IF(T11=0,0,1000000*T11/TrRail_act!T28/1000)</f>
        <v>118.6629521796865</v>
      </c>
      <c r="U51" s="116">
        <f>IF(U11=0,0,1000000*U11/TrRail_act!U28/1000)</f>
        <v>112.25122912123369</v>
      </c>
      <c r="V51" s="116">
        <f>IF(V11=0,0,1000000*V11/TrRail_act!V28/1000)</f>
        <v>75.284577990644237</v>
      </c>
      <c r="W51" s="116">
        <f>IF(W11=0,0,1000000*W11/TrRail_act!W28/1000)</f>
        <v>105.72841847943768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3562.0220772619982</v>
      </c>
      <c r="C52" s="87">
        <f>IF(C12=0,0,1000000*C12/TrRail_act!C29/1000)</f>
        <v>3548.4666005982799</v>
      </c>
      <c r="D52" s="87">
        <f>IF(D12=0,0,1000000*D12/TrRail_act!D29/1000)</f>
        <v>3525.9916197165512</v>
      </c>
      <c r="E52" s="87">
        <f>IF(E12=0,0,1000000*E12/TrRail_act!E29/1000)</f>
        <v>3496.412419940048</v>
      </c>
      <c r="F52" s="87">
        <f>IF(F12=0,0,1000000*F12/TrRail_act!F29/1000)</f>
        <v>3430.1883532507004</v>
      </c>
      <c r="G52" s="87">
        <f>IF(G12=0,0,1000000*G12/TrRail_act!G29/1000)</f>
        <v>3302.7868899889213</v>
      </c>
      <c r="H52" s="87">
        <f>IF(H12=0,0,1000000*H12/TrRail_act!H29/1000)</f>
        <v>2875.7017065679361</v>
      </c>
      <c r="I52" s="87">
        <f>IF(I12=0,0,1000000*I12/TrRail_act!I29/1000)</f>
        <v>3139.6911751542061</v>
      </c>
      <c r="J52" s="87">
        <f>IF(J12=0,0,1000000*J12/TrRail_act!J29/1000)</f>
        <v>3069.3780978578816</v>
      </c>
      <c r="K52" s="87">
        <f>IF(K12=0,0,1000000*K12/TrRail_act!K29/1000)</f>
        <v>2621.7663940960606</v>
      </c>
      <c r="L52" s="87">
        <f>IF(L12=0,0,1000000*L12/TrRail_act!L29/1000)</f>
        <v>2682.4602979103556</v>
      </c>
      <c r="M52" s="87">
        <f>IF(M12=0,0,1000000*M12/TrRail_act!M29/1000)</f>
        <v>2811.0774004056666</v>
      </c>
      <c r="N52" s="87">
        <f>IF(N12=0,0,1000000*N12/TrRail_act!N29/1000)</f>
        <v>2706.0667674033566</v>
      </c>
      <c r="O52" s="87">
        <f>IF(O12=0,0,1000000*O12/TrRail_act!O29/1000)</f>
        <v>318.33311024837377</v>
      </c>
      <c r="P52" s="87">
        <f>IF(P12=0,0,1000000*P12/TrRail_act!P29/1000)</f>
        <v>321.63191958311052</v>
      </c>
      <c r="Q52" s="87">
        <f>IF(Q12=0,0,1000000*Q12/TrRail_act!Q29/1000)</f>
        <v>452.62291199906315</v>
      </c>
      <c r="R52" s="87">
        <f>IF(R12=0,0,1000000*R12/TrRail_act!R29/1000)</f>
        <v>466.2179215819973</v>
      </c>
      <c r="S52" s="87">
        <f>IF(S12=0,0,1000000*S12/TrRail_act!S29/1000)</f>
        <v>351.58526920675422</v>
      </c>
      <c r="T52" s="87">
        <f>IF(T12=0,0,1000000*T12/TrRail_act!T29/1000)</f>
        <v>358.2656684957073</v>
      </c>
      <c r="U52" s="87">
        <f>IF(U12=0,0,1000000*U12/TrRail_act!U29/1000)</f>
        <v>341.13626779435413</v>
      </c>
      <c r="V52" s="87">
        <f>IF(V12=0,0,1000000*V12/TrRail_act!V29/1000)</f>
        <v>255.9815713380568</v>
      </c>
      <c r="W52" s="87">
        <f>IF(W12=0,0,1000000*W12/TrRail_act!W29/1000)</f>
        <v>432.06803895496205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3956.7861484281962</v>
      </c>
      <c r="C55" s="29">
        <f>IF(C15=0,0,1000000*C15/TrRail_act!C32/1000)</f>
        <v>3540.7704009316544</v>
      </c>
      <c r="D55" s="29">
        <f>IF(D15=0,0,1000000*D15/TrRail_act!D32/1000)</f>
        <v>2846.0361513400535</v>
      </c>
      <c r="E55" s="29">
        <f>IF(E15=0,0,1000000*E15/TrRail_act!E32/1000)</f>
        <v>2210.3704466640929</v>
      </c>
      <c r="F55" s="29">
        <f>IF(F15=0,0,1000000*F15/TrRail_act!F32/1000)</f>
        <v>2116.6539121482447</v>
      </c>
      <c r="G55" s="29">
        <f>IF(G15=0,0,1000000*G15/TrRail_act!G32/1000)</f>
        <v>2048.1274554911779</v>
      </c>
      <c r="H55" s="29">
        <f>IF(H15=0,0,1000000*H15/TrRail_act!H32/1000)</f>
        <v>2405.8602081077561</v>
      </c>
      <c r="I55" s="29">
        <f>IF(I15=0,0,1000000*I15/TrRail_act!I32/1000)</f>
        <v>3093.9895194716451</v>
      </c>
      <c r="J55" s="29">
        <f>IF(J15=0,0,1000000*J15/TrRail_act!J32/1000)</f>
        <v>3252.9615347023159</v>
      </c>
      <c r="K55" s="29">
        <f>IF(K15=0,0,1000000*K15/TrRail_act!K32/1000)</f>
        <v>3283.1705870298401</v>
      </c>
      <c r="L55" s="29">
        <f>IF(L15=0,0,1000000*L15/TrRail_act!L32/1000)</f>
        <v>3747.4256326360673</v>
      </c>
      <c r="M55" s="29">
        <f>IF(M15=0,0,1000000*M15/TrRail_act!M32/1000)</f>
        <v>2155.9949074672845</v>
      </c>
      <c r="N55" s="29">
        <f>IF(N15=0,0,1000000*N15/TrRail_act!N32/1000)</f>
        <v>2437.2066039821125</v>
      </c>
      <c r="O55" s="29">
        <f>IF(O15=0,0,1000000*O15/TrRail_act!O32/1000)</f>
        <v>596.27133594901488</v>
      </c>
      <c r="P55" s="29">
        <f>IF(P15=0,0,1000000*P15/TrRail_act!P32/1000)</f>
        <v>606.96853024733775</v>
      </c>
      <c r="Q55" s="29">
        <f>IF(Q15=0,0,1000000*Q15/TrRail_act!Q32/1000)</f>
        <v>437.17122959337553</v>
      </c>
      <c r="R55" s="29">
        <f>IF(R15=0,0,1000000*R15/TrRail_act!R32/1000)</f>
        <v>365.87317632721528</v>
      </c>
      <c r="S55" s="29">
        <f>IF(S15=0,0,1000000*S15/TrRail_act!S32/1000)</f>
        <v>730.10757841013913</v>
      </c>
      <c r="T55" s="29">
        <f>IF(T15=0,0,1000000*T15/TrRail_act!T32/1000)</f>
        <v>896.05302356669949</v>
      </c>
      <c r="U55" s="29">
        <f>IF(U15=0,0,1000000*U15/TrRail_act!U32/1000)</f>
        <v>1112.688994164198</v>
      </c>
      <c r="V55" s="29">
        <f>IF(V15=0,0,1000000*V15/TrRail_act!V32/1000)</f>
        <v>630.77152755299164</v>
      </c>
      <c r="W55" s="29">
        <f>IF(W15=0,0,1000000*W15/TrRail_act!W32/1000)</f>
        <v>356.2323219471599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9833.908804621813</v>
      </c>
      <c r="C56" s="87">
        <f>IF(C16=0,0,1000000*C16/TrRail_act!C33/1000)</f>
        <v>9757.9338473228891</v>
      </c>
      <c r="D56" s="87">
        <f>IF(D16=0,0,1000000*D16/TrRail_act!D33/1000)</f>
        <v>9505.6326138210752</v>
      </c>
      <c r="E56" s="87">
        <f>IF(E16=0,0,1000000*E16/TrRail_act!E33/1000)</f>
        <v>8791.4165703909985</v>
      </c>
      <c r="F56" s="87">
        <f>IF(F16=0,0,1000000*F16/TrRail_act!F33/1000)</f>
        <v>9051.1636628302422</v>
      </c>
      <c r="G56" s="87">
        <f>IF(G16=0,0,1000000*G16/TrRail_act!G33/1000)</f>
        <v>8904.6869998690636</v>
      </c>
      <c r="H56" s="87">
        <f>IF(H16=0,0,1000000*H16/TrRail_act!H33/1000)</f>
        <v>8718.2489692780582</v>
      </c>
      <c r="I56" s="87">
        <f>IF(I16=0,0,1000000*I16/TrRail_act!I33/1000)</f>
        <v>8606.2824355317771</v>
      </c>
      <c r="J56" s="87">
        <f>IF(J16=0,0,1000000*J16/TrRail_act!J33/1000)</f>
        <v>8489.9211148766753</v>
      </c>
      <c r="K56" s="87">
        <f>IF(K16=0,0,1000000*K16/TrRail_act!K33/1000)</f>
        <v>8340.8602347005799</v>
      </c>
      <c r="L56" s="87">
        <f>IF(L16=0,0,1000000*L16/TrRail_act!L33/1000)</f>
        <v>8251.8778471570404</v>
      </c>
      <c r="M56" s="87">
        <f>IF(M16=0,0,1000000*M16/TrRail_act!M33/1000)</f>
        <v>4707.1621212764721</v>
      </c>
      <c r="N56" s="87">
        <f>IF(N16=0,0,1000000*N16/TrRail_act!N33/1000)</f>
        <v>5269.0407814889986</v>
      </c>
      <c r="O56" s="87">
        <f>IF(O16=0,0,1000000*O16/TrRail_act!O33/1000)</f>
        <v>1366.2789948669126</v>
      </c>
      <c r="P56" s="87">
        <f>IF(P16=0,0,1000000*P16/TrRail_act!P33/1000)</f>
        <v>1543.9642804365665</v>
      </c>
      <c r="Q56" s="87">
        <f>IF(Q16=0,0,1000000*Q16/TrRail_act!Q33/1000)</f>
        <v>1330.7043646139882</v>
      </c>
      <c r="R56" s="87">
        <f>IF(R16=0,0,1000000*R16/TrRail_act!R33/1000)</f>
        <v>1133.8500054514923</v>
      </c>
      <c r="S56" s="87">
        <f>IF(S16=0,0,1000000*S16/TrRail_act!S33/1000)</f>
        <v>2311.6848146295351</v>
      </c>
      <c r="T56" s="87">
        <f>IF(T16=0,0,1000000*T16/TrRail_act!T33/1000)</f>
        <v>2912.1291165824077</v>
      </c>
      <c r="U56" s="87">
        <f>IF(U16=0,0,1000000*U16/TrRail_act!U33/1000)</f>
        <v>3428.5175182780745</v>
      </c>
      <c r="V56" s="87">
        <f>IF(V16=0,0,1000000*V16/TrRail_act!V33/1000)</f>
        <v>2976.5171582276539</v>
      </c>
      <c r="W56" s="87">
        <f>IF(W16=0,0,1000000*W16/TrRail_act!W33/1000)</f>
        <v>1811.9202327889534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0.65239713125125176</v>
      </c>
      <c r="C60" s="31">
        <f t="shared" ref="C60:V60" si="8">IF(C9=0,0,C9/C$8)</f>
        <v>0.6436209467448849</v>
      </c>
      <c r="D60" s="31">
        <f t="shared" si="8"/>
        <v>0.6781136017220506</v>
      </c>
      <c r="E60" s="31">
        <f t="shared" si="8"/>
        <v>0.75872545670361213</v>
      </c>
      <c r="F60" s="31">
        <f t="shared" si="8"/>
        <v>0.79991072979254896</v>
      </c>
      <c r="G60" s="31">
        <f t="shared" si="8"/>
        <v>0.82515952642743529</v>
      </c>
      <c r="H60" s="31">
        <f t="shared" si="8"/>
        <v>0.76772804471430234</v>
      </c>
      <c r="I60" s="31">
        <f t="shared" si="8"/>
        <v>0.73186325399150509</v>
      </c>
      <c r="J60" s="31">
        <f t="shared" si="8"/>
        <v>0.7138282936912328</v>
      </c>
      <c r="K60" s="31">
        <f t="shared" si="8"/>
        <v>0.67769735736184422</v>
      </c>
      <c r="L60" s="31">
        <f t="shared" si="8"/>
        <v>0.6326654849914739</v>
      </c>
      <c r="M60" s="31">
        <f t="shared" si="8"/>
        <v>0.76105475373987208</v>
      </c>
      <c r="N60" s="31">
        <f t="shared" si="8"/>
        <v>0.77332025540081006</v>
      </c>
      <c r="O60" s="31">
        <f t="shared" si="8"/>
        <v>0.61144012951473869</v>
      </c>
      <c r="P60" s="31">
        <f t="shared" si="8"/>
        <v>0.58914306744905254</v>
      </c>
      <c r="Q60" s="31">
        <f t="shared" si="8"/>
        <v>0.70530461377398068</v>
      </c>
      <c r="R60" s="31">
        <f t="shared" si="8"/>
        <v>0.74801518716321647</v>
      </c>
      <c r="S60" s="31">
        <f t="shared" si="8"/>
        <v>0.53094478004751411</v>
      </c>
      <c r="T60" s="31">
        <f t="shared" si="8"/>
        <v>0.48713485224169134</v>
      </c>
      <c r="U60" s="31">
        <f t="shared" si="8"/>
        <v>0.41505704058107001</v>
      </c>
      <c r="V60" s="31">
        <f t="shared" si="8"/>
        <v>0.38912354787919096</v>
      </c>
      <c r="W60" s="31">
        <f t="shared" ref="W60" si="9">IF(W9=0,0,W9/W$8)</f>
        <v>0.64955790681313486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0.65239713125125176</v>
      </c>
      <c r="C62" s="124">
        <f t="shared" ref="C62:V62" si="12">IF(C11=0,0,C11/C$8)</f>
        <v>0.6436209467448849</v>
      </c>
      <c r="D62" s="124">
        <f t="shared" si="12"/>
        <v>0.6781136017220506</v>
      </c>
      <c r="E62" s="124">
        <f t="shared" si="12"/>
        <v>0.75872545670361213</v>
      </c>
      <c r="F62" s="124">
        <f t="shared" si="12"/>
        <v>0.79991072979254896</v>
      </c>
      <c r="G62" s="124">
        <f t="shared" si="12"/>
        <v>0.82515952642743529</v>
      </c>
      <c r="H62" s="124">
        <f t="shared" si="12"/>
        <v>0.76772804471430234</v>
      </c>
      <c r="I62" s="124">
        <f t="shared" si="12"/>
        <v>0.73186325399150509</v>
      </c>
      <c r="J62" s="124">
        <f t="shared" si="12"/>
        <v>0.7138282936912328</v>
      </c>
      <c r="K62" s="124">
        <f t="shared" si="12"/>
        <v>0.67769735736184422</v>
      </c>
      <c r="L62" s="124">
        <f t="shared" si="12"/>
        <v>0.6326654849914739</v>
      </c>
      <c r="M62" s="124">
        <f t="shared" si="12"/>
        <v>0.76105475373987208</v>
      </c>
      <c r="N62" s="124">
        <f t="shared" si="12"/>
        <v>0.77332025540081006</v>
      </c>
      <c r="O62" s="124">
        <f t="shared" si="12"/>
        <v>0.61144012951473869</v>
      </c>
      <c r="P62" s="124">
        <f t="shared" si="12"/>
        <v>0.58914306744905254</v>
      </c>
      <c r="Q62" s="124">
        <f t="shared" si="12"/>
        <v>0.70530461377398068</v>
      </c>
      <c r="R62" s="124">
        <f t="shared" si="12"/>
        <v>0.74801518716321647</v>
      </c>
      <c r="S62" s="124">
        <f t="shared" si="12"/>
        <v>0.53094478004751411</v>
      </c>
      <c r="T62" s="124">
        <f t="shared" si="12"/>
        <v>0.48713485224169134</v>
      </c>
      <c r="U62" s="124">
        <f t="shared" si="12"/>
        <v>0.41505704058107001</v>
      </c>
      <c r="V62" s="124">
        <f t="shared" si="12"/>
        <v>0.38912354787919096</v>
      </c>
      <c r="W62" s="124">
        <f t="shared" ref="W62" si="13">IF(W11=0,0,W11/W$8)</f>
        <v>0.64955790681313486</v>
      </c>
      <c r="DA62" s="176"/>
    </row>
    <row r="63" spans="1:105" ht="11.45" customHeight="1" x14ac:dyDescent="0.25">
      <c r="A63" s="111" t="s">
        <v>92</v>
      </c>
      <c r="B63" s="125">
        <f t="shared" si="5"/>
        <v>0.65239713125125176</v>
      </c>
      <c r="C63" s="125">
        <f t="shared" ref="C63:V63" si="14">IF(C12=0,0,C12/C$8)</f>
        <v>0.6436209467448849</v>
      </c>
      <c r="D63" s="125">
        <f t="shared" si="14"/>
        <v>0.6781136017220506</v>
      </c>
      <c r="E63" s="125">
        <f t="shared" si="14"/>
        <v>0.75872545670361213</v>
      </c>
      <c r="F63" s="125">
        <f t="shared" si="14"/>
        <v>0.79991072979254896</v>
      </c>
      <c r="G63" s="125">
        <f t="shared" si="14"/>
        <v>0.82515952642743529</v>
      </c>
      <c r="H63" s="125">
        <f t="shared" si="14"/>
        <v>0.76772804471430234</v>
      </c>
      <c r="I63" s="125">
        <f t="shared" si="14"/>
        <v>0.73186325399150509</v>
      </c>
      <c r="J63" s="125">
        <f t="shared" si="14"/>
        <v>0.7138282936912328</v>
      </c>
      <c r="K63" s="125">
        <f t="shared" si="14"/>
        <v>0.67769735736184422</v>
      </c>
      <c r="L63" s="125">
        <f t="shared" si="14"/>
        <v>0.6326654849914739</v>
      </c>
      <c r="M63" s="125">
        <f t="shared" si="14"/>
        <v>0.76105475373987208</v>
      </c>
      <c r="N63" s="125">
        <f t="shared" si="14"/>
        <v>0.77332025540081006</v>
      </c>
      <c r="O63" s="125">
        <f t="shared" si="14"/>
        <v>0.61144012951473869</v>
      </c>
      <c r="P63" s="125">
        <f t="shared" si="14"/>
        <v>0.58914306744905254</v>
      </c>
      <c r="Q63" s="125">
        <f t="shared" si="14"/>
        <v>0.70530461377398068</v>
      </c>
      <c r="R63" s="125">
        <f t="shared" si="14"/>
        <v>0.74801518716321647</v>
      </c>
      <c r="S63" s="125">
        <f t="shared" si="14"/>
        <v>0.53094478004751411</v>
      </c>
      <c r="T63" s="125">
        <f t="shared" si="14"/>
        <v>0.48713485224169134</v>
      </c>
      <c r="U63" s="125">
        <f t="shared" si="14"/>
        <v>0.41505704058107001</v>
      </c>
      <c r="V63" s="125">
        <f t="shared" si="14"/>
        <v>0.38912354787919096</v>
      </c>
      <c r="W63" s="125">
        <f t="shared" ref="W63" si="15">IF(W12=0,0,W12/W$8)</f>
        <v>0.64955790681313486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0.34760286874874829</v>
      </c>
      <c r="C66" s="31">
        <f t="shared" ref="C66:V66" si="20">IF(C15=0,0,C15/C$8)</f>
        <v>0.35637905325511515</v>
      </c>
      <c r="D66" s="31">
        <f t="shared" si="20"/>
        <v>0.32188639827794946</v>
      </c>
      <c r="E66" s="31">
        <f t="shared" si="20"/>
        <v>0.24127454329638784</v>
      </c>
      <c r="F66" s="31">
        <f t="shared" si="20"/>
        <v>0.2000892702074511</v>
      </c>
      <c r="G66" s="31">
        <f t="shared" si="20"/>
        <v>0.17484047357256466</v>
      </c>
      <c r="H66" s="31">
        <f t="shared" si="20"/>
        <v>0.23227195528569772</v>
      </c>
      <c r="I66" s="31">
        <f t="shared" si="20"/>
        <v>0.26813674600849474</v>
      </c>
      <c r="J66" s="31">
        <f t="shared" si="20"/>
        <v>0.28617170630876715</v>
      </c>
      <c r="K66" s="31">
        <f t="shared" si="20"/>
        <v>0.32230264263815572</v>
      </c>
      <c r="L66" s="31">
        <f t="shared" si="20"/>
        <v>0.36733451500852604</v>
      </c>
      <c r="M66" s="31">
        <f t="shared" si="20"/>
        <v>0.23894524626012781</v>
      </c>
      <c r="N66" s="31">
        <f t="shared" si="20"/>
        <v>0.22667974459918999</v>
      </c>
      <c r="O66" s="31">
        <f t="shared" si="20"/>
        <v>0.38855987048526131</v>
      </c>
      <c r="P66" s="31">
        <f t="shared" si="20"/>
        <v>0.41085693255094746</v>
      </c>
      <c r="Q66" s="31">
        <f t="shared" si="20"/>
        <v>0.29469538622601932</v>
      </c>
      <c r="R66" s="31">
        <f t="shared" si="20"/>
        <v>0.25198481283678353</v>
      </c>
      <c r="S66" s="31">
        <f t="shared" si="20"/>
        <v>0.46905521995248595</v>
      </c>
      <c r="T66" s="31">
        <f t="shared" si="20"/>
        <v>0.5128651477583086</v>
      </c>
      <c r="U66" s="31">
        <f t="shared" si="20"/>
        <v>0.58494295941892993</v>
      </c>
      <c r="V66" s="31">
        <f t="shared" si="20"/>
        <v>0.61087645212080899</v>
      </c>
      <c r="W66" s="31">
        <f t="shared" ref="W66" si="21">IF(W15=0,0,W15/W$8)</f>
        <v>0.35044209318686514</v>
      </c>
      <c r="DA66" s="173"/>
    </row>
    <row r="67" spans="1:105" ht="11.45" customHeight="1" x14ac:dyDescent="0.25">
      <c r="A67" s="83" t="s">
        <v>92</v>
      </c>
      <c r="B67" s="125">
        <f t="shared" si="5"/>
        <v>0.34760286874874829</v>
      </c>
      <c r="C67" s="125">
        <f t="shared" ref="C67:V67" si="22">IF(C16=0,0,C16/C$8)</f>
        <v>0.35637905325511515</v>
      </c>
      <c r="D67" s="125">
        <f t="shared" si="22"/>
        <v>0.32188639827794946</v>
      </c>
      <c r="E67" s="125">
        <f t="shared" si="22"/>
        <v>0.24127454329638784</v>
      </c>
      <c r="F67" s="125">
        <f t="shared" si="22"/>
        <v>0.2000892702074511</v>
      </c>
      <c r="G67" s="125">
        <f t="shared" si="22"/>
        <v>0.17484047357256466</v>
      </c>
      <c r="H67" s="125">
        <f t="shared" si="22"/>
        <v>0.23227195528569772</v>
      </c>
      <c r="I67" s="125">
        <f t="shared" si="22"/>
        <v>0.26813674600849474</v>
      </c>
      <c r="J67" s="125">
        <f t="shared" si="22"/>
        <v>0.28617170630876715</v>
      </c>
      <c r="K67" s="125">
        <f t="shared" si="22"/>
        <v>0.32230264263815572</v>
      </c>
      <c r="L67" s="125">
        <f t="shared" si="22"/>
        <v>0.36733451500852604</v>
      </c>
      <c r="M67" s="125">
        <f t="shared" si="22"/>
        <v>0.23894524626012781</v>
      </c>
      <c r="N67" s="125">
        <f t="shared" si="22"/>
        <v>0.22667974459918999</v>
      </c>
      <c r="O67" s="125">
        <f t="shared" si="22"/>
        <v>0.38855987048526131</v>
      </c>
      <c r="P67" s="125">
        <f t="shared" si="22"/>
        <v>0.41085693255094746</v>
      </c>
      <c r="Q67" s="125">
        <f t="shared" si="22"/>
        <v>0.29469538622601932</v>
      </c>
      <c r="R67" s="125">
        <f t="shared" si="22"/>
        <v>0.25198481283678353</v>
      </c>
      <c r="S67" s="125">
        <f t="shared" si="22"/>
        <v>0.46905521995248595</v>
      </c>
      <c r="T67" s="125">
        <f t="shared" si="22"/>
        <v>0.5128651477583086</v>
      </c>
      <c r="U67" s="125">
        <f t="shared" si="22"/>
        <v>0.58494295941892993</v>
      </c>
      <c r="V67" s="125">
        <f t="shared" si="22"/>
        <v>0.61087645212080899</v>
      </c>
      <c r="W67" s="125">
        <f t="shared" ref="W67" si="23">IF(W16=0,0,W16/W$8)</f>
        <v>0.35044209318686514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135069.60214259999</v>
      </c>
      <c r="C4" s="11">
        <f t="shared" si="0"/>
        <v>128318.93313074086</v>
      </c>
      <c r="D4" s="11">
        <f t="shared" ref="D4:V4" si="1">SUM(D5:D7)</f>
        <v>125412.2801349987</v>
      </c>
      <c r="E4" s="11">
        <f t="shared" si="1"/>
        <v>129784.74973133282</v>
      </c>
      <c r="F4" s="11">
        <f t="shared" si="1"/>
        <v>142070.78977942365</v>
      </c>
      <c r="G4" s="11">
        <f t="shared" si="1"/>
        <v>154025.04762534951</v>
      </c>
      <c r="H4" s="11">
        <f t="shared" si="1"/>
        <v>160480.24947571976</v>
      </c>
      <c r="I4" s="11">
        <f t="shared" si="1"/>
        <v>173195.5819145563</v>
      </c>
      <c r="J4" s="11">
        <f t="shared" si="1"/>
        <v>175770.00160203056</v>
      </c>
      <c r="K4" s="11">
        <f t="shared" si="1"/>
        <v>162251.60062808919</v>
      </c>
      <c r="L4" s="11">
        <f t="shared" si="1"/>
        <v>170014.4329459673</v>
      </c>
      <c r="M4" s="11">
        <f t="shared" si="1"/>
        <v>185407.39077687968</v>
      </c>
      <c r="N4" s="11">
        <f t="shared" si="1"/>
        <v>181433.84203161189</v>
      </c>
      <c r="O4" s="11">
        <f t="shared" si="1"/>
        <v>181230.10012974692</v>
      </c>
      <c r="P4" s="11">
        <f t="shared" si="1"/>
        <v>186495.32941622045</v>
      </c>
      <c r="Q4" s="11">
        <f t="shared" si="1"/>
        <v>192401.11651558647</v>
      </c>
      <c r="R4" s="11">
        <f t="shared" si="1"/>
        <v>215197.1722436776</v>
      </c>
      <c r="S4" s="11">
        <f t="shared" si="1"/>
        <v>232522.82546502605</v>
      </c>
      <c r="T4" s="11">
        <f t="shared" si="1"/>
        <v>245052.35185393406</v>
      </c>
      <c r="U4" s="11">
        <f t="shared" si="1"/>
        <v>256048.51657950005</v>
      </c>
      <c r="V4" s="11">
        <f t="shared" si="1"/>
        <v>67491.856679988006</v>
      </c>
      <c r="W4" s="11">
        <f t="shared" ref="W4" si="2">SUM(W5:W7)</f>
        <v>98387.89932902412</v>
      </c>
      <c r="DA4" s="189" t="s">
        <v>189</v>
      </c>
    </row>
    <row r="5" spans="1:105" ht="11.45" customHeight="1" x14ac:dyDescent="0.25">
      <c r="A5" s="83" t="s">
        <v>27</v>
      </c>
      <c r="B5" s="84">
        <v>24843.192925534167</v>
      </c>
      <c r="C5" s="84">
        <v>22916.863899829761</v>
      </c>
      <c r="D5" s="84">
        <v>22621.265990776828</v>
      </c>
      <c r="E5" s="84">
        <v>24434.770529235524</v>
      </c>
      <c r="F5" s="84">
        <v>27174.76658865896</v>
      </c>
      <c r="G5" s="84">
        <v>30528.369756348347</v>
      </c>
      <c r="H5" s="84">
        <v>32394.173674436071</v>
      </c>
      <c r="I5" s="84">
        <v>35075.869066615087</v>
      </c>
      <c r="J5" s="84">
        <v>32068.103702691496</v>
      </c>
      <c r="K5" s="84">
        <v>29165.985210244231</v>
      </c>
      <c r="L5" s="84">
        <v>29980.511033778293</v>
      </c>
      <c r="M5" s="84">
        <v>30171.410432446792</v>
      </c>
      <c r="N5" s="84">
        <v>26290.414241557311</v>
      </c>
      <c r="O5" s="84">
        <v>22799.461357155669</v>
      </c>
      <c r="P5" s="84">
        <v>22922.693756234959</v>
      </c>
      <c r="Q5" s="84">
        <v>24373.491231108161</v>
      </c>
      <c r="R5" s="84">
        <v>26712.952339132811</v>
      </c>
      <c r="S5" s="84">
        <v>28710.672383547324</v>
      </c>
      <c r="T5" s="84">
        <v>31831.073566013674</v>
      </c>
      <c r="U5" s="84">
        <v>33800.883474707131</v>
      </c>
      <c r="V5" s="84">
        <v>12708.597816307092</v>
      </c>
      <c r="W5" s="84">
        <v>21253.332961162443</v>
      </c>
      <c r="DA5" s="171" t="s">
        <v>190</v>
      </c>
    </row>
    <row r="6" spans="1:105" ht="11.45" customHeight="1" x14ac:dyDescent="0.25">
      <c r="A6" s="83" t="s">
        <v>173</v>
      </c>
      <c r="B6" s="84">
        <v>80730.433929306164</v>
      </c>
      <c r="C6" s="84">
        <v>81543.239134722608</v>
      </c>
      <c r="D6" s="84">
        <v>79722.806511540315</v>
      </c>
      <c r="E6" s="84">
        <v>82441.98690433857</v>
      </c>
      <c r="F6" s="84">
        <v>87133.252977931101</v>
      </c>
      <c r="G6" s="84">
        <v>91411.435738970351</v>
      </c>
      <c r="H6" s="84">
        <v>91212.357732525299</v>
      </c>
      <c r="I6" s="84">
        <v>95745.123749969629</v>
      </c>
      <c r="J6" s="84">
        <v>95676.279979417013</v>
      </c>
      <c r="K6" s="84">
        <v>86849.297939468786</v>
      </c>
      <c r="L6" s="84">
        <v>89918.920657255338</v>
      </c>
      <c r="M6" s="84">
        <v>100878.9769173407</v>
      </c>
      <c r="N6" s="84">
        <v>100444.04984504318</v>
      </c>
      <c r="O6" s="84">
        <v>103384.45846318493</v>
      </c>
      <c r="P6" s="84">
        <v>109187.58453216958</v>
      </c>
      <c r="Q6" s="84">
        <v>112299.0609212081</v>
      </c>
      <c r="R6" s="84">
        <v>128547.61637788871</v>
      </c>
      <c r="S6" s="84">
        <v>138490.77229946168</v>
      </c>
      <c r="T6" s="84">
        <v>140331.01517805073</v>
      </c>
      <c r="U6" s="84">
        <v>140691.64830015955</v>
      </c>
      <c r="V6" s="84">
        <v>34755.256761340919</v>
      </c>
      <c r="W6" s="84">
        <v>52112.31592432363</v>
      </c>
      <c r="DA6" s="171" t="s">
        <v>191</v>
      </c>
    </row>
    <row r="7" spans="1:105" ht="11.45" customHeight="1" x14ac:dyDescent="0.25">
      <c r="A7" s="83" t="s">
        <v>174</v>
      </c>
      <c r="B7" s="84">
        <v>29495.975287759647</v>
      </c>
      <c r="C7" s="84">
        <v>23858.830096188492</v>
      </c>
      <c r="D7" s="84">
        <v>23068.207632681551</v>
      </c>
      <c r="E7" s="84">
        <v>22907.992297758723</v>
      </c>
      <c r="F7" s="84">
        <v>27762.770212833606</v>
      </c>
      <c r="G7" s="84">
        <v>32085.242130030831</v>
      </c>
      <c r="H7" s="84">
        <v>36873.718068758397</v>
      </c>
      <c r="I7" s="84">
        <v>42374.589097971591</v>
      </c>
      <c r="J7" s="84">
        <v>48025.617919922057</v>
      </c>
      <c r="K7" s="84">
        <v>46236.317478376186</v>
      </c>
      <c r="L7" s="84">
        <v>50115.001254933653</v>
      </c>
      <c r="M7" s="84">
        <v>54357.003427092182</v>
      </c>
      <c r="N7" s="84">
        <v>54699.377945011409</v>
      </c>
      <c r="O7" s="84">
        <v>55046.180309406329</v>
      </c>
      <c r="P7" s="84">
        <v>54385.051127815917</v>
      </c>
      <c r="Q7" s="84">
        <v>55728.564363270205</v>
      </c>
      <c r="R7" s="84">
        <v>59936.603526656072</v>
      </c>
      <c r="S7" s="84">
        <v>65321.380782017055</v>
      </c>
      <c r="T7" s="84">
        <v>72890.263109869658</v>
      </c>
      <c r="U7" s="84">
        <v>81555.98480463335</v>
      </c>
      <c r="V7" s="84">
        <v>20028.002102340004</v>
      </c>
      <c r="W7" s="84">
        <v>25022.250443538058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943.01461445606378</v>
      </c>
      <c r="C8" s="13">
        <f t="shared" si="3"/>
        <v>945.05334696181933</v>
      </c>
      <c r="D8" s="13">
        <f t="shared" ref="D8:V8" si="4">SUM(D9:D11)</f>
        <v>853.06146235104211</v>
      </c>
      <c r="E8" s="13">
        <f t="shared" si="4"/>
        <v>797.57528982013571</v>
      </c>
      <c r="F8" s="13">
        <f t="shared" si="4"/>
        <v>956.72669992712861</v>
      </c>
      <c r="G8" s="13">
        <f t="shared" si="4"/>
        <v>893.59706056393247</v>
      </c>
      <c r="H8" s="13">
        <f t="shared" si="4"/>
        <v>912.47111930411165</v>
      </c>
      <c r="I8" s="13">
        <f t="shared" si="4"/>
        <v>1010.6803916938125</v>
      </c>
      <c r="J8" s="13">
        <f t="shared" si="4"/>
        <v>1065.4676849016544</v>
      </c>
      <c r="K8" s="13">
        <f t="shared" si="4"/>
        <v>1020.443508256996</v>
      </c>
      <c r="L8" s="13">
        <f t="shared" si="4"/>
        <v>1307.6445938804209</v>
      </c>
      <c r="M8" s="13">
        <f t="shared" si="4"/>
        <v>1376.9811595513661</v>
      </c>
      <c r="N8" s="13">
        <f t="shared" si="4"/>
        <v>1358.0509265172618</v>
      </c>
      <c r="O8" s="13">
        <f t="shared" si="4"/>
        <v>1363.6132315910095</v>
      </c>
      <c r="P8" s="13">
        <f t="shared" si="4"/>
        <v>1465.2007615178954</v>
      </c>
      <c r="Q8" s="13">
        <f t="shared" si="4"/>
        <v>1572.0822191299842</v>
      </c>
      <c r="R8" s="13">
        <f t="shared" si="4"/>
        <v>1686.2228692488757</v>
      </c>
      <c r="S8" s="13">
        <f t="shared" si="4"/>
        <v>2146.8715688481157</v>
      </c>
      <c r="T8" s="13">
        <f t="shared" si="4"/>
        <v>2470.5893095024171</v>
      </c>
      <c r="U8" s="13">
        <f t="shared" si="4"/>
        <v>2483.7672487847449</v>
      </c>
      <c r="V8" s="13">
        <f t="shared" si="4"/>
        <v>1697.9122267952312</v>
      </c>
      <c r="W8" s="13">
        <f t="shared" ref="W8" si="5">SUM(W9:W11)</f>
        <v>1950.4312425315782</v>
      </c>
      <c r="DA8" s="193" t="s">
        <v>193</v>
      </c>
    </row>
    <row r="9" spans="1:105" ht="11.45" customHeight="1" x14ac:dyDescent="0.25">
      <c r="A9" s="92" t="s">
        <v>27</v>
      </c>
      <c r="B9" s="102">
        <v>101.7164473000086</v>
      </c>
      <c r="C9" s="102">
        <v>96.087645970092268</v>
      </c>
      <c r="D9" s="102">
        <v>92.487544703512057</v>
      </c>
      <c r="E9" s="102">
        <v>83.027716791864563</v>
      </c>
      <c r="F9" s="102">
        <v>105.86250254230514</v>
      </c>
      <c r="G9" s="102">
        <v>102.35571819378684</v>
      </c>
      <c r="H9" s="102">
        <v>100.1621668177293</v>
      </c>
      <c r="I9" s="102">
        <v>97.143639945615917</v>
      </c>
      <c r="J9" s="102">
        <v>90.894485808735737</v>
      </c>
      <c r="K9" s="102">
        <v>72.562884228823435</v>
      </c>
      <c r="L9" s="102">
        <v>72.05660223888998</v>
      </c>
      <c r="M9" s="102">
        <v>66.533176922287609</v>
      </c>
      <c r="N9" s="102">
        <v>56.184833431777953</v>
      </c>
      <c r="O9" s="102">
        <v>53.146612495180669</v>
      </c>
      <c r="P9" s="102">
        <v>54.264384094202242</v>
      </c>
      <c r="Q9" s="102">
        <v>51.823053905905638</v>
      </c>
      <c r="R9" s="102">
        <v>54.451886338501971</v>
      </c>
      <c r="S9" s="102">
        <v>55.362158541002778</v>
      </c>
      <c r="T9" s="102">
        <v>54.596598999995948</v>
      </c>
      <c r="U9" s="102">
        <v>53.0190468842139</v>
      </c>
      <c r="V9" s="102">
        <v>39.903792531495981</v>
      </c>
      <c r="W9" s="102">
        <v>46.797844944394548</v>
      </c>
      <c r="DA9" s="175" t="s">
        <v>194</v>
      </c>
    </row>
    <row r="10" spans="1:105" ht="11.45" customHeight="1" x14ac:dyDescent="0.25">
      <c r="A10" s="92" t="s">
        <v>173</v>
      </c>
      <c r="B10" s="102">
        <v>165.81361401614947</v>
      </c>
      <c r="C10" s="102">
        <v>162.64025968247159</v>
      </c>
      <c r="D10" s="102">
        <v>150.24312653177458</v>
      </c>
      <c r="E10" s="102">
        <v>146.63780894460933</v>
      </c>
      <c r="F10" s="102">
        <v>164.65940421629742</v>
      </c>
      <c r="G10" s="102">
        <v>153.08765774605598</v>
      </c>
      <c r="H10" s="102">
        <v>131.26942578117968</v>
      </c>
      <c r="I10" s="102">
        <v>111.94862451259787</v>
      </c>
      <c r="J10" s="102">
        <v>111.75554121110879</v>
      </c>
      <c r="K10" s="102">
        <v>104.45327589189138</v>
      </c>
      <c r="L10" s="102">
        <v>116.39570992885197</v>
      </c>
      <c r="M10" s="102">
        <v>117.54293945244088</v>
      </c>
      <c r="N10" s="102">
        <v>110.86859172204232</v>
      </c>
      <c r="O10" s="102">
        <v>111.69423382604435</v>
      </c>
      <c r="P10" s="102">
        <v>118.74742826667008</v>
      </c>
      <c r="Q10" s="102">
        <v>125.45118997094303</v>
      </c>
      <c r="R10" s="102">
        <v>126.96938940693359</v>
      </c>
      <c r="S10" s="102">
        <v>138.86607350925803</v>
      </c>
      <c r="T10" s="102">
        <v>141.50034625770135</v>
      </c>
      <c r="U10" s="102">
        <v>159.89058554112688</v>
      </c>
      <c r="V10" s="102">
        <v>143.61907849132376</v>
      </c>
      <c r="W10" s="102">
        <v>152.90802289139896</v>
      </c>
      <c r="DA10" s="175" t="s">
        <v>195</v>
      </c>
    </row>
    <row r="11" spans="1:105" ht="11.45" customHeight="1" x14ac:dyDescent="0.25">
      <c r="A11" s="85" t="s">
        <v>174</v>
      </c>
      <c r="B11" s="86">
        <v>675.48455313990564</v>
      </c>
      <c r="C11" s="86">
        <v>686.32544130925544</v>
      </c>
      <c r="D11" s="86">
        <v>610.33079111575546</v>
      </c>
      <c r="E11" s="86">
        <v>567.9097640836618</v>
      </c>
      <c r="F11" s="86">
        <v>686.20479316852607</v>
      </c>
      <c r="G11" s="86">
        <v>638.15368462408969</v>
      </c>
      <c r="H11" s="86">
        <v>681.03952670520266</v>
      </c>
      <c r="I11" s="86">
        <v>801.58812723559868</v>
      </c>
      <c r="J11" s="86">
        <v>862.81765788180985</v>
      </c>
      <c r="K11" s="86">
        <v>843.42734813628113</v>
      </c>
      <c r="L11" s="86">
        <v>1119.192281712679</v>
      </c>
      <c r="M11" s="86">
        <v>1192.9050431766375</v>
      </c>
      <c r="N11" s="86">
        <v>1190.9975013634414</v>
      </c>
      <c r="O11" s="86">
        <v>1198.7723852697845</v>
      </c>
      <c r="P11" s="86">
        <v>1292.188949157023</v>
      </c>
      <c r="Q11" s="86">
        <v>1394.8079752531355</v>
      </c>
      <c r="R11" s="86">
        <v>1504.80159350344</v>
      </c>
      <c r="S11" s="86">
        <v>1952.643336797855</v>
      </c>
      <c r="T11" s="86">
        <v>2274.4923642447197</v>
      </c>
      <c r="U11" s="86">
        <v>2270.8576163594039</v>
      </c>
      <c r="V11" s="86">
        <v>1514.3893557724114</v>
      </c>
      <c r="W11" s="86">
        <v>1750.7253746957847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998.89453082042712</v>
      </c>
      <c r="C13" s="54">
        <f t="shared" si="6"/>
        <v>938.79947535821373</v>
      </c>
      <c r="D13" s="54">
        <f t="shared" ref="D13:V13" si="7">SUM(D14,D18)</f>
        <v>967.28197324202097</v>
      </c>
      <c r="E13" s="54">
        <f t="shared" si="7"/>
        <v>940.73802097974874</v>
      </c>
      <c r="F13" s="54">
        <f t="shared" si="7"/>
        <v>1042.3034702978462</v>
      </c>
      <c r="G13" s="54">
        <f t="shared" si="7"/>
        <v>1122.475430413037</v>
      </c>
      <c r="H13" s="54">
        <f t="shared" si="7"/>
        <v>1176.4423235058339</v>
      </c>
      <c r="I13" s="54">
        <f t="shared" si="7"/>
        <v>1282.2305843452505</v>
      </c>
      <c r="J13" s="54">
        <f t="shared" si="7"/>
        <v>1289.7053637166227</v>
      </c>
      <c r="K13" s="54">
        <f t="shared" si="7"/>
        <v>1155.0209538719253</v>
      </c>
      <c r="L13" s="54">
        <f t="shared" si="7"/>
        <v>1186.473691245006</v>
      </c>
      <c r="M13" s="54">
        <f t="shared" si="7"/>
        <v>1256.5585822510927</v>
      </c>
      <c r="N13" s="54">
        <f t="shared" si="7"/>
        <v>1178.7187099025618</v>
      </c>
      <c r="O13" s="54">
        <f t="shared" si="7"/>
        <v>1168.9046726427132</v>
      </c>
      <c r="P13" s="54">
        <f t="shared" si="7"/>
        <v>1206.5468077815021</v>
      </c>
      <c r="Q13" s="54">
        <f t="shared" si="7"/>
        <v>1228.4335537667314</v>
      </c>
      <c r="R13" s="54">
        <f t="shared" si="7"/>
        <v>1336.1542495311135</v>
      </c>
      <c r="S13" s="54">
        <f t="shared" si="7"/>
        <v>1434.273768292345</v>
      </c>
      <c r="T13" s="54">
        <f t="shared" si="7"/>
        <v>1503.3330778949123</v>
      </c>
      <c r="U13" s="54">
        <f t="shared" si="7"/>
        <v>1537.6041827935494</v>
      </c>
      <c r="V13" s="54">
        <f t="shared" si="7"/>
        <v>543.59512056527603</v>
      </c>
      <c r="W13" s="54">
        <f t="shared" ref="W13" si="8">SUM(W14,W18)</f>
        <v>786.62350938592954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975.99931397999592</v>
      </c>
      <c r="C14" s="11">
        <f t="shared" si="9"/>
        <v>916.97312065763708</v>
      </c>
      <c r="D14" s="11">
        <f t="shared" ref="D14:V14" si="10">SUM(D15:D17)</f>
        <v>946.53297420452589</v>
      </c>
      <c r="E14" s="11">
        <f t="shared" si="10"/>
        <v>921.17803378513145</v>
      </c>
      <c r="F14" s="11">
        <f t="shared" si="10"/>
        <v>1017.3197314734266</v>
      </c>
      <c r="G14" s="11">
        <f t="shared" si="10"/>
        <v>1098.1101693262635</v>
      </c>
      <c r="H14" s="11">
        <f t="shared" si="10"/>
        <v>1150.9205866454995</v>
      </c>
      <c r="I14" s="11">
        <f t="shared" si="10"/>
        <v>1255.6847051599552</v>
      </c>
      <c r="J14" s="11">
        <f t="shared" si="10"/>
        <v>1262.0102282109649</v>
      </c>
      <c r="K14" s="11">
        <f t="shared" si="10"/>
        <v>1131.3302751242195</v>
      </c>
      <c r="L14" s="11">
        <f t="shared" si="10"/>
        <v>1159.0088810965287</v>
      </c>
      <c r="M14" s="11">
        <f t="shared" si="10"/>
        <v>1229.8455001222476</v>
      </c>
      <c r="N14" s="11">
        <f t="shared" si="10"/>
        <v>1154.8920297782695</v>
      </c>
      <c r="O14" s="11">
        <f t="shared" si="10"/>
        <v>1145.2938905326464</v>
      </c>
      <c r="P14" s="11">
        <f t="shared" si="10"/>
        <v>1184.4571345251027</v>
      </c>
      <c r="Q14" s="11">
        <f t="shared" si="10"/>
        <v>1205.1013251389015</v>
      </c>
      <c r="R14" s="11">
        <f t="shared" si="10"/>
        <v>1313.5812834593489</v>
      </c>
      <c r="S14" s="11">
        <f t="shared" si="10"/>
        <v>1405.5161142774425</v>
      </c>
      <c r="T14" s="11">
        <f t="shared" si="10"/>
        <v>1471.9735208012803</v>
      </c>
      <c r="U14" s="11">
        <f t="shared" si="10"/>
        <v>1507.2124303535113</v>
      </c>
      <c r="V14" s="11">
        <f t="shared" si="10"/>
        <v>514.45182763592948</v>
      </c>
      <c r="W14" s="11">
        <f t="shared" ref="W14" si="11">SUM(W15:W17)</f>
        <v>751.00319791243851</v>
      </c>
      <c r="DA14" s="189" t="s">
        <v>198</v>
      </c>
    </row>
    <row r="15" spans="1:105" ht="11.45" customHeight="1" x14ac:dyDescent="0.25">
      <c r="A15" s="83" t="s">
        <v>27</v>
      </c>
      <c r="B15" s="84">
        <v>259.40674679572612</v>
      </c>
      <c r="C15" s="84">
        <v>237.38595306131438</v>
      </c>
      <c r="D15" s="84">
        <v>225.17833622247394</v>
      </c>
      <c r="E15" s="84">
        <v>230.9949977043249</v>
      </c>
      <c r="F15" s="84">
        <v>256.8078656671326</v>
      </c>
      <c r="G15" s="84">
        <v>288.30058157222152</v>
      </c>
      <c r="H15" s="84">
        <v>302.44766818277458</v>
      </c>
      <c r="I15" s="84">
        <v>320.39871098064731</v>
      </c>
      <c r="J15" s="84">
        <v>305.68748956220543</v>
      </c>
      <c r="K15" s="84">
        <v>268.9718585058813</v>
      </c>
      <c r="L15" s="84">
        <v>264.64174684321813</v>
      </c>
      <c r="M15" s="84">
        <v>256.03179802200395</v>
      </c>
      <c r="N15" s="84">
        <v>209.9015224657883</v>
      </c>
      <c r="O15" s="84">
        <v>180.25923967960648</v>
      </c>
      <c r="P15" s="84">
        <v>182.7545780567541</v>
      </c>
      <c r="Q15" s="84">
        <v>188.57892966283194</v>
      </c>
      <c r="R15" s="84">
        <v>198.43717797722644</v>
      </c>
      <c r="S15" s="84">
        <v>208.24864070885903</v>
      </c>
      <c r="T15" s="84">
        <v>228.89502242776769</v>
      </c>
      <c r="U15" s="84">
        <v>242.14314821753788</v>
      </c>
      <c r="V15" s="84">
        <v>118.64560372642599</v>
      </c>
      <c r="W15" s="84">
        <v>172.65480736880434</v>
      </c>
      <c r="DA15" s="171" t="s">
        <v>199</v>
      </c>
    </row>
    <row r="16" spans="1:105" ht="11.45" customHeight="1" x14ac:dyDescent="0.25">
      <c r="A16" s="83" t="s">
        <v>173</v>
      </c>
      <c r="B16" s="84">
        <v>511.24271472255077</v>
      </c>
      <c r="C16" s="84">
        <v>515.77421659066374</v>
      </c>
      <c r="D16" s="84">
        <v>528.43233270847384</v>
      </c>
      <c r="E16" s="84">
        <v>548.4874474761358</v>
      </c>
      <c r="F16" s="84">
        <v>592.91557673565183</v>
      </c>
      <c r="G16" s="84">
        <v>620.87323788249239</v>
      </c>
      <c r="H16" s="84">
        <v>634.79403449451377</v>
      </c>
      <c r="I16" s="84">
        <v>693.09675442803189</v>
      </c>
      <c r="J16" s="84">
        <v>692.55532044704819</v>
      </c>
      <c r="K16" s="84">
        <v>616.34852074246044</v>
      </c>
      <c r="L16" s="84">
        <v>633.74201417102904</v>
      </c>
      <c r="M16" s="84">
        <v>686.89397279799846</v>
      </c>
      <c r="N16" s="84">
        <v>662.14528775695885</v>
      </c>
      <c r="O16" s="84">
        <v>676.71571558536721</v>
      </c>
      <c r="P16" s="84">
        <v>716.93423615006418</v>
      </c>
      <c r="Q16" s="84">
        <v>733.75287495829105</v>
      </c>
      <c r="R16" s="84">
        <v>821.21159764176082</v>
      </c>
      <c r="S16" s="84">
        <v>881.51518520685192</v>
      </c>
      <c r="T16" s="84">
        <v>903.30214744645559</v>
      </c>
      <c r="U16" s="84">
        <v>893.75695831524899</v>
      </c>
      <c r="V16" s="84">
        <v>291.35578865608289</v>
      </c>
      <c r="W16" s="84">
        <v>429.18448814031836</v>
      </c>
      <c r="DA16" s="171" t="s">
        <v>200</v>
      </c>
    </row>
    <row r="17" spans="1:105" ht="11.45" customHeight="1" x14ac:dyDescent="0.25">
      <c r="A17" s="83" t="s">
        <v>174</v>
      </c>
      <c r="B17" s="84">
        <v>205.34985246171905</v>
      </c>
      <c r="C17" s="84">
        <v>163.81295100565896</v>
      </c>
      <c r="D17" s="84">
        <v>192.9223052735781</v>
      </c>
      <c r="E17" s="84">
        <v>141.6955886046708</v>
      </c>
      <c r="F17" s="84">
        <v>167.59628907064214</v>
      </c>
      <c r="G17" s="84">
        <v>188.93634987154957</v>
      </c>
      <c r="H17" s="84">
        <v>213.67888396821115</v>
      </c>
      <c r="I17" s="84">
        <v>242.18923975127612</v>
      </c>
      <c r="J17" s="84">
        <v>263.76741820171122</v>
      </c>
      <c r="K17" s="84">
        <v>246.00989587587767</v>
      </c>
      <c r="L17" s="84">
        <v>260.62512008228151</v>
      </c>
      <c r="M17" s="84">
        <v>286.91972930224517</v>
      </c>
      <c r="N17" s="84">
        <v>282.84521955552236</v>
      </c>
      <c r="O17" s="84">
        <v>288.31893526767283</v>
      </c>
      <c r="P17" s="84">
        <v>284.76832031828434</v>
      </c>
      <c r="Q17" s="84">
        <v>282.76952051777852</v>
      </c>
      <c r="R17" s="84">
        <v>293.93250784036184</v>
      </c>
      <c r="S17" s="84">
        <v>315.7522883617317</v>
      </c>
      <c r="T17" s="84">
        <v>339.77635092705714</v>
      </c>
      <c r="U17" s="84">
        <v>371.31232382072449</v>
      </c>
      <c r="V17" s="84">
        <v>104.45043525342058</v>
      </c>
      <c r="W17" s="84">
        <v>149.16390240331583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22.895216840431225</v>
      </c>
      <c r="C18" s="13">
        <f t="shared" si="12"/>
        <v>21.826354700576601</v>
      </c>
      <c r="D18" s="13">
        <f t="shared" ref="D18:V18" si="13">SUM(D19:D21)</f>
        <v>20.748999037495096</v>
      </c>
      <c r="E18" s="13">
        <f t="shared" si="13"/>
        <v>19.559987194617293</v>
      </c>
      <c r="F18" s="13">
        <f t="shared" si="13"/>
        <v>24.983738824419447</v>
      </c>
      <c r="G18" s="13">
        <f t="shared" si="13"/>
        <v>24.36526108677338</v>
      </c>
      <c r="H18" s="13">
        <f t="shared" si="13"/>
        <v>25.521736860334414</v>
      </c>
      <c r="I18" s="13">
        <f t="shared" si="13"/>
        <v>26.545879185295348</v>
      </c>
      <c r="J18" s="13">
        <f t="shared" si="13"/>
        <v>27.695135505657934</v>
      </c>
      <c r="K18" s="13">
        <f t="shared" si="13"/>
        <v>23.690678747705789</v>
      </c>
      <c r="L18" s="13">
        <f t="shared" si="13"/>
        <v>27.464810148477326</v>
      </c>
      <c r="M18" s="13">
        <f t="shared" si="13"/>
        <v>26.713082128845237</v>
      </c>
      <c r="N18" s="13">
        <f t="shared" si="13"/>
        <v>23.826680124292402</v>
      </c>
      <c r="O18" s="13">
        <f t="shared" si="13"/>
        <v>23.61078211006679</v>
      </c>
      <c r="P18" s="13">
        <f t="shared" si="13"/>
        <v>22.089673256399564</v>
      </c>
      <c r="Q18" s="13">
        <f t="shared" si="13"/>
        <v>23.332228627829878</v>
      </c>
      <c r="R18" s="13">
        <f t="shared" si="13"/>
        <v>22.572966071764622</v>
      </c>
      <c r="S18" s="13">
        <f t="shared" si="13"/>
        <v>28.757654014902531</v>
      </c>
      <c r="T18" s="13">
        <f t="shared" si="13"/>
        <v>31.359557093632095</v>
      </c>
      <c r="U18" s="13">
        <f t="shared" si="13"/>
        <v>30.391752440038093</v>
      </c>
      <c r="V18" s="13">
        <f t="shared" si="13"/>
        <v>29.143292929346536</v>
      </c>
      <c r="W18" s="13">
        <f t="shared" ref="W18" si="14">SUM(W19:W21)</f>
        <v>35.620311473491029</v>
      </c>
      <c r="DA18" s="193" t="s">
        <v>202</v>
      </c>
    </row>
    <row r="19" spans="1:105" ht="11.45" customHeight="1" x14ac:dyDescent="0.25">
      <c r="A19" s="92" t="s">
        <v>27</v>
      </c>
      <c r="B19" s="102">
        <v>8.0560737780110294</v>
      </c>
      <c r="C19" s="102">
        <v>7.66873689742311</v>
      </c>
      <c r="D19" s="102">
        <v>7.1780657371602734</v>
      </c>
      <c r="E19" s="102">
        <v>6.0580554800385817</v>
      </c>
      <c r="F19" s="102">
        <v>8.2027417878722027</v>
      </c>
      <c r="G19" s="102">
        <v>8.1041939129383316</v>
      </c>
      <c r="H19" s="102">
        <v>8.2446907929064448</v>
      </c>
      <c r="I19" s="102">
        <v>8.026025511562068</v>
      </c>
      <c r="J19" s="102">
        <v>7.8056124692192288</v>
      </c>
      <c r="K19" s="102">
        <v>6.1780061828317185</v>
      </c>
      <c r="L19" s="102">
        <v>5.7359159116546046</v>
      </c>
      <c r="M19" s="102">
        <v>4.7605351979245043</v>
      </c>
      <c r="N19" s="102">
        <v>3.8725556838583324</v>
      </c>
      <c r="O19" s="102">
        <v>3.6374117881181474</v>
      </c>
      <c r="P19" s="102">
        <v>3.3383619361338388</v>
      </c>
      <c r="Q19" s="102">
        <v>3.102721884752337</v>
      </c>
      <c r="R19" s="102">
        <v>2.8544616820310571</v>
      </c>
      <c r="S19" s="102">
        <v>3.1590981375609788</v>
      </c>
      <c r="T19" s="102">
        <v>3.0038558881167474</v>
      </c>
      <c r="U19" s="102">
        <v>2.667116972111554</v>
      </c>
      <c r="V19" s="102">
        <v>2.2563547581025172</v>
      </c>
      <c r="W19" s="102">
        <v>2.5604122102525859</v>
      </c>
      <c r="DA19" s="175" t="s">
        <v>203</v>
      </c>
    </row>
    <row r="20" spans="1:105" ht="11.45" customHeight="1" x14ac:dyDescent="0.25">
      <c r="A20" s="92" t="s">
        <v>173</v>
      </c>
      <c r="B20" s="102">
        <v>6.6459391064273481</v>
      </c>
      <c r="C20" s="102">
        <v>6.2109350281374196</v>
      </c>
      <c r="D20" s="102">
        <v>6.0882903953926837</v>
      </c>
      <c r="E20" s="102">
        <v>5.8404401097122411</v>
      </c>
      <c r="F20" s="102">
        <v>7.2440109567986397</v>
      </c>
      <c r="G20" s="102">
        <v>6.8302276103067134</v>
      </c>
      <c r="H20" s="102">
        <v>6.8655878793749201</v>
      </c>
      <c r="I20" s="102">
        <v>6.0579276890280473</v>
      </c>
      <c r="J20" s="102">
        <v>6.1995020082135213</v>
      </c>
      <c r="K20" s="102">
        <v>5.6464803294338504</v>
      </c>
      <c r="L20" s="102">
        <v>6.2408946583407765</v>
      </c>
      <c r="M20" s="102">
        <v>6.0283501848946965</v>
      </c>
      <c r="N20" s="102">
        <v>5.2130703049436775</v>
      </c>
      <c r="O20" s="102">
        <v>5.274143262573121</v>
      </c>
      <c r="P20" s="102">
        <v>4.8634775886010138</v>
      </c>
      <c r="Q20" s="102">
        <v>5.225288986057155</v>
      </c>
      <c r="R20" s="102">
        <v>4.8668909455330525</v>
      </c>
      <c r="S20" s="102">
        <v>5.8258922717918971</v>
      </c>
      <c r="T20" s="102">
        <v>5.8983838683135472</v>
      </c>
      <c r="U20" s="102">
        <v>6.3385845063880799</v>
      </c>
      <c r="V20" s="102">
        <v>6.7287027045384153</v>
      </c>
      <c r="W20" s="102">
        <v>7.7589205525344216</v>
      </c>
      <c r="DA20" s="175" t="s">
        <v>204</v>
      </c>
    </row>
    <row r="21" spans="1:105" ht="11.45" customHeight="1" x14ac:dyDescent="0.25">
      <c r="A21" s="85" t="s">
        <v>174</v>
      </c>
      <c r="B21" s="86">
        <v>8.193203955992848</v>
      </c>
      <c r="C21" s="86">
        <v>7.9466827750160709</v>
      </c>
      <c r="D21" s="86">
        <v>7.4826429049421401</v>
      </c>
      <c r="E21" s="86">
        <v>7.6614916048664679</v>
      </c>
      <c r="F21" s="86">
        <v>9.5369860797486066</v>
      </c>
      <c r="G21" s="86">
        <v>9.4308395635283357</v>
      </c>
      <c r="H21" s="86">
        <v>10.41145818805305</v>
      </c>
      <c r="I21" s="86">
        <v>12.46192598470523</v>
      </c>
      <c r="J21" s="86">
        <v>13.690021028225184</v>
      </c>
      <c r="K21" s="86">
        <v>11.866192235440218</v>
      </c>
      <c r="L21" s="86">
        <v>15.487999578481944</v>
      </c>
      <c r="M21" s="86">
        <v>15.924196746026036</v>
      </c>
      <c r="N21" s="86">
        <v>14.741054135490394</v>
      </c>
      <c r="O21" s="86">
        <v>14.699227059375522</v>
      </c>
      <c r="P21" s="86">
        <v>13.887833731664713</v>
      </c>
      <c r="Q21" s="86">
        <v>15.004217757020387</v>
      </c>
      <c r="R21" s="86">
        <v>14.851613444200511</v>
      </c>
      <c r="S21" s="86">
        <v>19.772663605549656</v>
      </c>
      <c r="T21" s="86">
        <v>22.4573173372018</v>
      </c>
      <c r="U21" s="86">
        <v>21.386050961538459</v>
      </c>
      <c r="V21" s="86">
        <v>20.158235466705602</v>
      </c>
      <c r="W21" s="86">
        <v>25.300978710704022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783616</v>
      </c>
      <c r="C23" s="54">
        <f t="shared" si="15"/>
        <v>738235</v>
      </c>
      <c r="D23" s="54">
        <f t="shared" ref="D23:V23" si="16">SUM(D24,D28)</f>
        <v>731345</v>
      </c>
      <c r="E23" s="54">
        <f t="shared" si="16"/>
        <v>736062</v>
      </c>
      <c r="F23" s="54">
        <f t="shared" si="16"/>
        <v>814241</v>
      </c>
      <c r="G23" s="54">
        <f t="shared" si="16"/>
        <v>881717</v>
      </c>
      <c r="H23" s="54">
        <f t="shared" si="16"/>
        <v>916713</v>
      </c>
      <c r="I23" s="54">
        <f t="shared" si="16"/>
        <v>990460</v>
      </c>
      <c r="J23" s="54">
        <f t="shared" si="16"/>
        <v>969538</v>
      </c>
      <c r="K23" s="54">
        <f t="shared" si="16"/>
        <v>866845</v>
      </c>
      <c r="L23" s="54">
        <f t="shared" si="16"/>
        <v>866555</v>
      </c>
      <c r="M23" s="54">
        <f t="shared" si="16"/>
        <v>888069</v>
      </c>
      <c r="N23" s="54">
        <f t="shared" si="16"/>
        <v>802445</v>
      </c>
      <c r="O23" s="54">
        <f t="shared" si="16"/>
        <v>749633</v>
      </c>
      <c r="P23" s="54">
        <f t="shared" si="16"/>
        <v>772925</v>
      </c>
      <c r="Q23" s="54">
        <f t="shared" si="16"/>
        <v>792643</v>
      </c>
      <c r="R23" s="54">
        <f t="shared" si="16"/>
        <v>842234</v>
      </c>
      <c r="S23" s="54">
        <f t="shared" si="16"/>
        <v>893844</v>
      </c>
      <c r="T23" s="54">
        <f t="shared" si="16"/>
        <v>953345</v>
      </c>
      <c r="U23" s="54">
        <f t="shared" si="16"/>
        <v>978826</v>
      </c>
      <c r="V23" s="54">
        <f t="shared" si="16"/>
        <v>384923</v>
      </c>
      <c r="W23" s="54">
        <f t="shared" ref="W23" si="17">SUM(W24,W28)</f>
        <v>547783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764785</v>
      </c>
      <c r="C24" s="11">
        <f t="shared" si="18"/>
        <v>720367</v>
      </c>
      <c r="D24" s="11">
        <f t="shared" ref="D24:V24" si="19">SUM(D25:D27)</f>
        <v>714401</v>
      </c>
      <c r="E24" s="11">
        <f t="shared" si="19"/>
        <v>720955</v>
      </c>
      <c r="F24" s="11">
        <f t="shared" si="19"/>
        <v>794465</v>
      </c>
      <c r="G24" s="11">
        <f t="shared" si="19"/>
        <v>862528</v>
      </c>
      <c r="H24" s="11">
        <f t="shared" si="19"/>
        <v>897319</v>
      </c>
      <c r="I24" s="11">
        <f t="shared" si="19"/>
        <v>971716</v>
      </c>
      <c r="J24" s="11">
        <f t="shared" si="19"/>
        <v>950978</v>
      </c>
      <c r="K24" s="11">
        <f t="shared" si="19"/>
        <v>851401</v>
      </c>
      <c r="L24" s="11">
        <f t="shared" si="19"/>
        <v>850693</v>
      </c>
      <c r="M24" s="11">
        <f t="shared" si="19"/>
        <v>873267</v>
      </c>
      <c r="N24" s="11">
        <f t="shared" si="19"/>
        <v>789337</v>
      </c>
      <c r="O24" s="11">
        <f t="shared" si="19"/>
        <v>737119</v>
      </c>
      <c r="P24" s="11">
        <f t="shared" si="19"/>
        <v>761484</v>
      </c>
      <c r="Q24" s="11">
        <f t="shared" si="19"/>
        <v>781132</v>
      </c>
      <c r="R24" s="11">
        <f t="shared" si="19"/>
        <v>831689</v>
      </c>
      <c r="S24" s="11">
        <f t="shared" si="19"/>
        <v>881405</v>
      </c>
      <c r="T24" s="11">
        <f t="shared" si="19"/>
        <v>940648</v>
      </c>
      <c r="U24" s="11">
        <f t="shared" si="19"/>
        <v>966254</v>
      </c>
      <c r="V24" s="11">
        <f t="shared" si="19"/>
        <v>373072</v>
      </c>
      <c r="W24" s="11">
        <f t="shared" ref="W24" si="20">SUM(W25:W27)</f>
        <v>533623</v>
      </c>
      <c r="DA24" s="189" t="s">
        <v>207</v>
      </c>
    </row>
    <row r="25" spans="1:105" ht="11.45" customHeight="1" x14ac:dyDescent="0.25">
      <c r="A25" s="83" t="s">
        <v>27</v>
      </c>
      <c r="B25" s="84">
        <v>418723</v>
      </c>
      <c r="C25" s="84">
        <v>383178</v>
      </c>
      <c r="D25" s="84">
        <v>363473</v>
      </c>
      <c r="E25" s="84">
        <v>372862</v>
      </c>
      <c r="F25" s="84">
        <v>414528</v>
      </c>
      <c r="G25" s="84">
        <v>460415</v>
      </c>
      <c r="H25" s="84">
        <v>482782</v>
      </c>
      <c r="I25" s="84">
        <v>509248</v>
      </c>
      <c r="J25" s="84">
        <v>487677</v>
      </c>
      <c r="K25" s="84">
        <v>434313</v>
      </c>
      <c r="L25" s="84">
        <v>423434</v>
      </c>
      <c r="M25" s="84">
        <v>411753</v>
      </c>
      <c r="N25" s="84">
        <v>342877</v>
      </c>
      <c r="O25" s="84">
        <v>287238</v>
      </c>
      <c r="P25" s="84">
        <v>293485</v>
      </c>
      <c r="Q25" s="84">
        <v>300978</v>
      </c>
      <c r="R25" s="84">
        <v>309983</v>
      </c>
      <c r="S25" s="84">
        <v>326721</v>
      </c>
      <c r="T25" s="84">
        <v>364654</v>
      </c>
      <c r="U25" s="84">
        <v>382847</v>
      </c>
      <c r="V25" s="84">
        <v>190227</v>
      </c>
      <c r="W25" s="84">
        <v>260658</v>
      </c>
      <c r="DA25" s="171" t="s">
        <v>208</v>
      </c>
    </row>
    <row r="26" spans="1:105" ht="11.45" customHeight="1" x14ac:dyDescent="0.25">
      <c r="A26" s="83" t="s">
        <v>173</v>
      </c>
      <c r="B26" s="84">
        <v>294607</v>
      </c>
      <c r="C26" s="84">
        <v>296142</v>
      </c>
      <c r="D26" s="84">
        <v>302587</v>
      </c>
      <c r="E26" s="84">
        <v>312588</v>
      </c>
      <c r="F26" s="84">
        <v>337942</v>
      </c>
      <c r="G26" s="84">
        <v>355417</v>
      </c>
      <c r="H26" s="84">
        <v>362417</v>
      </c>
      <c r="I26" s="84">
        <v>403155</v>
      </c>
      <c r="J26" s="84">
        <v>401381</v>
      </c>
      <c r="K26" s="84">
        <v>358962</v>
      </c>
      <c r="L26" s="84">
        <v>363439</v>
      </c>
      <c r="M26" s="84">
        <v>390626</v>
      </c>
      <c r="N26" s="84">
        <v>376048</v>
      </c>
      <c r="O26" s="84">
        <v>376592</v>
      </c>
      <c r="P26" s="84">
        <v>395659</v>
      </c>
      <c r="Q26" s="84">
        <v>408763</v>
      </c>
      <c r="R26" s="84">
        <v>447874</v>
      </c>
      <c r="S26" s="84">
        <v>477050</v>
      </c>
      <c r="T26" s="84">
        <v>494124</v>
      </c>
      <c r="U26" s="84">
        <v>497909</v>
      </c>
      <c r="V26" s="84">
        <v>159590</v>
      </c>
      <c r="W26" s="84">
        <v>237244</v>
      </c>
      <c r="DA26" s="171" t="s">
        <v>209</v>
      </c>
    </row>
    <row r="27" spans="1:105" ht="11.45" customHeight="1" x14ac:dyDescent="0.25">
      <c r="A27" s="83" t="s">
        <v>174</v>
      </c>
      <c r="B27" s="84">
        <v>51455</v>
      </c>
      <c r="C27" s="84">
        <v>41047</v>
      </c>
      <c r="D27" s="84">
        <v>48341</v>
      </c>
      <c r="E27" s="84">
        <v>35505</v>
      </c>
      <c r="F27" s="84">
        <v>41995</v>
      </c>
      <c r="G27" s="84">
        <v>46696</v>
      </c>
      <c r="H27" s="84">
        <v>52120</v>
      </c>
      <c r="I27" s="84">
        <v>59313</v>
      </c>
      <c r="J27" s="84">
        <v>61920</v>
      </c>
      <c r="K27" s="84">
        <v>58126</v>
      </c>
      <c r="L27" s="84">
        <v>63820</v>
      </c>
      <c r="M27" s="84">
        <v>70888</v>
      </c>
      <c r="N27" s="84">
        <v>70412</v>
      </c>
      <c r="O27" s="84">
        <v>73289</v>
      </c>
      <c r="P27" s="84">
        <v>72340</v>
      </c>
      <c r="Q27" s="84">
        <v>71391</v>
      </c>
      <c r="R27" s="84">
        <v>73832</v>
      </c>
      <c r="S27" s="84">
        <v>77634</v>
      </c>
      <c r="T27" s="84">
        <v>81870</v>
      </c>
      <c r="U27" s="84">
        <v>85498</v>
      </c>
      <c r="V27" s="84">
        <v>23255</v>
      </c>
      <c r="W27" s="84">
        <v>35721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18831</v>
      </c>
      <c r="C28" s="13">
        <f t="shared" si="21"/>
        <v>17868</v>
      </c>
      <c r="D28" s="13">
        <f t="shared" ref="D28:V28" si="22">SUM(D29:D31)</f>
        <v>16944</v>
      </c>
      <c r="E28" s="13">
        <f t="shared" si="22"/>
        <v>15107</v>
      </c>
      <c r="F28" s="13">
        <f t="shared" si="22"/>
        <v>19776</v>
      </c>
      <c r="G28" s="13">
        <f t="shared" si="22"/>
        <v>19189</v>
      </c>
      <c r="H28" s="13">
        <f t="shared" si="22"/>
        <v>19394</v>
      </c>
      <c r="I28" s="13">
        <f t="shared" si="22"/>
        <v>18744</v>
      </c>
      <c r="J28" s="13">
        <f t="shared" si="22"/>
        <v>18560</v>
      </c>
      <c r="K28" s="13">
        <f t="shared" si="22"/>
        <v>15444</v>
      </c>
      <c r="L28" s="13">
        <f t="shared" si="22"/>
        <v>15862</v>
      </c>
      <c r="M28" s="13">
        <f t="shared" si="22"/>
        <v>14802</v>
      </c>
      <c r="N28" s="13">
        <f t="shared" si="22"/>
        <v>13108</v>
      </c>
      <c r="O28" s="13">
        <f t="shared" si="22"/>
        <v>12514</v>
      </c>
      <c r="P28" s="13">
        <f t="shared" si="22"/>
        <v>11441</v>
      </c>
      <c r="Q28" s="13">
        <f t="shared" si="22"/>
        <v>11511</v>
      </c>
      <c r="R28" s="13">
        <f t="shared" si="22"/>
        <v>10545</v>
      </c>
      <c r="S28" s="13">
        <f t="shared" si="22"/>
        <v>12439</v>
      </c>
      <c r="T28" s="13">
        <f t="shared" si="22"/>
        <v>12697</v>
      </c>
      <c r="U28" s="13">
        <f t="shared" si="22"/>
        <v>12572</v>
      </c>
      <c r="V28" s="13">
        <f t="shared" si="22"/>
        <v>11851</v>
      </c>
      <c r="W28" s="13">
        <f t="shared" ref="W28" si="23">SUM(W29:W31)</f>
        <v>14160</v>
      </c>
      <c r="DA28" s="193" t="s">
        <v>211</v>
      </c>
    </row>
    <row r="29" spans="1:105" ht="11.45" customHeight="1" x14ac:dyDescent="0.25">
      <c r="A29" s="92" t="s">
        <v>27</v>
      </c>
      <c r="B29" s="102">
        <v>12084</v>
      </c>
      <c r="C29" s="102">
        <v>11503</v>
      </c>
      <c r="D29" s="102">
        <v>10767</v>
      </c>
      <c r="E29" s="102">
        <v>9087</v>
      </c>
      <c r="F29" s="102">
        <v>12304</v>
      </c>
      <c r="G29" s="102">
        <v>12036</v>
      </c>
      <c r="H29" s="102">
        <v>12051</v>
      </c>
      <c r="I29" s="102">
        <v>11509</v>
      </c>
      <c r="J29" s="102">
        <v>11063</v>
      </c>
      <c r="K29" s="102">
        <v>8719</v>
      </c>
      <c r="L29" s="102">
        <v>7914</v>
      </c>
      <c r="M29" s="102">
        <v>6718</v>
      </c>
      <c r="N29" s="102">
        <v>5645</v>
      </c>
      <c r="O29" s="102">
        <v>5152</v>
      </c>
      <c r="P29" s="102">
        <v>4730</v>
      </c>
      <c r="Q29" s="102">
        <v>4344</v>
      </c>
      <c r="R29" s="102">
        <v>3897</v>
      </c>
      <c r="S29" s="102">
        <v>4302</v>
      </c>
      <c r="T29" s="102">
        <v>4119</v>
      </c>
      <c r="U29" s="102">
        <v>3608</v>
      </c>
      <c r="V29" s="102">
        <v>3089</v>
      </c>
      <c r="W29" s="102">
        <v>3329</v>
      </c>
      <c r="DA29" s="175" t="s">
        <v>212</v>
      </c>
    </row>
    <row r="30" spans="1:105" ht="11.45" customHeight="1" x14ac:dyDescent="0.25">
      <c r="A30" s="92" t="s">
        <v>173</v>
      </c>
      <c r="B30" s="102">
        <v>5052</v>
      </c>
      <c r="C30" s="102">
        <v>4721</v>
      </c>
      <c r="D30" s="102">
        <v>4629</v>
      </c>
      <c r="E30" s="102">
        <v>4435</v>
      </c>
      <c r="F30" s="102">
        <v>5499</v>
      </c>
      <c r="G30" s="102">
        <v>5224</v>
      </c>
      <c r="H30" s="102">
        <v>5229</v>
      </c>
      <c r="I30" s="102">
        <v>4687</v>
      </c>
      <c r="J30" s="102">
        <v>4786</v>
      </c>
      <c r="K30" s="102">
        <v>4354</v>
      </c>
      <c r="L30" s="102">
        <v>4747</v>
      </c>
      <c r="M30" s="102">
        <v>4604</v>
      </c>
      <c r="N30" s="102">
        <v>4050</v>
      </c>
      <c r="O30" s="102">
        <v>4049</v>
      </c>
      <c r="P30" s="102">
        <v>3718</v>
      </c>
      <c r="Q30" s="102">
        <v>4083</v>
      </c>
      <c r="R30" s="102">
        <v>3728</v>
      </c>
      <c r="S30" s="102">
        <v>4457</v>
      </c>
      <c r="T30" s="102">
        <v>4608</v>
      </c>
      <c r="U30" s="102">
        <v>4914</v>
      </c>
      <c r="V30" s="102">
        <v>5049</v>
      </c>
      <c r="W30" s="102">
        <v>5883</v>
      </c>
      <c r="DA30" s="175" t="s">
        <v>213</v>
      </c>
    </row>
    <row r="31" spans="1:105" ht="11.45" customHeight="1" x14ac:dyDescent="0.25">
      <c r="A31" s="85" t="s">
        <v>174</v>
      </c>
      <c r="B31" s="86">
        <v>1695</v>
      </c>
      <c r="C31" s="86">
        <v>1644</v>
      </c>
      <c r="D31" s="86">
        <v>1548</v>
      </c>
      <c r="E31" s="86">
        <v>1585</v>
      </c>
      <c r="F31" s="86">
        <v>1973</v>
      </c>
      <c r="G31" s="86">
        <v>1929</v>
      </c>
      <c r="H31" s="86">
        <v>2114</v>
      </c>
      <c r="I31" s="86">
        <v>2548</v>
      </c>
      <c r="J31" s="86">
        <v>2711</v>
      </c>
      <c r="K31" s="86">
        <v>2371</v>
      </c>
      <c r="L31" s="86">
        <v>3201</v>
      </c>
      <c r="M31" s="86">
        <v>3480</v>
      </c>
      <c r="N31" s="86">
        <v>3413</v>
      </c>
      <c r="O31" s="86">
        <v>3313</v>
      </c>
      <c r="P31" s="86">
        <v>2993</v>
      </c>
      <c r="Q31" s="86">
        <v>3084</v>
      </c>
      <c r="R31" s="86">
        <v>2920</v>
      </c>
      <c r="S31" s="86">
        <v>3680</v>
      </c>
      <c r="T31" s="86">
        <v>3970</v>
      </c>
      <c r="U31" s="86">
        <v>4050</v>
      </c>
      <c r="V31" s="86">
        <v>3713</v>
      </c>
      <c r="W31" s="86">
        <v>4948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74294086</v>
      </c>
      <c r="C34" s="11">
        <f t="shared" si="24"/>
        <v>71271201</v>
      </c>
      <c r="D34" s="11">
        <f t="shared" ref="D34:V34" si="25">SUM(D35:D37)</f>
        <v>70636796</v>
      </c>
      <c r="E34" s="11">
        <f t="shared" si="25"/>
        <v>75272740</v>
      </c>
      <c r="F34" s="11">
        <f t="shared" si="25"/>
        <v>82581281</v>
      </c>
      <c r="G34" s="11">
        <f t="shared" si="25"/>
        <v>89850213</v>
      </c>
      <c r="H34" s="11">
        <f t="shared" si="25"/>
        <v>94117241</v>
      </c>
      <c r="I34" s="11">
        <f t="shared" si="25"/>
        <v>103268931</v>
      </c>
      <c r="J34" s="11">
        <f t="shared" si="25"/>
        <v>101086618</v>
      </c>
      <c r="K34" s="11">
        <f t="shared" si="25"/>
        <v>92962074</v>
      </c>
      <c r="L34" s="11">
        <f t="shared" si="25"/>
        <v>95713470</v>
      </c>
      <c r="M34" s="11">
        <f t="shared" si="25"/>
        <v>101541005</v>
      </c>
      <c r="N34" s="11">
        <f t="shared" si="25"/>
        <v>96593018</v>
      </c>
      <c r="O34" s="11">
        <f t="shared" si="25"/>
        <v>93176874</v>
      </c>
      <c r="P34" s="11">
        <f t="shared" si="25"/>
        <v>97341556</v>
      </c>
      <c r="Q34" s="11">
        <f t="shared" si="25"/>
        <v>102816202</v>
      </c>
      <c r="R34" s="11">
        <f t="shared" si="25"/>
        <v>113634401</v>
      </c>
      <c r="S34" s="11">
        <f t="shared" si="25"/>
        <v>122945525</v>
      </c>
      <c r="T34" s="11">
        <f t="shared" si="25"/>
        <v>130105432</v>
      </c>
      <c r="U34" s="11">
        <f t="shared" si="25"/>
        <v>135290521</v>
      </c>
      <c r="V34" s="11">
        <f t="shared" si="25"/>
        <v>37626967</v>
      </c>
      <c r="W34" s="11">
        <f t="shared" ref="W34" si="26">SUM(W35:W37)</f>
        <v>58486454</v>
      </c>
      <c r="DA34" s="189" t="s">
        <v>215</v>
      </c>
    </row>
    <row r="35" spans="1:105" ht="11.45" customHeight="1" x14ac:dyDescent="0.25">
      <c r="A35" s="83" t="s">
        <v>27</v>
      </c>
      <c r="B35" s="84">
        <v>31834222</v>
      </c>
      <c r="C35" s="84">
        <v>29365812</v>
      </c>
      <c r="D35" s="84">
        <v>28987031</v>
      </c>
      <c r="E35" s="84">
        <v>31310867</v>
      </c>
      <c r="F35" s="84">
        <v>34821915</v>
      </c>
      <c r="G35" s="84">
        <v>38703375</v>
      </c>
      <c r="H35" s="84">
        <v>41049608</v>
      </c>
      <c r="I35" s="84">
        <v>44257644</v>
      </c>
      <c r="J35" s="84">
        <v>40613383</v>
      </c>
      <c r="K35" s="84">
        <v>37386423</v>
      </c>
      <c r="L35" s="84">
        <v>38080942</v>
      </c>
      <c r="M35" s="84">
        <v>37826810</v>
      </c>
      <c r="N35" s="84">
        <v>33126814</v>
      </c>
      <c r="O35" s="84">
        <v>28526199</v>
      </c>
      <c r="P35" s="84">
        <v>29139344</v>
      </c>
      <c r="Q35" s="84">
        <v>30837209</v>
      </c>
      <c r="R35" s="84">
        <v>33384149</v>
      </c>
      <c r="S35" s="84">
        <v>36080449</v>
      </c>
      <c r="T35" s="84">
        <v>39863513</v>
      </c>
      <c r="U35" s="84">
        <v>42485389</v>
      </c>
      <c r="V35" s="84">
        <v>16781708</v>
      </c>
      <c r="W35" s="84">
        <v>25865486</v>
      </c>
      <c r="DA35" s="171" t="s">
        <v>216</v>
      </c>
    </row>
    <row r="36" spans="1:105" ht="11.45" customHeight="1" x14ac:dyDescent="0.25">
      <c r="A36" s="83" t="s">
        <v>173</v>
      </c>
      <c r="B36" s="84">
        <v>36625117</v>
      </c>
      <c r="C36" s="84">
        <v>37185754</v>
      </c>
      <c r="D36" s="84">
        <v>37086527</v>
      </c>
      <c r="E36" s="84">
        <v>39430328</v>
      </c>
      <c r="F36" s="84">
        <v>42267473</v>
      </c>
      <c r="G36" s="84">
        <v>44886532</v>
      </c>
      <c r="H36" s="84">
        <v>45967184</v>
      </c>
      <c r="I36" s="84">
        <v>50818595</v>
      </c>
      <c r="J36" s="84">
        <v>51572849</v>
      </c>
      <c r="K36" s="84">
        <v>46951285</v>
      </c>
      <c r="L36" s="84">
        <v>47944523</v>
      </c>
      <c r="M36" s="84">
        <v>53049844</v>
      </c>
      <c r="N36" s="84">
        <v>52596302</v>
      </c>
      <c r="O36" s="84">
        <v>53503378</v>
      </c>
      <c r="P36" s="84">
        <v>57093263</v>
      </c>
      <c r="Q36" s="84">
        <v>60677587</v>
      </c>
      <c r="R36" s="84">
        <v>68185416</v>
      </c>
      <c r="S36" s="84">
        <v>73731724</v>
      </c>
      <c r="T36" s="84">
        <v>75989399</v>
      </c>
      <c r="U36" s="84">
        <v>77647244</v>
      </c>
      <c r="V36" s="84">
        <v>17565636</v>
      </c>
      <c r="W36" s="84">
        <v>27814970</v>
      </c>
      <c r="DA36" s="171" t="s">
        <v>217</v>
      </c>
    </row>
    <row r="37" spans="1:105" ht="11.45" customHeight="1" x14ac:dyDescent="0.25">
      <c r="A37" s="83" t="s">
        <v>174</v>
      </c>
      <c r="B37" s="84">
        <v>5834747</v>
      </c>
      <c r="C37" s="84">
        <v>4719635</v>
      </c>
      <c r="D37" s="84">
        <v>4563238</v>
      </c>
      <c r="E37" s="84">
        <v>4531545</v>
      </c>
      <c r="F37" s="84">
        <v>5491893</v>
      </c>
      <c r="G37" s="84">
        <v>6260306</v>
      </c>
      <c r="H37" s="84">
        <v>7100449</v>
      </c>
      <c r="I37" s="84">
        <v>8192692</v>
      </c>
      <c r="J37" s="84">
        <v>8900386</v>
      </c>
      <c r="K37" s="84">
        <v>8624366</v>
      </c>
      <c r="L37" s="84">
        <v>9688005</v>
      </c>
      <c r="M37" s="84">
        <v>10664351</v>
      </c>
      <c r="N37" s="84">
        <v>10869902</v>
      </c>
      <c r="O37" s="84">
        <v>11147297</v>
      </c>
      <c r="P37" s="84">
        <v>11108949</v>
      </c>
      <c r="Q37" s="84">
        <v>11301406</v>
      </c>
      <c r="R37" s="84">
        <v>12064836</v>
      </c>
      <c r="S37" s="84">
        <v>13133352</v>
      </c>
      <c r="T37" s="84">
        <v>14252520</v>
      </c>
      <c r="U37" s="84">
        <v>15157888</v>
      </c>
      <c r="V37" s="84">
        <v>3279623</v>
      </c>
      <c r="W37" s="84">
        <v>4805998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290696.28063706879</v>
      </c>
      <c r="C38" s="13">
        <f t="shared" si="27"/>
        <v>279651.584739796</v>
      </c>
      <c r="D38" s="13">
        <f t="shared" ref="D38:V38" si="28">SUM(D39:D41)</f>
        <v>267435.7594927309</v>
      </c>
      <c r="E38" s="13">
        <f t="shared" si="28"/>
        <v>252227.74076494464</v>
      </c>
      <c r="F38" s="13">
        <f t="shared" si="28"/>
        <v>309023.26910865097</v>
      </c>
      <c r="G38" s="13">
        <f t="shared" si="28"/>
        <v>285275.5816116971</v>
      </c>
      <c r="H38" s="13">
        <f t="shared" si="28"/>
        <v>284828.76652701461</v>
      </c>
      <c r="I38" s="13">
        <f t="shared" si="28"/>
        <v>290193.27978942287</v>
      </c>
      <c r="J38" s="13">
        <f t="shared" si="28"/>
        <v>289388.67154264858</v>
      </c>
      <c r="K38" s="13">
        <f t="shared" si="28"/>
        <v>258937.85793301006</v>
      </c>
      <c r="L38" s="13">
        <f t="shared" si="28"/>
        <v>315530.70997859177</v>
      </c>
      <c r="M38" s="13">
        <f t="shared" si="28"/>
        <v>336137.84553987498</v>
      </c>
      <c r="N38" s="13">
        <f t="shared" si="28"/>
        <v>330348.76639337349</v>
      </c>
      <c r="O38" s="13">
        <f t="shared" si="28"/>
        <v>322699.04732578411</v>
      </c>
      <c r="P38" s="13">
        <f t="shared" si="28"/>
        <v>326447.08306282439</v>
      </c>
      <c r="Q38" s="13">
        <f t="shared" si="28"/>
        <v>335075.7201852643</v>
      </c>
      <c r="R38" s="13">
        <f t="shared" si="28"/>
        <v>349367.14893527015</v>
      </c>
      <c r="S38" s="13">
        <f t="shared" si="28"/>
        <v>413827.41729456786</v>
      </c>
      <c r="T38" s="13">
        <f t="shared" si="28"/>
        <v>436728.49658081669</v>
      </c>
      <c r="U38" s="13">
        <f t="shared" si="28"/>
        <v>456213.12060458947</v>
      </c>
      <c r="V38" s="13">
        <f t="shared" si="28"/>
        <v>319957.53511662083</v>
      </c>
      <c r="W38" s="13">
        <f t="shared" ref="W38" si="29">SUM(W39:W41)</f>
        <v>416422.22572081955</v>
      </c>
      <c r="DA38" s="193" t="s">
        <v>219</v>
      </c>
    </row>
    <row r="39" spans="1:105" ht="11.45" customHeight="1" x14ac:dyDescent="0.25">
      <c r="A39" s="92" t="s">
        <v>27</v>
      </c>
      <c r="B39" s="102">
        <v>121121.08251518891</v>
      </c>
      <c r="C39" s="102">
        <v>114418.46432079253</v>
      </c>
      <c r="D39" s="102">
        <v>110131.5650616551</v>
      </c>
      <c r="E39" s="102">
        <v>98867.068242505513</v>
      </c>
      <c r="F39" s="102">
        <v>126058.08840208927</v>
      </c>
      <c r="G39" s="102">
        <v>120677.34420483166</v>
      </c>
      <c r="H39" s="102">
        <v>116223.43419579223</v>
      </c>
      <c r="I39" s="102">
        <v>110584.1045269609</v>
      </c>
      <c r="J39" s="102">
        <v>102269.17270422196</v>
      </c>
      <c r="K39" s="102">
        <v>81296.931691153572</v>
      </c>
      <c r="L39" s="102">
        <v>78923.861986108226</v>
      </c>
      <c r="M39" s="102">
        <v>73195.388383069294</v>
      </c>
      <c r="N39" s="102">
        <v>63174.941385479739</v>
      </c>
      <c r="O39" s="102">
        <v>59106.321840329605</v>
      </c>
      <c r="P39" s="102">
        <v>60860.998418893156</v>
      </c>
      <c r="Q39" s="102">
        <v>57515.606925232576</v>
      </c>
      <c r="R39" s="102">
        <v>59473.39129601296</v>
      </c>
      <c r="S39" s="102">
        <v>60388.466162489298</v>
      </c>
      <c r="T39" s="102">
        <v>58851.554342862313</v>
      </c>
      <c r="U39" s="102">
        <v>57018.378887083978</v>
      </c>
      <c r="V39" s="102">
        <v>44992.768271503817</v>
      </c>
      <c r="W39" s="102">
        <v>49049.092128880315</v>
      </c>
      <c r="DA39" s="175" t="s">
        <v>220</v>
      </c>
    </row>
    <row r="40" spans="1:105" ht="11.45" customHeight="1" x14ac:dyDescent="0.25">
      <c r="A40" s="92" t="s">
        <v>173</v>
      </c>
      <c r="B40" s="102">
        <v>81216.33321080188</v>
      </c>
      <c r="C40" s="102">
        <v>76722.103808649961</v>
      </c>
      <c r="D40" s="102">
        <v>75433.69629740213</v>
      </c>
      <c r="E40" s="102">
        <v>76137.885874668587</v>
      </c>
      <c r="F40" s="102">
        <v>88143.930005207323</v>
      </c>
      <c r="G40" s="102">
        <v>79305.658792694201</v>
      </c>
      <c r="H40" s="102">
        <v>73128.995355848645</v>
      </c>
      <c r="I40" s="102">
        <v>64472.661882624503</v>
      </c>
      <c r="J40" s="102">
        <v>65360.607006828708</v>
      </c>
      <c r="K40" s="102">
        <v>59330.914324940022</v>
      </c>
      <c r="L40" s="102">
        <v>68455.475227140618</v>
      </c>
      <c r="M40" s="102">
        <v>71314.59508532926</v>
      </c>
      <c r="N40" s="102">
        <v>66670.379569404031</v>
      </c>
      <c r="O40" s="102">
        <v>66978.732814640112</v>
      </c>
      <c r="P40" s="102">
        <v>67659.245691263204</v>
      </c>
      <c r="Q40" s="102">
        <v>74211.651610406974</v>
      </c>
      <c r="R40" s="102">
        <v>76698.052525326682</v>
      </c>
      <c r="S40" s="102">
        <v>85253.915305903269</v>
      </c>
      <c r="T40" s="102">
        <v>87602.800629018428</v>
      </c>
      <c r="U40" s="102">
        <v>95786.837166122481</v>
      </c>
      <c r="V40" s="102">
        <v>88454.261127009187</v>
      </c>
      <c r="W40" s="102">
        <v>103836.88410912936</v>
      </c>
      <c r="DA40" s="175" t="s">
        <v>221</v>
      </c>
    </row>
    <row r="41" spans="1:105" ht="11.45" customHeight="1" x14ac:dyDescent="0.25">
      <c r="A41" s="85" t="s">
        <v>174</v>
      </c>
      <c r="B41" s="86">
        <v>88358.86491107801</v>
      </c>
      <c r="C41" s="86">
        <v>88511.01661035353</v>
      </c>
      <c r="D41" s="86">
        <v>81870.498133673682</v>
      </c>
      <c r="E41" s="86">
        <v>77222.786647770568</v>
      </c>
      <c r="F41" s="86">
        <v>94821.250701354409</v>
      </c>
      <c r="G41" s="86">
        <v>85292.578614171216</v>
      </c>
      <c r="H41" s="86">
        <v>95476.336975373735</v>
      </c>
      <c r="I41" s="86">
        <v>115136.51337983746</v>
      </c>
      <c r="J41" s="86">
        <v>121758.89183159787</v>
      </c>
      <c r="K41" s="86">
        <v>118310.01191691647</v>
      </c>
      <c r="L41" s="86">
        <v>168151.37276534297</v>
      </c>
      <c r="M41" s="86">
        <v>191627.86207147638</v>
      </c>
      <c r="N41" s="86">
        <v>200503.4454384897</v>
      </c>
      <c r="O41" s="86">
        <v>196613.99267081436</v>
      </c>
      <c r="P41" s="86">
        <v>197926.83895266801</v>
      </c>
      <c r="Q41" s="86">
        <v>203348.46164962475</v>
      </c>
      <c r="R41" s="86">
        <v>213195.70511393051</v>
      </c>
      <c r="S41" s="86">
        <v>268185.0358261753</v>
      </c>
      <c r="T41" s="86">
        <v>290274.14160893596</v>
      </c>
      <c r="U41" s="86">
        <v>303407.90455138299</v>
      </c>
      <c r="V41" s="86">
        <v>186510.50571810783</v>
      </c>
      <c r="W41" s="86">
        <v>263536.24948280992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631.51067160715377</v>
      </c>
      <c r="C43" s="54">
        <f t="shared" si="30"/>
        <v>602.4476003211721</v>
      </c>
      <c r="D43" s="54">
        <f t="shared" ref="D43:V43" si="31">SUM(D44,D48)</f>
        <v>602.46596093899291</v>
      </c>
      <c r="E43" s="54">
        <f t="shared" si="31"/>
        <v>604.76178286749121</v>
      </c>
      <c r="F43" s="54">
        <f t="shared" si="31"/>
        <v>652.02829936094975</v>
      </c>
      <c r="G43" s="54">
        <f t="shared" si="31"/>
        <v>703.77065826097657</v>
      </c>
      <c r="H43" s="54">
        <f t="shared" si="31"/>
        <v>737.05560441452212</v>
      </c>
      <c r="I43" s="54">
        <f t="shared" si="31"/>
        <v>802.47902289171418</v>
      </c>
      <c r="J43" s="54">
        <f t="shared" si="31"/>
        <v>801.06996328860293</v>
      </c>
      <c r="K43" s="54">
        <f t="shared" si="31"/>
        <v>740.04224937730385</v>
      </c>
      <c r="L43" s="54">
        <f t="shared" si="31"/>
        <v>737.25770148349829</v>
      </c>
      <c r="M43" s="54">
        <f t="shared" si="31"/>
        <v>768.04234459064537</v>
      </c>
      <c r="N43" s="54">
        <f t="shared" si="31"/>
        <v>728.82618815980891</v>
      </c>
      <c r="O43" s="54">
        <f t="shared" si="31"/>
        <v>714.70131639475176</v>
      </c>
      <c r="P43" s="54">
        <f t="shared" si="31"/>
        <v>713.96194468447675</v>
      </c>
      <c r="Q43" s="54">
        <f t="shared" si="31"/>
        <v>728.31664408988399</v>
      </c>
      <c r="R43" s="54">
        <f t="shared" si="31"/>
        <v>782.12799699983623</v>
      </c>
      <c r="S43" s="54">
        <f t="shared" si="31"/>
        <v>836.42258623770908</v>
      </c>
      <c r="T43" s="54">
        <f t="shared" si="31"/>
        <v>882.76269900923171</v>
      </c>
      <c r="U43" s="54">
        <f t="shared" si="31"/>
        <v>908.12643749322569</v>
      </c>
      <c r="V43" s="54">
        <f t="shared" si="31"/>
        <v>866.80778855239453</v>
      </c>
      <c r="W43" s="54">
        <f t="shared" ref="W43" si="32">SUM(W44,W48)</f>
        <v>829.85224860123662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611.67342211029973</v>
      </c>
      <c r="C44" s="11">
        <f t="shared" si="33"/>
        <v>583.57248097048853</v>
      </c>
      <c r="D44" s="11">
        <f t="shared" ref="D44:V44" si="34">SUM(D45:D47)</f>
        <v>584.55379755501315</v>
      </c>
      <c r="E44" s="11">
        <f t="shared" si="34"/>
        <v>587.93692119130549</v>
      </c>
      <c r="F44" s="11">
        <f t="shared" si="34"/>
        <v>630.77552857439491</v>
      </c>
      <c r="G44" s="11">
        <f t="shared" si="34"/>
        <v>683.0331576463409</v>
      </c>
      <c r="H44" s="11">
        <f t="shared" si="34"/>
        <v>715.74048641912862</v>
      </c>
      <c r="I44" s="11">
        <f t="shared" si="34"/>
        <v>780.90976253285794</v>
      </c>
      <c r="J44" s="11">
        <f t="shared" si="34"/>
        <v>779.08282196788468</v>
      </c>
      <c r="K44" s="11">
        <f t="shared" si="34"/>
        <v>719.87445907362064</v>
      </c>
      <c r="L44" s="11">
        <f t="shared" si="34"/>
        <v>716.10559413802923</v>
      </c>
      <c r="M44" s="11">
        <f t="shared" si="34"/>
        <v>747.80900835730029</v>
      </c>
      <c r="N44" s="11">
        <f t="shared" si="34"/>
        <v>710.42760870908342</v>
      </c>
      <c r="O44" s="11">
        <f t="shared" si="34"/>
        <v>697.65286176062227</v>
      </c>
      <c r="P44" s="11">
        <f t="shared" si="34"/>
        <v>698.01968334696244</v>
      </c>
      <c r="Q44" s="11">
        <f t="shared" si="34"/>
        <v>711.91984351431597</v>
      </c>
      <c r="R44" s="11">
        <f t="shared" si="34"/>
        <v>766.58562725795457</v>
      </c>
      <c r="S44" s="11">
        <f t="shared" si="34"/>
        <v>817.14176053471829</v>
      </c>
      <c r="T44" s="11">
        <f t="shared" si="34"/>
        <v>862.14702485143505</v>
      </c>
      <c r="U44" s="11">
        <f t="shared" si="34"/>
        <v>888.0119778603455</v>
      </c>
      <c r="V44" s="11">
        <f t="shared" si="34"/>
        <v>847.23374971965893</v>
      </c>
      <c r="W44" s="11">
        <f t="shared" ref="W44" si="35">SUM(W45:W47)</f>
        <v>806.45552157897214</v>
      </c>
      <c r="DA44" s="189" t="s">
        <v>224</v>
      </c>
    </row>
    <row r="45" spans="1:105" ht="11.45" customHeight="1" x14ac:dyDescent="0.25">
      <c r="A45" s="83" t="s">
        <v>27</v>
      </c>
      <c r="B45" s="84">
        <v>216.61821003621313</v>
      </c>
      <c r="C45" s="84">
        <v>198.22969477496119</v>
      </c>
      <c r="D45" s="84">
        <v>188.03569580962235</v>
      </c>
      <c r="E45" s="84">
        <v>192.89291257113297</v>
      </c>
      <c r="F45" s="84">
        <v>214.44800827728918</v>
      </c>
      <c r="G45" s="84">
        <v>239.17662337662338</v>
      </c>
      <c r="H45" s="84">
        <v>250.92619542619542</v>
      </c>
      <c r="I45" s="84">
        <v>265.09526288391464</v>
      </c>
      <c r="J45" s="84">
        <v>253.47037422037423</v>
      </c>
      <c r="K45" s="84">
        <v>231.8085532167529</v>
      </c>
      <c r="L45" s="84">
        <v>219.85150571131879</v>
      </c>
      <c r="M45" s="84">
        <v>213.34352331606217</v>
      </c>
      <c r="N45" s="84">
        <v>191.68170231244085</v>
      </c>
      <c r="O45" s="84">
        <v>170.01988130881955</v>
      </c>
      <c r="P45" s="84">
        <v>152.14359771902539</v>
      </c>
      <c r="Q45" s="84">
        <v>156.43347193347194</v>
      </c>
      <c r="R45" s="84">
        <v>162.55007865757736</v>
      </c>
      <c r="S45" s="84">
        <v>170.96860282574568</v>
      </c>
      <c r="T45" s="84">
        <v>189.62766510660427</v>
      </c>
      <c r="U45" s="84">
        <v>199.7115284298383</v>
      </c>
      <c r="V45" s="84">
        <v>185.2703144274241</v>
      </c>
      <c r="W45" s="84">
        <v>170.8291004250099</v>
      </c>
      <c r="DA45" s="171" t="s">
        <v>225</v>
      </c>
    </row>
    <row r="46" spans="1:105" ht="11.45" customHeight="1" x14ac:dyDescent="0.25">
      <c r="A46" s="83" t="s">
        <v>173</v>
      </c>
      <c r="B46" s="84">
        <v>277.57804312431489</v>
      </c>
      <c r="C46" s="84">
        <v>279.61333414073283</v>
      </c>
      <c r="D46" s="84">
        <v>286.15052183671503</v>
      </c>
      <c r="E46" s="84">
        <v>296.42414560647387</v>
      </c>
      <c r="F46" s="84">
        <v>320.44852486331581</v>
      </c>
      <c r="G46" s="84">
        <v>336.01357814962518</v>
      </c>
      <c r="H46" s="84">
        <v>343.32244950109174</v>
      </c>
      <c r="I46" s="84">
        <v>377.87729034661783</v>
      </c>
      <c r="J46" s="84">
        <v>376.76629390135668</v>
      </c>
      <c r="K46" s="84">
        <v>349.00848958892516</v>
      </c>
      <c r="L46" s="84">
        <v>347.83548377554757</v>
      </c>
      <c r="M46" s="84">
        <v>370.75185917518729</v>
      </c>
      <c r="N46" s="84">
        <v>357.25049355260586</v>
      </c>
      <c r="O46" s="84">
        <v>362.19505720123828</v>
      </c>
      <c r="P46" s="84">
        <v>382.58037456698895</v>
      </c>
      <c r="Q46" s="84">
        <v>393.60201783934741</v>
      </c>
      <c r="R46" s="84">
        <v>435.85331625413573</v>
      </c>
      <c r="S46" s="84">
        <v>466.46482437563924</v>
      </c>
      <c r="T46" s="84">
        <v>479.88406562718376</v>
      </c>
      <c r="U46" s="84">
        <v>479.25888463833115</v>
      </c>
      <c r="V46" s="84">
        <v>460.75368176337685</v>
      </c>
      <c r="W46" s="84">
        <v>442.24847888842248</v>
      </c>
      <c r="DA46" s="171" t="s">
        <v>226</v>
      </c>
    </row>
    <row r="47" spans="1:105" ht="11.45" customHeight="1" x14ac:dyDescent="0.25">
      <c r="A47" s="83" t="s">
        <v>174</v>
      </c>
      <c r="B47" s="84">
        <v>117.47716894977169</v>
      </c>
      <c r="C47" s="84">
        <v>105.72945205479452</v>
      </c>
      <c r="D47" s="84">
        <v>110.36757990867579</v>
      </c>
      <c r="E47" s="84">
        <v>98.61986301369862</v>
      </c>
      <c r="F47" s="84">
        <v>95.878995433789953</v>
      </c>
      <c r="G47" s="84">
        <v>107.84295612009238</v>
      </c>
      <c r="H47" s="84">
        <v>121.4918414918415</v>
      </c>
      <c r="I47" s="84">
        <v>137.93720930232558</v>
      </c>
      <c r="J47" s="84">
        <v>148.84615384615384</v>
      </c>
      <c r="K47" s="84">
        <v>139.05741626794259</v>
      </c>
      <c r="L47" s="84">
        <v>148.41860465116278</v>
      </c>
      <c r="M47" s="84">
        <v>163.71362586605082</v>
      </c>
      <c r="N47" s="84">
        <v>161.49541284403671</v>
      </c>
      <c r="O47" s="84">
        <v>165.43792325056432</v>
      </c>
      <c r="P47" s="84">
        <v>163.29571106094809</v>
      </c>
      <c r="Q47" s="84">
        <v>161.8843537414966</v>
      </c>
      <c r="R47" s="84">
        <v>168.18223234624145</v>
      </c>
      <c r="S47" s="84">
        <v>179.70833333333334</v>
      </c>
      <c r="T47" s="84">
        <v>192.63529411764705</v>
      </c>
      <c r="U47" s="84">
        <v>209.04156479217605</v>
      </c>
      <c r="V47" s="84">
        <v>201.20975352885793</v>
      </c>
      <c r="W47" s="84">
        <v>193.37794226553982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19.837249496854014</v>
      </c>
      <c r="C48" s="13">
        <f t="shared" si="36"/>
        <v>18.875119350683619</v>
      </c>
      <c r="D48" s="13">
        <f t="shared" ref="D48:V48" si="37">SUM(D49:D51)</f>
        <v>17.912163383979749</v>
      </c>
      <c r="E48" s="13">
        <f t="shared" si="37"/>
        <v>16.824861676185751</v>
      </c>
      <c r="F48" s="13">
        <f t="shared" si="37"/>
        <v>21.252770786554869</v>
      </c>
      <c r="G48" s="13">
        <f t="shared" si="37"/>
        <v>20.737500614635643</v>
      </c>
      <c r="H48" s="13">
        <f t="shared" si="37"/>
        <v>21.315117995393543</v>
      </c>
      <c r="I48" s="13">
        <f t="shared" si="37"/>
        <v>21.569260358856273</v>
      </c>
      <c r="J48" s="13">
        <f t="shared" si="37"/>
        <v>21.987141320718226</v>
      </c>
      <c r="K48" s="13">
        <f t="shared" si="37"/>
        <v>20.16779030368323</v>
      </c>
      <c r="L48" s="13">
        <f t="shared" si="37"/>
        <v>21.152107345469076</v>
      </c>
      <c r="M48" s="13">
        <f t="shared" si="37"/>
        <v>20.233336233345042</v>
      </c>
      <c r="N48" s="13">
        <f t="shared" si="37"/>
        <v>18.398579450725478</v>
      </c>
      <c r="O48" s="13">
        <f t="shared" si="37"/>
        <v>17.048454634129484</v>
      </c>
      <c r="P48" s="13">
        <f t="shared" si="37"/>
        <v>15.942261337514289</v>
      </c>
      <c r="Q48" s="13">
        <f t="shared" si="37"/>
        <v>16.396800575568001</v>
      </c>
      <c r="R48" s="13">
        <f t="shared" si="37"/>
        <v>15.542369741881686</v>
      </c>
      <c r="S48" s="13">
        <f t="shared" si="37"/>
        <v>19.280825702990754</v>
      </c>
      <c r="T48" s="13">
        <f t="shared" si="37"/>
        <v>20.615674157796668</v>
      </c>
      <c r="U48" s="13">
        <f t="shared" si="37"/>
        <v>20.11445963288017</v>
      </c>
      <c r="V48" s="13">
        <f t="shared" si="37"/>
        <v>19.574038832735592</v>
      </c>
      <c r="W48" s="13">
        <f t="shared" ref="W48" si="38">SUM(W49:W51)</f>
        <v>23.396727022264496</v>
      </c>
      <c r="DA48" s="193" t="s">
        <v>228</v>
      </c>
    </row>
    <row r="49" spans="1:105" ht="11.45" customHeight="1" x14ac:dyDescent="0.25">
      <c r="A49" s="92" t="s">
        <v>27</v>
      </c>
      <c r="B49" s="102">
        <v>9.8887070376432078</v>
      </c>
      <c r="C49" s="102">
        <v>9.413256955810148</v>
      </c>
      <c r="D49" s="102">
        <v>8.8109656301145662</v>
      </c>
      <c r="E49" s="102">
        <v>7.8220949263502453</v>
      </c>
      <c r="F49" s="102">
        <v>10.068739770867431</v>
      </c>
      <c r="G49" s="102">
        <v>9.8736669401148482</v>
      </c>
      <c r="H49" s="102">
        <v>9.9348722176422086</v>
      </c>
      <c r="I49" s="102">
        <v>9.5431177446102815</v>
      </c>
      <c r="J49" s="102">
        <v>9.2038269550748755</v>
      </c>
      <c r="K49" s="102">
        <v>8.2149562513105554</v>
      </c>
      <c r="L49" s="102">
        <v>7.2260855475462344</v>
      </c>
      <c r="M49" s="102">
        <v>6.2372148437819135</v>
      </c>
      <c r="N49" s="102">
        <v>5.2483441400175925</v>
      </c>
      <c r="O49" s="102">
        <v>4.2861896838602327</v>
      </c>
      <c r="P49" s="102">
        <v>3.9351081530782031</v>
      </c>
      <c r="Q49" s="102">
        <v>3.626043405676127</v>
      </c>
      <c r="R49" s="102">
        <v>3.2803030303030303</v>
      </c>
      <c r="S49" s="102">
        <v>3.6212121212121211</v>
      </c>
      <c r="T49" s="102">
        <v>3.4613445378151262</v>
      </c>
      <c r="U49" s="102">
        <v>3.0447257383966244</v>
      </c>
      <c r="V49" s="102">
        <v>2.5979814970563497</v>
      </c>
      <c r="W49" s="102">
        <v>2.8452991452991454</v>
      </c>
      <c r="DA49" s="175" t="s">
        <v>229</v>
      </c>
    </row>
    <row r="50" spans="1:105" ht="11.45" customHeight="1" x14ac:dyDescent="0.25">
      <c r="A50" s="92" t="s">
        <v>173</v>
      </c>
      <c r="B50" s="102">
        <v>5.2919490526174009</v>
      </c>
      <c r="C50" s="102">
        <v>4.9453788783899517</v>
      </c>
      <c r="D50" s="102">
        <v>4.84845050111793</v>
      </c>
      <c r="E50" s="102">
        <v>4.6483711454399019</v>
      </c>
      <c r="F50" s="102">
        <v>5.7637013453577683</v>
      </c>
      <c r="G50" s="102">
        <v>5.5203433698116537</v>
      </c>
      <c r="H50" s="102">
        <v>5.4916663905647072</v>
      </c>
      <c r="I50" s="102">
        <v>4.9679708690936373</v>
      </c>
      <c r="J50" s="102">
        <v>5.0816098201888051</v>
      </c>
      <c r="K50" s="102">
        <v>4.7167888475774689</v>
      </c>
      <c r="L50" s="102">
        <v>5.1320657539667964</v>
      </c>
      <c r="M50" s="102">
        <v>4.8382266527210245</v>
      </c>
      <c r="N50" s="102">
        <v>4.4579999145251232</v>
      </c>
      <c r="O50" s="102">
        <v>4.2455554387011301</v>
      </c>
      <c r="P50" s="102">
        <v>3.9561030135273043</v>
      </c>
      <c r="Q50" s="102">
        <v>4.2514201533172873</v>
      </c>
      <c r="R50" s="102">
        <v>3.919209568721512</v>
      </c>
      <c r="S50" s="102">
        <v>4.6745389549129621</v>
      </c>
      <c r="T50" s="102">
        <v>4.786728373875623</v>
      </c>
      <c r="U50" s="102">
        <v>5.1228312396162874</v>
      </c>
      <c r="V50" s="102">
        <v>5.3395942412515449</v>
      </c>
      <c r="W50" s="102">
        <v>6.3330370723676488</v>
      </c>
      <c r="DA50" s="175" t="s">
        <v>230</v>
      </c>
    </row>
    <row r="51" spans="1:105" ht="11.45" customHeight="1" x14ac:dyDescent="0.25">
      <c r="A51" s="85" t="s">
        <v>174</v>
      </c>
      <c r="B51" s="86">
        <v>4.6565934065934069</v>
      </c>
      <c r="C51" s="86">
        <v>4.5164835164835164</v>
      </c>
      <c r="D51" s="86">
        <v>4.2527472527472527</v>
      </c>
      <c r="E51" s="86">
        <v>4.354395604395604</v>
      </c>
      <c r="F51" s="86">
        <v>5.4203296703296706</v>
      </c>
      <c r="G51" s="86">
        <v>5.3434903047091415</v>
      </c>
      <c r="H51" s="86">
        <v>5.8885793871866294</v>
      </c>
      <c r="I51" s="86">
        <v>7.0581717451523547</v>
      </c>
      <c r="J51" s="86">
        <v>7.7017045454545459</v>
      </c>
      <c r="K51" s="86">
        <v>7.2360452047952055</v>
      </c>
      <c r="L51" s="86">
        <v>8.7939560439560438</v>
      </c>
      <c r="M51" s="86">
        <v>9.1578947368421044</v>
      </c>
      <c r="N51" s="86">
        <v>8.6922353961827632</v>
      </c>
      <c r="O51" s="86">
        <v>8.5167095115681235</v>
      </c>
      <c r="P51" s="86">
        <v>8.0510501709087823</v>
      </c>
      <c r="Q51" s="86">
        <v>8.5193370165745854</v>
      </c>
      <c r="R51" s="86">
        <v>8.3428571428571434</v>
      </c>
      <c r="S51" s="86">
        <v>10.985074626865671</v>
      </c>
      <c r="T51" s="86">
        <v>12.367601246105918</v>
      </c>
      <c r="U51" s="86">
        <v>11.946902654867257</v>
      </c>
      <c r="V51" s="86">
        <v>11.636463094427697</v>
      </c>
      <c r="W51" s="86">
        <v>14.218390804597702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62.095991935428899</v>
      </c>
      <c r="C53" s="54">
        <f t="shared" si="39"/>
        <v>11.366458334334043</v>
      </c>
      <c r="D53" s="54">
        <f t="shared" ref="D53:V53" si="40">SUM(D54,D58)</f>
        <v>24.114242225577179</v>
      </c>
      <c r="E53" s="54">
        <f t="shared" si="40"/>
        <v>31.385213371397516</v>
      </c>
      <c r="F53" s="54">
        <f t="shared" si="40"/>
        <v>67.348103170830584</v>
      </c>
      <c r="G53" s="54">
        <f t="shared" si="40"/>
        <v>71.911550383809384</v>
      </c>
      <c r="H53" s="54">
        <f t="shared" si="40"/>
        <v>53.430673657021472</v>
      </c>
      <c r="I53" s="54">
        <f t="shared" si="40"/>
        <v>85.946766766146823</v>
      </c>
      <c r="J53" s="54">
        <f t="shared" si="40"/>
        <v>23.779415629081274</v>
      </c>
      <c r="K53" s="54">
        <f t="shared" si="40"/>
        <v>1.6703363156355462E-2</v>
      </c>
      <c r="L53" s="54">
        <f t="shared" si="40"/>
        <v>28.617246119069499</v>
      </c>
      <c r="M53" s="54">
        <f t="shared" si="40"/>
        <v>51.838276740603717</v>
      </c>
      <c r="N53" s="54">
        <f t="shared" si="40"/>
        <v>2.3630870210143975</v>
      </c>
      <c r="O53" s="54">
        <f t="shared" si="40"/>
        <v>21.731833595011025</v>
      </c>
      <c r="P53" s="54">
        <f t="shared" si="40"/>
        <v>31.34087331197405</v>
      </c>
      <c r="Q53" s="54">
        <f t="shared" si="40"/>
        <v>34.689861251005659</v>
      </c>
      <c r="R53" s="54">
        <f t="shared" si="40"/>
        <v>74.123547555020167</v>
      </c>
      <c r="S53" s="54">
        <f t="shared" si="40"/>
        <v>74.376742487482687</v>
      </c>
      <c r="T53" s="54">
        <f t="shared" si="40"/>
        <v>69.812739285580435</v>
      </c>
      <c r="U53" s="54">
        <f t="shared" si="40"/>
        <v>46.07189303784056</v>
      </c>
      <c r="V53" s="54">
        <f t="shared" si="40"/>
        <v>0.38189225036721819</v>
      </c>
      <c r="W53" s="54">
        <f t="shared" ref="W53" si="41">SUM(W54,W58)</f>
        <v>4.4849360796777944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59.617954505750475</v>
      </c>
      <c r="C54" s="11">
        <f t="shared" si="42"/>
        <v>11.355735487775934</v>
      </c>
      <c r="D54" s="11">
        <f t="shared" ref="D54:V54" si="43">SUM(D55:D57)</f>
        <v>24.020075089714428</v>
      </c>
      <c r="E54" s="11">
        <f t="shared" si="43"/>
        <v>31.058941495126469</v>
      </c>
      <c r="F54" s="11">
        <f t="shared" si="43"/>
        <v>62.291023415439469</v>
      </c>
      <c r="G54" s="11">
        <f t="shared" si="43"/>
        <v>71.710045104295972</v>
      </c>
      <c r="H54" s="11">
        <f t="shared" si="43"/>
        <v>52.159744805137734</v>
      </c>
      <c r="I54" s="11">
        <f t="shared" si="43"/>
        <v>84.621692146079369</v>
      </c>
      <c r="J54" s="11">
        <f t="shared" si="43"/>
        <v>22.642707638418081</v>
      </c>
      <c r="K54" s="11">
        <f t="shared" si="43"/>
        <v>0</v>
      </c>
      <c r="L54" s="11">
        <f t="shared" si="43"/>
        <v>26.264522134253497</v>
      </c>
      <c r="M54" s="11">
        <f t="shared" si="43"/>
        <v>51.155830251621083</v>
      </c>
      <c r="N54" s="11">
        <f t="shared" si="43"/>
        <v>2.2776931078144536</v>
      </c>
      <c r="O54" s="11">
        <f t="shared" si="43"/>
        <v>21.731833595011025</v>
      </c>
      <c r="P54" s="11">
        <f t="shared" si="43"/>
        <v>31.34087331197405</v>
      </c>
      <c r="Q54" s="11">
        <f t="shared" si="43"/>
        <v>33.60558479569201</v>
      </c>
      <c r="R54" s="11">
        <f t="shared" si="43"/>
        <v>74.118199775988572</v>
      </c>
      <c r="S54" s="11">
        <f t="shared" si="43"/>
        <v>70.008549309113675</v>
      </c>
      <c r="T54" s="11">
        <f t="shared" si="43"/>
        <v>67.848153613514583</v>
      </c>
      <c r="U54" s="11">
        <f t="shared" si="43"/>
        <v>45.570377637248953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19.011174340403784</v>
      </c>
      <c r="C55" s="84">
        <v>0</v>
      </c>
      <c r="D55" s="84">
        <v>0</v>
      </c>
      <c r="E55" s="84">
        <v>11.464873254009603</v>
      </c>
      <c r="F55" s="84">
        <v>28.162752198655198</v>
      </c>
      <c r="G55" s="84">
        <v>31.336271591833196</v>
      </c>
      <c r="H55" s="84">
        <v>18.357228542071056</v>
      </c>
      <c r="I55" s="84">
        <v>20.776723950218241</v>
      </c>
      <c r="J55" s="84">
        <v>0</v>
      </c>
      <c r="K55" s="84">
        <v>0</v>
      </c>
      <c r="L55" s="84">
        <v>0</v>
      </c>
      <c r="M55" s="84">
        <v>9.9674097242370863E-2</v>
      </c>
      <c r="N55" s="84">
        <v>0</v>
      </c>
      <c r="O55" s="84">
        <v>0</v>
      </c>
      <c r="P55" s="84">
        <v>0</v>
      </c>
      <c r="Q55" s="84">
        <v>10.897530706945531</v>
      </c>
      <c r="R55" s="84">
        <v>12.724263216604413</v>
      </c>
      <c r="S55" s="84">
        <v>15.026180660667308</v>
      </c>
      <c r="T55" s="84">
        <v>25.266718773357582</v>
      </c>
      <c r="U55" s="84">
        <v>16.691519815733017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28.826757334296619</v>
      </c>
      <c r="C56" s="84">
        <v>11.355735487775934</v>
      </c>
      <c r="D56" s="84">
        <v>15.85763216734016</v>
      </c>
      <c r="E56" s="84">
        <v>19.594068241116865</v>
      </c>
      <c r="F56" s="84">
        <v>33.344823728199941</v>
      </c>
      <c r="G56" s="84">
        <v>24.885497757667348</v>
      </c>
      <c r="H56" s="84">
        <v>16.629315822824569</v>
      </c>
      <c r="I56" s="84">
        <v>43.875285316884046</v>
      </c>
      <c r="J56" s="84">
        <v>8.2094480260968314</v>
      </c>
      <c r="K56" s="84">
        <v>0</v>
      </c>
      <c r="L56" s="84">
        <v>13.379018682540305</v>
      </c>
      <c r="M56" s="84">
        <v>32.236819870997678</v>
      </c>
      <c r="N56" s="84">
        <v>0.97159106133556961</v>
      </c>
      <c r="O56" s="84">
        <v>14.26500811999041</v>
      </c>
      <c r="P56" s="84">
        <v>29.958770433097285</v>
      </c>
      <c r="Q56" s="84">
        <v>20.59509633970498</v>
      </c>
      <c r="R56" s="84">
        <v>51.571742886146311</v>
      </c>
      <c r="S56" s="84">
        <v>39.931952592861478</v>
      </c>
      <c r="T56" s="84">
        <v>26.130158987350299</v>
      </c>
      <c r="U56" s="84">
        <v>8.9482720784939431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11.780022831050076</v>
      </c>
      <c r="C57" s="84">
        <v>0</v>
      </c>
      <c r="D57" s="84">
        <v>8.1624429223742681</v>
      </c>
      <c r="E57" s="84">
        <v>0</v>
      </c>
      <c r="F57" s="84">
        <v>0.78344748858432922</v>
      </c>
      <c r="G57" s="84">
        <v>15.488275754795424</v>
      </c>
      <c r="H57" s="84">
        <v>17.173200440242113</v>
      </c>
      <c r="I57" s="84">
        <v>19.969682878977082</v>
      </c>
      <c r="J57" s="84">
        <v>14.433259612321251</v>
      </c>
      <c r="K57" s="84">
        <v>0</v>
      </c>
      <c r="L57" s="84">
        <v>12.885503451713191</v>
      </c>
      <c r="M57" s="84">
        <v>18.819336283381034</v>
      </c>
      <c r="N57" s="84">
        <v>1.3061020464788839</v>
      </c>
      <c r="O57" s="84">
        <v>7.4668254750206131</v>
      </c>
      <c r="P57" s="84">
        <v>1.3821028788767649</v>
      </c>
      <c r="Q57" s="84">
        <v>2.1129577490414988</v>
      </c>
      <c r="R57" s="84">
        <v>9.8221936732378481</v>
      </c>
      <c r="S57" s="84">
        <v>15.05041605558489</v>
      </c>
      <c r="T57" s="84">
        <v>16.451275852806702</v>
      </c>
      <c r="U57" s="84">
        <v>19.930585743021993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2.4780374296784267</v>
      </c>
      <c r="C58" s="13">
        <f t="shared" si="45"/>
        <v>1.0722846558109208E-2</v>
      </c>
      <c r="D58" s="13">
        <f t="shared" ref="D58:V58" si="46">SUM(D59:D61)</f>
        <v>9.4167135862751578E-2</v>
      </c>
      <c r="E58" s="13">
        <f t="shared" si="46"/>
        <v>0.32627187627104681</v>
      </c>
      <c r="F58" s="13">
        <f t="shared" si="46"/>
        <v>5.0570797553911184</v>
      </c>
      <c r="G58" s="13">
        <f t="shared" si="46"/>
        <v>0.20150527951341679</v>
      </c>
      <c r="H58" s="13">
        <f t="shared" si="46"/>
        <v>1.2709288518837356</v>
      </c>
      <c r="I58" s="13">
        <f t="shared" si="46"/>
        <v>1.325074620067455</v>
      </c>
      <c r="J58" s="13">
        <f t="shared" si="46"/>
        <v>1.1367079906631936</v>
      </c>
      <c r="K58" s="13">
        <f t="shared" si="46"/>
        <v>1.6703363156355462E-2</v>
      </c>
      <c r="L58" s="13">
        <f t="shared" si="46"/>
        <v>2.3527239848160013</v>
      </c>
      <c r="M58" s="13">
        <f t="shared" si="46"/>
        <v>0.68244648898263327</v>
      </c>
      <c r="N58" s="13">
        <f t="shared" si="46"/>
        <v>8.539391319994416E-2</v>
      </c>
      <c r="O58" s="13">
        <f t="shared" si="46"/>
        <v>0</v>
      </c>
      <c r="P58" s="13">
        <f t="shared" si="46"/>
        <v>0</v>
      </c>
      <c r="Q58" s="13">
        <f t="shared" si="46"/>
        <v>1.0842764553136515</v>
      </c>
      <c r="R58" s="13">
        <f t="shared" si="46"/>
        <v>5.3477790316017737E-3</v>
      </c>
      <c r="S58" s="13">
        <f t="shared" si="46"/>
        <v>4.36819317836901</v>
      </c>
      <c r="T58" s="13">
        <f t="shared" si="46"/>
        <v>1.9645856720658552</v>
      </c>
      <c r="U58" s="13">
        <f t="shared" si="46"/>
        <v>0.50151540059160415</v>
      </c>
      <c r="V58" s="13">
        <f t="shared" si="46"/>
        <v>0.38189225036721819</v>
      </c>
      <c r="W58" s="13">
        <f t="shared" ref="W58" si="47">SUM(W59:W61)</f>
        <v>4.4849360796777944</v>
      </c>
      <c r="DA58" s="193" t="s">
        <v>237</v>
      </c>
    </row>
    <row r="59" spans="1:105" ht="11.45" customHeight="1" x14ac:dyDescent="0.25">
      <c r="A59" s="92" t="s">
        <v>27</v>
      </c>
      <c r="B59" s="102">
        <v>1.3383251500269395</v>
      </c>
      <c r="C59" s="102">
        <v>0</v>
      </c>
      <c r="D59" s="102">
        <v>0</v>
      </c>
      <c r="E59" s="102">
        <v>0</v>
      </c>
      <c r="F59" s="102">
        <v>2.5604200763771852</v>
      </c>
      <c r="G59" s="102">
        <v>0.11870240110741648</v>
      </c>
      <c r="H59" s="102">
        <v>0.37498050938735972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4.7104844579237692E-3</v>
      </c>
      <c r="R59" s="102">
        <v>0</v>
      </c>
      <c r="S59" s="102">
        <v>0.65468432276909105</v>
      </c>
      <c r="T59" s="102">
        <v>0.15390764846300531</v>
      </c>
      <c r="U59" s="102">
        <v>0</v>
      </c>
      <c r="V59" s="102">
        <v>0</v>
      </c>
      <c r="W59" s="102">
        <v>0.56109288010279545</v>
      </c>
      <c r="DA59" s="175" t="s">
        <v>238</v>
      </c>
    </row>
    <row r="60" spans="1:105" ht="11.45" customHeight="1" x14ac:dyDescent="0.25">
      <c r="A60" s="92" t="s">
        <v>173</v>
      </c>
      <c r="B60" s="102">
        <v>0.83531667525633346</v>
      </c>
      <c r="C60" s="102">
        <v>2.8328611899999974E-4</v>
      </c>
      <c r="D60" s="102">
        <v>9.4167135862751578E-2</v>
      </c>
      <c r="E60" s="102">
        <v>7.4074074073695817E-2</v>
      </c>
      <c r="F60" s="102">
        <v>1.2801761625308672</v>
      </c>
      <c r="G60" s="102">
        <v>9.092793477529679E-3</v>
      </c>
      <c r="H60" s="102">
        <v>0.2003098094698883</v>
      </c>
      <c r="I60" s="102">
        <v>4.9328115527299717E-3</v>
      </c>
      <c r="J60" s="102">
        <v>0.34262573981200273</v>
      </c>
      <c r="K60" s="102">
        <v>1.6703363156355462E-2</v>
      </c>
      <c r="L60" s="102">
        <v>0.64426369510616244</v>
      </c>
      <c r="M60" s="102">
        <v>0.16795834554757205</v>
      </c>
      <c r="N60" s="102">
        <v>8.539391319994416E-2</v>
      </c>
      <c r="O60" s="102">
        <v>0</v>
      </c>
      <c r="P60" s="102">
        <v>0</v>
      </c>
      <c r="Q60" s="102">
        <v>0.46072967464092396</v>
      </c>
      <c r="R60" s="102">
        <v>5.3477790316017737E-3</v>
      </c>
      <c r="S60" s="102">
        <v>0.92074192104239028</v>
      </c>
      <c r="T60" s="102">
        <v>0.27760195381360231</v>
      </c>
      <c r="U60" s="102">
        <v>0.50151540059160415</v>
      </c>
      <c r="V60" s="102">
        <v>0.38189225036721819</v>
      </c>
      <c r="W60" s="102">
        <v>1.1913660388559935</v>
      </c>
      <c r="DA60" s="175" t="s">
        <v>239</v>
      </c>
    </row>
    <row r="61" spans="1:105" ht="11.45" customHeight="1" x14ac:dyDescent="0.25">
      <c r="A61" s="85" t="s">
        <v>174</v>
      </c>
      <c r="B61" s="86">
        <v>0.3043956043951539</v>
      </c>
      <c r="C61" s="86">
        <v>1.0439560439109208E-2</v>
      </c>
      <c r="D61" s="86">
        <v>0</v>
      </c>
      <c r="E61" s="86">
        <v>0.252197802197351</v>
      </c>
      <c r="F61" s="86">
        <v>1.2164835164830663</v>
      </c>
      <c r="G61" s="86">
        <v>7.3710084928470643E-2</v>
      </c>
      <c r="H61" s="86">
        <v>0.69563853302648759</v>
      </c>
      <c r="I61" s="86">
        <v>1.320141808514725</v>
      </c>
      <c r="J61" s="86">
        <v>0.79408225085119089</v>
      </c>
      <c r="K61" s="86">
        <v>0</v>
      </c>
      <c r="L61" s="86">
        <v>1.7084602897098389</v>
      </c>
      <c r="M61" s="86">
        <v>0.51448814343506122</v>
      </c>
      <c r="N61" s="86">
        <v>0</v>
      </c>
      <c r="O61" s="86">
        <v>0</v>
      </c>
      <c r="P61" s="86">
        <v>0</v>
      </c>
      <c r="Q61" s="86">
        <v>0.61883629621480374</v>
      </c>
      <c r="R61" s="86">
        <v>0</v>
      </c>
      <c r="S61" s="86">
        <v>2.7927669345575286</v>
      </c>
      <c r="T61" s="86">
        <v>1.5330760697892476</v>
      </c>
      <c r="U61" s="86">
        <v>0</v>
      </c>
      <c r="V61" s="86">
        <v>0</v>
      </c>
      <c r="W61" s="86">
        <v>2.7324771607190055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97.143754126976859</v>
      </c>
      <c r="C66" s="14">
        <f t="shared" si="48"/>
        <v>98.937348601476742</v>
      </c>
      <c r="D66" s="14">
        <f t="shared" ref="D66:V66" si="49">IF(D34=0,0,D34/D24)</f>
        <v>98.875555885280122</v>
      </c>
      <c r="E66" s="14">
        <f t="shared" si="49"/>
        <v>104.40698795347838</v>
      </c>
      <c r="F66" s="14">
        <f t="shared" si="49"/>
        <v>103.94577608831101</v>
      </c>
      <c r="G66" s="14">
        <f t="shared" si="49"/>
        <v>104.17077822401127</v>
      </c>
      <c r="H66" s="14">
        <f t="shared" si="49"/>
        <v>104.88715941599364</v>
      </c>
      <c r="I66" s="14">
        <f t="shared" si="49"/>
        <v>106.27480765985123</v>
      </c>
      <c r="J66" s="14">
        <f t="shared" si="49"/>
        <v>106.29753579998696</v>
      </c>
      <c r="K66" s="14">
        <f t="shared" si="49"/>
        <v>109.18717971907479</v>
      </c>
      <c r="L66" s="14">
        <f t="shared" si="49"/>
        <v>112.51235169444206</v>
      </c>
      <c r="M66" s="14">
        <f t="shared" si="49"/>
        <v>116.27715807422014</v>
      </c>
      <c r="N66" s="14">
        <f t="shared" si="49"/>
        <v>122.37234286496135</v>
      </c>
      <c r="O66" s="14">
        <f t="shared" si="49"/>
        <v>126.40682712018005</v>
      </c>
      <c r="P66" s="14">
        <f t="shared" si="49"/>
        <v>127.8313871335445</v>
      </c>
      <c r="Q66" s="14">
        <f t="shared" si="49"/>
        <v>131.62461914247527</v>
      </c>
      <c r="R66" s="14">
        <f t="shared" si="49"/>
        <v>136.63088125489216</v>
      </c>
      <c r="S66" s="14">
        <f t="shared" si="49"/>
        <v>139.48811840186974</v>
      </c>
      <c r="T66" s="14">
        <f t="shared" si="49"/>
        <v>138.31468519573741</v>
      </c>
      <c r="U66" s="14">
        <f t="shared" si="49"/>
        <v>140.01548350640721</v>
      </c>
      <c r="V66" s="14">
        <f t="shared" si="49"/>
        <v>100.85711873311318</v>
      </c>
      <c r="W66" s="14">
        <f t="shared" ref="W66" si="50">IF(W34=0,0,W34/W24)</f>
        <v>109.602573352348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76.026924721116345</v>
      </c>
      <c r="C67" s="87">
        <f t="shared" si="48"/>
        <v>76.63752094326918</v>
      </c>
      <c r="D67" s="87">
        <f t="shared" ref="D67:V67" si="51">IF(D35=0,0,D35/D25)</f>
        <v>79.750163010732578</v>
      </c>
      <c r="E67" s="87">
        <f t="shared" si="51"/>
        <v>83.97441144444862</v>
      </c>
      <c r="F67" s="87">
        <f t="shared" si="51"/>
        <v>84.003770553496992</v>
      </c>
      <c r="G67" s="87">
        <f t="shared" si="51"/>
        <v>84.06193325586699</v>
      </c>
      <c r="H67" s="87">
        <f t="shared" si="51"/>
        <v>85.027213110679355</v>
      </c>
      <c r="I67" s="87">
        <f t="shared" si="51"/>
        <v>86.907840580620842</v>
      </c>
      <c r="J67" s="87">
        <f t="shared" si="51"/>
        <v>83.279266809794194</v>
      </c>
      <c r="K67" s="87">
        <f t="shared" si="51"/>
        <v>86.081749797956775</v>
      </c>
      <c r="L67" s="87">
        <f t="shared" si="51"/>
        <v>89.933595318278648</v>
      </c>
      <c r="M67" s="87">
        <f t="shared" si="51"/>
        <v>91.867721668087427</v>
      </c>
      <c r="N67" s="87">
        <f t="shared" si="51"/>
        <v>96.614278589698344</v>
      </c>
      <c r="O67" s="87">
        <f t="shared" si="51"/>
        <v>99.312065255989808</v>
      </c>
      <c r="P67" s="87">
        <f t="shared" si="51"/>
        <v>99.28733666115815</v>
      </c>
      <c r="Q67" s="87">
        <f t="shared" si="51"/>
        <v>102.45668786422928</v>
      </c>
      <c r="R67" s="87">
        <f t="shared" si="51"/>
        <v>107.69670917437408</v>
      </c>
      <c r="S67" s="87">
        <f t="shared" si="51"/>
        <v>110.43198631248067</v>
      </c>
      <c r="T67" s="87">
        <f t="shared" si="51"/>
        <v>109.3187322777208</v>
      </c>
      <c r="U67" s="87">
        <f t="shared" si="51"/>
        <v>110.97223956306306</v>
      </c>
      <c r="V67" s="87">
        <f t="shared" si="51"/>
        <v>88.219380003890095</v>
      </c>
      <c r="W67" s="87">
        <f t="shared" ref="W67" si="52">IF(W35=0,0,W35/W25)</f>
        <v>99.231506418371964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124.31855658555295</v>
      </c>
      <c r="C68" s="87">
        <f t="shared" si="48"/>
        <v>125.56730892612327</v>
      </c>
      <c r="D68" s="87">
        <f t="shared" ref="D68:V68" si="53">IF(D36=0,0,D36/D26)</f>
        <v>122.56483920327047</v>
      </c>
      <c r="E68" s="87">
        <f t="shared" si="53"/>
        <v>126.14152814567417</v>
      </c>
      <c r="F68" s="87">
        <f t="shared" si="53"/>
        <v>125.07315752407217</v>
      </c>
      <c r="G68" s="87">
        <f t="shared" si="53"/>
        <v>126.29258589206482</v>
      </c>
      <c r="H68" s="87">
        <f t="shared" si="53"/>
        <v>126.83506568400489</v>
      </c>
      <c r="I68" s="87">
        <f t="shared" si="53"/>
        <v>126.05225037516588</v>
      </c>
      <c r="J68" s="87">
        <f t="shared" si="53"/>
        <v>128.48851589885919</v>
      </c>
      <c r="K68" s="87">
        <f t="shared" si="53"/>
        <v>130.79736852368774</v>
      </c>
      <c r="L68" s="87">
        <f t="shared" si="53"/>
        <v>131.91903730749866</v>
      </c>
      <c r="M68" s="87">
        <f t="shared" si="53"/>
        <v>135.80725297343238</v>
      </c>
      <c r="N68" s="87">
        <f t="shared" si="53"/>
        <v>139.86592669020976</v>
      </c>
      <c r="O68" s="87">
        <f t="shared" si="53"/>
        <v>142.07252942176149</v>
      </c>
      <c r="P68" s="87">
        <f t="shared" si="53"/>
        <v>144.29916417925537</v>
      </c>
      <c r="Q68" s="87">
        <f t="shared" si="53"/>
        <v>148.44197493413054</v>
      </c>
      <c r="R68" s="87">
        <f t="shared" si="53"/>
        <v>152.24240746281319</v>
      </c>
      <c r="S68" s="87">
        <f t="shared" si="53"/>
        <v>154.55764385284562</v>
      </c>
      <c r="T68" s="87">
        <f t="shared" si="53"/>
        <v>153.78609215500563</v>
      </c>
      <c r="U68" s="87">
        <f t="shared" si="53"/>
        <v>155.94665691923623</v>
      </c>
      <c r="V68" s="87">
        <f t="shared" si="53"/>
        <v>110.06727238548781</v>
      </c>
      <c r="W68" s="87">
        <f t="shared" ref="W68" si="54">IF(W36=0,0,W36/W26)</f>
        <v>117.24203773330412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113.39514138567681</v>
      </c>
      <c r="C69" s="87">
        <f t="shared" si="48"/>
        <v>114.98124101639584</v>
      </c>
      <c r="D69" s="87">
        <f t="shared" ref="D69:V69" si="55">IF(D37=0,0,D37/D27)</f>
        <v>94.396847396619847</v>
      </c>
      <c r="E69" s="87">
        <f t="shared" si="55"/>
        <v>127.63117870722434</v>
      </c>
      <c r="F69" s="87">
        <f t="shared" si="55"/>
        <v>130.77492558637934</v>
      </c>
      <c r="G69" s="87">
        <f t="shared" si="55"/>
        <v>134.065144766147</v>
      </c>
      <c r="H69" s="87">
        <f t="shared" si="55"/>
        <v>136.23271297006906</v>
      </c>
      <c r="I69" s="87">
        <f t="shared" si="55"/>
        <v>138.12641410820561</v>
      </c>
      <c r="J69" s="87">
        <f t="shared" si="55"/>
        <v>143.74008397932818</v>
      </c>
      <c r="K69" s="87">
        <f t="shared" si="55"/>
        <v>148.37363658259642</v>
      </c>
      <c r="L69" s="87">
        <f t="shared" si="55"/>
        <v>151.80202130993419</v>
      </c>
      <c r="M69" s="87">
        <f t="shared" si="55"/>
        <v>150.43943967949443</v>
      </c>
      <c r="N69" s="87">
        <f t="shared" si="55"/>
        <v>154.37570300516958</v>
      </c>
      <c r="O69" s="87">
        <f t="shared" si="55"/>
        <v>152.10054714895824</v>
      </c>
      <c r="P69" s="87">
        <f t="shared" si="55"/>
        <v>153.56578656345036</v>
      </c>
      <c r="Q69" s="87">
        <f t="shared" si="55"/>
        <v>158.30295135241136</v>
      </c>
      <c r="R69" s="87">
        <f t="shared" si="55"/>
        <v>163.40930761729331</v>
      </c>
      <c r="S69" s="87">
        <f t="shared" si="55"/>
        <v>169.1701058814437</v>
      </c>
      <c r="T69" s="87">
        <f t="shared" si="55"/>
        <v>174.08721143275926</v>
      </c>
      <c r="U69" s="87">
        <f t="shared" si="55"/>
        <v>177.28938688624297</v>
      </c>
      <c r="V69" s="87">
        <f t="shared" si="55"/>
        <v>141.02872500537518</v>
      </c>
      <c r="W69" s="87">
        <f t="shared" ref="W69" si="56">IF(W37=0,0,W37/W27)</f>
        <v>134.54264998180341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15.437113304501555</v>
      </c>
      <c r="C70" s="15">
        <f t="shared" si="48"/>
        <v>15.650972953872621</v>
      </c>
      <c r="D70" s="15">
        <f t="shared" ref="D70:V70" si="57">IF(D38=0,0,D38/D28)</f>
        <v>15.78350799650206</v>
      </c>
      <c r="E70" s="15">
        <f t="shared" si="57"/>
        <v>16.696083985234967</v>
      </c>
      <c r="F70" s="15">
        <f t="shared" si="57"/>
        <v>15.626176633730328</v>
      </c>
      <c r="G70" s="15">
        <f t="shared" si="57"/>
        <v>14.866620543629011</v>
      </c>
      <c r="H70" s="15">
        <f t="shared" si="57"/>
        <v>14.686437378932382</v>
      </c>
      <c r="I70" s="15">
        <f t="shared" si="57"/>
        <v>15.481929139427169</v>
      </c>
      <c r="J70" s="15">
        <f t="shared" si="57"/>
        <v>15.592062044323738</v>
      </c>
      <c r="K70" s="15">
        <f t="shared" si="57"/>
        <v>16.766243067405469</v>
      </c>
      <c r="L70" s="15">
        <f t="shared" si="57"/>
        <v>19.892239943171841</v>
      </c>
      <c r="M70" s="15">
        <f t="shared" si="57"/>
        <v>22.708947813800499</v>
      </c>
      <c r="N70" s="15">
        <f t="shared" si="57"/>
        <v>25.202072504834717</v>
      </c>
      <c r="O70" s="15">
        <f t="shared" si="57"/>
        <v>25.787042298688199</v>
      </c>
      <c r="P70" s="15">
        <f t="shared" si="57"/>
        <v>28.533090032586696</v>
      </c>
      <c r="Q70" s="15">
        <f t="shared" si="57"/>
        <v>29.109175587287318</v>
      </c>
      <c r="R70" s="15">
        <f t="shared" si="57"/>
        <v>33.131071496943591</v>
      </c>
      <c r="S70" s="15">
        <f t="shared" si="57"/>
        <v>33.26854387768855</v>
      </c>
      <c r="T70" s="15">
        <f t="shared" si="57"/>
        <v>34.396195682508996</v>
      </c>
      <c r="U70" s="15">
        <f t="shared" si="57"/>
        <v>36.288030592156339</v>
      </c>
      <c r="V70" s="15">
        <f t="shared" si="57"/>
        <v>26.998357532412523</v>
      </c>
      <c r="W70" s="15">
        <f t="shared" ref="W70" si="58">IF(W38=0,0,W38/W28)</f>
        <v>29.408349274069177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14.037300363200673</v>
      </c>
      <c r="T71" s="41">
        <f t="shared" si="59"/>
        <v>14.287825769085291</v>
      </c>
      <c r="U71" s="41">
        <f t="shared" si="59"/>
        <v>15.803320090655205</v>
      </c>
      <c r="V71" s="41">
        <f t="shared" si="59"/>
        <v>14.565480178537978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16.251239950995544</v>
      </c>
      <c r="D72" s="41">
        <f t="shared" ref="D72:V72" si="61">IF(D40=0,0,D40/D30)</f>
        <v>16.295894641910159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15.181021974099195</v>
      </c>
      <c r="H72" s="41">
        <f t="shared" si="61"/>
        <v>13.985273542904695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13.626760295117139</v>
      </c>
      <c r="L72" s="41">
        <f t="shared" si="61"/>
        <v>14.420786860573124</v>
      </c>
      <c r="M72" s="41">
        <f t="shared" si="61"/>
        <v>15.489703537213131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18.197753010022378</v>
      </c>
      <c r="Q72" s="41">
        <f t="shared" si="61"/>
        <v>18.175765763019097</v>
      </c>
      <c r="R72" s="41">
        <f t="shared" si="61"/>
        <v>20.573511943488917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52.129123841343961</v>
      </c>
      <c r="C73" s="40">
        <f t="shared" si="48"/>
        <v>53.83881788950945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52.530888086642598</v>
      </c>
      <c r="M73" s="40">
        <f t="shared" si="63"/>
        <v>55.065477606746086</v>
      </c>
      <c r="N73" s="40">
        <f t="shared" si="63"/>
        <v>58.746980790650362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53.261166023203295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1274.7245217305763</v>
      </c>
      <c r="C75" s="62">
        <f t="shared" si="65"/>
        <v>1271.6810708760947</v>
      </c>
      <c r="D75" s="62">
        <f t="shared" ref="D75:V75" si="66">IF(D13=0,0,D13*1000000/D23)</f>
        <v>1322.6069409676977</v>
      </c>
      <c r="E75" s="62">
        <f t="shared" si="66"/>
        <v>1278.0689955190578</v>
      </c>
      <c r="F75" s="62">
        <f t="shared" si="66"/>
        <v>1280.0920984055656</v>
      </c>
      <c r="G75" s="62">
        <f t="shared" si="66"/>
        <v>1273.0563552852414</v>
      </c>
      <c r="H75" s="62">
        <f t="shared" si="66"/>
        <v>1283.3267593083483</v>
      </c>
      <c r="I75" s="62">
        <f t="shared" si="66"/>
        <v>1294.580885997668</v>
      </c>
      <c r="J75" s="62">
        <f t="shared" si="66"/>
        <v>1330.2267303773785</v>
      </c>
      <c r="K75" s="62">
        <f t="shared" si="66"/>
        <v>1332.4423096077446</v>
      </c>
      <c r="L75" s="62">
        <f t="shared" si="66"/>
        <v>1369.1845194419352</v>
      </c>
      <c r="M75" s="62">
        <f t="shared" si="66"/>
        <v>1414.9335043235296</v>
      </c>
      <c r="N75" s="62">
        <f t="shared" si="66"/>
        <v>1468.909034142604</v>
      </c>
      <c r="O75" s="62">
        <f t="shared" si="66"/>
        <v>1559.3025822538673</v>
      </c>
      <c r="P75" s="62">
        <f t="shared" si="66"/>
        <v>1561.0140799967685</v>
      </c>
      <c r="Q75" s="62">
        <f t="shared" si="66"/>
        <v>1549.7942374646991</v>
      </c>
      <c r="R75" s="62">
        <f t="shared" si="66"/>
        <v>1586.4406442047143</v>
      </c>
      <c r="S75" s="62">
        <f t="shared" si="66"/>
        <v>1604.6130737492729</v>
      </c>
      <c r="T75" s="62">
        <f t="shared" si="66"/>
        <v>1576.903511210435</v>
      </c>
      <c r="U75" s="62">
        <f t="shared" si="66"/>
        <v>1570.8656929766366</v>
      </c>
      <c r="V75" s="62">
        <f t="shared" si="66"/>
        <v>1412.2178216559573</v>
      </c>
      <c r="W75" s="62">
        <f t="shared" ref="W75" si="67">IF(W13=0,0,W13*1000000/W23)</f>
        <v>1436.0130003777583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1276.1747602005739</v>
      </c>
      <c r="C76" s="14">
        <f t="shared" si="65"/>
        <v>1272.9249405617375</v>
      </c>
      <c r="D76" s="14">
        <f t="shared" ref="D76:V76" si="68">IF(D14=0,0,D14*1000000/D24)</f>
        <v>1324.9323198099189</v>
      </c>
      <c r="E76" s="14">
        <f t="shared" si="68"/>
        <v>1277.7191832848534</v>
      </c>
      <c r="F76" s="14">
        <f t="shared" si="68"/>
        <v>1280.5091872812857</v>
      </c>
      <c r="G76" s="14">
        <f t="shared" si="68"/>
        <v>1273.1298802198462</v>
      </c>
      <c r="H76" s="14">
        <f t="shared" si="68"/>
        <v>1282.6214385803705</v>
      </c>
      <c r="I76" s="14">
        <f t="shared" si="68"/>
        <v>1292.2342589398088</v>
      </c>
      <c r="J76" s="14">
        <f t="shared" si="68"/>
        <v>1327.0656400158205</v>
      </c>
      <c r="K76" s="14">
        <f t="shared" si="68"/>
        <v>1328.7866412233711</v>
      </c>
      <c r="L76" s="14">
        <f t="shared" si="68"/>
        <v>1362.4290796991731</v>
      </c>
      <c r="M76" s="14">
        <f t="shared" si="68"/>
        <v>1408.3270066568962</v>
      </c>
      <c r="N76" s="14">
        <f t="shared" si="68"/>
        <v>1463.1165519648382</v>
      </c>
      <c r="O76" s="14">
        <f t="shared" si="68"/>
        <v>1553.7435482366434</v>
      </c>
      <c r="P76" s="14">
        <f t="shared" si="68"/>
        <v>1555.4589912921383</v>
      </c>
      <c r="Q76" s="14">
        <f t="shared" si="68"/>
        <v>1542.7627150582764</v>
      </c>
      <c r="R76" s="14">
        <f t="shared" si="68"/>
        <v>1579.414039934818</v>
      </c>
      <c r="S76" s="14">
        <f t="shared" si="68"/>
        <v>1594.6314285458359</v>
      </c>
      <c r="T76" s="14">
        <f t="shared" si="68"/>
        <v>1564.8505294236315</v>
      </c>
      <c r="U76" s="14">
        <f t="shared" si="68"/>
        <v>1559.8511678642585</v>
      </c>
      <c r="V76" s="14">
        <f t="shared" si="68"/>
        <v>1378.9612397497788</v>
      </c>
      <c r="W76" s="14">
        <f t="shared" ref="W76" si="69">IF(W14=0,0,W14*1000000/W24)</f>
        <v>1407.3666200902858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619.51874340727909</v>
      </c>
      <c r="C77" s="39">
        <f t="shared" si="65"/>
        <v>619.51874340727909</v>
      </c>
      <c r="D77" s="39">
        <f t="shared" ref="D77:V77" si="70">IF(D15=0,0,D15*1000000/D25)</f>
        <v>619.51874340727909</v>
      </c>
      <c r="E77" s="39">
        <f t="shared" si="70"/>
        <v>619.51874340727909</v>
      </c>
      <c r="F77" s="39">
        <f t="shared" si="70"/>
        <v>619.5187434072792</v>
      </c>
      <c r="G77" s="39">
        <f t="shared" si="70"/>
        <v>626.17547554319799</v>
      </c>
      <c r="H77" s="39">
        <f t="shared" si="70"/>
        <v>626.46840226598056</v>
      </c>
      <c r="I77" s="39">
        <f t="shared" si="70"/>
        <v>629.16046990984216</v>
      </c>
      <c r="J77" s="39">
        <f t="shared" si="70"/>
        <v>626.82367542903489</v>
      </c>
      <c r="K77" s="39">
        <f t="shared" si="70"/>
        <v>619.30418501376039</v>
      </c>
      <c r="L77" s="39">
        <f t="shared" si="70"/>
        <v>624.98936515069204</v>
      </c>
      <c r="M77" s="39">
        <f t="shared" si="70"/>
        <v>621.80918662888666</v>
      </c>
      <c r="N77" s="39">
        <f t="shared" si="70"/>
        <v>612.17731858884758</v>
      </c>
      <c r="O77" s="39">
        <f t="shared" si="70"/>
        <v>627.56055842056571</v>
      </c>
      <c r="P77" s="39">
        <f t="shared" si="70"/>
        <v>622.70500385625883</v>
      </c>
      <c r="Q77" s="39">
        <f t="shared" si="70"/>
        <v>626.55386660430975</v>
      </c>
      <c r="R77" s="39">
        <f t="shared" si="70"/>
        <v>640.15503423486587</v>
      </c>
      <c r="S77" s="39">
        <f t="shared" si="70"/>
        <v>637.3898240665859</v>
      </c>
      <c r="T77" s="39">
        <f t="shared" si="70"/>
        <v>627.70468012902006</v>
      </c>
      <c r="U77" s="39">
        <f t="shared" si="70"/>
        <v>632.4802028422265</v>
      </c>
      <c r="V77" s="39">
        <f t="shared" si="70"/>
        <v>623.70538212990789</v>
      </c>
      <c r="W77" s="39">
        <f t="shared" ref="W77" si="71">IF(W15=0,0,W15*1000000/W25)</f>
        <v>662.38061892903477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1735.3379747343097</v>
      </c>
      <c r="C78" s="39">
        <f t="shared" si="65"/>
        <v>1741.6449425973476</v>
      </c>
      <c r="D78" s="39">
        <f t="shared" ref="D78:V78" si="72">IF(D16=0,0,D16*1000000/D26)</f>
        <v>1746.3814794041841</v>
      </c>
      <c r="E78" s="39">
        <f t="shared" si="72"/>
        <v>1754.6657180574298</v>
      </c>
      <c r="F78" s="39">
        <f t="shared" si="72"/>
        <v>1754.4891630387813</v>
      </c>
      <c r="G78" s="39">
        <f t="shared" si="72"/>
        <v>1746.8867214637803</v>
      </c>
      <c r="H78" s="39">
        <f t="shared" si="72"/>
        <v>1751.5570033815018</v>
      </c>
      <c r="I78" s="39">
        <f t="shared" si="72"/>
        <v>1719.1818393125025</v>
      </c>
      <c r="J78" s="39">
        <f t="shared" si="72"/>
        <v>1725.4312497279348</v>
      </c>
      <c r="K78" s="39">
        <f t="shared" si="72"/>
        <v>1717.0299941009368</v>
      </c>
      <c r="L78" s="39">
        <f t="shared" si="72"/>
        <v>1743.7369522011372</v>
      </c>
      <c r="M78" s="39">
        <f t="shared" si="72"/>
        <v>1758.4440687460599</v>
      </c>
      <c r="N78" s="39">
        <f t="shared" si="72"/>
        <v>1760.7999185129527</v>
      </c>
      <c r="O78" s="39">
        <f t="shared" si="72"/>
        <v>1796.946604243763</v>
      </c>
      <c r="P78" s="39">
        <f t="shared" si="72"/>
        <v>1812.0003238901788</v>
      </c>
      <c r="Q78" s="39">
        <f t="shared" si="72"/>
        <v>1795.0569766791295</v>
      </c>
      <c r="R78" s="39">
        <f t="shared" si="72"/>
        <v>1833.5772954932879</v>
      </c>
      <c r="S78" s="39">
        <f t="shared" si="72"/>
        <v>1847.8465259550403</v>
      </c>
      <c r="T78" s="39">
        <f t="shared" si="72"/>
        <v>1828.0879848913544</v>
      </c>
      <c r="U78" s="39">
        <f t="shared" si="72"/>
        <v>1795.0206931693322</v>
      </c>
      <c r="V78" s="39">
        <f t="shared" si="72"/>
        <v>1825.6519121253391</v>
      </c>
      <c r="W78" s="39">
        <f t="shared" ref="W78" si="73">IF(W16=0,0,W16*1000000/W26)</f>
        <v>1809.0425390750383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3990.8629377459733</v>
      </c>
      <c r="C79" s="39">
        <f t="shared" si="65"/>
        <v>3990.8629377459729</v>
      </c>
      <c r="D79" s="39">
        <f t="shared" ref="D79:V79" si="74">IF(D17=0,0,D17*1000000/D27)</f>
        <v>3990.8629377459733</v>
      </c>
      <c r="E79" s="39">
        <f t="shared" si="74"/>
        <v>3990.8629377459738</v>
      </c>
      <c r="F79" s="39">
        <f t="shared" si="74"/>
        <v>3990.8629377459733</v>
      </c>
      <c r="G79" s="39">
        <f t="shared" si="74"/>
        <v>4046.0928103381357</v>
      </c>
      <c r="H79" s="39">
        <f t="shared" si="74"/>
        <v>4099.7483493517102</v>
      </c>
      <c r="I79" s="39">
        <f t="shared" si="74"/>
        <v>4083.2404321358908</v>
      </c>
      <c r="J79" s="39">
        <f t="shared" si="74"/>
        <v>4259.8097254798322</v>
      </c>
      <c r="K79" s="39">
        <f t="shared" si="74"/>
        <v>4232.3555014258282</v>
      </c>
      <c r="L79" s="39">
        <f t="shared" si="74"/>
        <v>4083.7530567577796</v>
      </c>
      <c r="M79" s="39">
        <f t="shared" si="74"/>
        <v>4047.507748874918</v>
      </c>
      <c r="N79" s="39">
        <f t="shared" si="74"/>
        <v>4017.003061346395</v>
      </c>
      <c r="O79" s="39">
        <f t="shared" si="74"/>
        <v>3934.0001264538041</v>
      </c>
      <c r="P79" s="39">
        <f t="shared" si="74"/>
        <v>3936.5264074963275</v>
      </c>
      <c r="Q79" s="39">
        <f t="shared" si="74"/>
        <v>3960.85669787198</v>
      </c>
      <c r="R79" s="39">
        <f t="shared" si="74"/>
        <v>3981.0990876633687</v>
      </c>
      <c r="S79" s="39">
        <f t="shared" si="74"/>
        <v>4067.190771591464</v>
      </c>
      <c r="T79" s="39">
        <f t="shared" si="74"/>
        <v>4150.1936109326634</v>
      </c>
      <c r="U79" s="39">
        <f t="shared" si="74"/>
        <v>4342.9357858748099</v>
      </c>
      <c r="V79" s="39">
        <f t="shared" si="74"/>
        <v>4491.5259193042602</v>
      </c>
      <c r="W79" s="39">
        <f t="shared" ref="W79" si="75">IF(W17=0,0,W17*1000000/W27)</f>
        <v>4175.8042161002168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1215.8258637582298</v>
      </c>
      <c r="C80" s="15">
        <f t="shared" si="65"/>
        <v>1221.5331710642824</v>
      </c>
      <c r="D80" s="15">
        <f t="shared" ref="D80:V80" si="76">IF(D18=0,0,D18*1000000/D28)</f>
        <v>1224.5632104281808</v>
      </c>
      <c r="E80" s="15">
        <f t="shared" si="76"/>
        <v>1294.7631690353674</v>
      </c>
      <c r="F80" s="15">
        <f t="shared" si="76"/>
        <v>1263.3363078691063</v>
      </c>
      <c r="G80" s="15">
        <f t="shared" si="76"/>
        <v>1269.7514767196508</v>
      </c>
      <c r="H80" s="15">
        <f t="shared" si="76"/>
        <v>1315.9604444846043</v>
      </c>
      <c r="I80" s="15">
        <f t="shared" si="76"/>
        <v>1416.2334179094828</v>
      </c>
      <c r="J80" s="15">
        <f t="shared" si="76"/>
        <v>1492.1948009513974</v>
      </c>
      <c r="K80" s="15">
        <f t="shared" si="76"/>
        <v>1533.9729828869326</v>
      </c>
      <c r="L80" s="15">
        <f t="shared" si="76"/>
        <v>1731.4846897287434</v>
      </c>
      <c r="M80" s="15">
        <f t="shared" si="76"/>
        <v>1804.6941040970976</v>
      </c>
      <c r="N80" s="15">
        <f t="shared" si="76"/>
        <v>1817.7204855273424</v>
      </c>
      <c r="O80" s="15">
        <f t="shared" si="76"/>
        <v>1886.7494094667404</v>
      </c>
      <c r="P80" s="15">
        <f t="shared" si="76"/>
        <v>1930.7467228738367</v>
      </c>
      <c r="Q80" s="15">
        <f t="shared" si="76"/>
        <v>2026.9506235626684</v>
      </c>
      <c r="R80" s="15">
        <f t="shared" si="76"/>
        <v>2140.6321547429702</v>
      </c>
      <c r="S80" s="15">
        <f t="shared" si="76"/>
        <v>2311.8943656968031</v>
      </c>
      <c r="T80" s="15">
        <f t="shared" si="76"/>
        <v>2469.8398908113804</v>
      </c>
      <c r="U80" s="15">
        <f t="shared" si="76"/>
        <v>2417.4158797357695</v>
      </c>
      <c r="V80" s="15">
        <f t="shared" si="76"/>
        <v>2459.1420917514583</v>
      </c>
      <c r="W80" s="15">
        <f t="shared" ref="W80" si="77">IF(W18=0,0,W18*1000000/W28)</f>
        <v>2515.55871987931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666.67277209624547</v>
      </c>
      <c r="C81" s="41">
        <f t="shared" si="65"/>
        <v>666.67277209624535</v>
      </c>
      <c r="D81" s="41">
        <f t="shared" ref="D81:V81" si="78">IF(D19=0,0,D19*1000000/D29)</f>
        <v>666.67277209624535</v>
      </c>
      <c r="E81" s="41">
        <f t="shared" si="78"/>
        <v>666.67277209624535</v>
      </c>
      <c r="F81" s="41">
        <f t="shared" si="78"/>
        <v>666.67277209624535</v>
      </c>
      <c r="G81" s="41">
        <f t="shared" si="78"/>
        <v>673.32950423216448</v>
      </c>
      <c r="H81" s="41">
        <f t="shared" si="78"/>
        <v>684.14992887780636</v>
      </c>
      <c r="I81" s="41">
        <f t="shared" si="78"/>
        <v>697.36949444452762</v>
      </c>
      <c r="J81" s="41">
        <f t="shared" si="78"/>
        <v>705.56019788657954</v>
      </c>
      <c r="K81" s="41">
        <f t="shared" si="78"/>
        <v>708.56820539416435</v>
      </c>
      <c r="L81" s="41">
        <f t="shared" si="78"/>
        <v>724.78088345395565</v>
      </c>
      <c r="M81" s="41">
        <f t="shared" si="78"/>
        <v>708.6238758446716</v>
      </c>
      <c r="N81" s="41">
        <f t="shared" si="78"/>
        <v>686.01517871715362</v>
      </c>
      <c r="O81" s="41">
        <f t="shared" si="78"/>
        <v>706.0193688117522</v>
      </c>
      <c r="P81" s="41">
        <f t="shared" si="78"/>
        <v>705.78476451032532</v>
      </c>
      <c r="Q81" s="41">
        <f t="shared" si="78"/>
        <v>714.25457752125624</v>
      </c>
      <c r="R81" s="41">
        <f t="shared" si="78"/>
        <v>732.4766954146927</v>
      </c>
      <c r="S81" s="41">
        <f t="shared" si="78"/>
        <v>734.33243550929308</v>
      </c>
      <c r="T81" s="41">
        <f t="shared" si="78"/>
        <v>729.26824183460735</v>
      </c>
      <c r="U81" s="41">
        <f t="shared" si="78"/>
        <v>739.22310756972115</v>
      </c>
      <c r="V81" s="41">
        <f t="shared" si="78"/>
        <v>730.44828685740276</v>
      </c>
      <c r="W81" s="41">
        <f t="shared" ref="W81" si="79">IF(W19=0,0,W19*1000000/W29)</f>
        <v>769.12352365652919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1315.5065531328876</v>
      </c>
      <c r="C82" s="41">
        <f t="shared" si="65"/>
        <v>1315.59733703398</v>
      </c>
      <c r="D82" s="41">
        <f t="shared" ref="D82:V82" si="80">IF(D20=0,0,D20*1000000/D30)</f>
        <v>1315.2495993503312</v>
      </c>
      <c r="E82" s="41">
        <f t="shared" si="80"/>
        <v>1316.8974317276757</v>
      </c>
      <c r="F82" s="41">
        <f t="shared" si="80"/>
        <v>1317.3324162208837</v>
      </c>
      <c r="G82" s="41">
        <f t="shared" si="80"/>
        <v>1307.4708289254811</v>
      </c>
      <c r="H82" s="41">
        <f t="shared" si="80"/>
        <v>1312.9829564687168</v>
      </c>
      <c r="I82" s="41">
        <f t="shared" si="80"/>
        <v>1292.495773208459</v>
      </c>
      <c r="J82" s="41">
        <f t="shared" si="80"/>
        <v>1295.3409962836442</v>
      </c>
      <c r="K82" s="41">
        <f t="shared" si="80"/>
        <v>1296.8489502604157</v>
      </c>
      <c r="L82" s="41">
        <f t="shared" si="80"/>
        <v>1314.7028983233149</v>
      </c>
      <c r="M82" s="41">
        <f t="shared" si="80"/>
        <v>1309.3723251291697</v>
      </c>
      <c r="N82" s="41">
        <f t="shared" si="80"/>
        <v>1287.177853072513</v>
      </c>
      <c r="O82" s="41">
        <f t="shared" si="80"/>
        <v>1302.5792201958807</v>
      </c>
      <c r="P82" s="41">
        <f t="shared" si="80"/>
        <v>1308.0897225930644</v>
      </c>
      <c r="Q82" s="41">
        <f t="shared" si="80"/>
        <v>1279.7670796123327</v>
      </c>
      <c r="R82" s="41">
        <f t="shared" si="80"/>
        <v>1305.4964982653037</v>
      </c>
      <c r="S82" s="41">
        <f t="shared" si="80"/>
        <v>1307.1331101170961</v>
      </c>
      <c r="T82" s="41">
        <f t="shared" si="80"/>
        <v>1280.0312214222108</v>
      </c>
      <c r="U82" s="41">
        <f t="shared" si="80"/>
        <v>1289.9032369532113</v>
      </c>
      <c r="V82" s="41">
        <f t="shared" si="80"/>
        <v>1332.6802742203238</v>
      </c>
      <c r="W82" s="41">
        <f t="shared" ref="W82" si="81">IF(W20=0,0,W20*1000000/W30)</f>
        <v>1318.8714180748634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4833.7486466034497</v>
      </c>
      <c r="C83" s="40">
        <f t="shared" si="65"/>
        <v>4833.7486466034497</v>
      </c>
      <c r="D83" s="40">
        <f t="shared" ref="D83:V83" si="82">IF(D21=0,0,D21*1000000/D31)</f>
        <v>4833.7486466034497</v>
      </c>
      <c r="E83" s="40">
        <f t="shared" si="82"/>
        <v>4833.7486466034497</v>
      </c>
      <c r="F83" s="40">
        <f t="shared" si="82"/>
        <v>4833.7486466034497</v>
      </c>
      <c r="G83" s="40">
        <f t="shared" si="82"/>
        <v>4888.9785191956125</v>
      </c>
      <c r="H83" s="40">
        <f t="shared" si="82"/>
        <v>4925.0038732512066</v>
      </c>
      <c r="I83" s="40">
        <f t="shared" si="82"/>
        <v>4890.865771077406</v>
      </c>
      <c r="J83" s="40">
        <f t="shared" si="82"/>
        <v>5049.8048794633651</v>
      </c>
      <c r="K83" s="40">
        <f t="shared" si="82"/>
        <v>5004.7204704513788</v>
      </c>
      <c r="L83" s="40">
        <f t="shared" si="82"/>
        <v>4838.4878408253498</v>
      </c>
      <c r="M83" s="40">
        <f t="shared" si="82"/>
        <v>4575.9186051798952</v>
      </c>
      <c r="N83" s="40">
        <f t="shared" si="82"/>
        <v>4319.0899898887765</v>
      </c>
      <c r="O83" s="40">
        <f t="shared" si="82"/>
        <v>4436.8327978797233</v>
      </c>
      <c r="P83" s="40">
        <f t="shared" si="82"/>
        <v>4640.1048218057849</v>
      </c>
      <c r="Q83" s="40">
        <f t="shared" si="82"/>
        <v>4865.1808550649757</v>
      </c>
      <c r="R83" s="40">
        <f t="shared" si="82"/>
        <v>5086.1689877399012</v>
      </c>
      <c r="S83" s="40">
        <f t="shared" si="82"/>
        <v>5373.0064145515371</v>
      </c>
      <c r="T83" s="40">
        <f t="shared" si="82"/>
        <v>5656.7549967762725</v>
      </c>
      <c r="U83" s="40">
        <f t="shared" si="82"/>
        <v>5280.5064102564102</v>
      </c>
      <c r="V83" s="40">
        <f t="shared" si="82"/>
        <v>5429.0965436858605</v>
      </c>
      <c r="W83" s="40">
        <f t="shared" ref="W83" si="83">IF(W21=0,0,W21*1000000/W31)</f>
        <v>5113.3748404818152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176611.20725772603</v>
      </c>
      <c r="C86" s="11">
        <f t="shared" si="84"/>
        <v>178129.94366863123</v>
      </c>
      <c r="D86" s="11">
        <f t="shared" ref="D86:V86" si="85">IF(D4=0,0,D4*1000000/D24)</f>
        <v>175548.85860321962</v>
      </c>
      <c r="E86" s="11">
        <f t="shared" si="85"/>
        <v>180017.82320856757</v>
      </c>
      <c r="F86" s="11">
        <f t="shared" si="85"/>
        <v>178825.73779766716</v>
      </c>
      <c r="G86" s="11">
        <f t="shared" si="85"/>
        <v>178573.96817882959</v>
      </c>
      <c r="H86" s="11">
        <f t="shared" si="85"/>
        <v>178844.14514316508</v>
      </c>
      <c r="I86" s="11">
        <f t="shared" si="85"/>
        <v>178236.83248454929</v>
      </c>
      <c r="J86" s="11">
        <f t="shared" si="85"/>
        <v>184830.77589810759</v>
      </c>
      <c r="K86" s="11">
        <f t="shared" si="85"/>
        <v>190570.13161611179</v>
      </c>
      <c r="L86" s="11">
        <f t="shared" si="85"/>
        <v>199854.0401131399</v>
      </c>
      <c r="M86" s="11">
        <f t="shared" si="85"/>
        <v>212314.66524771883</v>
      </c>
      <c r="N86" s="11">
        <f t="shared" si="85"/>
        <v>229855.99564142042</v>
      </c>
      <c r="O86" s="11">
        <f t="shared" si="85"/>
        <v>245862.74418343161</v>
      </c>
      <c r="P86" s="11">
        <f t="shared" si="85"/>
        <v>244910.3716115118</v>
      </c>
      <c r="Q86" s="11">
        <f t="shared" si="85"/>
        <v>246310.63189779254</v>
      </c>
      <c r="R86" s="11">
        <f t="shared" si="85"/>
        <v>258747.16660155132</v>
      </c>
      <c r="S86" s="11">
        <f t="shared" si="85"/>
        <v>263809.28797207418</v>
      </c>
      <c r="T86" s="11">
        <f t="shared" si="85"/>
        <v>260514.40268191081</v>
      </c>
      <c r="U86" s="11">
        <f t="shared" si="85"/>
        <v>264990.89947311999</v>
      </c>
      <c r="V86" s="11">
        <f t="shared" si="85"/>
        <v>180908.39484064202</v>
      </c>
      <c r="W86" s="11">
        <f t="shared" ref="W86" si="86">IF(W4=0,0,W4*1000000/W24)</f>
        <v>184377.17139070865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59330.853393613841</v>
      </c>
      <c r="C87" s="36">
        <f t="shared" si="84"/>
        <v>59807.35819861725</v>
      </c>
      <c r="D87" s="36">
        <f t="shared" ref="D87:V87" si="87">IF(D5=0,0,D5*1000000/D25)</f>
        <v>62236.441195843508</v>
      </c>
      <c r="E87" s="36">
        <f t="shared" si="87"/>
        <v>65533.013633021124</v>
      </c>
      <c r="F87" s="36">
        <f t="shared" si="87"/>
        <v>65555.925265986763</v>
      </c>
      <c r="G87" s="36">
        <f t="shared" si="87"/>
        <v>66306.201484200879</v>
      </c>
      <c r="H87" s="36">
        <f t="shared" si="87"/>
        <v>67098.967389911122</v>
      </c>
      <c r="I87" s="36">
        <f t="shared" si="87"/>
        <v>68877.77481033816</v>
      </c>
      <c r="J87" s="36">
        <f t="shared" si="87"/>
        <v>65756.850748941404</v>
      </c>
      <c r="K87" s="36">
        <f t="shared" si="87"/>
        <v>67154.299342281331</v>
      </c>
      <c r="L87" s="36">
        <f t="shared" si="87"/>
        <v>70803.268121545014</v>
      </c>
      <c r="M87" s="36">
        <f t="shared" si="87"/>
        <v>73275.508453968258</v>
      </c>
      <c r="N87" s="36">
        <f t="shared" si="87"/>
        <v>76675.934056694707</v>
      </c>
      <c r="O87" s="36">
        <f t="shared" si="87"/>
        <v>79374.808894212008</v>
      </c>
      <c r="P87" s="36">
        <f t="shared" si="87"/>
        <v>78105.162976761872</v>
      </c>
      <c r="Q87" s="36">
        <f t="shared" si="87"/>
        <v>80980.972799035677</v>
      </c>
      <c r="R87" s="36">
        <f t="shared" si="87"/>
        <v>86175.539752608413</v>
      </c>
      <c r="S87" s="36">
        <f t="shared" si="87"/>
        <v>87875.197442304983</v>
      </c>
      <c r="T87" s="36">
        <f t="shared" si="87"/>
        <v>87291.167972965268</v>
      </c>
      <c r="U87" s="36">
        <f t="shared" si="87"/>
        <v>88288.228651934405</v>
      </c>
      <c r="V87" s="36">
        <f t="shared" si="87"/>
        <v>66807.539499162012</v>
      </c>
      <c r="W87" s="36">
        <f t="shared" ref="W87" si="88">IF(W5=0,0,W5*1000000/W25)</f>
        <v>81537.236383162774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274027.54832473828</v>
      </c>
      <c r="C88" s="36">
        <f t="shared" si="84"/>
        <v>275351.82154075615</v>
      </c>
      <c r="D88" s="36">
        <f t="shared" ref="D88:V88" si="89">IF(D6=0,0,D6*1000000/D26)</f>
        <v>263470.69276452827</v>
      </c>
      <c r="E88" s="36">
        <f t="shared" si="89"/>
        <v>263740.08888485347</v>
      </c>
      <c r="F88" s="36">
        <f t="shared" si="89"/>
        <v>257834.93314808785</v>
      </c>
      <c r="G88" s="36">
        <f t="shared" si="89"/>
        <v>257194.88864902453</v>
      </c>
      <c r="H88" s="36">
        <f t="shared" si="89"/>
        <v>251677.92275893598</v>
      </c>
      <c r="I88" s="36">
        <f t="shared" si="89"/>
        <v>237489.61007545394</v>
      </c>
      <c r="J88" s="36">
        <f t="shared" si="89"/>
        <v>238367.73534227331</v>
      </c>
      <c r="K88" s="36">
        <f t="shared" si="89"/>
        <v>241945.65981766532</v>
      </c>
      <c r="L88" s="36">
        <f t="shared" si="89"/>
        <v>247411.31429828759</v>
      </c>
      <c r="M88" s="36">
        <f t="shared" si="89"/>
        <v>258249.51978962152</v>
      </c>
      <c r="N88" s="36">
        <f t="shared" si="89"/>
        <v>267104.33201358118</v>
      </c>
      <c r="O88" s="36">
        <f t="shared" si="89"/>
        <v>274526.4330181866</v>
      </c>
      <c r="P88" s="36">
        <f t="shared" si="89"/>
        <v>275963.85911143076</v>
      </c>
      <c r="Q88" s="36">
        <f t="shared" si="89"/>
        <v>274729.02616236819</v>
      </c>
      <c r="R88" s="36">
        <f t="shared" si="89"/>
        <v>287017.36733520747</v>
      </c>
      <c r="S88" s="36">
        <f t="shared" si="89"/>
        <v>290306.61838268873</v>
      </c>
      <c r="T88" s="36">
        <f t="shared" si="89"/>
        <v>283999.59357985185</v>
      </c>
      <c r="U88" s="36">
        <f t="shared" si="89"/>
        <v>282564.98336073366</v>
      </c>
      <c r="V88" s="36">
        <f t="shared" si="89"/>
        <v>217778.41193897437</v>
      </c>
      <c r="W88" s="36">
        <f t="shared" ref="W88" si="90">IF(W6=0,0,W6*1000000/W26)</f>
        <v>219657.04474854426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573238.27203886211</v>
      </c>
      <c r="C89" s="36">
        <f t="shared" si="84"/>
        <v>581256.36699852592</v>
      </c>
      <c r="D89" s="36">
        <f t="shared" ref="D89:V89" si="91">IF(D7=0,0,D7*1000000/D27)</f>
        <v>477197.56795849389</v>
      </c>
      <c r="E89" s="36">
        <f t="shared" si="91"/>
        <v>645204.68378421979</v>
      </c>
      <c r="F89" s="36">
        <f t="shared" si="91"/>
        <v>661097.04042942275</v>
      </c>
      <c r="G89" s="36">
        <f t="shared" si="91"/>
        <v>687109.00569707958</v>
      </c>
      <c r="H89" s="36">
        <f t="shared" si="91"/>
        <v>707477.32288485032</v>
      </c>
      <c r="I89" s="36">
        <f t="shared" si="91"/>
        <v>714423.29839953443</v>
      </c>
      <c r="J89" s="36">
        <f t="shared" si="91"/>
        <v>775607.52454654488</v>
      </c>
      <c r="K89" s="36">
        <f t="shared" si="91"/>
        <v>795449.84135113691</v>
      </c>
      <c r="L89" s="36">
        <f t="shared" si="91"/>
        <v>785255.42549253616</v>
      </c>
      <c r="M89" s="36">
        <f t="shared" si="91"/>
        <v>766801.19945677952</v>
      </c>
      <c r="N89" s="36">
        <f t="shared" si="91"/>
        <v>776847.38318768679</v>
      </c>
      <c r="O89" s="36">
        <f t="shared" si="91"/>
        <v>751083.79578663001</v>
      </c>
      <c r="P89" s="36">
        <f t="shared" si="91"/>
        <v>751797.77616555046</v>
      </c>
      <c r="Q89" s="36">
        <f t="shared" si="91"/>
        <v>780610.50220994523</v>
      </c>
      <c r="R89" s="36">
        <f t="shared" si="91"/>
        <v>811797.10053440346</v>
      </c>
      <c r="S89" s="36">
        <f t="shared" si="91"/>
        <v>841401.71551146475</v>
      </c>
      <c r="T89" s="36">
        <f t="shared" si="91"/>
        <v>890317.12605190743</v>
      </c>
      <c r="U89" s="36">
        <f t="shared" si="91"/>
        <v>953893.48060344509</v>
      </c>
      <c r="V89" s="36">
        <f t="shared" si="91"/>
        <v>861234.23359879619</v>
      </c>
      <c r="W89" s="36">
        <f t="shared" ref="W89" si="92">IF(W7=0,0,W7*1000000/W27)</f>
        <v>700491.32005089615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50077.776775320679</v>
      </c>
      <c r="C90" s="13">
        <f t="shared" si="84"/>
        <v>52890.829805340232</v>
      </c>
      <c r="D90" s="13">
        <f t="shared" ref="D90:V90" si="93">IF(D8=0,0,D8*1000000/D28)</f>
        <v>50345.931441869812</v>
      </c>
      <c r="E90" s="13">
        <f t="shared" si="93"/>
        <v>52795.081076331218</v>
      </c>
      <c r="F90" s="13">
        <f t="shared" si="93"/>
        <v>48378.170506023896</v>
      </c>
      <c r="G90" s="13">
        <f t="shared" si="93"/>
        <v>46568.193265096277</v>
      </c>
      <c r="H90" s="13">
        <f t="shared" si="93"/>
        <v>47049.145060539937</v>
      </c>
      <c r="I90" s="13">
        <f t="shared" si="93"/>
        <v>53920.208690450942</v>
      </c>
      <c r="J90" s="13">
        <f t="shared" si="93"/>
        <v>57406.664057201204</v>
      </c>
      <c r="K90" s="13">
        <f t="shared" si="93"/>
        <v>66073.783233423732</v>
      </c>
      <c r="L90" s="13">
        <f t="shared" si="93"/>
        <v>82438.821956904605</v>
      </c>
      <c r="M90" s="13">
        <f t="shared" si="93"/>
        <v>93026.696362070405</v>
      </c>
      <c r="N90" s="13">
        <f t="shared" si="93"/>
        <v>103604.73958782894</v>
      </c>
      <c r="O90" s="13">
        <f t="shared" si="93"/>
        <v>108967.01546995441</v>
      </c>
      <c r="P90" s="13">
        <f t="shared" si="93"/>
        <v>128065.79508066563</v>
      </c>
      <c r="Q90" s="13">
        <f t="shared" si="93"/>
        <v>136572.16741638296</v>
      </c>
      <c r="R90" s="13">
        <f t="shared" si="93"/>
        <v>159907.33705536989</v>
      </c>
      <c r="S90" s="13">
        <f t="shared" si="93"/>
        <v>172591.97434264133</v>
      </c>
      <c r="T90" s="13">
        <f t="shared" si="93"/>
        <v>194580.55521008247</v>
      </c>
      <c r="U90" s="13">
        <f t="shared" si="93"/>
        <v>197563.41463448494</v>
      </c>
      <c r="V90" s="13">
        <f t="shared" si="93"/>
        <v>143271.64178510092</v>
      </c>
      <c r="W90" s="13">
        <f t="shared" ref="W90" si="94">IF(W8=0,0,W8*1000000/W28)</f>
        <v>137742.31938782331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8417.4484690506943</v>
      </c>
      <c r="C91" s="34">
        <f t="shared" si="84"/>
        <v>8353.2683621744127</v>
      </c>
      <c r="D91" s="34">
        <f t="shared" ref="D91:V91" si="95">IF(D9=0,0,D9*1000000/D29)</f>
        <v>8589.9084892274604</v>
      </c>
      <c r="E91" s="34">
        <f t="shared" si="95"/>
        <v>9136.9777475365427</v>
      </c>
      <c r="F91" s="34">
        <f t="shared" si="95"/>
        <v>8603.9095044136175</v>
      </c>
      <c r="G91" s="34">
        <f t="shared" si="95"/>
        <v>8504.1307904442383</v>
      </c>
      <c r="H91" s="34">
        <f t="shared" si="95"/>
        <v>8311.5232609517298</v>
      </c>
      <c r="I91" s="34">
        <f t="shared" si="95"/>
        <v>8440.6672991238083</v>
      </c>
      <c r="J91" s="34">
        <f t="shared" si="95"/>
        <v>8216.0793463559385</v>
      </c>
      <c r="K91" s="34">
        <f t="shared" si="95"/>
        <v>8322.3860796907265</v>
      </c>
      <c r="L91" s="34">
        <f t="shared" si="95"/>
        <v>9104.9535303121029</v>
      </c>
      <c r="M91" s="34">
        <f t="shared" si="95"/>
        <v>9903.7179104328079</v>
      </c>
      <c r="N91" s="34">
        <f t="shared" si="95"/>
        <v>9953.0262943805064</v>
      </c>
      <c r="O91" s="34">
        <f t="shared" si="95"/>
        <v>10315.724474996246</v>
      </c>
      <c r="P91" s="34">
        <f t="shared" si="95"/>
        <v>11472.385643594554</v>
      </c>
      <c r="Q91" s="34">
        <f t="shared" si="95"/>
        <v>11929.800622906456</v>
      </c>
      <c r="R91" s="34">
        <f t="shared" si="95"/>
        <v>13972.770423018213</v>
      </c>
      <c r="S91" s="34">
        <f t="shared" si="95"/>
        <v>12868.9350397496</v>
      </c>
      <c r="T91" s="34">
        <f t="shared" si="95"/>
        <v>13254.818888078647</v>
      </c>
      <c r="U91" s="34">
        <f t="shared" si="95"/>
        <v>14694.857783873033</v>
      </c>
      <c r="V91" s="34">
        <f t="shared" si="95"/>
        <v>12918.029307703458</v>
      </c>
      <c r="W91" s="34">
        <f t="shared" ref="W91" si="96">IF(W9=0,0,W9*1000000/W29)</f>
        <v>14057.628400238676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32821.380446585405</v>
      </c>
      <c r="C92" s="34">
        <f t="shared" si="84"/>
        <v>34450.383326090152</v>
      </c>
      <c r="D92" s="34">
        <f t="shared" ref="D92:V92" si="97">IF(D10=0,0,D10*1000000/D30)</f>
        <v>32456.929473271673</v>
      </c>
      <c r="E92" s="34">
        <f t="shared" si="97"/>
        <v>33063.767518513945</v>
      </c>
      <c r="F92" s="34">
        <f t="shared" si="97"/>
        <v>29943.517769830411</v>
      </c>
      <c r="G92" s="34">
        <f t="shared" si="97"/>
        <v>29304.681804375188</v>
      </c>
      <c r="H92" s="34">
        <f t="shared" si="97"/>
        <v>25104.116615257157</v>
      </c>
      <c r="I92" s="34">
        <f t="shared" si="97"/>
        <v>23884.920954256002</v>
      </c>
      <c r="J92" s="34">
        <f t="shared" si="97"/>
        <v>23350.510073361635</v>
      </c>
      <c r="K92" s="34">
        <f t="shared" si="97"/>
        <v>23990.187389042574</v>
      </c>
      <c r="L92" s="34">
        <f t="shared" si="97"/>
        <v>24519.846203676421</v>
      </c>
      <c r="M92" s="34">
        <f t="shared" si="97"/>
        <v>25530.612391928946</v>
      </c>
      <c r="N92" s="34">
        <f t="shared" si="97"/>
        <v>27374.960919022797</v>
      </c>
      <c r="O92" s="34">
        <f t="shared" si="97"/>
        <v>27585.634434686181</v>
      </c>
      <c r="P92" s="34">
        <f t="shared" si="97"/>
        <v>31938.522933477696</v>
      </c>
      <c r="Q92" s="34">
        <f t="shared" si="97"/>
        <v>30725.2485846052</v>
      </c>
      <c r="R92" s="34">
        <f t="shared" si="97"/>
        <v>34058.312609156004</v>
      </c>
      <c r="S92" s="34">
        <f t="shared" si="97"/>
        <v>31156.848442732338</v>
      </c>
      <c r="T92" s="34">
        <f t="shared" si="97"/>
        <v>30707.540420508103</v>
      </c>
      <c r="U92" s="34">
        <f t="shared" si="97"/>
        <v>32537.766695386013</v>
      </c>
      <c r="V92" s="34">
        <f t="shared" si="97"/>
        <v>28445.054167423998</v>
      </c>
      <c r="W92" s="34">
        <f t="shared" ref="W92" si="98">IF(W10=0,0,W10*1000000/W30)</f>
        <v>25991.504826006963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398515.96055451664</v>
      </c>
      <c r="C93" s="35">
        <f t="shared" si="84"/>
        <v>417472.89617351309</v>
      </c>
      <c r="D93" s="35">
        <f t="shared" ref="D93:V93" si="99">IF(D11=0,0,D11*1000000/D31)</f>
        <v>394270.53689648287</v>
      </c>
      <c r="E93" s="35">
        <f t="shared" si="99"/>
        <v>358302.69027360366</v>
      </c>
      <c r="F93" s="35">
        <f t="shared" si="99"/>
        <v>347797.66506260826</v>
      </c>
      <c r="G93" s="35">
        <f t="shared" si="99"/>
        <v>330820.98736344726</v>
      </c>
      <c r="H93" s="35">
        <f t="shared" si="99"/>
        <v>322156.82436386123</v>
      </c>
      <c r="I93" s="35">
        <f t="shared" si="99"/>
        <v>314595.02638759761</v>
      </c>
      <c r="J93" s="35">
        <f t="shared" si="99"/>
        <v>318265.45845880109</v>
      </c>
      <c r="K93" s="35">
        <f t="shared" si="99"/>
        <v>355726.42266397347</v>
      </c>
      <c r="L93" s="35">
        <f t="shared" si="99"/>
        <v>349638.32605831895</v>
      </c>
      <c r="M93" s="35">
        <f t="shared" si="99"/>
        <v>342788.80551052798</v>
      </c>
      <c r="N93" s="35">
        <f t="shared" si="99"/>
        <v>348959.12726734293</v>
      </c>
      <c r="O93" s="35">
        <f t="shared" si="99"/>
        <v>361838.93307267869</v>
      </c>
      <c r="P93" s="35">
        <f t="shared" si="99"/>
        <v>431737.03613665985</v>
      </c>
      <c r="Q93" s="35">
        <f t="shared" si="99"/>
        <v>452272.36551658087</v>
      </c>
      <c r="R93" s="35">
        <f t="shared" si="99"/>
        <v>515343.01147378079</v>
      </c>
      <c r="S93" s="35">
        <f t="shared" si="99"/>
        <v>530609.60239072144</v>
      </c>
      <c r="T93" s="35">
        <f t="shared" si="99"/>
        <v>572919.99099363212</v>
      </c>
      <c r="U93" s="35">
        <f t="shared" si="99"/>
        <v>560705.58428627264</v>
      </c>
      <c r="V93" s="35">
        <f t="shared" si="99"/>
        <v>407861.39395971218</v>
      </c>
      <c r="W93" s="35">
        <f t="shared" ref="W93" si="100">IF(W11=0,0,W11*1000000/W31)</f>
        <v>353824.85341466952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1240.8594743232891</v>
      </c>
      <c r="C95" s="62">
        <f t="shared" si="101"/>
        <v>1225.3928799889616</v>
      </c>
      <c r="D95" s="62">
        <f t="shared" ref="D95:V95" si="102">IF(D23=0,0,D23/D43)</f>
        <v>1213.9192044312986</v>
      </c>
      <c r="E95" s="62">
        <f t="shared" si="102"/>
        <v>1217.1106390187983</v>
      </c>
      <c r="F95" s="62">
        <f t="shared" si="102"/>
        <v>1248.7816875403018</v>
      </c>
      <c r="G95" s="62">
        <f t="shared" si="102"/>
        <v>1252.8470598344215</v>
      </c>
      <c r="H95" s="62">
        <f t="shared" si="102"/>
        <v>1243.7501248337812</v>
      </c>
      <c r="I95" s="62">
        <f t="shared" si="102"/>
        <v>1234.2503314677322</v>
      </c>
      <c r="J95" s="62">
        <f t="shared" si="102"/>
        <v>1210.3037742418794</v>
      </c>
      <c r="K95" s="62">
        <f t="shared" si="102"/>
        <v>1171.345285663612</v>
      </c>
      <c r="L95" s="62">
        <f t="shared" si="102"/>
        <v>1175.3759889606195</v>
      </c>
      <c r="M95" s="62">
        <f t="shared" si="102"/>
        <v>1156.276091096679</v>
      </c>
      <c r="N95" s="62">
        <f t="shared" si="102"/>
        <v>1101.0101078092007</v>
      </c>
      <c r="O95" s="62">
        <f t="shared" si="102"/>
        <v>1048.8759189383588</v>
      </c>
      <c r="P95" s="62">
        <f t="shared" si="102"/>
        <v>1082.5857116818474</v>
      </c>
      <c r="Q95" s="62">
        <f t="shared" si="102"/>
        <v>1088.3219633000413</v>
      </c>
      <c r="R95" s="62">
        <f t="shared" si="102"/>
        <v>1076.8493177980131</v>
      </c>
      <c r="S95" s="62">
        <f t="shared" si="102"/>
        <v>1068.6511994141342</v>
      </c>
      <c r="T95" s="62">
        <f t="shared" si="102"/>
        <v>1079.956143446009</v>
      </c>
      <c r="U95" s="62">
        <f t="shared" si="102"/>
        <v>1077.8521135249978</v>
      </c>
      <c r="V95" s="62">
        <f t="shared" si="102"/>
        <v>444.06961391387313</v>
      </c>
      <c r="W95" s="62">
        <f t="shared" ref="W95" si="103">IF(W23=0,0,W23/W43)</f>
        <v>660.09702440804313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1250.3158913811535</v>
      </c>
      <c r="C96" s="11">
        <f t="shared" si="104"/>
        <v>1234.4087898079438</v>
      </c>
      <c r="D96" s="11">
        <f t="shared" ref="D96:V96" si="105">IF(D24=0,0,D24/D44)</f>
        <v>1222.1304574328196</v>
      </c>
      <c r="E96" s="11">
        <f t="shared" si="105"/>
        <v>1226.2454933756619</v>
      </c>
      <c r="F96" s="11">
        <f t="shared" si="105"/>
        <v>1259.5051076181678</v>
      </c>
      <c r="G96" s="11">
        <f t="shared" si="105"/>
        <v>1262.7908181971416</v>
      </c>
      <c r="H96" s="11">
        <f t="shared" si="105"/>
        <v>1253.6932268416367</v>
      </c>
      <c r="I96" s="11">
        <f t="shared" si="105"/>
        <v>1244.3383942957348</v>
      </c>
      <c r="J96" s="11">
        <f t="shared" si="105"/>
        <v>1220.6378746715598</v>
      </c>
      <c r="K96" s="11">
        <f t="shared" si="105"/>
        <v>1182.7076086233646</v>
      </c>
      <c r="L96" s="11">
        <f t="shared" si="105"/>
        <v>1187.9435197318526</v>
      </c>
      <c r="M96" s="11">
        <f t="shared" si="105"/>
        <v>1167.7674248914054</v>
      </c>
      <c r="N96" s="11">
        <f t="shared" si="105"/>
        <v>1111.0730922103417</v>
      </c>
      <c r="O96" s="11">
        <f t="shared" si="105"/>
        <v>1056.56987938067</v>
      </c>
      <c r="P96" s="11">
        <f t="shared" si="105"/>
        <v>1090.9205258349307</v>
      </c>
      <c r="Q96" s="11">
        <f t="shared" si="105"/>
        <v>1097.219029805414</v>
      </c>
      <c r="R96" s="11">
        <f t="shared" si="105"/>
        <v>1084.9264197333277</v>
      </c>
      <c r="S96" s="11">
        <f t="shared" si="105"/>
        <v>1078.6439300608372</v>
      </c>
      <c r="T96" s="11">
        <f t="shared" si="105"/>
        <v>1091.0528864402127</v>
      </c>
      <c r="U96" s="11">
        <f t="shared" si="105"/>
        <v>1088.109196824324</v>
      </c>
      <c r="V96" s="11">
        <f t="shared" si="105"/>
        <v>440.34128730523986</v>
      </c>
      <c r="W96" s="11">
        <f t="shared" ref="W96" si="106">IF(W24=0,0,W24/W44)</f>
        <v>661.68931295207824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1933</v>
      </c>
      <c r="C97" s="36">
        <f t="shared" si="104"/>
        <v>1933</v>
      </c>
      <c r="D97" s="36">
        <f t="shared" ref="D97:V97" si="107">IF(D25=0,0,D25/D45)</f>
        <v>1933</v>
      </c>
      <c r="E97" s="36">
        <f t="shared" si="107"/>
        <v>1932.9999999999998</v>
      </c>
      <c r="F97" s="36">
        <f t="shared" si="107"/>
        <v>1933</v>
      </c>
      <c r="G97" s="36">
        <f t="shared" si="107"/>
        <v>1925</v>
      </c>
      <c r="H97" s="36">
        <f t="shared" si="107"/>
        <v>1924</v>
      </c>
      <c r="I97" s="36">
        <f t="shared" si="107"/>
        <v>1921</v>
      </c>
      <c r="J97" s="36">
        <f t="shared" si="107"/>
        <v>1924</v>
      </c>
      <c r="K97" s="36">
        <f t="shared" si="107"/>
        <v>1873.5848784401628</v>
      </c>
      <c r="L97" s="36">
        <f t="shared" si="107"/>
        <v>1926</v>
      </c>
      <c r="M97" s="36">
        <f t="shared" si="107"/>
        <v>1930</v>
      </c>
      <c r="N97" s="36">
        <f t="shared" si="107"/>
        <v>1788.7831538615567</v>
      </c>
      <c r="O97" s="36">
        <f t="shared" si="107"/>
        <v>1689.4377162766548</v>
      </c>
      <c r="P97" s="36">
        <f t="shared" si="107"/>
        <v>1929</v>
      </c>
      <c r="Q97" s="36">
        <f t="shared" si="107"/>
        <v>1924</v>
      </c>
      <c r="R97" s="36">
        <f t="shared" si="107"/>
        <v>1906.9999999999998</v>
      </c>
      <c r="S97" s="36">
        <f t="shared" si="107"/>
        <v>1911</v>
      </c>
      <c r="T97" s="36">
        <f t="shared" si="107"/>
        <v>1923</v>
      </c>
      <c r="U97" s="36">
        <f t="shared" si="107"/>
        <v>1917</v>
      </c>
      <c r="V97" s="36">
        <f t="shared" si="107"/>
        <v>1026.7538034244421</v>
      </c>
      <c r="W97" s="36">
        <f t="shared" ref="W97" si="108">IF(W25=0,0,W25/W45)</f>
        <v>1525.8407341108898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1061.3483569666157</v>
      </c>
      <c r="C98" s="36">
        <f t="shared" si="104"/>
        <v>1059.112580986385</v>
      </c>
      <c r="D98" s="36">
        <f t="shared" ref="D98:V98" si="109">IF(D26=0,0,D26/D46)</f>
        <v>1057.4399727031218</v>
      </c>
      <c r="E98" s="36">
        <f t="shared" si="109"/>
        <v>1054.529479575476</v>
      </c>
      <c r="F98" s="36">
        <f t="shared" si="109"/>
        <v>1054.5905934319587</v>
      </c>
      <c r="G98" s="36">
        <f t="shared" si="109"/>
        <v>1057.7459457359623</v>
      </c>
      <c r="H98" s="36">
        <f t="shared" si="109"/>
        <v>1055.6169587123011</v>
      </c>
      <c r="I98" s="36">
        <f t="shared" si="109"/>
        <v>1066.8939634615128</v>
      </c>
      <c r="J98" s="36">
        <f t="shared" si="109"/>
        <v>1065.3314972625651</v>
      </c>
      <c r="K98" s="36">
        <f t="shared" si="109"/>
        <v>1028.5193933901105</v>
      </c>
      <c r="L98" s="36">
        <f t="shared" si="109"/>
        <v>1044.8588972438508</v>
      </c>
      <c r="M98" s="36">
        <f t="shared" si="109"/>
        <v>1053.6049660520293</v>
      </c>
      <c r="N98" s="36">
        <f t="shared" si="109"/>
        <v>1052.6171601905041</v>
      </c>
      <c r="O98" s="36">
        <f t="shared" si="109"/>
        <v>1039.7491421059417</v>
      </c>
      <c r="P98" s="36">
        <f t="shared" si="109"/>
        <v>1034.1853014489143</v>
      </c>
      <c r="Q98" s="36">
        <f t="shared" si="109"/>
        <v>1038.5185580192851</v>
      </c>
      <c r="R98" s="36">
        <f t="shared" si="109"/>
        <v>1027.5796542037901</v>
      </c>
      <c r="S98" s="36">
        <f t="shared" si="109"/>
        <v>1022.6923340651226</v>
      </c>
      <c r="T98" s="36">
        <f t="shared" si="109"/>
        <v>1029.6736970297302</v>
      </c>
      <c r="U98" s="36">
        <f t="shared" si="109"/>
        <v>1038.9144906009265</v>
      </c>
      <c r="V98" s="36">
        <f t="shared" si="109"/>
        <v>346.36728108004252</v>
      </c>
      <c r="W98" s="36">
        <f t="shared" ref="W98" si="110">IF(W26=0,0,W26/W46)</f>
        <v>536.4495556803389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438</v>
      </c>
      <c r="C99" s="36">
        <f t="shared" si="104"/>
        <v>388.22673533508242</v>
      </c>
      <c r="D99" s="36">
        <f t="shared" ref="D99:V99" si="111">IF(D27=0,0,D27/D47)</f>
        <v>438</v>
      </c>
      <c r="E99" s="36">
        <f t="shared" si="111"/>
        <v>360.01875195332849</v>
      </c>
      <c r="F99" s="36">
        <f t="shared" si="111"/>
        <v>438</v>
      </c>
      <c r="G99" s="36">
        <f t="shared" si="111"/>
        <v>433</v>
      </c>
      <c r="H99" s="36">
        <f t="shared" si="111"/>
        <v>429</v>
      </c>
      <c r="I99" s="36">
        <f t="shared" si="111"/>
        <v>430</v>
      </c>
      <c r="J99" s="36">
        <f t="shared" si="111"/>
        <v>416</v>
      </c>
      <c r="K99" s="36">
        <f t="shared" si="111"/>
        <v>418</v>
      </c>
      <c r="L99" s="36">
        <f t="shared" si="111"/>
        <v>430.00000000000006</v>
      </c>
      <c r="M99" s="36">
        <f t="shared" si="111"/>
        <v>433</v>
      </c>
      <c r="N99" s="36">
        <f t="shared" si="111"/>
        <v>436</v>
      </c>
      <c r="O99" s="36">
        <f t="shared" si="111"/>
        <v>443</v>
      </c>
      <c r="P99" s="36">
        <f t="shared" si="111"/>
        <v>442.99999999999994</v>
      </c>
      <c r="Q99" s="36">
        <f t="shared" si="111"/>
        <v>441</v>
      </c>
      <c r="R99" s="36">
        <f t="shared" si="111"/>
        <v>439</v>
      </c>
      <c r="S99" s="36">
        <f t="shared" si="111"/>
        <v>432</v>
      </c>
      <c r="T99" s="36">
        <f t="shared" si="111"/>
        <v>425</v>
      </c>
      <c r="U99" s="36">
        <f t="shared" si="111"/>
        <v>409</v>
      </c>
      <c r="V99" s="36">
        <f t="shared" si="111"/>
        <v>115.5759081861045</v>
      </c>
      <c r="W99" s="36">
        <f t="shared" ref="W99" si="112">IF(W27=0,0,W27/W47)</f>
        <v>184.72117130582129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949.27474713600816</v>
      </c>
      <c r="C100" s="13">
        <f t="shared" si="104"/>
        <v>946.643020795143</v>
      </c>
      <c r="D100" s="13">
        <f t="shared" ref="D100:V100" si="113">IF(D28=0,0,D28/D48)</f>
        <v>945.94938851185032</v>
      </c>
      <c r="E100" s="13">
        <f t="shared" si="113"/>
        <v>897.89742648421009</v>
      </c>
      <c r="F100" s="13">
        <f t="shared" si="113"/>
        <v>930.51396444320949</v>
      </c>
      <c r="G100" s="13">
        <f t="shared" si="113"/>
        <v>925.32848372562421</v>
      </c>
      <c r="H100" s="13">
        <f t="shared" si="113"/>
        <v>909.87063755365</v>
      </c>
      <c r="I100" s="13">
        <f t="shared" si="113"/>
        <v>869.01449971620241</v>
      </c>
      <c r="J100" s="13">
        <f t="shared" si="113"/>
        <v>844.12974516660461</v>
      </c>
      <c r="K100" s="13">
        <f t="shared" si="113"/>
        <v>765.77551469183379</v>
      </c>
      <c r="L100" s="13">
        <f t="shared" si="113"/>
        <v>749.90164057567279</v>
      </c>
      <c r="M100" s="13">
        <f t="shared" si="113"/>
        <v>731.564969281039</v>
      </c>
      <c r="N100" s="13">
        <f t="shared" si="113"/>
        <v>712.44630788509789</v>
      </c>
      <c r="O100" s="13">
        <f t="shared" si="113"/>
        <v>734.02547436458485</v>
      </c>
      <c r="P100" s="13">
        <f t="shared" si="113"/>
        <v>717.65226762892075</v>
      </c>
      <c r="Q100" s="13">
        <f t="shared" si="113"/>
        <v>702.02720018147488</v>
      </c>
      <c r="R100" s="13">
        <f t="shared" si="113"/>
        <v>678.46796692685916</v>
      </c>
      <c r="S100" s="13">
        <f t="shared" si="113"/>
        <v>645.14871881604734</v>
      </c>
      <c r="T100" s="13">
        <f t="shared" si="113"/>
        <v>615.89060356767936</v>
      </c>
      <c r="U100" s="13">
        <f t="shared" si="113"/>
        <v>625.02300481635302</v>
      </c>
      <c r="V100" s="13">
        <f t="shared" si="113"/>
        <v>605.444798657516</v>
      </c>
      <c r="W100" s="13">
        <f t="shared" ref="W100" si="114">IF(W28=0,0,W28/W48)</f>
        <v>605.21285676091532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1222</v>
      </c>
      <c r="C101" s="34">
        <f t="shared" si="104"/>
        <v>1222</v>
      </c>
      <c r="D101" s="34">
        <f t="shared" ref="D101:V101" si="115">IF(D29=0,0,D29/D49)</f>
        <v>1222</v>
      </c>
      <c r="E101" s="34">
        <f t="shared" si="115"/>
        <v>1161.7092461239095</v>
      </c>
      <c r="F101" s="34">
        <f t="shared" si="115"/>
        <v>1222</v>
      </c>
      <c r="G101" s="34">
        <f t="shared" si="115"/>
        <v>1219</v>
      </c>
      <c r="H101" s="34">
        <f t="shared" si="115"/>
        <v>1213</v>
      </c>
      <c r="I101" s="34">
        <f t="shared" si="115"/>
        <v>1206</v>
      </c>
      <c r="J101" s="34">
        <f t="shared" si="115"/>
        <v>1202</v>
      </c>
      <c r="K101" s="34">
        <f t="shared" si="115"/>
        <v>1061.3568390713015</v>
      </c>
      <c r="L101" s="34">
        <f t="shared" si="115"/>
        <v>1095.1987695035468</v>
      </c>
      <c r="M101" s="34">
        <f t="shared" si="115"/>
        <v>1077.0833085375273</v>
      </c>
      <c r="N101" s="34">
        <f t="shared" si="115"/>
        <v>1075.5773343744715</v>
      </c>
      <c r="O101" s="34">
        <f t="shared" si="115"/>
        <v>1202</v>
      </c>
      <c r="P101" s="34">
        <f t="shared" si="115"/>
        <v>1202</v>
      </c>
      <c r="Q101" s="34">
        <f t="shared" si="115"/>
        <v>1198</v>
      </c>
      <c r="R101" s="34">
        <f t="shared" si="115"/>
        <v>1188</v>
      </c>
      <c r="S101" s="34">
        <f t="shared" si="115"/>
        <v>1188</v>
      </c>
      <c r="T101" s="34">
        <f t="shared" si="115"/>
        <v>1190</v>
      </c>
      <c r="U101" s="34">
        <f t="shared" si="115"/>
        <v>1185</v>
      </c>
      <c r="V101" s="34">
        <f t="shared" si="115"/>
        <v>1189</v>
      </c>
      <c r="W101" s="34">
        <f t="shared" ref="W101" si="116">IF(W29=0,0,W29/W49)</f>
        <v>1170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954.65771680119974</v>
      </c>
      <c r="C102" s="34">
        <f t="shared" si="104"/>
        <v>954.62857671624909</v>
      </c>
      <c r="D102" s="34">
        <f t="shared" ref="D102:V102" si="117">IF(D30=0,0,D30/D50)</f>
        <v>954.73801350197755</v>
      </c>
      <c r="E102" s="34">
        <f t="shared" si="117"/>
        <v>954.09765297049887</v>
      </c>
      <c r="F102" s="34">
        <f t="shared" si="117"/>
        <v>954.07441685524429</v>
      </c>
      <c r="G102" s="34">
        <f t="shared" si="117"/>
        <v>946.31794619294408</v>
      </c>
      <c r="H102" s="34">
        <f t="shared" si="117"/>
        <v>952.17000234828595</v>
      </c>
      <c r="I102" s="34">
        <f t="shared" si="117"/>
        <v>943.44353529897046</v>
      </c>
      <c r="J102" s="34">
        <f t="shared" si="117"/>
        <v>941.82752500706124</v>
      </c>
      <c r="K102" s="34">
        <f t="shared" si="117"/>
        <v>923.0856289520367</v>
      </c>
      <c r="L102" s="34">
        <f t="shared" si="117"/>
        <v>924.96866321925779</v>
      </c>
      <c r="M102" s="34">
        <f t="shared" si="117"/>
        <v>951.58832573722123</v>
      </c>
      <c r="N102" s="34">
        <f t="shared" si="117"/>
        <v>908.47915604579271</v>
      </c>
      <c r="O102" s="34">
        <f t="shared" si="117"/>
        <v>953.70324530227697</v>
      </c>
      <c r="P102" s="34">
        <f t="shared" si="117"/>
        <v>939.81374784399031</v>
      </c>
      <c r="Q102" s="34">
        <f t="shared" si="117"/>
        <v>960.38496614222595</v>
      </c>
      <c r="R102" s="34">
        <f t="shared" si="117"/>
        <v>951.21221119495101</v>
      </c>
      <c r="S102" s="34">
        <f t="shared" si="117"/>
        <v>953.46301378356736</v>
      </c>
      <c r="T102" s="34">
        <f t="shared" si="117"/>
        <v>962.66168457540573</v>
      </c>
      <c r="U102" s="34">
        <f t="shared" si="117"/>
        <v>959.23519049362062</v>
      </c>
      <c r="V102" s="34">
        <f t="shared" si="117"/>
        <v>945.57746747748524</v>
      </c>
      <c r="W102" s="34">
        <f t="shared" ref="W102" si="118">IF(W30=0,0,W30/W50)</f>
        <v>928.93819075665078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364</v>
      </c>
      <c r="C103" s="35">
        <f t="shared" si="104"/>
        <v>364</v>
      </c>
      <c r="D103" s="35">
        <f t="shared" ref="D103:V103" si="119">IF(D31=0,0,D31/D51)</f>
        <v>364</v>
      </c>
      <c r="E103" s="35">
        <f t="shared" si="119"/>
        <v>364.00000000000006</v>
      </c>
      <c r="F103" s="35">
        <f t="shared" si="119"/>
        <v>364</v>
      </c>
      <c r="G103" s="35">
        <f t="shared" si="119"/>
        <v>361</v>
      </c>
      <c r="H103" s="35">
        <f t="shared" si="119"/>
        <v>359</v>
      </c>
      <c r="I103" s="35">
        <f t="shared" si="119"/>
        <v>361</v>
      </c>
      <c r="J103" s="35">
        <f t="shared" si="119"/>
        <v>352</v>
      </c>
      <c r="K103" s="35">
        <f t="shared" si="119"/>
        <v>327.66517246586272</v>
      </c>
      <c r="L103" s="35">
        <f t="shared" si="119"/>
        <v>364</v>
      </c>
      <c r="M103" s="35">
        <f t="shared" si="119"/>
        <v>380.00000000000006</v>
      </c>
      <c r="N103" s="35">
        <f t="shared" si="119"/>
        <v>392.64928346266777</v>
      </c>
      <c r="O103" s="35">
        <f t="shared" si="119"/>
        <v>389</v>
      </c>
      <c r="P103" s="35">
        <f t="shared" si="119"/>
        <v>371.75274485491843</v>
      </c>
      <c r="Q103" s="35">
        <f t="shared" si="119"/>
        <v>362</v>
      </c>
      <c r="R103" s="35">
        <f t="shared" si="119"/>
        <v>350</v>
      </c>
      <c r="S103" s="35">
        <f t="shared" si="119"/>
        <v>335</v>
      </c>
      <c r="T103" s="35">
        <f t="shared" si="119"/>
        <v>321</v>
      </c>
      <c r="U103" s="35">
        <f t="shared" si="119"/>
        <v>339</v>
      </c>
      <c r="V103" s="35">
        <f t="shared" si="119"/>
        <v>319.08321023920303</v>
      </c>
      <c r="W103" s="35">
        <f t="shared" ref="W103" si="120">IF(W31=0,0,W31/W51)</f>
        <v>348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0.18392882285464882</v>
      </c>
      <c r="C107" s="43">
        <f t="shared" si="124"/>
        <v>0.17859300526197766</v>
      </c>
      <c r="D107" s="43">
        <f t="shared" ref="D107:V107" si="125">IF(D5=0,0,D5/D$4)</f>
        <v>0.18037520700864709</v>
      </c>
      <c r="E107" s="43">
        <f t="shared" si="125"/>
        <v>0.18827150786065311</v>
      </c>
      <c r="F107" s="43">
        <f t="shared" si="125"/>
        <v>0.19127624074484259</v>
      </c>
      <c r="G107" s="43">
        <f t="shared" si="125"/>
        <v>0.19820392999069572</v>
      </c>
      <c r="H107" s="43">
        <f t="shared" si="125"/>
        <v>0.20185769763111708</v>
      </c>
      <c r="I107" s="43">
        <f t="shared" si="125"/>
        <v>0.20252173109080399</v>
      </c>
      <c r="J107" s="43">
        <f t="shared" si="125"/>
        <v>0.18244355356665726</v>
      </c>
      <c r="K107" s="43">
        <f t="shared" si="125"/>
        <v>0.17975776570055593</v>
      </c>
      <c r="L107" s="43">
        <f t="shared" si="125"/>
        <v>0.17634097596470807</v>
      </c>
      <c r="M107" s="43">
        <f t="shared" si="125"/>
        <v>0.1627303545237592</v>
      </c>
      <c r="N107" s="43">
        <f t="shared" si="125"/>
        <v>0.14490358550075039</v>
      </c>
      <c r="O107" s="43">
        <f t="shared" si="125"/>
        <v>0.12580394394106165</v>
      </c>
      <c r="P107" s="43">
        <f t="shared" si="125"/>
        <v>0.12291296424413969</v>
      </c>
      <c r="Q107" s="43">
        <f t="shared" si="125"/>
        <v>0.12668061221533325</v>
      </c>
      <c r="R107" s="43">
        <f t="shared" si="125"/>
        <v>0.12413245053649921</v>
      </c>
      <c r="S107" s="43">
        <f t="shared" si="125"/>
        <v>0.12347464093526474</v>
      </c>
      <c r="T107" s="43">
        <f t="shared" si="125"/>
        <v>0.12989499315226694</v>
      </c>
      <c r="U107" s="43">
        <f t="shared" si="125"/>
        <v>0.13200968287669168</v>
      </c>
      <c r="V107" s="43">
        <f t="shared" si="125"/>
        <v>0.18829823983898958</v>
      </c>
      <c r="W107" s="43">
        <f t="shared" ref="W107" si="126">IF(W5=0,0,W5/W$4)</f>
        <v>0.21601572049107443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0.59769505979646587</v>
      </c>
      <c r="C108" s="43">
        <f t="shared" si="127"/>
        <v>0.63547316943198318</v>
      </c>
      <c r="D108" s="43">
        <f t="shared" ref="D108:V108" si="128">IF(D6=0,0,D6/D$4)</f>
        <v>0.63568580704954536</v>
      </c>
      <c r="E108" s="43">
        <f t="shared" si="128"/>
        <v>0.63522091058465324</v>
      </c>
      <c r="F108" s="43">
        <f t="shared" si="128"/>
        <v>0.61330871119399344</v>
      </c>
      <c r="G108" s="43">
        <f t="shared" si="128"/>
        <v>0.59348422317206162</v>
      </c>
      <c r="H108" s="43">
        <f t="shared" si="128"/>
        <v>0.56837123590292959</v>
      </c>
      <c r="I108" s="43">
        <f t="shared" si="128"/>
        <v>0.55281504696352013</v>
      </c>
      <c r="J108" s="43">
        <f t="shared" si="128"/>
        <v>0.54432655804397356</v>
      </c>
      <c r="K108" s="43">
        <f t="shared" si="128"/>
        <v>0.53527544630233581</v>
      </c>
      <c r="L108" s="43">
        <f t="shared" si="128"/>
        <v>0.52888992480910535</v>
      </c>
      <c r="M108" s="43">
        <f t="shared" si="128"/>
        <v>0.54409361188162686</v>
      </c>
      <c r="N108" s="43">
        <f t="shared" si="128"/>
        <v>0.55361253843449143</v>
      </c>
      <c r="O108" s="43">
        <f t="shared" si="128"/>
        <v>0.57045964433705854</v>
      </c>
      <c r="P108" s="43">
        <f t="shared" si="128"/>
        <v>0.58547087947969267</v>
      </c>
      <c r="Q108" s="43">
        <f t="shared" si="128"/>
        <v>0.58367156571105827</v>
      </c>
      <c r="R108" s="43">
        <f t="shared" si="128"/>
        <v>0.59734807403662515</v>
      </c>
      <c r="S108" s="43">
        <f t="shared" si="128"/>
        <v>0.59560076316160282</v>
      </c>
      <c r="T108" s="43">
        <f t="shared" si="128"/>
        <v>0.57265728778516867</v>
      </c>
      <c r="U108" s="43">
        <f t="shared" si="128"/>
        <v>0.54947261628237731</v>
      </c>
      <c r="V108" s="43">
        <f t="shared" si="128"/>
        <v>0.51495481782539543</v>
      </c>
      <c r="W108" s="43">
        <f t="shared" ref="W108" si="129">IF(W6=0,0,W6/W$4)</f>
        <v>0.52966184134140426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0.21837611734888518</v>
      </c>
      <c r="C109" s="43">
        <f t="shared" si="130"/>
        <v>0.18593382530603916</v>
      </c>
      <c r="D109" s="43">
        <f t="shared" ref="D109:V109" si="131">IF(D7=0,0,D7/D$4)</f>
        <v>0.18393898594180752</v>
      </c>
      <c r="E109" s="43">
        <f t="shared" si="131"/>
        <v>0.17650758155469357</v>
      </c>
      <c r="F109" s="43">
        <f t="shared" si="131"/>
        <v>0.19541504806116405</v>
      </c>
      <c r="G109" s="43">
        <f t="shared" si="131"/>
        <v>0.20831184683724277</v>
      </c>
      <c r="H109" s="43">
        <f t="shared" si="131"/>
        <v>0.22977106646595347</v>
      </c>
      <c r="I109" s="43">
        <f t="shared" si="131"/>
        <v>0.24466322194567597</v>
      </c>
      <c r="J109" s="43">
        <f t="shared" si="131"/>
        <v>0.27322988838936918</v>
      </c>
      <c r="K109" s="43">
        <f t="shared" si="131"/>
        <v>0.28496678799710834</v>
      </c>
      <c r="L109" s="43">
        <f t="shared" si="131"/>
        <v>0.29476909922618644</v>
      </c>
      <c r="M109" s="43">
        <f t="shared" si="131"/>
        <v>0.29317603359461392</v>
      </c>
      <c r="N109" s="43">
        <f t="shared" si="131"/>
        <v>0.30148387606475829</v>
      </c>
      <c r="O109" s="43">
        <f t="shared" si="131"/>
        <v>0.30373641172187987</v>
      </c>
      <c r="P109" s="43">
        <f t="shared" si="131"/>
        <v>0.29161615627616772</v>
      </c>
      <c r="Q109" s="43">
        <f t="shared" si="131"/>
        <v>0.28964782207360851</v>
      </c>
      <c r="R109" s="43">
        <f t="shared" si="131"/>
        <v>0.27851947542687555</v>
      </c>
      <c r="S109" s="43">
        <f t="shared" si="131"/>
        <v>0.28092459590313251</v>
      </c>
      <c r="T109" s="43">
        <f t="shared" si="131"/>
        <v>0.2974477190625644</v>
      </c>
      <c r="U109" s="43">
        <f t="shared" si="131"/>
        <v>0.31851770084093095</v>
      </c>
      <c r="V109" s="43">
        <f t="shared" si="131"/>
        <v>0.29674694233561516</v>
      </c>
      <c r="W109" s="43">
        <f t="shared" ref="W109" si="132">IF(W7=0,0,W7/W$4)</f>
        <v>0.25432243816752143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0.10786306568395997</v>
      </c>
      <c r="C111" s="44">
        <f t="shared" si="136"/>
        <v>0.10167430894668242</v>
      </c>
      <c r="D111" s="44">
        <f t="shared" ref="D111:V111" si="137">IF(D9=0,0,D9/D$8)</f>
        <v>0.10841838341708213</v>
      </c>
      <c r="E111" s="44">
        <f t="shared" si="137"/>
        <v>0.10410016189266404</v>
      </c>
      <c r="F111" s="44">
        <f t="shared" si="137"/>
        <v>0.11065072454899441</v>
      </c>
      <c r="G111" s="44">
        <f t="shared" si="137"/>
        <v>0.11454348129703118</v>
      </c>
      <c r="H111" s="44">
        <f t="shared" si="137"/>
        <v>0.1097702323927985</v>
      </c>
      <c r="I111" s="44">
        <f t="shared" si="137"/>
        <v>9.6117071968529658E-2</v>
      </c>
      <c r="J111" s="44">
        <f t="shared" si="137"/>
        <v>8.5309472165855077E-2</v>
      </c>
      <c r="K111" s="44">
        <f t="shared" si="137"/>
        <v>7.1109163458511288E-2</v>
      </c>
      <c r="L111" s="44">
        <f t="shared" si="137"/>
        <v>5.5104118180202777E-2</v>
      </c>
      <c r="M111" s="44">
        <f t="shared" si="137"/>
        <v>4.8318146156745359E-2</v>
      </c>
      <c r="N111" s="44">
        <f t="shared" si="137"/>
        <v>4.1371669010870339E-2</v>
      </c>
      <c r="O111" s="44">
        <f t="shared" si="137"/>
        <v>3.8974843646223147E-2</v>
      </c>
      <c r="P111" s="44">
        <f t="shared" si="137"/>
        <v>3.7035459931092508E-2</v>
      </c>
      <c r="Q111" s="44">
        <f t="shared" si="137"/>
        <v>3.2964595156216039E-2</v>
      </c>
      <c r="R111" s="44">
        <f t="shared" si="137"/>
        <v>3.2292223840350028E-2</v>
      </c>
      <c r="S111" s="44">
        <f t="shared" si="137"/>
        <v>2.5787363969194878E-2</v>
      </c>
      <c r="T111" s="44">
        <f t="shared" si="137"/>
        <v>2.209861379631398E-2</v>
      </c>
      <c r="U111" s="44">
        <f t="shared" si="137"/>
        <v>2.1346221917595141E-2</v>
      </c>
      <c r="V111" s="44">
        <f t="shared" si="137"/>
        <v>2.3501681595646105E-2</v>
      </c>
      <c r="W111" s="44">
        <f t="shared" ref="W111" si="138">IF(W9=0,0,W9/W$8)</f>
        <v>2.3993588660758378E-2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0.17583355705658041</v>
      </c>
      <c r="C112" s="44">
        <f t="shared" si="139"/>
        <v>0.17209637974970565</v>
      </c>
      <c r="D112" s="44">
        <f t="shared" ref="D112:V112" si="140">IF(D10=0,0,D10/D$8)</f>
        <v>0.17612227625158883</v>
      </c>
      <c r="E112" s="44">
        <f t="shared" si="140"/>
        <v>0.18385450353869187</v>
      </c>
      <c r="F112" s="44">
        <f t="shared" si="140"/>
        <v>0.17210704397487714</v>
      </c>
      <c r="G112" s="44">
        <f t="shared" si="140"/>
        <v>0.17131620559432595</v>
      </c>
      <c r="H112" s="44">
        <f t="shared" si="140"/>
        <v>0.14386145819200413</v>
      </c>
      <c r="I112" s="44">
        <f t="shared" si="140"/>
        <v>0.11076560447064944</v>
      </c>
      <c r="J112" s="44">
        <f t="shared" si="140"/>
        <v>0.1048887195686504</v>
      </c>
      <c r="K112" s="44">
        <f t="shared" si="140"/>
        <v>0.1023606647959439</v>
      </c>
      <c r="L112" s="44">
        <f t="shared" si="140"/>
        <v>8.901173183720279E-2</v>
      </c>
      <c r="M112" s="44">
        <f t="shared" si="140"/>
        <v>8.5362779757086518E-2</v>
      </c>
      <c r="N112" s="44">
        <f t="shared" si="140"/>
        <v>8.1638022225253501E-2</v>
      </c>
      <c r="O112" s="44">
        <f t="shared" si="140"/>
        <v>8.1910494294429786E-2</v>
      </c>
      <c r="P112" s="44">
        <f t="shared" si="140"/>
        <v>8.1045158715077378E-2</v>
      </c>
      <c r="Q112" s="44">
        <f t="shared" si="140"/>
        <v>7.9799382274274286E-2</v>
      </c>
      <c r="R112" s="44">
        <f t="shared" si="140"/>
        <v>7.529810662779815E-2</v>
      </c>
      <c r="S112" s="44">
        <f t="shared" si="140"/>
        <v>6.4682990600954005E-2</v>
      </c>
      <c r="T112" s="44">
        <f t="shared" si="140"/>
        <v>5.7273924773114104E-2</v>
      </c>
      <c r="U112" s="44">
        <f t="shared" si="140"/>
        <v>6.4374222511935447E-2</v>
      </c>
      <c r="V112" s="44">
        <f t="shared" si="140"/>
        <v>8.458569072348418E-2</v>
      </c>
      <c r="W112" s="44">
        <f t="shared" ref="W112" si="141">IF(W10=0,0,W10/W$8)</f>
        <v>7.8397033208374337E-2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0.71630337725945958</v>
      </c>
      <c r="C113" s="45">
        <f t="shared" si="142"/>
        <v>0.7262293113036119</v>
      </c>
      <c r="D113" s="45">
        <f t="shared" ref="D113:V113" si="143">IF(D11=0,0,D11/D$8)</f>
        <v>0.71545934033132907</v>
      </c>
      <c r="E113" s="45">
        <f t="shared" si="143"/>
        <v>0.71204533456864405</v>
      </c>
      <c r="F113" s="45">
        <f t="shared" si="143"/>
        <v>0.71724223147612842</v>
      </c>
      <c r="G113" s="45">
        <f t="shared" si="143"/>
        <v>0.7141403131086429</v>
      </c>
      <c r="H113" s="45">
        <f t="shared" si="143"/>
        <v>0.74636830941519738</v>
      </c>
      <c r="I113" s="45">
        <f t="shared" si="143"/>
        <v>0.79311732356082087</v>
      </c>
      <c r="J113" s="45">
        <f t="shared" si="143"/>
        <v>0.80980180826549453</v>
      </c>
      <c r="K113" s="45">
        <f t="shared" si="143"/>
        <v>0.82653017174554477</v>
      </c>
      <c r="L113" s="45">
        <f t="shared" si="143"/>
        <v>0.85588414998259454</v>
      </c>
      <c r="M113" s="45">
        <f t="shared" si="143"/>
        <v>0.86631907408616804</v>
      </c>
      <c r="N113" s="45">
        <f t="shared" si="143"/>
        <v>0.87699030876387607</v>
      </c>
      <c r="O113" s="45">
        <f t="shared" si="143"/>
        <v>0.87911466205934707</v>
      </c>
      <c r="P113" s="45">
        <f t="shared" si="143"/>
        <v>0.88191938135382997</v>
      </c>
      <c r="Q113" s="45">
        <f t="shared" si="143"/>
        <v>0.88723602256950962</v>
      </c>
      <c r="R113" s="45">
        <f t="shared" si="143"/>
        <v>0.89240966953185175</v>
      </c>
      <c r="S113" s="45">
        <f t="shared" si="143"/>
        <v>0.90952964542985115</v>
      </c>
      <c r="T113" s="45">
        <f t="shared" si="143"/>
        <v>0.92062746143057184</v>
      </c>
      <c r="U113" s="45">
        <f t="shared" si="143"/>
        <v>0.91427955557046936</v>
      </c>
      <c r="V113" s="45">
        <f t="shared" si="143"/>
        <v>0.89191262768086965</v>
      </c>
      <c r="W113" s="45">
        <f t="shared" ref="W113" si="144">IF(W11=0,0,W11/W$8)</f>
        <v>0.89760937813086727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0.26578578804312858</v>
      </c>
      <c r="C117" s="43">
        <f t="shared" si="148"/>
        <v>0.25887994720179508</v>
      </c>
      <c r="D117" s="43">
        <f t="shared" ref="D117:V117" si="149">IF(D15=0,0,D15/D$14)</f>
        <v>0.23789803668669407</v>
      </c>
      <c r="E117" s="43">
        <f t="shared" si="149"/>
        <v>0.25076042766148443</v>
      </c>
      <c r="F117" s="43">
        <f t="shared" si="149"/>
        <v>0.25243574632646421</v>
      </c>
      <c r="G117" s="43">
        <f t="shared" si="149"/>
        <v>0.26254249311715777</v>
      </c>
      <c r="H117" s="43">
        <f t="shared" si="149"/>
        <v>0.26278760819136598</v>
      </c>
      <c r="I117" s="43">
        <f t="shared" si="149"/>
        <v>0.25515856780292101</v>
      </c>
      <c r="J117" s="43">
        <f t="shared" si="149"/>
        <v>0.24222267199494119</v>
      </c>
      <c r="K117" s="43">
        <f t="shared" si="149"/>
        <v>0.23774830782845294</v>
      </c>
      <c r="L117" s="43">
        <f t="shared" si="149"/>
        <v>0.22833452888889233</v>
      </c>
      <c r="M117" s="43">
        <f t="shared" si="149"/>
        <v>0.20818208303120531</v>
      </c>
      <c r="N117" s="43">
        <f t="shared" si="149"/>
        <v>0.18174990999469259</v>
      </c>
      <c r="O117" s="43">
        <f t="shared" si="149"/>
        <v>0.1573912522974977</v>
      </c>
      <c r="P117" s="43">
        <f t="shared" si="149"/>
        <v>0.15429395689361766</v>
      </c>
      <c r="Q117" s="43">
        <f t="shared" si="149"/>
        <v>0.15648387876521178</v>
      </c>
      <c r="R117" s="43">
        <f t="shared" si="149"/>
        <v>0.15106577756241868</v>
      </c>
      <c r="S117" s="43">
        <f t="shared" si="149"/>
        <v>0.1481652459146062</v>
      </c>
      <c r="T117" s="43">
        <f t="shared" si="149"/>
        <v>0.155502133151938</v>
      </c>
      <c r="U117" s="43">
        <f t="shared" si="149"/>
        <v>0.16065628397235557</v>
      </c>
      <c r="V117" s="43">
        <f t="shared" si="149"/>
        <v>0.23062529347332761</v>
      </c>
      <c r="W117" s="43">
        <f t="shared" ref="W117" si="150">IF(W15=0,0,W15/W$14)</f>
        <v>0.22989889769941382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0.52381462507157994</v>
      </c>
      <c r="C118" s="43">
        <f t="shared" si="151"/>
        <v>0.56247473886776478</v>
      </c>
      <c r="D118" s="43">
        <f t="shared" ref="D118:V118" si="152">IF(D16=0,0,D16/D$14)</f>
        <v>0.55828201141388945</v>
      </c>
      <c r="E118" s="43">
        <f t="shared" si="152"/>
        <v>0.59541959030698377</v>
      </c>
      <c r="F118" s="43">
        <f t="shared" si="152"/>
        <v>0.58282126886196084</v>
      </c>
      <c r="G118" s="43">
        <f t="shared" si="152"/>
        <v>0.56540159195814033</v>
      </c>
      <c r="H118" s="43">
        <f t="shared" si="152"/>
        <v>0.55155328861107578</v>
      </c>
      <c r="I118" s="43">
        <f t="shared" si="152"/>
        <v>0.55196718696971137</v>
      </c>
      <c r="J118" s="43">
        <f t="shared" si="152"/>
        <v>0.54877155902992936</v>
      </c>
      <c r="K118" s="43">
        <f t="shared" si="152"/>
        <v>0.54479981159771018</v>
      </c>
      <c r="L118" s="43">
        <f t="shared" si="152"/>
        <v>0.54679651252667794</v>
      </c>
      <c r="M118" s="43">
        <f t="shared" si="152"/>
        <v>0.55852053996190631</v>
      </c>
      <c r="N118" s="43">
        <f t="shared" si="152"/>
        <v>0.57333955961587657</v>
      </c>
      <c r="O118" s="43">
        <f t="shared" si="152"/>
        <v>0.59086643278140982</v>
      </c>
      <c r="P118" s="43">
        <f t="shared" si="152"/>
        <v>0.6052850839870304</v>
      </c>
      <c r="Q118" s="43">
        <f t="shared" si="152"/>
        <v>0.60887234928043732</v>
      </c>
      <c r="R118" s="43">
        <f t="shared" si="152"/>
        <v>0.62516998984568328</v>
      </c>
      <c r="S118" s="43">
        <f t="shared" si="152"/>
        <v>0.62718255326444794</v>
      </c>
      <c r="T118" s="43">
        <f t="shared" si="152"/>
        <v>0.61366738917608787</v>
      </c>
      <c r="U118" s="43">
        <f t="shared" si="152"/>
        <v>0.59298672192188695</v>
      </c>
      <c r="V118" s="43">
        <f t="shared" si="152"/>
        <v>0.56634221710311694</v>
      </c>
      <c r="W118" s="43">
        <f t="shared" ref="W118" si="153">IF(W16=0,0,W16/W$14)</f>
        <v>0.57148157202701833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0.21039958688529151</v>
      </c>
      <c r="C119" s="43">
        <f t="shared" si="154"/>
        <v>0.17864531393044017</v>
      </c>
      <c r="D119" s="43">
        <f t="shared" ref="D119:V119" si="155">IF(D17=0,0,D17/D$14)</f>
        <v>0.20381995189941651</v>
      </c>
      <c r="E119" s="43">
        <f t="shared" si="155"/>
        <v>0.15381998203153191</v>
      </c>
      <c r="F119" s="43">
        <f t="shared" si="155"/>
        <v>0.16474298481157487</v>
      </c>
      <c r="G119" s="43">
        <f t="shared" si="155"/>
        <v>0.17205591492470187</v>
      </c>
      <c r="H119" s="43">
        <f t="shared" si="155"/>
        <v>0.18565910319755832</v>
      </c>
      <c r="I119" s="43">
        <f t="shared" si="155"/>
        <v>0.19287424522736771</v>
      </c>
      <c r="J119" s="43">
        <f t="shared" si="155"/>
        <v>0.20900576897512937</v>
      </c>
      <c r="K119" s="43">
        <f t="shared" si="155"/>
        <v>0.21745188057383677</v>
      </c>
      <c r="L119" s="43">
        <f t="shared" si="155"/>
        <v>0.22486895858442968</v>
      </c>
      <c r="M119" s="43">
        <f t="shared" si="155"/>
        <v>0.23329737700688838</v>
      </c>
      <c r="N119" s="43">
        <f t="shared" si="155"/>
        <v>0.24491053038943086</v>
      </c>
      <c r="O119" s="43">
        <f t="shared" si="155"/>
        <v>0.25174231492109261</v>
      </c>
      <c r="P119" s="43">
        <f t="shared" si="155"/>
        <v>0.24042095911935185</v>
      </c>
      <c r="Q119" s="43">
        <f t="shared" si="155"/>
        <v>0.23464377195435093</v>
      </c>
      <c r="R119" s="43">
        <f t="shared" si="155"/>
        <v>0.22376423259189815</v>
      </c>
      <c r="S119" s="43">
        <f t="shared" si="155"/>
        <v>0.224652200820946</v>
      </c>
      <c r="T119" s="43">
        <f t="shared" si="155"/>
        <v>0.23083047767197418</v>
      </c>
      <c r="U119" s="43">
        <f t="shared" si="155"/>
        <v>0.24635699410575754</v>
      </c>
      <c r="V119" s="43">
        <f t="shared" si="155"/>
        <v>0.20303248942355537</v>
      </c>
      <c r="W119" s="43">
        <f t="shared" ref="W119" si="156">IF(W17=0,0,W17/W$14)</f>
        <v>0.19861953027356782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0.35186710980542502</v>
      </c>
      <c r="C121" s="44">
        <f t="shared" si="160"/>
        <v>0.3513521613034411</v>
      </c>
      <c r="D121" s="44">
        <f t="shared" ref="D121:V121" si="161">IF(D19=0,0,D19/D$18)</f>
        <v>0.34594756711824681</v>
      </c>
      <c r="E121" s="44">
        <f t="shared" si="161"/>
        <v>0.30971674059713578</v>
      </c>
      <c r="F121" s="44">
        <f t="shared" si="161"/>
        <v>0.32832322838144351</v>
      </c>
      <c r="G121" s="44">
        <f t="shared" si="161"/>
        <v>0.3326126440458162</v>
      </c>
      <c r="H121" s="44">
        <f t="shared" si="161"/>
        <v>0.32304583492984157</v>
      </c>
      <c r="I121" s="44">
        <f t="shared" si="161"/>
        <v>0.30234543958928106</v>
      </c>
      <c r="J121" s="44">
        <f t="shared" si="161"/>
        <v>0.28184055888170662</v>
      </c>
      <c r="K121" s="44">
        <f t="shared" si="161"/>
        <v>0.26077793078976252</v>
      </c>
      <c r="L121" s="44">
        <f t="shared" si="161"/>
        <v>0.20884600624019273</v>
      </c>
      <c r="M121" s="44">
        <f t="shared" si="161"/>
        <v>0.17820988139680063</v>
      </c>
      <c r="N121" s="44">
        <f t="shared" si="161"/>
        <v>0.16253022509460235</v>
      </c>
      <c r="O121" s="44">
        <f t="shared" si="161"/>
        <v>0.15405723415520767</v>
      </c>
      <c r="P121" s="44">
        <f t="shared" si="161"/>
        <v>0.15112771915567774</v>
      </c>
      <c r="Q121" s="44">
        <f t="shared" si="161"/>
        <v>0.1329800909395992</v>
      </c>
      <c r="R121" s="44">
        <f t="shared" si="161"/>
        <v>0.12645487850183582</v>
      </c>
      <c r="S121" s="44">
        <f t="shared" si="161"/>
        <v>0.10985242871076686</v>
      </c>
      <c r="T121" s="44">
        <f t="shared" si="161"/>
        <v>9.5787573757752903E-2</v>
      </c>
      <c r="U121" s="44">
        <f t="shared" si="161"/>
        <v>8.7757919763715039E-2</v>
      </c>
      <c r="V121" s="44">
        <f t="shared" si="161"/>
        <v>7.7422780039740347E-2</v>
      </c>
      <c r="W121" s="44">
        <f t="shared" ref="W121" si="162">IF(W19=0,0,W19/W$18)</f>
        <v>7.1880679992314747E-2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0.29027631198020021</v>
      </c>
      <c r="C122" s="44">
        <f t="shared" si="163"/>
        <v>0.28456126152725547</v>
      </c>
      <c r="D122" s="44">
        <f t="shared" ref="D122:V122" si="164">IF(D20=0,0,D20/D$18)</f>
        <v>0.29342573993042542</v>
      </c>
      <c r="E122" s="44">
        <f t="shared" si="164"/>
        <v>0.29859120313327558</v>
      </c>
      <c r="F122" s="44">
        <f t="shared" si="164"/>
        <v>0.28994903475849038</v>
      </c>
      <c r="G122" s="44">
        <f t="shared" si="164"/>
        <v>0.28032646914727644</v>
      </c>
      <c r="H122" s="44">
        <f t="shared" si="164"/>
        <v>0.26900942976358855</v>
      </c>
      <c r="I122" s="44">
        <f t="shared" si="164"/>
        <v>0.22820595418002718</v>
      </c>
      <c r="J122" s="44">
        <f t="shared" si="164"/>
        <v>0.22384804750086901</v>
      </c>
      <c r="K122" s="44">
        <f t="shared" si="164"/>
        <v>0.23834185544306774</v>
      </c>
      <c r="L122" s="44">
        <f t="shared" si="164"/>
        <v>0.22723239755170044</v>
      </c>
      <c r="M122" s="44">
        <f t="shared" si="164"/>
        <v>0.22567033470035949</v>
      </c>
      <c r="N122" s="44">
        <f t="shared" si="164"/>
        <v>0.21879129940678188</v>
      </c>
      <c r="O122" s="44">
        <f t="shared" si="164"/>
        <v>0.22337859194949819</v>
      </c>
      <c r="P122" s="44">
        <f t="shared" si="164"/>
        <v>0.22016973868963965</v>
      </c>
      <c r="Q122" s="44">
        <f t="shared" si="164"/>
        <v>0.22395155942474396</v>
      </c>
      <c r="R122" s="44">
        <f t="shared" si="164"/>
        <v>0.21560706422275625</v>
      </c>
      <c r="S122" s="44">
        <f t="shared" si="164"/>
        <v>0.20258579746361979</v>
      </c>
      <c r="T122" s="44">
        <f t="shared" si="164"/>
        <v>0.18808887672432337</v>
      </c>
      <c r="U122" s="44">
        <f t="shared" si="164"/>
        <v>0.20856265261089812</v>
      </c>
      <c r="V122" s="44">
        <f t="shared" si="164"/>
        <v>0.23088340500337856</v>
      </c>
      <c r="W122" s="44">
        <f t="shared" ref="W122" si="165">IF(W20=0,0,W20/W$18)</f>
        <v>0.21782292831180555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0.35785657821437483</v>
      </c>
      <c r="C123" s="45">
        <f t="shared" si="166"/>
        <v>0.36408657716930343</v>
      </c>
      <c r="D123" s="45">
        <f t="shared" ref="D123:V123" si="167">IF(D21=0,0,D21/D$18)</f>
        <v>0.36062669295132782</v>
      </c>
      <c r="E123" s="45">
        <f t="shared" si="167"/>
        <v>0.39169205626958853</v>
      </c>
      <c r="F123" s="45">
        <f t="shared" si="167"/>
        <v>0.38172773686006622</v>
      </c>
      <c r="G123" s="45">
        <f t="shared" si="167"/>
        <v>0.38706088680690737</v>
      </c>
      <c r="H123" s="45">
        <f t="shared" si="167"/>
        <v>0.40794473530656988</v>
      </c>
      <c r="I123" s="45">
        <f t="shared" si="167"/>
        <v>0.46944860623069168</v>
      </c>
      <c r="J123" s="45">
        <f t="shared" si="167"/>
        <v>0.49431139361742438</v>
      </c>
      <c r="K123" s="45">
        <f t="shared" si="167"/>
        <v>0.50088021376716962</v>
      </c>
      <c r="L123" s="45">
        <f t="shared" si="167"/>
        <v>0.56392159620810678</v>
      </c>
      <c r="M123" s="45">
        <f t="shared" si="167"/>
        <v>0.59611978390283982</v>
      </c>
      <c r="N123" s="45">
        <f t="shared" si="167"/>
        <v>0.61867847549861588</v>
      </c>
      <c r="O123" s="45">
        <f t="shared" si="167"/>
        <v>0.62256417389529417</v>
      </c>
      <c r="P123" s="45">
        <f t="shared" si="167"/>
        <v>0.62870254215468269</v>
      </c>
      <c r="Q123" s="45">
        <f t="shared" si="167"/>
        <v>0.64306834963565684</v>
      </c>
      <c r="R123" s="45">
        <f t="shared" si="167"/>
        <v>0.65793805727540788</v>
      </c>
      <c r="S123" s="45">
        <f t="shared" si="167"/>
        <v>0.68756177382561334</v>
      </c>
      <c r="T123" s="45">
        <f t="shared" si="167"/>
        <v>0.71612354951792379</v>
      </c>
      <c r="U123" s="45">
        <f t="shared" si="167"/>
        <v>0.70367942762538682</v>
      </c>
      <c r="V123" s="45">
        <f t="shared" si="167"/>
        <v>0.69169381495688098</v>
      </c>
      <c r="W123" s="45">
        <f t="shared" ref="W123" si="168">IF(W21=0,0,W21/W$18)</f>
        <v>0.71029639169587977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4611.9184866723981</v>
      </c>
      <c r="C3" s="79">
        <f t="shared" si="0"/>
        <v>4653.8597592433362</v>
      </c>
      <c r="D3" s="79">
        <f t="shared" ref="D3" si="1">SUM(D4:D5)</f>
        <v>4417.6459157351665</v>
      </c>
      <c r="E3" s="79">
        <f t="shared" ref="E3" si="2">SUM(E4:E5)</f>
        <v>4632.5116938950987</v>
      </c>
      <c r="F3" s="79">
        <f t="shared" ref="F3" si="3">SUM(F4:F5)</f>
        <v>5133.8827171109187</v>
      </c>
      <c r="G3" s="79">
        <f t="shared" ref="G3" si="4">SUM(G4:G5)</f>
        <v>5469.8887360275148</v>
      </c>
      <c r="H3" s="79">
        <f t="shared" ref="H3" si="5">SUM(H4:H5)</f>
        <v>5721.6299226139281</v>
      </c>
      <c r="I3" s="79">
        <f t="shared" ref="I3" si="6">SUM(I4:I5)</f>
        <v>6019.7214961306954</v>
      </c>
      <c r="J3" s="79">
        <f t="shared" ref="J3" si="7">SUM(J4:J5)</f>
        <v>5942.8298366294057</v>
      </c>
      <c r="K3" s="79">
        <f t="shared" ref="K3" si="8">SUM(K4:K5)</f>
        <v>5417.2232158211536</v>
      </c>
      <c r="L3" s="79">
        <f t="shared" ref="L3" si="9">SUM(L4:L5)</f>
        <v>5535.1843508168522</v>
      </c>
      <c r="M3" s="79">
        <f t="shared" ref="M3" si="10">SUM(M4:M5)</f>
        <v>5900.6735167669822</v>
      </c>
      <c r="N3" s="79">
        <f t="shared" ref="N3" si="11">SUM(N4:N5)</f>
        <v>5564.6627687016344</v>
      </c>
      <c r="O3" s="79">
        <f t="shared" ref="O3" si="12">SUM(O4:O5)</f>
        <v>5276.0557179707648</v>
      </c>
      <c r="P3" s="79">
        <f t="shared" ref="P3" si="13">SUM(P4:P5)</f>
        <v>5436.1493551160784</v>
      </c>
      <c r="Q3" s="79">
        <f t="shared" ref="Q3" si="14">SUM(Q4:Q5)</f>
        <v>5786.9064488392087</v>
      </c>
      <c r="R3" s="79">
        <f t="shared" ref="R3" si="15">SUM(R4:R5)</f>
        <v>6186.1110920034371</v>
      </c>
      <c r="S3" s="79">
        <f t="shared" ref="S3" si="16">SUM(S4:S5)</f>
        <v>6743.312295786759</v>
      </c>
      <c r="T3" s="79">
        <f t="shared" ref="T3" si="17">SUM(T4:T5)</f>
        <v>7022.4395528804816</v>
      </c>
      <c r="U3" s="79">
        <f t="shared" ref="U3" si="18">SUM(U4:U5)</f>
        <v>7268.9190025795324</v>
      </c>
      <c r="V3" s="79">
        <f t="shared" ref="V3:W3" si="19">SUM(V4:V5)</f>
        <v>2535.337231298367</v>
      </c>
      <c r="W3" s="79">
        <f t="shared" si="19"/>
        <v>3511.0704213241597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1832.2323301805677</v>
      </c>
      <c r="C4" s="96">
        <f t="shared" si="20"/>
        <v>1822.5613929492692</v>
      </c>
      <c r="D4" s="96">
        <f t="shared" ref="D4:V4" si="21">SUM(D7,D11)</f>
        <v>1694.8385210662079</v>
      </c>
      <c r="E4" s="96">
        <f t="shared" si="21"/>
        <v>1775.933877901977</v>
      </c>
      <c r="F4" s="96">
        <f t="shared" si="21"/>
        <v>1966.5783319002576</v>
      </c>
      <c r="G4" s="96">
        <f t="shared" si="21"/>
        <v>2292.0512467755798</v>
      </c>
      <c r="H4" s="96">
        <f t="shared" si="21"/>
        <v>2408.9687016337057</v>
      </c>
      <c r="I4" s="96">
        <f t="shared" si="21"/>
        <v>2535.3706792777302</v>
      </c>
      <c r="J4" s="96">
        <f t="shared" si="21"/>
        <v>2445.8392949269132</v>
      </c>
      <c r="K4" s="96">
        <f t="shared" si="21"/>
        <v>2164.6006878761827</v>
      </c>
      <c r="L4" s="96">
        <f t="shared" si="21"/>
        <v>2413.1723129836628</v>
      </c>
      <c r="M4" s="96">
        <f t="shared" si="21"/>
        <v>2163.5282029234731</v>
      </c>
      <c r="N4" s="96">
        <f t="shared" si="21"/>
        <v>1872.8098022355978</v>
      </c>
      <c r="O4" s="96">
        <f t="shared" si="21"/>
        <v>1595.7891659501288</v>
      </c>
      <c r="P4" s="96">
        <f t="shared" si="21"/>
        <v>1690.577558039553</v>
      </c>
      <c r="Q4" s="96">
        <f t="shared" si="21"/>
        <v>1828.5659501289765</v>
      </c>
      <c r="R4" s="96">
        <f t="shared" si="21"/>
        <v>1989.7224419604465</v>
      </c>
      <c r="S4" s="96">
        <f t="shared" si="21"/>
        <v>2162.4653482373178</v>
      </c>
      <c r="T4" s="96">
        <f t="shared" si="21"/>
        <v>2249.8901117798796</v>
      </c>
      <c r="U4" s="96">
        <f t="shared" si="21"/>
        <v>2378.3987962166807</v>
      </c>
      <c r="V4" s="96">
        <f t="shared" si="21"/>
        <v>959.58486672398965</v>
      </c>
      <c r="W4" s="96">
        <f t="shared" ref="W4" si="22">SUM(W7,W11)</f>
        <v>1663.7628546861561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2779.6861564918304</v>
      </c>
      <c r="C5" s="96">
        <f t="shared" si="23"/>
        <v>2831.2983662940669</v>
      </c>
      <c r="D5" s="96">
        <f t="shared" ref="D5:V5" si="24">SUM(D8:D9,D12:D13)</f>
        <v>2722.8073946689588</v>
      </c>
      <c r="E5" s="96">
        <f t="shared" si="24"/>
        <v>2856.5778159931219</v>
      </c>
      <c r="F5" s="96">
        <f t="shared" si="24"/>
        <v>3167.3043852106616</v>
      </c>
      <c r="G5" s="96">
        <f t="shared" si="24"/>
        <v>3177.8374892519355</v>
      </c>
      <c r="H5" s="96">
        <f t="shared" si="24"/>
        <v>3312.6612209802224</v>
      </c>
      <c r="I5" s="96">
        <f t="shared" si="24"/>
        <v>3484.3508168529652</v>
      </c>
      <c r="J5" s="96">
        <f t="shared" si="24"/>
        <v>3496.9905417024925</v>
      </c>
      <c r="K5" s="96">
        <f t="shared" si="24"/>
        <v>3252.6225279449709</v>
      </c>
      <c r="L5" s="96">
        <f t="shared" si="24"/>
        <v>3122.0120378331894</v>
      </c>
      <c r="M5" s="96">
        <f t="shared" si="24"/>
        <v>3737.145313843509</v>
      </c>
      <c r="N5" s="96">
        <f t="shared" si="24"/>
        <v>3691.8529664660368</v>
      </c>
      <c r="O5" s="96">
        <f t="shared" si="24"/>
        <v>3680.266552020636</v>
      </c>
      <c r="P5" s="96">
        <f t="shared" si="24"/>
        <v>3745.5717970765259</v>
      </c>
      <c r="Q5" s="96">
        <f t="shared" si="24"/>
        <v>3958.3404987102326</v>
      </c>
      <c r="R5" s="96">
        <f t="shared" si="24"/>
        <v>4196.3886500429908</v>
      </c>
      <c r="S5" s="96">
        <f t="shared" si="24"/>
        <v>4580.8469475494412</v>
      </c>
      <c r="T5" s="96">
        <f t="shared" si="24"/>
        <v>4772.5494411006021</v>
      </c>
      <c r="U5" s="96">
        <f t="shared" si="24"/>
        <v>4890.5202063628522</v>
      </c>
      <c r="V5" s="96">
        <f t="shared" si="24"/>
        <v>1575.7523645743772</v>
      </c>
      <c r="W5" s="96">
        <f t="shared" ref="W5" si="25">SUM(W8:W9,W12:W13)</f>
        <v>1847.3075666380039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4495.0870605561922</v>
      </c>
      <c r="C6" s="21">
        <f t="shared" si="26"/>
        <v>4531.6632247517364</v>
      </c>
      <c r="D6" s="21">
        <f t="shared" ref="D6:V6" si="27">SUM(D7:D9)</f>
        <v>4309.9073659942651</v>
      </c>
      <c r="E6" s="21">
        <f t="shared" si="27"/>
        <v>4523.65093823602</v>
      </c>
      <c r="F6" s="21">
        <f t="shared" si="27"/>
        <v>4994.6194032202811</v>
      </c>
      <c r="G6" s="21">
        <f t="shared" si="27"/>
        <v>5338.9676660804871</v>
      </c>
      <c r="H6" s="21">
        <f t="shared" si="27"/>
        <v>5591.0918753864835</v>
      </c>
      <c r="I6" s="21">
        <f t="shared" si="27"/>
        <v>5891.291141123952</v>
      </c>
      <c r="J6" s="21">
        <f t="shared" si="27"/>
        <v>5817.8613631053104</v>
      </c>
      <c r="K6" s="21">
        <f t="shared" si="27"/>
        <v>5310.1534142534456</v>
      </c>
      <c r="L6" s="21">
        <f t="shared" si="27"/>
        <v>5415.9095342006267</v>
      </c>
      <c r="M6" s="21">
        <f t="shared" si="27"/>
        <v>5785.6340097935481</v>
      </c>
      <c r="N6" s="21">
        <f t="shared" si="27"/>
        <v>5462.4062970541136</v>
      </c>
      <c r="O6" s="21">
        <f t="shared" si="27"/>
        <v>5173.2425305474444</v>
      </c>
      <c r="P6" s="21">
        <f t="shared" si="27"/>
        <v>5336.619336368427</v>
      </c>
      <c r="Q6" s="21">
        <f t="shared" si="27"/>
        <v>5676.4634326819414</v>
      </c>
      <c r="R6" s="21">
        <f t="shared" si="27"/>
        <v>6080.782213102153</v>
      </c>
      <c r="S6" s="21">
        <f t="shared" si="27"/>
        <v>6612.0093831272206</v>
      </c>
      <c r="T6" s="21">
        <f t="shared" si="27"/>
        <v>6882.9292066285525</v>
      </c>
      <c r="U6" s="21">
        <f t="shared" si="27"/>
        <v>7141.1208956531846</v>
      </c>
      <c r="V6" s="21">
        <f t="shared" si="27"/>
        <v>2390.4388822500264</v>
      </c>
      <c r="W6" s="21">
        <f t="shared" ref="W6" si="28">SUM(W7:W9)</f>
        <v>3355.9468397816127</v>
      </c>
      <c r="DA6" s="189" t="s">
        <v>279</v>
      </c>
    </row>
    <row r="7" spans="1:105" ht="11.45" customHeight="1" x14ac:dyDescent="0.25">
      <c r="A7" s="83" t="s">
        <v>27</v>
      </c>
      <c r="B7" s="96">
        <v>1778.5784562047556</v>
      </c>
      <c r="C7" s="96">
        <v>1767.1092775742616</v>
      </c>
      <c r="D7" s="96">
        <v>1643.9345983419403</v>
      </c>
      <c r="E7" s="96">
        <v>1731.8156340405428</v>
      </c>
      <c r="F7" s="96">
        <v>1907.3979292196434</v>
      </c>
      <c r="G7" s="96">
        <v>2231.0845177393862</v>
      </c>
      <c r="H7" s="96">
        <v>2347.4172016904677</v>
      </c>
      <c r="I7" s="96">
        <v>2476.2937014543459</v>
      </c>
      <c r="J7" s="96">
        <v>2388.3641736437066</v>
      </c>
      <c r="K7" s="96">
        <v>2119.2468252445005</v>
      </c>
      <c r="L7" s="96">
        <v>2365.8040468558097</v>
      </c>
      <c r="M7" s="96">
        <v>2126.7462549692318</v>
      </c>
      <c r="N7" s="96">
        <v>1841.0178903939798</v>
      </c>
      <c r="O7" s="96">
        <v>1566.2790653361908</v>
      </c>
      <c r="P7" s="96">
        <v>1662.3929351412423</v>
      </c>
      <c r="Q7" s="96">
        <v>1801.1784728591795</v>
      </c>
      <c r="R7" s="96">
        <v>1963.6764584789873</v>
      </c>
      <c r="S7" s="96">
        <v>2132.7924813663844</v>
      </c>
      <c r="T7" s="96">
        <v>2223.315321763936</v>
      </c>
      <c r="U7" s="96">
        <v>2354.8026216451881</v>
      </c>
      <c r="V7" s="96">
        <v>943.29789198903802</v>
      </c>
      <c r="W7" s="96">
        <v>1641.4722377930116</v>
      </c>
      <c r="DA7" s="171" t="s">
        <v>280</v>
      </c>
    </row>
    <row r="8" spans="1:105" ht="11.45" customHeight="1" x14ac:dyDescent="0.25">
      <c r="A8" s="83" t="s">
        <v>173</v>
      </c>
      <c r="B8" s="96">
        <v>1615.1829173282447</v>
      </c>
      <c r="C8" s="96">
        <v>1796.921026759645</v>
      </c>
      <c r="D8" s="96">
        <v>1647.3489835780147</v>
      </c>
      <c r="E8" s="96">
        <v>1943.8225676314739</v>
      </c>
      <c r="F8" s="96">
        <v>2089.4232845913798</v>
      </c>
      <c r="G8" s="96">
        <v>2113.4295213367018</v>
      </c>
      <c r="H8" s="96">
        <v>2222.0085613517658</v>
      </c>
      <c r="I8" s="96">
        <v>2356.1578671507577</v>
      </c>
      <c r="J8" s="96">
        <v>2341.5235626167309</v>
      </c>
      <c r="K8" s="96">
        <v>2116.9009472396947</v>
      </c>
      <c r="L8" s="96">
        <v>2007.2672380134645</v>
      </c>
      <c r="M8" s="96">
        <v>2438.2824586140719</v>
      </c>
      <c r="N8" s="96">
        <v>2390.0015210943016</v>
      </c>
      <c r="O8" s="96">
        <v>2399.564093292649</v>
      </c>
      <c r="P8" s="96">
        <v>2459.0378986368883</v>
      </c>
      <c r="Q8" s="96">
        <v>2593.2675890067139</v>
      </c>
      <c r="R8" s="96">
        <v>2846.548642643017</v>
      </c>
      <c r="S8" s="96">
        <v>3149.8694252388455</v>
      </c>
      <c r="T8" s="96">
        <v>3240.5008436295934</v>
      </c>
      <c r="U8" s="96">
        <v>3292.138040441489</v>
      </c>
      <c r="V8" s="96">
        <v>841.29820594677699</v>
      </c>
      <c r="W8" s="96">
        <v>1063.1782222836816</v>
      </c>
      <c r="DA8" s="171" t="s">
        <v>281</v>
      </c>
    </row>
    <row r="9" spans="1:105" ht="11.45" customHeight="1" x14ac:dyDescent="0.25">
      <c r="A9" s="83" t="s">
        <v>174</v>
      </c>
      <c r="B9" s="96">
        <v>1101.3256870231912</v>
      </c>
      <c r="C9" s="96">
        <v>967.63292041783041</v>
      </c>
      <c r="D9" s="96">
        <v>1018.6237840743105</v>
      </c>
      <c r="E9" s="96">
        <v>848.01273656400292</v>
      </c>
      <c r="F9" s="96">
        <v>997.79818940925838</v>
      </c>
      <c r="G9" s="96">
        <v>994.45362700439955</v>
      </c>
      <c r="H9" s="96">
        <v>1021.6661123442497</v>
      </c>
      <c r="I9" s="96">
        <v>1058.8395725188486</v>
      </c>
      <c r="J9" s="96">
        <v>1087.9736268448723</v>
      </c>
      <c r="K9" s="96">
        <v>1074.0056417692504</v>
      </c>
      <c r="L9" s="96">
        <v>1042.838249331352</v>
      </c>
      <c r="M9" s="96">
        <v>1220.6052962102442</v>
      </c>
      <c r="N9" s="96">
        <v>1231.386885565832</v>
      </c>
      <c r="O9" s="96">
        <v>1207.3993719186049</v>
      </c>
      <c r="P9" s="96">
        <v>1215.1885025902961</v>
      </c>
      <c r="Q9" s="96">
        <v>1282.017370816048</v>
      </c>
      <c r="R9" s="96">
        <v>1270.5571119801493</v>
      </c>
      <c r="S9" s="96">
        <v>1329.3474765219903</v>
      </c>
      <c r="T9" s="96">
        <v>1419.113041235023</v>
      </c>
      <c r="U9" s="96">
        <v>1494.180233566507</v>
      </c>
      <c r="V9" s="96">
        <v>605.84278431421126</v>
      </c>
      <c r="W9" s="96">
        <v>651.29637970491945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116.83142611620696</v>
      </c>
      <c r="C10" s="22">
        <f t="shared" si="29"/>
        <v>122.19653449159924</v>
      </c>
      <c r="D10" s="22">
        <f t="shared" ref="D10:V10" si="30">SUM(D11:D13)</f>
        <v>107.73854974090094</v>
      </c>
      <c r="E10" s="22">
        <f t="shared" si="30"/>
        <v>108.86075565907893</v>
      </c>
      <c r="F10" s="22">
        <f t="shared" si="30"/>
        <v>139.26331389063753</v>
      </c>
      <c r="G10" s="22">
        <f t="shared" si="30"/>
        <v>130.92106994702749</v>
      </c>
      <c r="H10" s="22">
        <f t="shared" si="30"/>
        <v>130.53804722744528</v>
      </c>
      <c r="I10" s="22">
        <f t="shared" si="30"/>
        <v>128.43035500674353</v>
      </c>
      <c r="J10" s="22">
        <f t="shared" si="30"/>
        <v>124.96847352409594</v>
      </c>
      <c r="K10" s="22">
        <f t="shared" si="30"/>
        <v>107.06980156770827</v>
      </c>
      <c r="L10" s="22">
        <f t="shared" si="30"/>
        <v>119.27481661622602</v>
      </c>
      <c r="M10" s="22">
        <f t="shared" si="30"/>
        <v>115.03950697343389</v>
      </c>
      <c r="N10" s="22">
        <f t="shared" si="30"/>
        <v>102.25647164752111</v>
      </c>
      <c r="O10" s="22">
        <f t="shared" si="30"/>
        <v>102.81318742332009</v>
      </c>
      <c r="P10" s="22">
        <f t="shared" si="30"/>
        <v>99.530018747652306</v>
      </c>
      <c r="Q10" s="22">
        <f t="shared" si="30"/>
        <v>110.44301615726765</v>
      </c>
      <c r="R10" s="22">
        <f t="shared" si="30"/>
        <v>105.32887890128333</v>
      </c>
      <c r="S10" s="22">
        <f t="shared" si="30"/>
        <v>131.30291265953912</v>
      </c>
      <c r="T10" s="22">
        <f t="shared" si="30"/>
        <v>139.51034625192887</v>
      </c>
      <c r="U10" s="22">
        <f t="shared" si="30"/>
        <v>127.79810692634933</v>
      </c>
      <c r="V10" s="22">
        <f t="shared" si="30"/>
        <v>144.89834904834046</v>
      </c>
      <c r="W10" s="22">
        <f t="shared" ref="W10" si="31">SUM(W11:W13)</f>
        <v>155.12358154254741</v>
      </c>
      <c r="DA10" s="193" t="s">
        <v>283</v>
      </c>
    </row>
    <row r="11" spans="1:105" ht="11.45" customHeight="1" x14ac:dyDescent="0.25">
      <c r="A11" s="92" t="s">
        <v>27</v>
      </c>
      <c r="B11" s="97">
        <v>53.65387397581199</v>
      </c>
      <c r="C11" s="97">
        <v>55.452115375007772</v>
      </c>
      <c r="D11" s="97">
        <v>50.903922724267588</v>
      </c>
      <c r="E11" s="97">
        <v>44.118243861434131</v>
      </c>
      <c r="F11" s="97">
        <v>59.180402680614165</v>
      </c>
      <c r="G11" s="97">
        <v>60.96672903619335</v>
      </c>
      <c r="H11" s="97">
        <v>61.551499943237928</v>
      </c>
      <c r="I11" s="97">
        <v>59.076977823384368</v>
      </c>
      <c r="J11" s="97">
        <v>57.475121283206505</v>
      </c>
      <c r="K11" s="97">
        <v>45.353862631682361</v>
      </c>
      <c r="L11" s="97">
        <v>47.368266127852955</v>
      </c>
      <c r="M11" s="97">
        <v>36.781947954241211</v>
      </c>
      <c r="N11" s="97">
        <v>31.791911841618028</v>
      </c>
      <c r="O11" s="97">
        <v>29.510100613938025</v>
      </c>
      <c r="P11" s="97">
        <v>28.184622898310668</v>
      </c>
      <c r="Q11" s="97">
        <v>27.387477269797017</v>
      </c>
      <c r="R11" s="97">
        <v>26.045983481459082</v>
      </c>
      <c r="S11" s="97">
        <v>29.6728668709336</v>
      </c>
      <c r="T11" s="97">
        <v>26.574790015943659</v>
      </c>
      <c r="U11" s="97">
        <v>23.596174571492401</v>
      </c>
      <c r="V11" s="97">
        <v>16.286974734951645</v>
      </c>
      <c r="W11" s="97">
        <v>22.290616893144428</v>
      </c>
      <c r="DA11" s="175" t="s">
        <v>284</v>
      </c>
    </row>
    <row r="12" spans="1:105" ht="11.45" customHeight="1" x14ac:dyDescent="0.25">
      <c r="A12" s="92" t="s">
        <v>173</v>
      </c>
      <c r="B12" s="97">
        <v>19.108864216974386</v>
      </c>
      <c r="C12" s="97">
        <v>19.668017554380558</v>
      </c>
      <c r="D12" s="97">
        <v>17.212172992066883</v>
      </c>
      <c r="E12" s="97">
        <v>18.757706052173468</v>
      </c>
      <c r="F12" s="97">
        <v>23.139373782825405</v>
      </c>
      <c r="G12" s="97">
        <v>21.021477665855329</v>
      </c>
      <c r="H12" s="97">
        <v>21.672800056289088</v>
      </c>
      <c r="I12" s="97">
        <v>18.333889743019139</v>
      </c>
      <c r="J12" s="97">
        <v>18.562536797805617</v>
      </c>
      <c r="K12" s="97">
        <v>17.370115265527808</v>
      </c>
      <c r="L12" s="97">
        <v>17.466851861794062</v>
      </c>
      <c r="M12" s="97">
        <v>18.504544923237219</v>
      </c>
      <c r="N12" s="97">
        <v>16.406755960186082</v>
      </c>
      <c r="O12" s="97">
        <v>16.052942897853267</v>
      </c>
      <c r="P12" s="97">
        <v>14.054919912990503</v>
      </c>
      <c r="Q12" s="97">
        <v>15.643344213011146</v>
      </c>
      <c r="R12" s="97">
        <v>14.020869347793182</v>
      </c>
      <c r="S12" s="97">
        <v>17.152196960606521</v>
      </c>
      <c r="T12" s="97">
        <v>17.576407162383301</v>
      </c>
      <c r="U12" s="97">
        <v>19.461038387434606</v>
      </c>
      <c r="V12" s="97">
        <v>17.961740554304189</v>
      </c>
      <c r="W12" s="97">
        <v>17.55463878308715</v>
      </c>
      <c r="DA12" s="175" t="s">
        <v>285</v>
      </c>
    </row>
    <row r="13" spans="1:105" ht="11.45" customHeight="1" x14ac:dyDescent="0.25">
      <c r="A13" s="85" t="s">
        <v>174</v>
      </c>
      <c r="B13" s="98">
        <v>44.06868792342059</v>
      </c>
      <c r="C13" s="98">
        <v>47.076401562210911</v>
      </c>
      <c r="D13" s="98">
        <v>39.622454024566466</v>
      </c>
      <c r="E13" s="98">
        <v>45.984805745471334</v>
      </c>
      <c r="F13" s="98">
        <v>56.943537427197967</v>
      </c>
      <c r="G13" s="98">
        <v>48.932863244978826</v>
      </c>
      <c r="H13" s="98">
        <v>47.313747227918263</v>
      </c>
      <c r="I13" s="98">
        <v>51.019487440340029</v>
      </c>
      <c r="J13" s="98">
        <v>48.930815443083823</v>
      </c>
      <c r="K13" s="98">
        <v>44.345823670498099</v>
      </c>
      <c r="L13" s="98">
        <v>54.439698626578995</v>
      </c>
      <c r="M13" s="98">
        <v>59.753014095955457</v>
      </c>
      <c r="N13" s="98">
        <v>54.057803845717004</v>
      </c>
      <c r="O13" s="98">
        <v>57.250143911528795</v>
      </c>
      <c r="P13" s="98">
        <v>57.290475936351136</v>
      </c>
      <c r="Q13" s="98">
        <v>67.412194674459485</v>
      </c>
      <c r="R13" s="98">
        <v>65.262026072031063</v>
      </c>
      <c r="S13" s="98">
        <v>84.477848827999011</v>
      </c>
      <c r="T13" s="98">
        <v>95.359149073601898</v>
      </c>
      <c r="U13" s="98">
        <v>84.740893967422323</v>
      </c>
      <c r="V13" s="98">
        <v>110.64963375908462</v>
      </c>
      <c r="W13" s="98">
        <v>115.27832586631584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461.70224627063152</v>
      </c>
      <c r="C17" s="62">
        <f>IF(C3=0,0,C3/TrAvia_act!C13*100)</f>
        <v>495.72458031760004</v>
      </c>
      <c r="D17" s="62">
        <f>IF(D3=0,0,D3/TrAvia_act!D13*100)</f>
        <v>456.70714827121452</v>
      </c>
      <c r="E17" s="62">
        <f>IF(E3=0,0,E3/TrAvia_act!E13*100)</f>
        <v>492.43376908169239</v>
      </c>
      <c r="F17" s="62">
        <f>IF(F3=0,0,F3/TrAvia_act!F13*100)</f>
        <v>492.55162852368437</v>
      </c>
      <c r="G17" s="62">
        <f>IF(G3=0,0,G3/TrAvia_act!G13*100)</f>
        <v>487.3058766208149</v>
      </c>
      <c r="H17" s="62">
        <f>IF(H3=0,0,H3/TrAvia_act!H13*100)</f>
        <v>486.35022799615848</v>
      </c>
      <c r="I17" s="62">
        <f>IF(I3=0,0,I3/TrAvia_act!I13*100)</f>
        <v>469.47261823461844</v>
      </c>
      <c r="J17" s="62">
        <f>IF(J3=0,0,J3/TrAvia_act!J13*100)</f>
        <v>460.7897279347269</v>
      </c>
      <c r="K17" s="62">
        <f>IF(K3=0,0,K3/TrAvia_act!K13*100)</f>
        <v>469.01514623273607</v>
      </c>
      <c r="L17" s="62">
        <f>IF(L3=0,0,L3/TrAvia_act!L13*100)</f>
        <v>466.52398545884324</v>
      </c>
      <c r="M17" s="62">
        <f>IF(M3=0,0,M3/TrAvia_act!M13*100)</f>
        <v>469.59000560054074</v>
      </c>
      <c r="N17" s="62">
        <f>IF(N3=0,0,N3/TrAvia_act!N13*100)</f>
        <v>472.09420890261714</v>
      </c>
      <c r="O17" s="62">
        <f>IF(O3=0,0,O3/TrAvia_act!O13*100)</f>
        <v>451.36749312862412</v>
      </c>
      <c r="P17" s="62">
        <f>IF(P3=0,0,P3/TrAvia_act!P13*100)</f>
        <v>450.5543688861618</v>
      </c>
      <c r="Q17" s="62">
        <f>IF(Q3=0,0,Q3/TrAvia_act!Q13*100)</f>
        <v>471.08013543710888</v>
      </c>
      <c r="R17" s="62">
        <f>IF(R3=0,0,R3/TrAvia_act!R13*100)</f>
        <v>462.97881357442697</v>
      </c>
      <c r="S17" s="62">
        <f>IF(S3=0,0,S3/TrAvia_act!S13*100)</f>
        <v>470.1551715482733</v>
      </c>
      <c r="T17" s="62">
        <f>IF(T3=0,0,T3/TrAvia_act!T13*100)</f>
        <v>467.12466160286084</v>
      </c>
      <c r="U17" s="62">
        <f>IF(U3=0,0,U3/TrAvia_act!U13*100)</f>
        <v>472.7431860502108</v>
      </c>
      <c r="V17" s="62">
        <f>IF(V3=0,0,V3/TrAvia_act!V13*100)</f>
        <v>466.40176399337616</v>
      </c>
      <c r="W17" s="62">
        <f>IF(W3=0,0,W3/TrAvia_act!W13*100)</f>
        <v>446.34699820566573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460.56252255197012</v>
      </c>
      <c r="C18" s="14">
        <f>IF(C6=0,0,C6/TrAvia_act!C14*100)</f>
        <v>494.19804383161272</v>
      </c>
      <c r="D18" s="14">
        <f>IF(D6=0,0,D6/TrAvia_act!D14*100)</f>
        <v>455.33620945602519</v>
      </c>
      <c r="E18" s="14">
        <f>IF(E6=0,0,E6/TrAvia_act!E14*100)</f>
        <v>491.0723847428585</v>
      </c>
      <c r="F18" s="14">
        <f>IF(F6=0,0,F6/TrAvia_act!F14*100)</f>
        <v>490.95866802724498</v>
      </c>
      <c r="G18" s="14">
        <f>IF(G6=0,0,G6/TrAvia_act!G14*100)</f>
        <v>486.19599519383075</v>
      </c>
      <c r="H18" s="14">
        <f>IF(H6=0,0,H6/TrAvia_act!H14*100)</f>
        <v>485.79301997563641</v>
      </c>
      <c r="I18" s="14">
        <f>IF(I6=0,0,I6/TrAvia_act!I14*100)</f>
        <v>469.16961852884009</v>
      </c>
      <c r="J18" s="14">
        <f>IF(J6=0,0,J6/TrAvia_act!J14*100)</f>
        <v>460.99954129157527</v>
      </c>
      <c r="K18" s="14">
        <f>IF(K6=0,0,K6/TrAvia_act!K14*100)</f>
        <v>469.37251932645336</v>
      </c>
      <c r="L18" s="14">
        <f>IF(L6=0,0,L6/TrAvia_act!L14*100)</f>
        <v>467.28800982755877</v>
      </c>
      <c r="M18" s="14">
        <f>IF(M6=0,0,M6/TrAvia_act!M14*100)</f>
        <v>470.43584004807525</v>
      </c>
      <c r="N18" s="14">
        <f>IF(N6=0,0,N6/TrAvia_act!N14*100)</f>
        <v>472.97982462506508</v>
      </c>
      <c r="O18" s="14">
        <f>IF(O6=0,0,O6/TrAvia_act!O14*100)</f>
        <v>451.69563666680386</v>
      </c>
      <c r="P18" s="14">
        <f>IF(P6=0,0,P6/TrAvia_act!P14*100)</f>
        <v>450.55402857682105</v>
      </c>
      <c r="Q18" s="14">
        <f>IF(Q6=0,0,Q6/TrAvia_act!Q14*100)</f>
        <v>471.03619540271148</v>
      </c>
      <c r="R18" s="14">
        <f>IF(R6=0,0,R6/TrAvia_act!R14*100)</f>
        <v>462.91632574790214</v>
      </c>
      <c r="S18" s="14">
        <f>IF(S6=0,0,S6/TrAvia_act!S14*100)</f>
        <v>470.4328407167618</v>
      </c>
      <c r="T18" s="14">
        <f>IF(T6=0,0,T6/TrAvia_act!T14*100)</f>
        <v>467.5987108030161</v>
      </c>
      <c r="U18" s="14">
        <f>IF(U6=0,0,U6/TrAvia_act!U14*100)</f>
        <v>473.79657650370228</v>
      </c>
      <c r="V18" s="14">
        <f>IF(V6=0,0,V6/TrAvia_act!V14*100)</f>
        <v>464.65747691768479</v>
      </c>
      <c r="W18" s="14">
        <f>IF(W6=0,0,W6/TrAvia_act!W14*100)</f>
        <v>446.86185746081088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685.63307553651441</v>
      </c>
      <c r="C19" s="87">
        <f>IF(C7=0,0,C7/TrAvia_act!C15*100)</f>
        <v>744.40347239831635</v>
      </c>
      <c r="D19" s="87">
        <f>IF(D7=0,0,D7/TrAvia_act!D15*100)</f>
        <v>730.05895057229191</v>
      </c>
      <c r="E19" s="87">
        <f>IF(E7=0,0,E7/TrAvia_act!E15*100)</f>
        <v>749.71997283563599</v>
      </c>
      <c r="F19" s="87">
        <f>IF(F7=0,0,F7/TrAvia_act!F15*100)</f>
        <v>742.73345337948524</v>
      </c>
      <c r="G19" s="87">
        <f>IF(G7=0,0,G7/TrAvia_act!G15*100)</f>
        <v>773.8744422825531</v>
      </c>
      <c r="H19" s="87">
        <f>IF(H7=0,0,H7/TrAvia_act!H15*100)</f>
        <v>776.13995696997108</v>
      </c>
      <c r="I19" s="87">
        <f>IF(I7=0,0,I7/TrAvia_act!I15*100)</f>
        <v>772.87879650799175</v>
      </c>
      <c r="J19" s="87">
        <f>IF(J7=0,0,J7/TrAvia_act!J15*100)</f>
        <v>781.3091000433925</v>
      </c>
      <c r="K19" s="87">
        <f>IF(K7=0,0,K7/TrAvia_act!K15*100)</f>
        <v>787.90652561824106</v>
      </c>
      <c r="L19" s="87">
        <f>IF(L7=0,0,L7/TrAvia_act!L15*100)</f>
        <v>893.9647939436345</v>
      </c>
      <c r="M19" s="87">
        <f>IF(M7=0,0,M7/TrAvia_act!M15*100)</f>
        <v>830.65707908142508</v>
      </c>
      <c r="N19" s="87">
        <f>IF(N7=0,0,N7/TrAvia_act!N15*100)</f>
        <v>877.0864873998454</v>
      </c>
      <c r="O19" s="87">
        <f>IF(O7=0,0,O7/TrAvia_act!O15*100)</f>
        <v>868.90362353691376</v>
      </c>
      <c r="P19" s="87">
        <f>IF(P7=0,0,P7/TrAvia_act!P15*100)</f>
        <v>909.63134976842514</v>
      </c>
      <c r="Q19" s="87">
        <f>IF(Q7=0,0,Q7/TrAvia_act!Q15*100)</f>
        <v>955.13240852495085</v>
      </c>
      <c r="R19" s="87">
        <f>IF(R7=0,0,R7/TrAvia_act!R15*100)</f>
        <v>989.57084478612569</v>
      </c>
      <c r="S19" s="87">
        <f>IF(S7=0,0,S7/TrAvia_act!S15*100)</f>
        <v>1024.1567359607038</v>
      </c>
      <c r="T19" s="87">
        <f>IF(T7=0,0,T7/TrAvia_act!T15*100)</f>
        <v>971.32532554985835</v>
      </c>
      <c r="U19" s="87">
        <f>IF(U7=0,0,U7/TrAvia_act!U15*100)</f>
        <v>972.48368949497092</v>
      </c>
      <c r="V19" s="87">
        <f>IF(V7=0,0,V7/TrAvia_act!V15*100)</f>
        <v>795.05507356522207</v>
      </c>
      <c r="W19" s="87">
        <f>IF(W7=0,0,W7/TrAvia_act!W15*100)</f>
        <v>950.72489599823132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315.93270100773907</v>
      </c>
      <c r="C20" s="87">
        <f>IF(C8=0,0,C8/TrAvia_act!C16*100)</f>
        <v>348.39295353643934</v>
      </c>
      <c r="D20" s="87">
        <f>IF(D8=0,0,D8/TrAvia_act!D16*100)</f>
        <v>311.74265494591265</v>
      </c>
      <c r="E20" s="87">
        <f>IF(E8=0,0,E8/TrAvia_act!E16*100)</f>
        <v>354.39691037159935</v>
      </c>
      <c r="F20" s="87">
        <f>IF(F8=0,0,F8/TrAvia_act!F16*100)</f>
        <v>352.39810970979732</v>
      </c>
      <c r="G20" s="87">
        <f>IF(G8=0,0,G8/TrAvia_act!G16*100)</f>
        <v>340.39629869449988</v>
      </c>
      <c r="H20" s="87">
        <f>IF(H8=0,0,H8/TrAvia_act!H16*100)</f>
        <v>350.03614410478042</v>
      </c>
      <c r="I20" s="87">
        <f>IF(I8=0,0,I8/TrAvia_act!I16*100)</f>
        <v>339.94645799418623</v>
      </c>
      <c r="J20" s="87">
        <f>IF(J8=0,0,J8/TrAvia_act!J16*100)</f>
        <v>338.09913713539373</v>
      </c>
      <c r="K20" s="87">
        <f>IF(K8=0,0,K8/TrAvia_act!K16*100)</f>
        <v>343.45842911891015</v>
      </c>
      <c r="L20" s="87">
        <f>IF(L8=0,0,L8/TrAvia_act!L16*100)</f>
        <v>316.73254938590196</v>
      </c>
      <c r="M20" s="87">
        <f>IF(M8=0,0,M8/TrAvia_act!M16*100)</f>
        <v>354.97217258756194</v>
      </c>
      <c r="N20" s="87">
        <f>IF(N8=0,0,N8/TrAvia_act!N16*100)</f>
        <v>360.94820355673272</v>
      </c>
      <c r="O20" s="87">
        <f>IF(O8=0,0,O8/TrAvia_act!O16*100)</f>
        <v>354.58968042688315</v>
      </c>
      <c r="P20" s="87">
        <f>IF(P8=0,0,P8/TrAvia_act!P16*100)</f>
        <v>342.99350967557615</v>
      </c>
      <c r="Q20" s="87">
        <f>IF(Q8=0,0,Q8/TrAvia_act!Q16*100)</f>
        <v>353.42520315905051</v>
      </c>
      <c r="R20" s="87">
        <f>IF(R8=0,0,R8/TrAvia_act!R16*100)</f>
        <v>346.62791548698681</v>
      </c>
      <c r="S20" s="87">
        <f>IF(S8=0,0,S8/TrAvia_act!S16*100)</f>
        <v>357.32446565849153</v>
      </c>
      <c r="T20" s="87">
        <f>IF(T8=0,0,T8/TrAvia_act!T16*100)</f>
        <v>358.73941546471065</v>
      </c>
      <c r="U20" s="87">
        <f>IF(U8=0,0,U8/TrAvia_act!U16*100)</f>
        <v>368.34824163464305</v>
      </c>
      <c r="V20" s="87">
        <f>IF(V8=0,0,V8/TrAvia_act!V16*100)</f>
        <v>288.7528714728395</v>
      </c>
      <c r="W20" s="87">
        <f>IF(W8=0,0,W8/TrAvia_act!W16*100)</f>
        <v>247.72056112523902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536.31676566629062</v>
      </c>
      <c r="C21" s="87">
        <f>IF(C9=0,0,C9/TrAvia_act!C17*100)</f>
        <v>590.6937848793184</v>
      </c>
      <c r="D21" s="87">
        <f>IF(D9=0,0,D9/TrAvia_act!D17*100)</f>
        <v>527.99689627895873</v>
      </c>
      <c r="E21" s="87">
        <f>IF(E9=0,0,E9/TrAvia_act!E17*100)</f>
        <v>598.47504422311238</v>
      </c>
      <c r="F21" s="87">
        <f>IF(F9=0,0,F9/TrAvia_act!F17*100)</f>
        <v>595.35816392013578</v>
      </c>
      <c r="G21" s="87">
        <f>IF(G9=0,0,G9/TrAvia_act!G17*100)</f>
        <v>526.34319847953543</v>
      </c>
      <c r="H21" s="87">
        <f>IF(H9=0,0,H9/TrAvia_act!H17*100)</f>
        <v>478.13152772561381</v>
      </c>
      <c r="I21" s="87">
        <f>IF(I9=0,0,I9/TrAvia_act!I17*100)</f>
        <v>437.19513451805591</v>
      </c>
      <c r="J21" s="87">
        <f>IF(J9=0,0,J9/TrAvia_act!J17*100)</f>
        <v>412.47460898027396</v>
      </c>
      <c r="K21" s="87">
        <f>IF(K9=0,0,K9/TrAvia_act!K17*100)</f>
        <v>436.57009729036724</v>
      </c>
      <c r="L21" s="87">
        <f>IF(L9=0,0,L9/TrAvia_act!L17*100)</f>
        <v>400.12959955744839</v>
      </c>
      <c r="M21" s="87">
        <f>IF(M9=0,0,M9/TrAvia_act!M17*100)</f>
        <v>425.41699700421856</v>
      </c>
      <c r="N21" s="87">
        <f>IF(N9=0,0,N9/TrAvia_act!N17*100)</f>
        <v>435.3571495749149</v>
      </c>
      <c r="O21" s="87">
        <f>IF(O9=0,0,O9/TrAvia_act!O17*100)</f>
        <v>418.77213884605453</v>
      </c>
      <c r="P21" s="87">
        <f>IF(P9=0,0,P9/TrAvia_act!P17*100)</f>
        <v>426.72882335790899</v>
      </c>
      <c r="Q21" s="87">
        <f>IF(Q9=0,0,Q9/TrAvia_act!Q17*100)</f>
        <v>453.37891031131977</v>
      </c>
      <c r="R21" s="87">
        <f>IF(R9=0,0,R9/TrAvia_act!R17*100)</f>
        <v>432.26151517415821</v>
      </c>
      <c r="S21" s="87">
        <f>IF(S9=0,0,S9/TrAvia_act!S17*100)</f>
        <v>421.00960959594539</v>
      </c>
      <c r="T21" s="87">
        <f>IF(T9=0,0,T9/TrAvia_act!T17*100)</f>
        <v>417.66092235762369</v>
      </c>
      <c r="U21" s="87">
        <f>IF(U9=0,0,U9/TrAvia_act!U17*100)</f>
        <v>402.40523616122175</v>
      </c>
      <c r="V21" s="87">
        <f>IF(V9=0,0,V9/TrAvia_act!V17*100)</f>
        <v>580.02897052970479</v>
      </c>
      <c r="W21" s="87">
        <f>IF(W9=0,0,W9/TrAvia_act!W17*100)</f>
        <v>436.63136268982561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510.28748463256079</v>
      </c>
      <c r="C22" s="15">
        <f>IF(C10=0,0,C10/TrAvia_act!C18*100)</f>
        <v>559.85773239711477</v>
      </c>
      <c r="D22" s="15">
        <f>IF(D10=0,0,D10/TrAvia_act!D18*100)</f>
        <v>519.24697449842654</v>
      </c>
      <c r="E22" s="15">
        <f>IF(E10=0,0,E10/TrAvia_act!E18*100)</f>
        <v>556.54819492436218</v>
      </c>
      <c r="F22" s="15">
        <f>IF(F10=0,0,F10/TrAvia_act!F18*100)</f>
        <v>557.41582502663562</v>
      </c>
      <c r="G22" s="15">
        <f>IF(G10=0,0,G10/TrAvia_act!G18*100)</f>
        <v>537.32676814244223</v>
      </c>
      <c r="H22" s="15">
        <f>IF(H10=0,0,H10/TrAvia_act!H18*100)</f>
        <v>511.47791367728576</v>
      </c>
      <c r="I22" s="15">
        <f>IF(I10=0,0,I10/TrAvia_act!I18*100)</f>
        <v>483.80524189941087</v>
      </c>
      <c r="J22" s="15">
        <f>IF(J10=0,0,J10/TrAvia_act!J18*100)</f>
        <v>451.22896581807919</v>
      </c>
      <c r="K22" s="15">
        <f>IF(K10=0,0,K10/TrAvia_act!K18*100)</f>
        <v>451.94906700626689</v>
      </c>
      <c r="L22" s="15">
        <f>IF(L10=0,0,L10/TrAvia_act!L18*100)</f>
        <v>434.28232699012017</v>
      </c>
      <c r="M22" s="15">
        <f>IF(M10=0,0,M10/TrAvia_act!M18*100)</f>
        <v>430.64857292978667</v>
      </c>
      <c r="N22" s="15">
        <f>IF(N10=0,0,N10/TrAvia_act!N18*100)</f>
        <v>429.16793743021674</v>
      </c>
      <c r="O22" s="15">
        <f>IF(O10=0,0,O10/TrAvia_act!O18*100)</f>
        <v>435.4501555434889</v>
      </c>
      <c r="P22" s="15">
        <f>IF(P10=0,0,P10/TrAvia_act!P18*100)</f>
        <v>450.57261640942386</v>
      </c>
      <c r="Q22" s="15">
        <f>IF(Q10=0,0,Q10/TrAvia_act!Q18*100)</f>
        <v>473.34962261399676</v>
      </c>
      <c r="R22" s="15">
        <f>IF(R10=0,0,R10/TrAvia_act!R18*100)</f>
        <v>466.61514736884266</v>
      </c>
      <c r="S22" s="15">
        <f>IF(S10=0,0,S10/TrAvia_act!S18*100)</f>
        <v>456.58422829447949</v>
      </c>
      <c r="T22" s="15">
        <f>IF(T10=0,0,T10/TrAvia_act!T18*100)</f>
        <v>444.87345862501985</v>
      </c>
      <c r="U22" s="15">
        <f>IF(U10=0,0,U10/TrAvia_act!U18*100)</f>
        <v>420.50259253226915</v>
      </c>
      <c r="V22" s="15">
        <f>IF(V10=0,0,V10/TrAvia_act!V18*100)</f>
        <v>497.19278257136006</v>
      </c>
      <c r="W22" s="15">
        <f>IF(W10=0,0,W10/TrAvia_act!W18*100)</f>
        <v>435.49192897426474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666.00524590849318</v>
      </c>
      <c r="C23" s="101">
        <f>IF(C11=0,0,C11/TrAvia_act!C19*100)</f>
        <v>723.09320448379299</v>
      </c>
      <c r="D23" s="101">
        <f>IF(D11=0,0,D11/TrAvia_act!D19*100)</f>
        <v>709.15932771055634</v>
      </c>
      <c r="E23" s="101">
        <f>IF(E11=0,0,E11/TrAvia_act!E19*100)</f>
        <v>728.25750782251259</v>
      </c>
      <c r="F23" s="101">
        <f>IF(F11=0,0,F11/TrAvia_act!F19*100)</f>
        <v>721.47099361475341</v>
      </c>
      <c r="G23" s="101">
        <f>IF(G11=0,0,G11/TrAvia_act!G19*100)</f>
        <v>752.28615814411933</v>
      </c>
      <c r="H23" s="101">
        <f>IF(H11=0,0,H11/TrAvia_act!H19*100)</f>
        <v>746.55922810586799</v>
      </c>
      <c r="I23" s="101">
        <f>IF(I11=0,0,I11/TrAvia_act!I19*100)</f>
        <v>736.0676556320401</v>
      </c>
      <c r="J23" s="101">
        <f>IF(J11=0,0,J11/TrAvia_act!J19*100)</f>
        <v>736.33070447520652</v>
      </c>
      <c r="K23" s="101">
        <f>IF(K11=0,0,K11/TrAvia_act!K19*100)</f>
        <v>734.11811658133047</v>
      </c>
      <c r="L23" s="101">
        <f>IF(L11=0,0,L11/TrAvia_act!L19*100)</f>
        <v>825.81869848557312</v>
      </c>
      <c r="M23" s="101">
        <f>IF(M11=0,0,M11/TrAvia_act!M19*100)</f>
        <v>772.64312571992718</v>
      </c>
      <c r="N23" s="101">
        <f>IF(N11=0,0,N11/TrAvia_act!N19*100)</f>
        <v>820.95428541244075</v>
      </c>
      <c r="O23" s="101">
        <f>IF(O11=0,0,O11/TrAvia_act!O19*100)</f>
        <v>811.29391811877815</v>
      </c>
      <c r="P23" s="101">
        <f>IF(P11=0,0,P11/TrAvia_act!P19*100)</f>
        <v>844.26504487860643</v>
      </c>
      <c r="Q23" s="101">
        <f>IF(Q11=0,0,Q11/TrAvia_act!Q19*100)</f>
        <v>882.69198101147629</v>
      </c>
      <c r="R23" s="101">
        <f>IF(R11=0,0,R11/TrAvia_act!R19*100)</f>
        <v>912.46568995546579</v>
      </c>
      <c r="S23" s="101">
        <f>IF(S11=0,0,S11/TrAvia_act!S19*100)</f>
        <v>939.28284525668153</v>
      </c>
      <c r="T23" s="101">
        <f>IF(T11=0,0,T11/TrAvia_act!T19*100)</f>
        <v>884.68924628087234</v>
      </c>
      <c r="U23" s="101">
        <f>IF(U11=0,0,U11/TrAvia_act!U19*100)</f>
        <v>884.7071507632952</v>
      </c>
      <c r="V23" s="101">
        <f>IF(V11=0,0,V11/TrAvia_act!V19*100)</f>
        <v>721.82686151038524</v>
      </c>
      <c r="W23" s="101">
        <f>IF(W11=0,0,W11/TrAvia_act!W19*100)</f>
        <v>870.58704078533697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287.52692299714317</v>
      </c>
      <c r="C24" s="101">
        <f>IF(C12=0,0,C12/TrAvia_act!C20*100)</f>
        <v>316.667578476968</v>
      </c>
      <c r="D24" s="101">
        <f>IF(D12=0,0,D12/TrAvia_act!D20*100)</f>
        <v>282.70946151143187</v>
      </c>
      <c r="E24" s="101">
        <f>IF(E12=0,0,E12/TrAvia_act!E20*100)</f>
        <v>321.16939305619661</v>
      </c>
      <c r="F24" s="101">
        <f>IF(F12=0,0,F12/TrAvia_act!F20*100)</f>
        <v>319.42764748455647</v>
      </c>
      <c r="G24" s="101">
        <f>IF(G12=0,0,G12/TrAvia_act!G20*100)</f>
        <v>307.77126129931929</v>
      </c>
      <c r="H24" s="101">
        <f>IF(H12=0,0,H12/TrAvia_act!H20*100)</f>
        <v>315.67289556363954</v>
      </c>
      <c r="I24" s="101">
        <f>IF(I12=0,0,I12/TrAvia_act!I20*100)</f>
        <v>302.64292814562606</v>
      </c>
      <c r="J24" s="101">
        <f>IF(J12=0,0,J12/TrAvia_act!J20*100)</f>
        <v>299.41980457805653</v>
      </c>
      <c r="K24" s="101">
        <f>IF(K12=0,0,K12/TrAvia_act!K20*100)</f>
        <v>307.62730501302286</v>
      </c>
      <c r="L24" s="101">
        <f>IF(L12=0,0,L12/TrAvia_act!L20*100)</f>
        <v>279.87737044159388</v>
      </c>
      <c r="M24" s="101">
        <f>IF(M12=0,0,M12/TrAvia_act!M20*100)</f>
        <v>306.95869277143623</v>
      </c>
      <c r="N24" s="101">
        <f>IF(N12=0,0,N12/TrAvia_act!N20*100)</f>
        <v>314.72347389267259</v>
      </c>
      <c r="O24" s="101">
        <f>IF(O12=0,0,O12/TrAvia_act!O20*100)</f>
        <v>304.37062663370739</v>
      </c>
      <c r="P24" s="101">
        <f>IF(P12=0,0,P12/TrAvia_act!P20*100)</f>
        <v>288.98909590808705</v>
      </c>
      <c r="Q24" s="101">
        <f>IF(Q12=0,0,Q12/TrAvia_act!Q20*100)</f>
        <v>299.37758954103589</v>
      </c>
      <c r="R24" s="101">
        <f>IF(R12=0,0,R12/TrAvia_act!R20*100)</f>
        <v>288.08677869928164</v>
      </c>
      <c r="S24" s="101">
        <f>IF(S12=0,0,S12/TrAvia_act!S20*100)</f>
        <v>294.41321878976214</v>
      </c>
      <c r="T24" s="101">
        <f>IF(T12=0,0,T12/TrAvia_act!T20*100)</f>
        <v>297.98683088099364</v>
      </c>
      <c r="U24" s="101">
        <f>IF(U12=0,0,U12/TrAvia_act!U20*100)</f>
        <v>307.02498906217318</v>
      </c>
      <c r="V24" s="101">
        <f>IF(V12=0,0,V12/TrAvia_act!V20*100)</f>
        <v>266.94210374593081</v>
      </c>
      <c r="W24" s="101">
        <f>IF(W12=0,0,W12/TrAvia_act!W20*100)</f>
        <v>226.25104438468563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537.86880151063406</v>
      </c>
      <c r="C25" s="88">
        <f>IF(C13=0,0,C13/TrAvia_act!C21*100)</f>
        <v>592.40318123955444</v>
      </c>
      <c r="D25" s="88">
        <f>IF(D13=0,0,D13/TrAvia_act!D21*100)</f>
        <v>529.52485542770728</v>
      </c>
      <c r="E25" s="88">
        <f>IF(E13=0,0,E13/TrAvia_act!E21*100)</f>
        <v>600.20695860663022</v>
      </c>
      <c r="F25" s="88">
        <f>IF(F13=0,0,F13/TrAvia_act!F21*100)</f>
        <v>597.08105842909015</v>
      </c>
      <c r="G25" s="88">
        <f>IF(G13=0,0,G13/TrAvia_act!G21*100)</f>
        <v>518.86009633983963</v>
      </c>
      <c r="H25" s="88">
        <f>IF(H13=0,0,H13/TrAvia_act!H21*100)</f>
        <v>454.43919932569952</v>
      </c>
      <c r="I25" s="88">
        <f>IF(I13=0,0,I13/TrAvia_act!I21*100)</f>
        <v>409.40290853081029</v>
      </c>
      <c r="J25" s="88">
        <f>IF(J13=0,0,J13/TrAvia_act!J21*100)</f>
        <v>357.41957840825438</v>
      </c>
      <c r="K25" s="88">
        <f>IF(K13=0,0,K13/TrAvia_act!K21*100)</f>
        <v>373.71570248164733</v>
      </c>
      <c r="L25" s="88">
        <f>IF(L13=0,0,L13/TrAvia_act!L21*100)</f>
        <v>351.49599759941952</v>
      </c>
      <c r="M25" s="88">
        <f>IF(M13=0,0,M13/TrAvia_act!M21*100)</f>
        <v>375.23408589426731</v>
      </c>
      <c r="N25" s="88">
        <f>IF(N13=0,0,N13/TrAvia_act!N21*100)</f>
        <v>366.71599838689997</v>
      </c>
      <c r="O25" s="88">
        <f>IF(O13=0,0,O13/TrAvia_act!O21*100)</f>
        <v>389.47724040369371</v>
      </c>
      <c r="P25" s="88">
        <f>IF(P13=0,0,P13/TrAvia_act!P21*100)</f>
        <v>412.52276664089794</v>
      </c>
      <c r="Q25" s="88">
        <f>IF(Q13=0,0,Q13/TrAvia_act!Q21*100)</f>
        <v>449.28829857136475</v>
      </c>
      <c r="R25" s="88">
        <f>IF(R13=0,0,R13/TrAvia_act!R21*100)</f>
        <v>439.42717952651532</v>
      </c>
      <c r="S25" s="88">
        <f>IF(S13=0,0,S13/TrAvia_act!S21*100)</f>
        <v>427.2456686325678</v>
      </c>
      <c r="T25" s="88">
        <f>IF(T13=0,0,T13/TrAvia_act!T21*100)</f>
        <v>424.6239550421908</v>
      </c>
      <c r="U25" s="88">
        <f>IF(U13=0,0,U13/TrAvia_act!U21*100)</f>
        <v>396.24376711634972</v>
      </c>
      <c r="V25" s="88">
        <f>IF(V13=0,0,V13/TrAvia_act!V21*100)</f>
        <v>548.90535405164485</v>
      </c>
      <c r="W25" s="88">
        <f>IF(W13=0,0,W13/TrAvia_act!W21*100)</f>
        <v>455.62793117384552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33.279783084061322</v>
      </c>
      <c r="C28" s="14">
        <f>IF(C6=0,0,C6/TrAvia_act!C4*1000)</f>
        <v>35.315624235548633</v>
      </c>
      <c r="D28" s="14">
        <f>IF(D6=0,0,D6/TrAvia_act!D4*1000)</f>
        <v>34.365911865687409</v>
      </c>
      <c r="E28" s="14">
        <f>IF(E6=0,0,E6/TrAvia_act!E4*1000)</f>
        <v>34.855026862558361</v>
      </c>
      <c r="F28" s="14">
        <f>IF(F6=0,0,F6/TrAvia_act!F4*1000)</f>
        <v>35.155850199571844</v>
      </c>
      <c r="G28" s="14">
        <f>IF(G6=0,0,G6/TrAvia_act!G4*1000)</f>
        <v>34.662983380904322</v>
      </c>
      <c r="H28" s="14">
        <f>IF(H6=0,0,H6/TrAvia_act!H4*1000)</f>
        <v>34.839750646277516</v>
      </c>
      <c r="I28" s="14">
        <f>IF(I6=0,0,I6/TrAvia_act!I4*1000)</f>
        <v>34.015250712517258</v>
      </c>
      <c r="J28" s="14">
        <f>IF(J6=0,0,J6/TrAvia_act!J4*1000)</f>
        <v>33.099284918241139</v>
      </c>
      <c r="K28" s="14">
        <f>IF(K6=0,0,K6/TrAvia_act!K4*1000)</f>
        <v>32.727895402556328</v>
      </c>
      <c r="L28" s="14">
        <f>IF(L6=0,0,L6/TrAvia_act!L4*1000)</f>
        <v>31.855586848452273</v>
      </c>
      <c r="M28" s="14">
        <f>IF(M6=0,0,M6/TrAvia_act!M4*1000)</f>
        <v>31.204980478669341</v>
      </c>
      <c r="N28" s="14">
        <f>IF(N6=0,0,N6/TrAvia_act!N4*1000)</f>
        <v>30.106876621740604</v>
      </c>
      <c r="O28" s="14">
        <f>IF(O6=0,0,O6/TrAvia_act!O4*1000)</f>
        <v>28.545161796212646</v>
      </c>
      <c r="P28" s="14">
        <f>IF(P6=0,0,P6/TrAvia_act!P4*1000)</f>
        <v>28.615297514814188</v>
      </c>
      <c r="Q28" s="14">
        <f>IF(Q6=0,0,Q6/TrAvia_act!Q4*1000)</f>
        <v>29.503276984476802</v>
      </c>
      <c r="R28" s="14">
        <f>IF(R6=0,0,R6/TrAvia_act!R4*1000)</f>
        <v>28.256794221332076</v>
      </c>
      <c r="S28" s="14">
        <f>IF(S6=0,0,S6/TrAvia_act!S4*1000)</f>
        <v>28.435958361953322</v>
      </c>
      <c r="T28" s="14">
        <f>IF(T6=0,0,T6/TrAvia_act!T4*1000)</f>
        <v>28.087586813821694</v>
      </c>
      <c r="U28" s="14">
        <f>IF(U6=0,0,U6/TrAvia_act!U4*1000)</f>
        <v>27.889717898193528</v>
      </c>
      <c r="V28" s="14">
        <f>IF(V6=0,0,V6/TrAvia_act!V4*1000)</f>
        <v>35.418182279149164</v>
      </c>
      <c r="W28" s="14">
        <f>IF(W6=0,0,W6/TrAvia_act!W4*1000)</f>
        <v>34.109345383610794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71.592184689622115</v>
      </c>
      <c r="C29" s="87">
        <f>IF(C7=0,0,C7/TrAvia_act!C5*1000)</f>
        <v>77.109559375067406</v>
      </c>
      <c r="D29" s="87">
        <f>IF(D7=0,0,D7/TrAvia_act!D5*1000)</f>
        <v>72.672086478811906</v>
      </c>
      <c r="E29" s="87">
        <f>IF(E7=0,0,E7/TrAvia_act!E5*1000)</f>
        <v>70.875052088926864</v>
      </c>
      <c r="F29" s="87">
        <f>IF(F7=0,0,F7/TrAvia_act!F5*1000)</f>
        <v>70.190039093681548</v>
      </c>
      <c r="G29" s="87">
        <f>IF(G7=0,0,G7/TrAvia_act!G5*1000)</f>
        <v>73.082334089439357</v>
      </c>
      <c r="H29" s="87">
        <f>IF(H7=0,0,H7/TrAvia_act!H5*1000)</f>
        <v>72.46417906140131</v>
      </c>
      <c r="I29" s="87">
        <f>IF(I7=0,0,I7/TrAvia_act!I5*1000)</f>
        <v>70.598213739235931</v>
      </c>
      <c r="J29" s="87">
        <f>IF(J7=0,0,J7/TrAvia_act!J5*1000)</f>
        <v>74.477873583876743</v>
      </c>
      <c r="K29" s="87">
        <f>IF(K7=0,0,K7/TrAvia_act!K5*1000)</f>
        <v>72.661588832601439</v>
      </c>
      <c r="L29" s="87">
        <f>IF(L7=0,0,L7/TrAvia_act!L5*1000)</f>
        <v>78.911398281047227</v>
      </c>
      <c r="M29" s="87">
        <f>IF(M7=0,0,M7/TrAvia_act!M5*1000)</f>
        <v>70.488791358659739</v>
      </c>
      <c r="N29" s="87">
        <f>IF(N7=0,0,N7/TrAvia_act!N5*1000)</f>
        <v>70.026203219113938</v>
      </c>
      <c r="O29" s="87">
        <f>IF(O7=0,0,O7/TrAvia_act!O5*1000)</f>
        <v>68.698073204462347</v>
      </c>
      <c r="P29" s="87">
        <f>IF(P7=0,0,P7/TrAvia_act!P5*1000)</f>
        <v>72.521709395043175</v>
      </c>
      <c r="Q29" s="87">
        <f>IF(Q7=0,0,Q7/TrAvia_act!Q5*1000)</f>
        <v>73.899075671207711</v>
      </c>
      <c r="R29" s="87">
        <f>IF(R7=0,0,R7/TrAvia_act!R5*1000)</f>
        <v>73.510274474690831</v>
      </c>
      <c r="S29" s="87">
        <f>IF(S7=0,0,S7/TrAvia_act!S5*1000)</f>
        <v>74.285702991358121</v>
      </c>
      <c r="T29" s="87">
        <f>IF(T7=0,0,T7/TrAvia_act!T5*1000)</f>
        <v>69.847324412513373</v>
      </c>
      <c r="U29" s="87">
        <f>IF(U7=0,0,U7/TrAvia_act!U5*1000)</f>
        <v>69.666895642158693</v>
      </c>
      <c r="V29" s="87">
        <f>IF(V7=0,0,V7/TrAvia_act!V5*1000)</f>
        <v>74.225174611997033</v>
      </c>
      <c r="W29" s="87">
        <f>IF(W7=0,0,W7/TrAvia_act!W5*1000)</f>
        <v>77.233638638823251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20.00711303921176</v>
      </c>
      <c r="C30" s="87">
        <f>IF(C8=0,0,C8/TrAvia_act!C6*1000)</f>
        <v>22.03641952205064</v>
      </c>
      <c r="D30" s="87">
        <f>IF(D8=0,0,D8/TrAvia_act!D6*1000)</f>
        <v>20.663459500005835</v>
      </c>
      <c r="E30" s="87">
        <f>IF(E8=0,0,E8/TrAvia_act!E6*1000)</f>
        <v>23.578065505468533</v>
      </c>
      <c r="F30" s="87">
        <f>IF(F8=0,0,F8/TrAvia_act!F6*1000)</f>
        <v>23.979631348327874</v>
      </c>
      <c r="G30" s="87">
        <f>IF(G8=0,0,G8/TrAvia_act!G6*1000)</f>
        <v>23.119968571237621</v>
      </c>
      <c r="H30" s="87">
        <f>IF(H8=0,0,H8/TrAvia_act!H6*1000)</f>
        <v>24.36082803459232</v>
      </c>
      <c r="I30" s="87">
        <f>IF(I8=0,0,I8/TrAvia_act!I6*1000)</f>
        <v>24.608646110309145</v>
      </c>
      <c r="J30" s="87">
        <f>IF(J8=0,0,J8/TrAvia_act!J6*1000)</f>
        <v>24.473396782572092</v>
      </c>
      <c r="K30" s="87">
        <f>IF(K8=0,0,K8/TrAvia_act!K6*1000)</f>
        <v>24.374416344909406</v>
      </c>
      <c r="L30" s="87">
        <f>IF(L8=0,0,L8/TrAvia_act!L6*1000)</f>
        <v>22.323079762762955</v>
      </c>
      <c r="M30" s="87">
        <f>IF(M8=0,0,M8/TrAvia_act!M6*1000)</f>
        <v>24.170372590237289</v>
      </c>
      <c r="N30" s="87">
        <f>IF(N8=0,0,N8/TrAvia_act!N6*1000)</f>
        <v>23.794356408183454</v>
      </c>
      <c r="O30" s="87">
        <f>IF(O8=0,0,O8/TrAvia_act!O6*1000)</f>
        <v>23.210104584018598</v>
      </c>
      <c r="P30" s="87">
        <f>IF(P8=0,0,P8/TrAvia_act!P6*1000)</f>
        <v>22.521222620438042</v>
      </c>
      <c r="Q30" s="87">
        <f>IF(Q8=0,0,Q8/TrAvia_act!Q6*1000)</f>
        <v>23.092513576994349</v>
      </c>
      <c r="R30" s="87">
        <f>IF(R8=0,0,R8/TrAvia_act!R6*1000)</f>
        <v>22.143923962581134</v>
      </c>
      <c r="S30" s="87">
        <f>IF(S8=0,0,S8/TrAvia_act!S6*1000)</f>
        <v>22.74425489106099</v>
      </c>
      <c r="T30" s="87">
        <f>IF(T8=0,0,T8/TrAvia_act!T6*1000)</f>
        <v>23.091836394955706</v>
      </c>
      <c r="U30" s="87">
        <f>IF(U8=0,0,U8/TrAvia_act!U6*1000)</f>
        <v>23.399669278291878</v>
      </c>
      <c r="V30" s="87">
        <f>IF(V8=0,0,V8/TrAvia_act!V6*1000)</f>
        <v>24.206358529411659</v>
      </c>
      <c r="W30" s="87">
        <f>IF(W8=0,0,W8/TrAvia_act!W6*1000)</f>
        <v>20.401669037845217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37.338168217147363</v>
      </c>
      <c r="C31" s="87">
        <f>IF(C9=0,0,C9/TrAvia_act!C7*1000)</f>
        <v>40.556595462424298</v>
      </c>
      <c r="D31" s="87">
        <f>IF(D9=0,0,D9/TrAvia_act!D7*1000)</f>
        <v>44.157040733029902</v>
      </c>
      <c r="E31" s="87">
        <f>IF(E9=0,0,E9/TrAvia_act!E7*1000)</f>
        <v>37.0182041944798</v>
      </c>
      <c r="F31" s="87">
        <f>IF(F9=0,0,F9/TrAvia_act!F7*1000)</f>
        <v>35.940152288838114</v>
      </c>
      <c r="G31" s="87">
        <f>IF(G9=0,0,G9/TrAvia_act!G7*1000)</f>
        <v>30.994113211744182</v>
      </c>
      <c r="H31" s="87">
        <f>IF(H9=0,0,H9/TrAvia_act!H7*1000)</f>
        <v>27.707162875171676</v>
      </c>
      <c r="I31" s="87">
        <f>IF(I9=0,0,I9/TrAvia_act!I7*1000)</f>
        <v>24.987606843119423</v>
      </c>
      <c r="J31" s="87">
        <f>IF(J9=0,0,J9/TrAvia_act!J7*1000)</f>
        <v>22.654026620937188</v>
      </c>
      <c r="K31" s="87">
        <f>IF(K9=0,0,K9/TrAvia_act!K7*1000)</f>
        <v>23.228615520073404</v>
      </c>
      <c r="L31" s="87">
        <f>IF(L9=0,0,L9/TrAvia_act!L7*1000)</f>
        <v>20.808903985185236</v>
      </c>
      <c r="M31" s="87">
        <f>IF(M9=0,0,M9/TrAvia_act!M7*1000)</f>
        <v>22.455345571935627</v>
      </c>
      <c r="N31" s="87">
        <f>IF(N9=0,0,N9/TrAvia_act!N7*1000)</f>
        <v>22.511899254205957</v>
      </c>
      <c r="O31" s="87">
        <f>IF(O9=0,0,O9/TrAvia_act!O7*1000)</f>
        <v>21.934298894709748</v>
      </c>
      <c r="P31" s="87">
        <f>IF(P9=0,0,P9/TrAvia_act!P7*1000)</f>
        <v>22.344164019159535</v>
      </c>
      <c r="Q31" s="87">
        <f>IF(Q9=0,0,Q9/TrAvia_act!Q7*1000)</f>
        <v>23.004672477459422</v>
      </c>
      <c r="R31" s="87">
        <f>IF(R9=0,0,R9/TrAvia_act!R7*1000)</f>
        <v>21.198350210403309</v>
      </c>
      <c r="S31" s="87">
        <f>IF(S9=0,0,S9/TrAvia_act!S7*1000)</f>
        <v>20.350878389391902</v>
      </c>
      <c r="T31" s="87">
        <f>IF(T9=0,0,T9/TrAvia_act!T7*1000)</f>
        <v>19.469171610698563</v>
      </c>
      <c r="U31" s="87">
        <f>IF(U9=0,0,U9/TrAvia_act!U7*1000)</f>
        <v>18.320914610323236</v>
      </c>
      <c r="V31" s="87">
        <f>IF(V9=0,0,V9/TrAvia_act!V7*1000)</f>
        <v>30.249786335074663</v>
      </c>
      <c r="W31" s="87">
        <f>IF(W9=0,0,W9/TrAvia_act!W7*1000)</f>
        <v>26.028689193026416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123.8914268402892</v>
      </c>
      <c r="C32" s="15">
        <f>IF(C10=0,0,C10/TrAvia_act!C8*1000)</f>
        <v>129.30120282039067</v>
      </c>
      <c r="D32" s="15">
        <f>IF(D10=0,0,D10/TrAvia_act!D8*1000)</f>
        <v>126.2963508443728</v>
      </c>
      <c r="E32" s="15">
        <f>IF(E10=0,0,E10/TrAvia_act!E8*1000)</f>
        <v>136.4896293159089</v>
      </c>
      <c r="F32" s="15">
        <f>IF(F10=0,0,F10/TrAvia_act!F8*1000)</f>
        <v>145.56227384606791</v>
      </c>
      <c r="G32" s="15">
        <f>IF(G10=0,0,G10/TrAvia_act!G8*1000)</f>
        <v>146.51018420361146</v>
      </c>
      <c r="H32" s="15">
        <f>IF(H10=0,0,H10/TrAvia_act!H8*1000)</f>
        <v>143.05992207950538</v>
      </c>
      <c r="I32" s="15">
        <f>IF(I10=0,0,I10/TrAvia_act!I8*1000)</f>
        <v>127.07316384312692</v>
      </c>
      <c r="J32" s="15">
        <f>IF(J10=0,0,J10/TrAvia_act!J8*1000)</f>
        <v>117.28978297040597</v>
      </c>
      <c r="K32" s="15">
        <f>IF(K10=0,0,K10/TrAvia_act!K8*1000)</f>
        <v>104.9247711424933</v>
      </c>
      <c r="L32" s="15">
        <f>IF(L10=0,0,L10/TrAvia_act!L8*1000)</f>
        <v>91.213481992289132</v>
      </c>
      <c r="M32" s="15">
        <f>IF(M10=0,0,M10/TrAvia_act!M8*1000)</f>
        <v>83.544721128148822</v>
      </c>
      <c r="N32" s="15">
        <f>IF(N10=0,0,N10/TrAvia_act!N8*1000)</f>
        <v>75.296492679960892</v>
      </c>
      <c r="O32" s="15">
        <f>IF(O10=0,0,O10/TrAvia_act!O8*1000)</f>
        <v>75.397616451229183</v>
      </c>
      <c r="P32" s="15">
        <f>IF(P10=0,0,P10/TrAvia_act!P8*1000)</f>
        <v>67.929270419258302</v>
      </c>
      <c r="Q32" s="15">
        <f>IF(Q10=0,0,Q10/TrAvia_act!Q8*1000)</f>
        <v>70.252697227495261</v>
      </c>
      <c r="R32" s="15">
        <f>IF(R10=0,0,R10/TrAvia_act!R8*1000)</f>
        <v>62.464387609807389</v>
      </c>
      <c r="S32" s="15">
        <f>IF(S10=0,0,S10/TrAvia_act!S8*1000)</f>
        <v>61.160115288120615</v>
      </c>
      <c r="T32" s="15">
        <f>IF(T10=0,0,T10/TrAvia_act!T8*1000)</f>
        <v>56.468448930521198</v>
      </c>
      <c r="U32" s="15">
        <f>IF(U10=0,0,U10/TrAvia_act!U8*1000)</f>
        <v>51.453334441412842</v>
      </c>
      <c r="V32" s="15">
        <f>IF(V10=0,0,V10/TrAvia_act!V8*1000)</f>
        <v>85.339128113726247</v>
      </c>
      <c r="W32" s="15">
        <f>IF(W10=0,0,W10/TrAvia_act!W8*1000)</f>
        <v>79.532965920502534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527.48474214363819</v>
      </c>
      <c r="C33" s="101">
        <f>IF(C11=0,0,C11/TrAvia_act!C9*1000)</f>
        <v>577.09932234438861</v>
      </c>
      <c r="D33" s="101">
        <f>IF(D11=0,0,D11/TrAvia_act!D9*1000)</f>
        <v>550.38678870166393</v>
      </c>
      <c r="E33" s="101">
        <f>IF(E11=0,0,E11/TrAvia_act!E9*1000)</f>
        <v>531.3676633073095</v>
      </c>
      <c r="F33" s="101">
        <f>IF(F11=0,0,F11/TrAvia_act!F9*1000)</f>
        <v>559.03083017487029</v>
      </c>
      <c r="G33" s="101">
        <f>IF(G11=0,0,G11/TrAvia_act!G9*1000)</f>
        <v>595.63578969537366</v>
      </c>
      <c r="H33" s="101">
        <f>IF(H11=0,0,H11/TrAvia_act!H9*1000)</f>
        <v>614.5184544105025</v>
      </c>
      <c r="I33" s="101">
        <f>IF(I11=0,0,I11/TrAvia_act!I9*1000)</f>
        <v>608.14045939041955</v>
      </c>
      <c r="J33" s="101">
        <f>IF(J11=0,0,J11/TrAvia_act!J9*1000)</f>
        <v>632.32792145552423</v>
      </c>
      <c r="K33" s="101">
        <f>IF(K11=0,0,K11/TrAvia_act!K9*1000)</f>
        <v>625.02838901305552</v>
      </c>
      <c r="L33" s="101">
        <f>IF(L11=0,0,L11/TrAvia_act!L9*1000)</f>
        <v>657.37579425147567</v>
      </c>
      <c r="M33" s="101">
        <f>IF(M11=0,0,M11/TrAvia_act!M9*1000)</f>
        <v>552.83618873638682</v>
      </c>
      <c r="N33" s="101">
        <f>IF(N11=0,0,N11/TrAvia_act!N9*1000)</f>
        <v>565.84508487012135</v>
      </c>
      <c r="O33" s="101">
        <f>IF(O11=0,0,O11/TrAvia_act!O9*1000)</f>
        <v>555.2583547373597</v>
      </c>
      <c r="P33" s="101">
        <f>IF(P11=0,0,P11/TrAvia_act!P9*1000)</f>
        <v>519.39450467884319</v>
      </c>
      <c r="Q33" s="101">
        <f>IF(Q11=0,0,Q11/TrAvia_act!Q9*1000)</f>
        <v>528.48057390681879</v>
      </c>
      <c r="R33" s="101">
        <f>IF(R11=0,0,R11/TrAvia_act!R9*1000)</f>
        <v>478.33023303441416</v>
      </c>
      <c r="S33" s="101">
        <f>IF(S11=0,0,S11/TrAvia_act!S9*1000)</f>
        <v>535.9774194670722</v>
      </c>
      <c r="T33" s="101">
        <f>IF(T11=0,0,T11/TrAvia_act!T9*1000)</f>
        <v>486.74808509492743</v>
      </c>
      <c r="U33" s="101">
        <f>IF(U11=0,0,U11/TrAvia_act!U9*1000)</f>
        <v>445.05090072673528</v>
      </c>
      <c r="V33" s="101">
        <f>IF(V11=0,0,V11/TrAvia_act!V9*1000)</f>
        <v>408.15605990574375</v>
      </c>
      <c r="W33" s="101">
        <f>IF(W11=0,0,W11/TrAvia_act!W9*1000)</f>
        <v>476.31716630606087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115.24303556349282</v>
      </c>
      <c r="C34" s="101">
        <f>IF(C12=0,0,C12/TrAvia_act!C10*1000)</f>
        <v>120.92957544939446</v>
      </c>
      <c r="D34" s="101">
        <f>IF(D12=0,0,D12/TrAvia_act!D10*1000)</f>
        <v>114.56213265388031</v>
      </c>
      <c r="E34" s="101">
        <f>IF(E12=0,0,E12/TrAvia_act!E10*1000)</f>
        <v>127.91861926455111</v>
      </c>
      <c r="F34" s="101">
        <f>IF(F12=0,0,F12/TrAvia_act!F10*1000)</f>
        <v>140.52871072234299</v>
      </c>
      <c r="G34" s="101">
        <f>IF(G12=0,0,G12/TrAvia_act!G10*1000)</f>
        <v>137.3166065465974</v>
      </c>
      <c r="H34" s="101">
        <f>IF(H12=0,0,H12/TrAvia_act!H10*1000)</f>
        <v>165.10165963867843</v>
      </c>
      <c r="I34" s="101">
        <f>IF(I12=0,0,I12/TrAvia_act!I10*1000)</f>
        <v>163.77056728335219</v>
      </c>
      <c r="J34" s="101">
        <f>IF(J12=0,0,J12/TrAvia_act!J10*1000)</f>
        <v>166.09947566484027</v>
      </c>
      <c r="K34" s="101">
        <f>IF(K12=0,0,K12/TrAvia_act!K10*1000)</f>
        <v>166.29555288917689</v>
      </c>
      <c r="L34" s="101">
        <f>IF(L12=0,0,L12/TrAvia_act!L10*1000)</f>
        <v>150.06439560762891</v>
      </c>
      <c r="M34" s="101">
        <f>IF(M12=0,0,M12/TrAvia_act!M10*1000)</f>
        <v>157.42795789724448</v>
      </c>
      <c r="N34" s="101">
        <f>IF(N12=0,0,N12/TrAvia_act!N10*1000)</f>
        <v>147.98380411757475</v>
      </c>
      <c r="O34" s="101">
        <f>IF(O12=0,0,O12/TrAvia_act!O10*1000)</f>
        <v>143.72221687696572</v>
      </c>
      <c r="P34" s="101">
        <f>IF(P12=0,0,P12/TrAvia_act!P10*1000)</f>
        <v>118.35978360244981</v>
      </c>
      <c r="Q34" s="101">
        <f>IF(Q12=0,0,Q12/TrAvia_act!Q10*1000)</f>
        <v>124.69665864974618</v>
      </c>
      <c r="R34" s="101">
        <f>IF(R12=0,0,R12/TrAvia_act!R10*1000)</f>
        <v>110.42716211587552</v>
      </c>
      <c r="S34" s="101">
        <f>IF(S12=0,0,S12/TrAvia_act!S10*1000)</f>
        <v>123.51610819804021</v>
      </c>
      <c r="T34" s="101">
        <f>IF(T12=0,0,T12/TrAvia_act!T10*1000)</f>
        <v>124.2145876475315</v>
      </c>
      <c r="U34" s="101">
        <f>IF(U12=0,0,U12/TrAvia_act!U10*1000)</f>
        <v>121.71472336267639</v>
      </c>
      <c r="V34" s="101">
        <f>IF(V12=0,0,V12/TrAvia_act!V10*1000)</f>
        <v>125.06514275810009</v>
      </c>
      <c r="W34" s="101">
        <f>IF(W12=0,0,W12/TrAvia_act!W10*1000)</f>
        <v>114.80521722235017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65.240112033018065</v>
      </c>
      <c r="C35" s="88">
        <f>IF(C13=0,0,C13/TrAvia_act!C11*1000)</f>
        <v>68.591951760387204</v>
      </c>
      <c r="D35" s="88">
        <f>IF(D13=0,0,D13/TrAvia_act!D11*1000)</f>
        <v>64.919638008320078</v>
      </c>
      <c r="E35" s="88">
        <f>IF(E13=0,0,E13/TrAvia_act!E11*1000)</f>
        <v>80.972028751203283</v>
      </c>
      <c r="F35" s="88">
        <f>IF(F13=0,0,F13/TrAvia_act!F11*1000)</f>
        <v>82.983298854942745</v>
      </c>
      <c r="G35" s="88">
        <f>IF(G13=0,0,G13/TrAvia_act!G11*1000)</f>
        <v>76.678807039722997</v>
      </c>
      <c r="H35" s="88">
        <f>IF(H13=0,0,H13/TrAvia_act!H11*1000)</f>
        <v>69.472835823226262</v>
      </c>
      <c r="I35" s="88">
        <f>IF(I13=0,0,I13/TrAvia_act!I11*1000)</f>
        <v>63.648007881913948</v>
      </c>
      <c r="J35" s="88">
        <f>IF(J13=0,0,J13/TrAvia_act!J11*1000)</f>
        <v>56.710493806081153</v>
      </c>
      <c r="K35" s="88">
        <f>IF(K13=0,0,K13/TrAvia_act!K11*1000)</f>
        <v>52.578119228038943</v>
      </c>
      <c r="L35" s="88">
        <f>IF(L13=0,0,L13/TrAvia_act!L11*1000)</f>
        <v>48.641953233693627</v>
      </c>
      <c r="M35" s="88">
        <f>IF(M13=0,0,M13/TrAvia_act!M11*1000)</f>
        <v>50.090335720969556</v>
      </c>
      <c r="N35" s="88">
        <f>IF(N13=0,0,N13/TrAvia_act!N11*1000)</f>
        <v>45.388679475676646</v>
      </c>
      <c r="O35" s="88">
        <f>IF(O13=0,0,O13/TrAvia_act!O11*1000)</f>
        <v>47.757309573530605</v>
      </c>
      <c r="P35" s="88">
        <f>IF(P13=0,0,P13/TrAvia_act!P11*1000)</f>
        <v>44.335989696959842</v>
      </c>
      <c r="Q35" s="88">
        <f>IF(Q13=0,0,Q13/TrAvia_act!Q11*1000)</f>
        <v>48.330806727876102</v>
      </c>
      <c r="R35" s="88">
        <f>IF(R13=0,0,R13/TrAvia_act!R11*1000)</f>
        <v>43.369189901035199</v>
      </c>
      <c r="S35" s="88">
        <f>IF(S13=0,0,S13/TrAvia_act!S11*1000)</f>
        <v>43.263327836682379</v>
      </c>
      <c r="T35" s="88">
        <f>IF(T13=0,0,T13/TrAvia_act!T11*1000)</f>
        <v>41.925464588344475</v>
      </c>
      <c r="U35" s="88">
        <f>IF(U13=0,0,U13/TrAvia_act!U11*1000)</f>
        <v>37.316691877528335</v>
      </c>
      <c r="V35" s="88">
        <f>IF(V13=0,0,V13/TrAvia_act!V11*1000)</f>
        <v>73.065512074104618</v>
      </c>
      <c r="W35" s="88">
        <f>IF(W13=0,0,W13/TrAvia_act!W11*1000)</f>
        <v>65.846035896033783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5885.4317505926347</v>
      </c>
      <c r="C37" s="62">
        <f>IF(C3=0,0,C3/TrAvia_act!C23*1000000)</f>
        <v>6304.0356515788826</v>
      </c>
      <c r="D37" s="62">
        <f>IF(D3=0,0,D3/TrAvia_act!D23*1000000)</f>
        <v>6040.4404429307187</v>
      </c>
      <c r="E37" s="62">
        <f>IF(E3=0,0,E3/TrAvia_act!E23*1000000)</f>
        <v>6293.6433260990225</v>
      </c>
      <c r="F37" s="62">
        <f>IF(F3=0,0,F3/TrAvia_act!F23*1000000)</f>
        <v>6305.1144772996186</v>
      </c>
      <c r="G37" s="62">
        <f>IF(G3=0,0,G3/TrAvia_act!G23*1000000)</f>
        <v>6203.6784319997405</v>
      </c>
      <c r="H37" s="62">
        <f>IF(H3=0,0,H3/TrAvia_act!H23*1000000)</f>
        <v>6241.4626198318647</v>
      </c>
      <c r="I37" s="62">
        <f>IF(I3=0,0,I3/TrAvia_act!I23*1000000)</f>
        <v>6077.7027806581746</v>
      </c>
      <c r="J37" s="62">
        <f>IF(J3=0,0,J3/TrAvia_act!J23*1000000)</f>
        <v>6129.5481318209349</v>
      </c>
      <c r="K37" s="62">
        <f>IF(K3=0,0,K3/TrAvia_act!K23*1000000)</f>
        <v>6249.3562468736091</v>
      </c>
      <c r="L37" s="62">
        <f>IF(L3=0,0,L3/TrAvia_act!L23*1000000)</f>
        <v>6387.5741883860255</v>
      </c>
      <c r="M37" s="62">
        <f>IF(M3=0,0,M3/TrAvia_act!M23*1000000)</f>
        <v>6644.3863221967913</v>
      </c>
      <c r="N37" s="62">
        <f>IF(N3=0,0,N3/TrAvia_act!N23*1000000)</f>
        <v>6934.6344842346007</v>
      </c>
      <c r="O37" s="62">
        <f>IF(O3=0,0,O3/TrAvia_act!O23*1000000)</f>
        <v>7038.1849758091821</v>
      </c>
      <c r="P37" s="62">
        <f>IF(P3=0,0,P3/TrAvia_act!P23*1000000)</f>
        <v>7033.2171363535645</v>
      </c>
      <c r="Q37" s="62">
        <f>IF(Q3=0,0,Q3/TrAvia_act!Q23*1000000)</f>
        <v>7300.7727928452132</v>
      </c>
      <c r="R37" s="62">
        <f>IF(R3=0,0,R3/TrAvia_act!R23*1000000)</f>
        <v>7344.8840726014823</v>
      </c>
      <c r="S37" s="62">
        <f>IF(S3=0,0,S3/TrAvia_act!S23*1000000)</f>
        <v>7544.171349571915</v>
      </c>
      <c r="T37" s="62">
        <f>IF(T3=0,0,T3/TrAvia_act!T23*1000000)</f>
        <v>7366.105190545376</v>
      </c>
      <c r="U37" s="62">
        <f>IF(U3=0,0,U3/TrAvia_act!U23*1000000)</f>
        <v>7426.1605255474751</v>
      </c>
      <c r="V37" s="62">
        <f>IF(V3=0,0,V3/TrAvia_act!V23*1000000)</f>
        <v>6586.6088316322148</v>
      </c>
      <c r="W37" s="62">
        <f>IF(W3=0,0,W3/TrAvia_act!W23*1000000)</f>
        <v>6409.6009210292395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5877.5826677513187</v>
      </c>
      <c r="C38" s="14">
        <f>IF(C6=0,0,C6/TrAvia_act!C24*1000000)</f>
        <v>6290.7701557008249</v>
      </c>
      <c r="D38" s="14">
        <f>IF(D6=0,0,D6/TrAvia_act!D24*1000000)</f>
        <v>6032.8966028802661</v>
      </c>
      <c r="E38" s="14">
        <f>IF(E6=0,0,E6/TrAvia_act!E24*1000000)</f>
        <v>6274.5260636739049</v>
      </c>
      <c r="F38" s="14">
        <f>IF(F6=0,0,F6/TrAvia_act!F24*1000000)</f>
        <v>6286.7708498427</v>
      </c>
      <c r="G38" s="14">
        <f>IF(G6=0,0,G6/TrAvia_act!G24*1000000)</f>
        <v>6189.9064912449066</v>
      </c>
      <c r="H38" s="14">
        <f>IF(H6=0,0,H6/TrAvia_act!H24*1000000)</f>
        <v>6230.8854213345348</v>
      </c>
      <c r="I38" s="14">
        <f>IF(I6=0,0,I6/TrAvia_act!I24*1000000)</f>
        <v>6062.7705431668837</v>
      </c>
      <c r="J38" s="14">
        <f>IF(J6=0,0,J6/TrAvia_act!J24*1000000)</f>
        <v>6117.7665131110398</v>
      </c>
      <c r="K38" s="14">
        <f>IF(K6=0,0,K6/TrAvia_act!K24*1000000)</f>
        <v>6236.9593343834995</v>
      </c>
      <c r="L38" s="14">
        <f>IF(L6=0,0,L6/TrAvia_act!L24*1000000)</f>
        <v>6366.467731838191</v>
      </c>
      <c r="M38" s="14">
        <f>IF(M6=0,0,M6/TrAvia_act!M24*1000000)</f>
        <v>6625.2749843902811</v>
      </c>
      <c r="N38" s="14">
        <f>IF(N6=0,0,N6/TrAvia_act!N24*1000000)</f>
        <v>6920.2461015435911</v>
      </c>
      <c r="O38" s="14">
        <f>IF(O6=0,0,O6/TrAvia_act!O24*1000000)</f>
        <v>7018.1918123768946</v>
      </c>
      <c r="P38" s="14">
        <f>IF(P6=0,0,P6/TrAvia_act!P24*1000000)</f>
        <v>7008.1831481271129</v>
      </c>
      <c r="Q38" s="14">
        <f>IF(Q6=0,0,Q6/TrAvia_act!Q24*1000000)</f>
        <v>7266.9707971020789</v>
      </c>
      <c r="R38" s="14">
        <f>IF(R6=0,0,R6/TrAvia_act!R24*1000000)</f>
        <v>7311.3654420127632</v>
      </c>
      <c r="S38" s="14">
        <f>IF(S6=0,0,S6/TrAvia_act!S24*1000000)</f>
        <v>7501.6699282704549</v>
      </c>
      <c r="T38" s="14">
        <f>IF(T6=0,0,T6/TrAvia_act!T24*1000000)</f>
        <v>7317.2209015790741</v>
      </c>
      <c r="U38" s="14">
        <f>IF(U6=0,0,U6/TrAvia_act!U24*1000000)</f>
        <v>7390.5214318938752</v>
      </c>
      <c r="V38" s="14">
        <f>IF(V6=0,0,V6/TrAvia_act!V24*1000000)</f>
        <v>6407.4465042941483</v>
      </c>
      <c r="W38" s="14">
        <f>IF(W6=0,0,W6/TrAvia_act!W24*1000000)</f>
        <v>6288.9846198188843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4247.6254139484945</v>
      </c>
      <c r="C39" s="87">
        <f>IF(C7=0,0,C7/TrAvia_act!C25*1000000)</f>
        <v>4611.7190380822012</v>
      </c>
      <c r="D39" s="87">
        <f>IF(D7=0,0,D7/TrAvia_act!D25*1000000)</f>
        <v>4522.8520367178307</v>
      </c>
      <c r="E39" s="87">
        <f>IF(E7=0,0,E7/TrAvia_act!E25*1000000)</f>
        <v>4644.6557547847269</v>
      </c>
      <c r="F39" s="87">
        <f>IF(F7=0,0,F7/TrAvia_act!F25*1000000)</f>
        <v>4601.3729572420771</v>
      </c>
      <c r="G39" s="87">
        <f>IF(G7=0,0,G7/TrAvia_act!G25*1000000)</f>
        <v>4845.8119690700487</v>
      </c>
      <c r="H39" s="87">
        <f>IF(H7=0,0,H7/TrAvia_act!H25*1000000)</f>
        <v>4862.2715877776463</v>
      </c>
      <c r="I39" s="87">
        <f>IF(I7=0,0,I7/TrAvia_act!I25*1000000)</f>
        <v>4862.6478679432139</v>
      </c>
      <c r="J39" s="87">
        <f>IF(J7=0,0,J7/TrAvia_act!J25*1000000)</f>
        <v>4897.4304173535083</v>
      </c>
      <c r="K39" s="87">
        <f>IF(K7=0,0,K7/TrAvia_act!K25*1000000)</f>
        <v>4879.5380871502821</v>
      </c>
      <c r="L39" s="87">
        <f>IF(L7=0,0,L7/TrAvia_act!L25*1000000)</f>
        <v>5587.1848903390128</v>
      </c>
      <c r="M39" s="87">
        <f>IF(M7=0,0,M7/TrAvia_act!M25*1000000)</f>
        <v>5165.1020271114767</v>
      </c>
      <c r="N39" s="87">
        <f>IF(N7=0,0,N7/TrAvia_act!N25*1000000)</f>
        <v>5369.3245402694838</v>
      </c>
      <c r="O39" s="87">
        <f>IF(O7=0,0,O7/TrAvia_act!O25*1000000)</f>
        <v>5452.8964320047862</v>
      </c>
      <c r="P39" s="87">
        <f>IF(P7=0,0,P7/TrAvia_act!P25*1000000)</f>
        <v>5664.31993165321</v>
      </c>
      <c r="Q39" s="87">
        <f>IF(Q7=0,0,Q7/TrAvia_act!Q25*1000000)</f>
        <v>5984.4190368039508</v>
      </c>
      <c r="R39" s="87">
        <f>IF(R7=0,0,R7/TrAvia_act!R25*1000000)</f>
        <v>6334.7875802188746</v>
      </c>
      <c r="S39" s="87">
        <f>IF(S7=0,0,S7/TrAvia_act!S25*1000000)</f>
        <v>6527.8708175060201</v>
      </c>
      <c r="T39" s="87">
        <f>IF(T7=0,0,T7/TrAvia_act!T25*1000000)</f>
        <v>6097.0545277549018</v>
      </c>
      <c r="U39" s="87">
        <f>IF(U7=0,0,U7/TrAvia_act!U25*1000000)</f>
        <v>6150.7668119253594</v>
      </c>
      <c r="V39" s="87">
        <f>IF(V7=0,0,V7/TrAvia_act!V25*1000000)</f>
        <v>4958.8012847231894</v>
      </c>
      <c r="W39" s="87">
        <f>IF(W7=0,0,W7/TrAvia_act!W25*1000000)</f>
        <v>6297.4174504255061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5482.5001351911005</v>
      </c>
      <c r="C40" s="87">
        <f>IF(C8=0,0,C8/TrAvia_act!C26*1000000)</f>
        <v>6067.7682556329219</v>
      </c>
      <c r="D40" s="87">
        <f>IF(D8=0,0,D8/TrAvia_act!D26*1000000)</f>
        <v>5444.21598937831</v>
      </c>
      <c r="E40" s="87">
        <f>IF(E8=0,0,E8/TrAvia_act!E26*1000000)</f>
        <v>6218.481092145169</v>
      </c>
      <c r="F40" s="87">
        <f>IF(F8=0,0,F8/TrAvia_act!F26*1000000)</f>
        <v>6182.7866456119091</v>
      </c>
      <c r="G40" s="87">
        <f>IF(G8=0,0,G8/TrAvia_act!G26*1000000)</f>
        <v>5946.3377422484064</v>
      </c>
      <c r="H40" s="87">
        <f>IF(H8=0,0,H8/TrAvia_act!H26*1000000)</f>
        <v>6131.0825964338483</v>
      </c>
      <c r="I40" s="87">
        <f>IF(I8=0,0,I8/TrAvia_act!I26*1000000)</f>
        <v>5844.2977692221548</v>
      </c>
      <c r="J40" s="87">
        <f>IF(J8=0,0,J8/TrAvia_act!J26*1000000)</f>
        <v>5833.668167194588</v>
      </c>
      <c r="K40" s="87">
        <f>IF(K8=0,0,K8/TrAvia_act!K26*1000000)</f>
        <v>5897.2842452395926</v>
      </c>
      <c r="L40" s="87">
        <f>IF(L8=0,0,L8/TrAvia_act!L26*1000000)</f>
        <v>5522.9825032906883</v>
      </c>
      <c r="M40" s="87">
        <f>IF(M8=0,0,M8/TrAvia_act!M26*1000000)</f>
        <v>6241.9871145650104</v>
      </c>
      <c r="N40" s="87">
        <f>IF(N8=0,0,N8/TrAvia_act!N26*1000000)</f>
        <v>6355.5756741009172</v>
      </c>
      <c r="O40" s="87">
        <f>IF(O8=0,0,O8/TrAvia_act!O26*1000000)</f>
        <v>6371.7872214296876</v>
      </c>
      <c r="P40" s="87">
        <f>IF(P8=0,0,P8/TrAvia_act!P26*1000000)</f>
        <v>6215.0435062437309</v>
      </c>
      <c r="Q40" s="87">
        <f>IF(Q8=0,0,Q8/TrAvia_act!Q26*1000000)</f>
        <v>6344.1837666489237</v>
      </c>
      <c r="R40" s="87">
        <f>IF(R8=0,0,R8/TrAvia_act!R26*1000000)</f>
        <v>6355.6907582110525</v>
      </c>
      <c r="S40" s="87">
        <f>IF(S8=0,0,S8/TrAvia_act!S26*1000000)</f>
        <v>6602.8077250578463</v>
      </c>
      <c r="T40" s="87">
        <f>IF(T8=0,0,T8/TrAvia_act!T26*1000000)</f>
        <v>6558.072151179852</v>
      </c>
      <c r="U40" s="87">
        <f>IF(U8=0,0,U8/TrAvia_act!U26*1000000)</f>
        <v>6611.9271602672152</v>
      </c>
      <c r="V40" s="87">
        <f>IF(V8=0,0,V8/TrAvia_act!V26*1000000)</f>
        <v>5271.6223193607175</v>
      </c>
      <c r="W40" s="87">
        <f>IF(W8=0,0,W8/TrAvia_act!W26*1000000)</f>
        <v>4481.3703287909566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21403.66702989391</v>
      </c>
      <c r="C41" s="87">
        <f>IF(C9=0,0,C9/TrAvia_act!C27*1000000)</f>
        <v>23573.779336317646</v>
      </c>
      <c r="D41" s="87">
        <f>IF(D9=0,0,D9/TrAvia_act!D27*1000000)</f>
        <v>21071.632446046016</v>
      </c>
      <c r="E41" s="87">
        <f>IF(E9=0,0,E9/TrAvia_act!E27*1000000)</f>
        <v>23884.318731559015</v>
      </c>
      <c r="F41" s="87">
        <f>IF(F9=0,0,F9/TrAvia_act!F27*1000000)</f>
        <v>23759.92831073362</v>
      </c>
      <c r="G41" s="87">
        <f>IF(G9=0,0,G9/TrAvia_act!G27*1000000)</f>
        <v>21296.334311384264</v>
      </c>
      <c r="H41" s="87">
        <f>IF(H9=0,0,H9/TrAvia_act!H27*1000000)</f>
        <v>19602.189415660967</v>
      </c>
      <c r="I41" s="87">
        <f>IF(I9=0,0,I9/TrAvia_act!I27*1000000)</f>
        <v>17851.72849997216</v>
      </c>
      <c r="J41" s="87">
        <f>IF(J9=0,0,J9/TrAvia_act!J27*1000000)</f>
        <v>17570.633508476622</v>
      </c>
      <c r="K41" s="87">
        <f>IF(K9=0,0,K9/TrAvia_act!K27*1000000)</f>
        <v>18477.198530248948</v>
      </c>
      <c r="L41" s="87">
        <f>IF(L9=0,0,L9/TrAvia_act!L27*1000000)</f>
        <v>16340.304752919963</v>
      </c>
      <c r="M41" s="87">
        <f>IF(M9=0,0,M9/TrAvia_act!M27*1000000)</f>
        <v>17218.785918776721</v>
      </c>
      <c r="N41" s="87">
        <f>IF(N9=0,0,N9/TrAvia_act!N27*1000000)</f>
        <v>17488.310026214735</v>
      </c>
      <c r="O41" s="87">
        <f>IF(O9=0,0,O9/TrAvia_act!O27*1000000)</f>
        <v>16474.496471757084</v>
      </c>
      <c r="P41" s="87">
        <f>IF(P9=0,0,P9/TrAvia_act!P27*1000000)</f>
        <v>16798.292819882445</v>
      </c>
      <c r="Q41" s="87">
        <f>IF(Q9=0,0,Q9/TrAvia_act!Q27*1000000)</f>
        <v>17957.688935804905</v>
      </c>
      <c r="R41" s="87">
        <f>IF(R9=0,0,R9/TrAvia_act!R27*1000000)</f>
        <v>17208.759236918264</v>
      </c>
      <c r="S41" s="87">
        <f>IF(S9=0,0,S9/TrAvia_act!S27*1000000)</f>
        <v>17123.263988999541</v>
      </c>
      <c r="T41" s="87">
        <f>IF(T9=0,0,T9/TrAvia_act!T27*1000000)</f>
        <v>17333.736915048528</v>
      </c>
      <c r="U41" s="87">
        <f>IF(U9=0,0,U9/TrAvia_act!U27*1000000)</f>
        <v>17476.201005479743</v>
      </c>
      <c r="V41" s="87">
        <f>IF(V9=0,0,V9/TrAvia_act!V27*1000000)</f>
        <v>26052.151550815361</v>
      </c>
      <c r="W41" s="87">
        <f>IF(W9=0,0,W9/TrAvia_act!W27*1000000)</f>
        <v>18232.870852017564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6204.2072176839765</v>
      </c>
      <c r="C42" s="15">
        <f>IF(C10=0,0,C10/TrAvia_act!C28*1000000)</f>
        <v>6838.8479119990616</v>
      </c>
      <c r="D42" s="15">
        <f>IF(D10=0,0,D10/TrAvia_act!D28*1000000)</f>
        <v>6358.5074209691293</v>
      </c>
      <c r="E42" s="15">
        <f>IF(E10=0,0,E10/TrAvia_act!E28*1000000)</f>
        <v>7205.9810458118054</v>
      </c>
      <c r="F42" s="15">
        <f>IF(F10=0,0,F10/TrAvia_act!F28*1000000)</f>
        <v>7042.0365033696162</v>
      </c>
      <c r="G42" s="15">
        <f>IF(G10=0,0,G10/TrAvia_act!G28*1000000)</f>
        <v>6822.7145732986337</v>
      </c>
      <c r="H42" s="15">
        <f>IF(H10=0,0,H10/TrAvia_act!H28*1000000)</f>
        <v>6730.8470262681894</v>
      </c>
      <c r="I42" s="15">
        <f>IF(I10=0,0,I10/TrAvia_act!I28*1000000)</f>
        <v>6851.811513377269</v>
      </c>
      <c r="J42" s="15">
        <f>IF(J10=0,0,J10/TrAvia_act!J28*1000000)</f>
        <v>6733.2151683241345</v>
      </c>
      <c r="K42" s="15">
        <f>IF(K10=0,0,K10/TrAvia_act!K28*1000000)</f>
        <v>6932.7765842856943</v>
      </c>
      <c r="L42" s="15">
        <f>IF(L10=0,0,L10/TrAvia_act!L28*1000000)</f>
        <v>7519.5320020316485</v>
      </c>
      <c r="M42" s="15">
        <f>IF(M10=0,0,M10/TrAvia_act!M28*1000000)</f>
        <v>7771.8894050421486</v>
      </c>
      <c r="N42" s="15">
        <f>IF(N10=0,0,N10/TrAvia_act!N28*1000000)</f>
        <v>7801.073515984217</v>
      </c>
      <c r="O42" s="15">
        <f>IF(O10=0,0,O10/TrAvia_act!O28*1000000)</f>
        <v>8215.8532382387802</v>
      </c>
      <c r="P42" s="15">
        <f>IF(P10=0,0,P10/TrAvia_act!P28*1000000)</f>
        <v>8699.4160254918552</v>
      </c>
      <c r="Q42" s="15">
        <f>IF(Q10=0,0,Q10/TrAvia_act!Q28*1000000)</f>
        <v>9594.5631272059454</v>
      </c>
      <c r="R42" s="15">
        <f>IF(R10=0,0,R10/TrAvia_act!R28*1000000)</f>
        <v>9988.5138834787431</v>
      </c>
      <c r="S42" s="15">
        <f>IF(S10=0,0,S10/TrAvia_act!S28*1000000)</f>
        <v>10555.7450486003</v>
      </c>
      <c r="T42" s="15">
        <f>IF(T10=0,0,T10/TrAvia_act!T28*1000000)</f>
        <v>10987.662144753001</v>
      </c>
      <c r="U42" s="15">
        <f>IF(U10=0,0,U10/TrAvia_act!U28*1000000)</f>
        <v>10165.29644657567</v>
      </c>
      <c r="V42" s="15">
        <f>IF(V10=0,0,V10/TrAvia_act!V28*1000000)</f>
        <v>12226.676993362626</v>
      </c>
      <c r="W42" s="15">
        <f>IF(W10=0,0,W10/TrAvia_act!W28*1000000)</f>
        <v>10955.055193682727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4440.0756352045664</v>
      </c>
      <c r="C43" s="101">
        <f>IF(C11=0,0,C11/TrAvia_act!C29*1000000)</f>
        <v>4820.6655111716746</v>
      </c>
      <c r="D43" s="101">
        <f>IF(D11=0,0,D11/TrAvia_act!D29*1000000)</f>
        <v>4727.772148627063</v>
      </c>
      <c r="E43" s="101">
        <f>IF(E11=0,0,E11/TrAvia_act!E29*1000000)</f>
        <v>4855.0945153993762</v>
      </c>
      <c r="F43" s="101">
        <f>IF(F11=0,0,F11/TrAvia_act!F29*1000000)</f>
        <v>4809.8506730018007</v>
      </c>
      <c r="G43" s="101">
        <f>IF(G11=0,0,G11/TrAvia_act!G29*1000000)</f>
        <v>5065.3646590389953</v>
      </c>
      <c r="H43" s="101">
        <f>IF(H11=0,0,H11/TrAvia_act!H29*1000000)</f>
        <v>5107.5844281169966</v>
      </c>
      <c r="I43" s="101">
        <f>IF(I11=0,0,I11/TrAvia_act!I29*1000000)</f>
        <v>5133.1112888508442</v>
      </c>
      <c r="J43" s="101">
        <f>IF(J11=0,0,J11/TrAvia_act!J29*1000000)</f>
        <v>5195.2563755949113</v>
      </c>
      <c r="K43" s="101">
        <f>IF(K11=0,0,K11/TrAvia_act!K29*1000000)</f>
        <v>5201.7275641337728</v>
      </c>
      <c r="L43" s="101">
        <f>IF(L11=0,0,L11/TrAvia_act!L29*1000000)</f>
        <v>5985.376058611695</v>
      </c>
      <c r="M43" s="101">
        <f>IF(M11=0,0,M11/TrAvia_act!M29*1000000)</f>
        <v>5475.1336639239671</v>
      </c>
      <c r="N43" s="101">
        <f>IF(N11=0,0,N11/TrAvia_act!N29*1000000)</f>
        <v>5631.8710082582866</v>
      </c>
      <c r="O43" s="101">
        <f>IF(O11=0,0,O11/TrAvia_act!O29*1000000)</f>
        <v>5727.8921999103313</v>
      </c>
      <c r="P43" s="101">
        <f>IF(P11=0,0,P11/TrAvia_act!P29*1000000)</f>
        <v>5958.6940588394655</v>
      </c>
      <c r="Q43" s="101">
        <f>IF(Q11=0,0,Q11/TrAvia_act!Q29*1000000)</f>
        <v>6304.6678797875265</v>
      </c>
      <c r="R43" s="101">
        <f>IF(R11=0,0,R11/TrAvia_act!R29*1000000)</f>
        <v>6683.5985325786714</v>
      </c>
      <c r="S43" s="101">
        <f>IF(S11=0,0,S11/TrAvia_act!S29*1000000)</f>
        <v>6897.4585938943746</v>
      </c>
      <c r="T43" s="101">
        <f>IF(T11=0,0,T11/TrAvia_act!T29*1000000)</f>
        <v>6451.7577120523574</v>
      </c>
      <c r="U43" s="101">
        <f>IF(U11=0,0,U11/TrAvia_act!U29*1000000)</f>
        <v>6539.9596927639695</v>
      </c>
      <c r="V43" s="101">
        <f>IF(V11=0,0,V11/TrAvia_act!V29*1000000)</f>
        <v>5272.5719439791665</v>
      </c>
      <c r="W43" s="101">
        <f>IF(W11=0,0,W11/TrAvia_act!W29*1000000)</f>
        <v>6695.8897245852895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3782.4355140487701</v>
      </c>
      <c r="C44" s="101">
        <f>IF(C12=0,0,C12/TrAvia_act!C30*1000000)</f>
        <v>4166.0702296929803</v>
      </c>
      <c r="D44" s="101">
        <f>IF(D12=0,0,D12/TrAvia_act!D30*1000000)</f>
        <v>3718.3350598545867</v>
      </c>
      <c r="E44" s="101">
        <f>IF(E12=0,0,E12/TrAvia_act!E30*1000000)</f>
        <v>4229.4714886524162</v>
      </c>
      <c r="F44" s="101">
        <f>IF(F12=0,0,F12/TrAvia_act!F30*1000000)</f>
        <v>4207.9239466858344</v>
      </c>
      <c r="G44" s="101">
        <f>IF(G12=0,0,G12/TrAvia_act!G30*1000000)</f>
        <v>4024.0194613046187</v>
      </c>
      <c r="H44" s="101">
        <f>IF(H12=0,0,H12/TrAvia_act!H30*1000000)</f>
        <v>4144.7313169418794</v>
      </c>
      <c r="I44" s="101">
        <f>IF(I12=0,0,I12/TrAvia_act!I30*1000000)</f>
        <v>3911.6470541965309</v>
      </c>
      <c r="J44" s="101">
        <f>IF(J12=0,0,J12/TrAvia_act!J30*1000000)</f>
        <v>3878.5074796919384</v>
      </c>
      <c r="K44" s="101">
        <f>IF(K12=0,0,K12/TrAvia_act!K30*1000000)</f>
        <v>3989.4614757757945</v>
      </c>
      <c r="L44" s="101">
        <f>IF(L12=0,0,L12/TrAvia_act!L30*1000000)</f>
        <v>3679.5559009467161</v>
      </c>
      <c r="M44" s="101">
        <f>IF(M12=0,0,M12/TrAvia_act!M30*1000000)</f>
        <v>4019.2321727274584</v>
      </c>
      <c r="N44" s="101">
        <f>IF(N12=0,0,N12/TrAvia_act!N30*1000000)</f>
        <v>4051.0508543669334</v>
      </c>
      <c r="O44" s="101">
        <f>IF(O12=0,0,O12/TrAvia_act!O30*1000000)</f>
        <v>3964.668534910661</v>
      </c>
      <c r="P44" s="101">
        <f>IF(P12=0,0,P12/TrAvia_act!P30*1000000)</f>
        <v>3780.2366629883008</v>
      </c>
      <c r="Q44" s="101">
        <f>IF(Q12=0,0,Q12/TrAvia_act!Q30*1000000)</f>
        <v>3831.3358346831114</v>
      </c>
      <c r="R44" s="101">
        <f>IF(R12=0,0,R12/TrAvia_act!R30*1000000)</f>
        <v>3760.9628078844376</v>
      </c>
      <c r="S44" s="101">
        <f>IF(S12=0,0,S12/TrAvia_act!S30*1000000)</f>
        <v>3848.3726633624683</v>
      </c>
      <c r="T44" s="101">
        <f>IF(T12=0,0,T12/TrAvia_act!T30*1000000)</f>
        <v>3814.3244710033205</v>
      </c>
      <c r="U44" s="101">
        <f>IF(U12=0,0,U12/TrAvia_act!U30*1000000)</f>
        <v>3960.3252721682147</v>
      </c>
      <c r="V44" s="101">
        <f>IF(V12=0,0,V12/TrAvia_act!V30*1000000)</f>
        <v>3557.4847602107725</v>
      </c>
      <c r="W44" s="101">
        <f>IF(W12=0,0,W12/TrAvia_act!W30*1000000)</f>
        <v>2983.9603574854923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25999.225913522474</v>
      </c>
      <c r="C45" s="88">
        <f>IF(C13=0,0,C13/TrAvia_act!C31*1000000)</f>
        <v>28635.280755602744</v>
      </c>
      <c r="D45" s="88">
        <f>IF(D13=0,0,D13/TrAvia_act!D31*1000000)</f>
        <v>25595.900532665677</v>
      </c>
      <c r="E45" s="88">
        <f>IF(E13=0,0,E13/TrAvia_act!E31*1000000)</f>
        <v>29012.495738467722</v>
      </c>
      <c r="F45" s="88">
        <f>IF(F13=0,0,F13/TrAvia_act!F31*1000000)</f>
        <v>28861.397580941699</v>
      </c>
      <c r="G45" s="88">
        <f>IF(G13=0,0,G13/TrAvia_act!G31*1000000)</f>
        <v>25366.958654732414</v>
      </c>
      <c r="H45" s="88">
        <f>IF(H13=0,0,H13/TrAvia_act!H31*1000000)</f>
        <v>22381.14816836247</v>
      </c>
      <c r="I45" s="88">
        <f>IF(I13=0,0,I13/TrAvia_act!I31*1000000)</f>
        <v>20023.346719128742</v>
      </c>
      <c r="J45" s="88">
        <f>IF(J13=0,0,J13/TrAvia_act!J31*1000000)</f>
        <v>18048.991310617417</v>
      </c>
      <c r="K45" s="88">
        <f>IF(K13=0,0,K13/TrAvia_act!K31*1000000)</f>
        <v>18703.426263390174</v>
      </c>
      <c r="L45" s="88">
        <f>IF(L13=0,0,L13/TrAvia_act!L31*1000000)</f>
        <v>17007.091104835672</v>
      </c>
      <c r="M45" s="88">
        <f>IF(M13=0,0,M13/TrAvia_act!M31*1000000)</f>
        <v>17170.406349412489</v>
      </c>
      <c r="N45" s="88">
        <f>IF(N13=0,0,N13/TrAvia_act!N31*1000000)</f>
        <v>15838.793977649284</v>
      </c>
      <c r="O45" s="88">
        <f>IF(O13=0,0,O13/TrAvia_act!O31*1000000)</f>
        <v>17280.453942507938</v>
      </c>
      <c r="P45" s="88">
        <f>IF(P13=0,0,P13/TrAvia_act!P31*1000000)</f>
        <v>19141.488785950933</v>
      </c>
      <c r="Q45" s="88">
        <f>IF(Q13=0,0,Q13/TrAvia_act!Q31*1000000)</f>
        <v>21858.688286141209</v>
      </c>
      <c r="R45" s="88">
        <f>IF(R13=0,0,R13/TrAvia_act!R31*1000000)</f>
        <v>22350.008928777759</v>
      </c>
      <c r="S45" s="88">
        <f>IF(S13=0,0,S13/TrAvia_act!S31*1000000)</f>
        <v>22955.937181521469</v>
      </c>
      <c r="T45" s="88">
        <f>IF(T13=0,0,T13/TrAvia_act!T31*1000000)</f>
        <v>24019.93679435816</v>
      </c>
      <c r="U45" s="88">
        <f>IF(U13=0,0,U13/TrAvia_act!U31*1000000)</f>
        <v>20923.677522820326</v>
      </c>
      <c r="V45" s="88">
        <f>IF(V13=0,0,V13/TrAvia_act!V31*1000000)</f>
        <v>29800.60160492449</v>
      </c>
      <c r="W45" s="88">
        <f>IF(W13=0,0,W13/TrAvia_act!W31*1000000)</f>
        <v>23297.963998851221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0.97466749977177014</v>
      </c>
      <c r="C48" s="16">
        <f t="shared" si="35"/>
        <v>0.97374297017676625</v>
      </c>
      <c r="D48" s="16">
        <f t="shared" ref="D48:V48" si="36">IF(D6=0,0,D6/D$3)</f>
        <v>0.97561177337523852</v>
      </c>
      <c r="E48" s="16">
        <f t="shared" si="36"/>
        <v>0.97650070569653613</v>
      </c>
      <c r="F48" s="16">
        <f t="shared" si="36"/>
        <v>0.97287368614275482</v>
      </c>
      <c r="G48" s="16">
        <f t="shared" si="36"/>
        <v>0.97606513107209769</v>
      </c>
      <c r="H48" s="16">
        <f t="shared" si="36"/>
        <v>0.97718516419394563</v>
      </c>
      <c r="I48" s="16">
        <f t="shared" si="36"/>
        <v>0.97866506696542443</v>
      </c>
      <c r="J48" s="16">
        <f t="shared" si="36"/>
        <v>0.97897155446823736</v>
      </c>
      <c r="K48" s="16">
        <f t="shared" si="36"/>
        <v>0.98023529817730093</v>
      </c>
      <c r="L48" s="16">
        <f t="shared" si="36"/>
        <v>0.97845151867459956</v>
      </c>
      <c r="M48" s="16">
        <f t="shared" si="36"/>
        <v>0.98050400405198745</v>
      </c>
      <c r="N48" s="16">
        <f t="shared" si="36"/>
        <v>0.98162395891757159</v>
      </c>
      <c r="O48" s="16">
        <f t="shared" si="36"/>
        <v>0.9805132483584037</v>
      </c>
      <c r="P48" s="16">
        <f t="shared" si="36"/>
        <v>0.98169108090196577</v>
      </c>
      <c r="Q48" s="16">
        <f t="shared" si="36"/>
        <v>0.98091501614313792</v>
      </c>
      <c r="R48" s="16">
        <f t="shared" si="36"/>
        <v>0.98297332890813438</v>
      </c>
      <c r="S48" s="16">
        <f t="shared" si="36"/>
        <v>0.98052842477107627</v>
      </c>
      <c r="T48" s="16">
        <f t="shared" si="36"/>
        <v>0.98013363515607554</v>
      </c>
      <c r="U48" s="16">
        <f t="shared" si="36"/>
        <v>0.9824185539994329</v>
      </c>
      <c r="V48" s="16">
        <f t="shared" si="36"/>
        <v>0.94284849082023814</v>
      </c>
      <c r="W48" s="16">
        <f t="shared" ref="W48" si="37">IF(W6=0,0,W6/W$3)</f>
        <v>0.95581872109416588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0.38564828527315098</v>
      </c>
      <c r="C49" s="103">
        <f t="shared" si="38"/>
        <v>0.37970832147756278</v>
      </c>
      <c r="D49" s="103">
        <f t="shared" ref="D49:V49" si="39">IF(D7=0,0,D7/D$3)</f>
        <v>0.37212909990962084</v>
      </c>
      <c r="E49" s="103">
        <f t="shared" si="39"/>
        <v>0.37383945221828491</v>
      </c>
      <c r="F49" s="103">
        <f t="shared" si="39"/>
        <v>0.37153126285148708</v>
      </c>
      <c r="G49" s="103">
        <f t="shared" si="39"/>
        <v>0.40788480815785344</v>
      </c>
      <c r="H49" s="103">
        <f t="shared" si="39"/>
        <v>0.41027071541496163</v>
      </c>
      <c r="I49" s="103">
        <f t="shared" si="39"/>
        <v>0.41136349963134283</v>
      </c>
      <c r="J49" s="103">
        <f t="shared" si="39"/>
        <v>0.4018900488993834</v>
      </c>
      <c r="K49" s="103">
        <f t="shared" si="39"/>
        <v>0.3912053723492841</v>
      </c>
      <c r="L49" s="103">
        <f t="shared" si="39"/>
        <v>0.42741196984824492</v>
      </c>
      <c r="M49" s="103">
        <f t="shared" si="39"/>
        <v>0.3604243225669076</v>
      </c>
      <c r="N49" s="103">
        <f t="shared" si="39"/>
        <v>0.33084087336770135</v>
      </c>
      <c r="O49" s="103">
        <f t="shared" si="39"/>
        <v>0.29686552778457026</v>
      </c>
      <c r="P49" s="103">
        <f t="shared" si="39"/>
        <v>0.30580339621771579</v>
      </c>
      <c r="Q49" s="103">
        <f t="shared" si="39"/>
        <v>0.31125066368067461</v>
      </c>
      <c r="R49" s="103">
        <f t="shared" si="39"/>
        <v>0.31743310607812414</v>
      </c>
      <c r="S49" s="103">
        <f t="shared" si="39"/>
        <v>0.31628262014484476</v>
      </c>
      <c r="T49" s="103">
        <f t="shared" si="39"/>
        <v>0.31660156061464012</v>
      </c>
      <c r="U49" s="103">
        <f t="shared" si="39"/>
        <v>0.32395499534518624</v>
      </c>
      <c r="V49" s="103">
        <f t="shared" si="39"/>
        <v>0.37206012689127255</v>
      </c>
      <c r="W49" s="103">
        <f t="shared" ref="W49" si="40">IF(W7=0,0,W7/W$3)</f>
        <v>0.46751333377527338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0.35021931155024277</v>
      </c>
      <c r="C50" s="103">
        <f t="shared" si="41"/>
        <v>0.38611413315381116</v>
      </c>
      <c r="D50" s="103">
        <f t="shared" ref="D50:V50" si="42">IF(D8=0,0,D8/D$3)</f>
        <v>0.37290199690073389</v>
      </c>
      <c r="E50" s="103">
        <f t="shared" si="42"/>
        <v>0.41960445997213947</v>
      </c>
      <c r="F50" s="103">
        <f t="shared" si="42"/>
        <v>0.40698695309642724</v>
      </c>
      <c r="G50" s="103">
        <f t="shared" si="42"/>
        <v>0.38637523052645706</v>
      </c>
      <c r="H50" s="103">
        <f t="shared" si="42"/>
        <v>0.38835237360766611</v>
      </c>
      <c r="I50" s="103">
        <f t="shared" si="42"/>
        <v>0.39140645770161103</v>
      </c>
      <c r="J50" s="103">
        <f t="shared" si="42"/>
        <v>0.39400817909751434</v>
      </c>
      <c r="K50" s="103">
        <f t="shared" si="42"/>
        <v>0.39077233167302866</v>
      </c>
      <c r="L50" s="103">
        <f t="shared" si="42"/>
        <v>0.36263782934659494</v>
      </c>
      <c r="M50" s="103">
        <f t="shared" si="42"/>
        <v>0.41322104191760517</v>
      </c>
      <c r="N50" s="103">
        <f t="shared" si="42"/>
        <v>0.42949620137572947</v>
      </c>
      <c r="O50" s="103">
        <f t="shared" si="42"/>
        <v>0.4548026445436309</v>
      </c>
      <c r="P50" s="103">
        <f t="shared" si="42"/>
        <v>0.452349215961595</v>
      </c>
      <c r="Q50" s="103">
        <f t="shared" si="42"/>
        <v>0.44812675164757426</v>
      </c>
      <c r="R50" s="103">
        <f t="shared" si="42"/>
        <v>0.46015155568781296</v>
      </c>
      <c r="S50" s="103">
        <f t="shared" si="42"/>
        <v>0.46711012141716957</v>
      </c>
      <c r="T50" s="103">
        <f t="shared" si="42"/>
        <v>0.46144944633954121</v>
      </c>
      <c r="U50" s="103">
        <f t="shared" si="42"/>
        <v>0.45290613903844618</v>
      </c>
      <c r="V50" s="103">
        <f t="shared" si="42"/>
        <v>0.33182891631183176</v>
      </c>
      <c r="W50" s="103">
        <f t="shared" ref="W50" si="43">IF(W8=0,0,W8/W$3)</f>
        <v>0.30280743326210935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0.2387999029483763</v>
      </c>
      <c r="C51" s="103">
        <f t="shared" si="44"/>
        <v>0.20792051554539245</v>
      </c>
      <c r="D51" s="103">
        <f t="shared" ref="D51:V51" si="45">IF(D9=0,0,D9/D$3)</f>
        <v>0.23058067656488385</v>
      </c>
      <c r="E51" s="103">
        <f t="shared" si="45"/>
        <v>0.18305679350611173</v>
      </c>
      <c r="F51" s="103">
        <f t="shared" si="45"/>
        <v>0.19435547019484059</v>
      </c>
      <c r="G51" s="103">
        <f t="shared" si="45"/>
        <v>0.18180509238778733</v>
      </c>
      <c r="H51" s="103">
        <f t="shared" si="45"/>
        <v>0.17856207517131784</v>
      </c>
      <c r="I51" s="103">
        <f t="shared" si="45"/>
        <v>0.1758951096324706</v>
      </c>
      <c r="J51" s="103">
        <f t="shared" si="45"/>
        <v>0.1830733264713395</v>
      </c>
      <c r="K51" s="103">
        <f t="shared" si="45"/>
        <v>0.1982575941549882</v>
      </c>
      <c r="L51" s="103">
        <f t="shared" si="45"/>
        <v>0.18840171947975964</v>
      </c>
      <c r="M51" s="103">
        <f t="shared" si="45"/>
        <v>0.20685863956747463</v>
      </c>
      <c r="N51" s="103">
        <f t="shared" si="45"/>
        <v>0.22128688417414077</v>
      </c>
      <c r="O51" s="103">
        <f t="shared" si="45"/>
        <v>0.2288450760302026</v>
      </c>
      <c r="P51" s="103">
        <f t="shared" si="45"/>
        <v>0.2235384687226549</v>
      </c>
      <c r="Q51" s="103">
        <f t="shared" si="45"/>
        <v>0.2215376008148891</v>
      </c>
      <c r="R51" s="103">
        <f t="shared" si="45"/>
        <v>0.20538866714219742</v>
      </c>
      <c r="S51" s="103">
        <f t="shared" si="45"/>
        <v>0.19713568320906188</v>
      </c>
      <c r="T51" s="103">
        <f t="shared" si="45"/>
        <v>0.20208262820189427</v>
      </c>
      <c r="U51" s="103">
        <f t="shared" si="45"/>
        <v>0.20555741961580051</v>
      </c>
      <c r="V51" s="103">
        <f t="shared" si="45"/>
        <v>0.23895944761713384</v>
      </c>
      <c r="W51" s="103">
        <f t="shared" ref="W51" si="46">IF(W9=0,0,W9/W$3)</f>
        <v>0.18549795405678321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2.5332500228230061E-2</v>
      </c>
      <c r="C52" s="17">
        <f t="shared" si="47"/>
        <v>2.6257029823233646E-2</v>
      </c>
      <c r="D52" s="17">
        <f t="shared" ref="D52:V52" si="48">IF(D10=0,0,D10/D$3)</f>
        <v>2.4388226624761422E-2</v>
      </c>
      <c r="E52" s="17">
        <f t="shared" si="48"/>
        <v>2.3499294303463886E-2</v>
      </c>
      <c r="F52" s="17">
        <f t="shared" si="48"/>
        <v>2.7126313857245198E-2</v>
      </c>
      <c r="G52" s="17">
        <f t="shared" si="48"/>
        <v>2.3934868927902253E-2</v>
      </c>
      <c r="H52" s="17">
        <f t="shared" si="48"/>
        <v>2.2814835806054534E-2</v>
      </c>
      <c r="I52" s="17">
        <f t="shared" si="48"/>
        <v>2.1334933034575582E-2</v>
      </c>
      <c r="J52" s="17">
        <f t="shared" si="48"/>
        <v>2.1028445531762745E-2</v>
      </c>
      <c r="K52" s="17">
        <f t="shared" si="48"/>
        <v>1.9764701822699106E-2</v>
      </c>
      <c r="L52" s="17">
        <f t="shared" si="48"/>
        <v>2.1548481325400499E-2</v>
      </c>
      <c r="M52" s="17">
        <f t="shared" si="48"/>
        <v>1.9495995948012521E-2</v>
      </c>
      <c r="N52" s="17">
        <f t="shared" si="48"/>
        <v>1.8376041082428421E-2</v>
      </c>
      <c r="O52" s="17">
        <f t="shared" si="48"/>
        <v>1.9486751641596252E-2</v>
      </c>
      <c r="P52" s="17">
        <f t="shared" si="48"/>
        <v>1.8308919098034428E-2</v>
      </c>
      <c r="Q52" s="17">
        <f t="shared" si="48"/>
        <v>1.908498385686213E-2</v>
      </c>
      <c r="R52" s="17">
        <f t="shared" si="48"/>
        <v>1.7026671091865481E-2</v>
      </c>
      <c r="S52" s="17">
        <f t="shared" si="48"/>
        <v>1.9471575228923857E-2</v>
      </c>
      <c r="T52" s="17">
        <f t="shared" si="48"/>
        <v>1.9866364843924383E-2</v>
      </c>
      <c r="U52" s="17">
        <f t="shared" si="48"/>
        <v>1.7581446000567269E-2</v>
      </c>
      <c r="V52" s="17">
        <f t="shared" si="48"/>
        <v>5.7151509179761792E-2</v>
      </c>
      <c r="W52" s="17">
        <f t="shared" ref="W52" si="49">IF(W10=0,0,W10/W$3)</f>
        <v>4.4181278905834176E-2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1.1633742905661035E-2</v>
      </c>
      <c r="C53" s="104">
        <f t="shared" si="50"/>
        <v>1.191529574239333E-2</v>
      </c>
      <c r="D53" s="104">
        <f t="shared" ref="D53:V53" si="51">IF(D11=0,0,D11/D$3)</f>
        <v>1.1522861654202172E-2</v>
      </c>
      <c r="E53" s="104">
        <f t="shared" si="51"/>
        <v>9.5236119791289129E-3</v>
      </c>
      <c r="F53" s="104">
        <f t="shared" si="51"/>
        <v>1.1527416176331703E-2</v>
      </c>
      <c r="G53" s="104">
        <f t="shared" si="51"/>
        <v>1.1145881018499509E-2</v>
      </c>
      <c r="H53" s="104">
        <f t="shared" si="51"/>
        <v>1.0757686319411255E-2</v>
      </c>
      <c r="I53" s="104">
        <f t="shared" si="51"/>
        <v>9.8139054873813275E-3</v>
      </c>
      <c r="J53" s="104">
        <f t="shared" si="51"/>
        <v>9.6713388845413532E-3</v>
      </c>
      <c r="K53" s="104">
        <f t="shared" si="51"/>
        <v>8.3721605746695325E-3</v>
      </c>
      <c r="L53" s="104">
        <f t="shared" si="51"/>
        <v>8.5576673016974775E-3</v>
      </c>
      <c r="M53" s="104">
        <f t="shared" si="51"/>
        <v>6.2335168773062846E-3</v>
      </c>
      <c r="N53" s="104">
        <f t="shared" si="51"/>
        <v>5.7131785272651519E-3</v>
      </c>
      <c r="O53" s="104">
        <f t="shared" si="51"/>
        <v>5.5932124661655334E-3</v>
      </c>
      <c r="P53" s="104">
        <f t="shared" si="51"/>
        <v>5.184666766336268E-3</v>
      </c>
      <c r="Q53" s="104">
        <f t="shared" si="51"/>
        <v>4.7326628677902081E-3</v>
      </c>
      <c r="R53" s="104">
        <f t="shared" si="51"/>
        <v>4.2103969835148589E-3</v>
      </c>
      <c r="S53" s="104">
        <f t="shared" si="51"/>
        <v>4.4003400064198854E-3</v>
      </c>
      <c r="T53" s="104">
        <f t="shared" si="51"/>
        <v>3.7842675349256862E-3</v>
      </c>
      <c r="U53" s="104">
        <f t="shared" si="51"/>
        <v>3.2461738207729086E-3</v>
      </c>
      <c r="V53" s="104">
        <f t="shared" si="51"/>
        <v>6.4239875208281271E-3</v>
      </c>
      <c r="W53" s="104">
        <f t="shared" ref="W53" si="52">IF(W11=0,0,W11/W$3)</f>
        <v>6.3486669927679141E-3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4.1433655586488602E-3</v>
      </c>
      <c r="C54" s="104">
        <f t="shared" si="53"/>
        <v>4.2261732350908554E-3</v>
      </c>
      <c r="D54" s="104">
        <f t="shared" ref="D54:V54" si="54">IF(D12=0,0,D12/D$3)</f>
        <v>3.8962319118331836E-3</v>
      </c>
      <c r="E54" s="104">
        <f t="shared" si="54"/>
        <v>4.0491438104501912E-3</v>
      </c>
      <c r="F54" s="104">
        <f t="shared" si="54"/>
        <v>4.5071878455079E-3</v>
      </c>
      <c r="G54" s="104">
        <f t="shared" si="54"/>
        <v>3.8431271055656049E-3</v>
      </c>
      <c r="H54" s="104">
        <f t="shared" si="54"/>
        <v>3.7878716990468798E-3</v>
      </c>
      <c r="I54" s="104">
        <f t="shared" si="54"/>
        <v>3.045637535690586E-3</v>
      </c>
      <c r="J54" s="104">
        <f t="shared" si="54"/>
        <v>3.1235181400269957E-3</v>
      </c>
      <c r="K54" s="104">
        <f t="shared" si="54"/>
        <v>3.2064610545856583E-3</v>
      </c>
      <c r="L54" s="104">
        <f t="shared" si="54"/>
        <v>3.1556043583654807E-3</v>
      </c>
      <c r="M54" s="104">
        <f t="shared" si="54"/>
        <v>3.1360055543923704E-3</v>
      </c>
      <c r="N54" s="104">
        <f t="shared" si="54"/>
        <v>2.9483827937365125E-3</v>
      </c>
      <c r="O54" s="104">
        <f t="shared" si="54"/>
        <v>3.0426029890426223E-3</v>
      </c>
      <c r="P54" s="104">
        <f t="shared" si="54"/>
        <v>2.5854550702811563E-3</v>
      </c>
      <c r="Q54" s="104">
        <f t="shared" si="54"/>
        <v>2.7032308801447848E-3</v>
      </c>
      <c r="R54" s="104">
        <f t="shared" si="54"/>
        <v>2.2665078494819558E-3</v>
      </c>
      <c r="S54" s="104">
        <f t="shared" si="54"/>
        <v>2.5435863279420208E-3</v>
      </c>
      <c r="T54" s="104">
        <f t="shared" si="54"/>
        <v>2.5028919124229082E-3</v>
      </c>
      <c r="U54" s="104">
        <f t="shared" si="54"/>
        <v>2.677294709230965E-3</v>
      </c>
      <c r="V54" s="104">
        <f t="shared" si="54"/>
        <v>7.0845567731854884E-3</v>
      </c>
      <c r="W54" s="104">
        <f t="shared" ref="W54" si="55">IF(W12=0,0,W12/W$3)</f>
        <v>4.9997968358796458E-3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9.5553917639201666E-3</v>
      </c>
      <c r="C55" s="105">
        <f t="shared" si="56"/>
        <v>1.0115560845749463E-2</v>
      </c>
      <c r="D55" s="105">
        <f t="shared" ref="D55:V55" si="57">IF(D13=0,0,D13/D$3)</f>
        <v>8.9691330587260663E-3</v>
      </c>
      <c r="E55" s="105">
        <f t="shared" si="57"/>
        <v>9.9265385138847841E-3</v>
      </c>
      <c r="F55" s="105">
        <f t="shared" si="57"/>
        <v>1.1091709835405594E-2</v>
      </c>
      <c r="G55" s="105">
        <f t="shared" si="57"/>
        <v>8.9458608038371409E-3</v>
      </c>
      <c r="H55" s="105">
        <f t="shared" si="57"/>
        <v>8.2692777875963998E-3</v>
      </c>
      <c r="I55" s="105">
        <f t="shared" si="57"/>
        <v>8.4753900115036706E-3</v>
      </c>
      <c r="J55" s="105">
        <f t="shared" si="57"/>
        <v>8.2335885071943959E-3</v>
      </c>
      <c r="K55" s="105">
        <f t="shared" si="57"/>
        <v>8.1860801934439155E-3</v>
      </c>
      <c r="L55" s="105">
        <f t="shared" si="57"/>
        <v>9.8352096653375395E-3</v>
      </c>
      <c r="M55" s="105">
        <f t="shared" si="57"/>
        <v>1.0126473516313867E-2</v>
      </c>
      <c r="N55" s="105">
        <f t="shared" si="57"/>
        <v>9.7144797614267565E-3</v>
      </c>
      <c r="O55" s="105">
        <f t="shared" si="57"/>
        <v>1.0850936186388096E-2</v>
      </c>
      <c r="P55" s="105">
        <f t="shared" si="57"/>
        <v>1.0538797261417003E-2</v>
      </c>
      <c r="Q55" s="105">
        <f t="shared" si="57"/>
        <v>1.1649090108927136E-2</v>
      </c>
      <c r="R55" s="105">
        <f t="shared" si="57"/>
        <v>1.0549766258868666E-2</v>
      </c>
      <c r="S55" s="105">
        <f t="shared" si="57"/>
        <v>1.2527648894561953E-2</v>
      </c>
      <c r="T55" s="105">
        <f t="shared" si="57"/>
        <v>1.3579205396575788E-2</v>
      </c>
      <c r="U55" s="105">
        <f t="shared" si="57"/>
        <v>1.1657977470563394E-2</v>
      </c>
      <c r="V55" s="105">
        <f t="shared" si="57"/>
        <v>4.3642964885748176E-2</v>
      </c>
      <c r="W55" s="105">
        <f t="shared" ref="W55" si="58">IF(W13=0,0,W13/W$3)</f>
        <v>3.283281507718662E-2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456.00807848288554</v>
      </c>
      <c r="C57" s="62">
        <v>443.60737161709392</v>
      </c>
      <c r="D57" s="62">
        <v>451.20410669258968</v>
      </c>
      <c r="E57" s="62">
        <v>433.06343775142903</v>
      </c>
      <c r="F57" s="62">
        <v>437.77790637921339</v>
      </c>
      <c r="G57" s="62">
        <v>443.19012297509511</v>
      </c>
      <c r="H57" s="62">
        <v>450.7060148685535</v>
      </c>
      <c r="I57" s="62">
        <v>450.68722104576784</v>
      </c>
      <c r="J57" s="62">
        <v>467.42261603171772</v>
      </c>
      <c r="K57" s="62">
        <v>468.06489794614276</v>
      </c>
      <c r="L57" s="62">
        <v>459.53982334361933</v>
      </c>
      <c r="M57" s="62">
        <v>461.76991940542962</v>
      </c>
      <c r="N57" s="62">
        <v>464.95006270177504</v>
      </c>
      <c r="O57" s="62">
        <v>457.05058881557886</v>
      </c>
      <c r="P57" s="62">
        <v>451.2068340432599</v>
      </c>
      <c r="Q57" s="62">
        <v>448.37722324460242</v>
      </c>
      <c r="R57" s="62">
        <v>442.78241192679423</v>
      </c>
      <c r="S57" s="62">
        <v>447.24222088986556</v>
      </c>
      <c r="T57" s="62">
        <v>453.8992066591303</v>
      </c>
      <c r="U57" s="62">
        <v>460.07411303864745</v>
      </c>
      <c r="V57" s="62">
        <v>466.06257514980831</v>
      </c>
      <c r="W57" s="62">
        <v>442.56796199204177</v>
      </c>
      <c r="DA57" s="172" t="s">
        <v>313</v>
      </c>
    </row>
    <row r="58" spans="1:105" ht="11.45" customHeight="1" x14ac:dyDescent="0.25">
      <c r="A58" s="10" t="s">
        <v>33</v>
      </c>
      <c r="B58" s="14">
        <v>453.85946021763368</v>
      </c>
      <c r="C58" s="14">
        <v>441.16384329708472</v>
      </c>
      <c r="D58" s="14">
        <v>449.11365308873735</v>
      </c>
      <c r="E58" s="14">
        <v>430.54542713890169</v>
      </c>
      <c r="F58" s="14">
        <v>435.01459617746093</v>
      </c>
      <c r="G58" s="14">
        <v>440.66578598937741</v>
      </c>
      <c r="H58" s="14">
        <v>448.24477559460854</v>
      </c>
      <c r="I58" s="14">
        <v>447.9775148864332</v>
      </c>
      <c r="J58" s="14">
        <v>464.77369932675686</v>
      </c>
      <c r="K58" s="14">
        <v>465.77789039563214</v>
      </c>
      <c r="L58" s="14">
        <v>456.73253005506189</v>
      </c>
      <c r="M58" s="14">
        <v>459.09545598826492</v>
      </c>
      <c r="N58" s="14">
        <v>462.79142939735789</v>
      </c>
      <c r="O58" s="14">
        <v>454.28862290877868</v>
      </c>
      <c r="P58" s="14">
        <v>448.35923280690884</v>
      </c>
      <c r="Q58" s="14">
        <v>445.11824402689177</v>
      </c>
      <c r="R58" s="14">
        <v>439.55186134966863</v>
      </c>
      <c r="S58" s="14">
        <v>443.0504867939938</v>
      </c>
      <c r="T58" s="14">
        <v>449.16947561238862</v>
      </c>
      <c r="U58" s="14">
        <v>456.00100193084705</v>
      </c>
      <c r="V58" s="14">
        <v>455.06584216917889</v>
      </c>
      <c r="W58" s="14">
        <v>432.48684854516222</v>
      </c>
      <c r="DA58" s="189" t="s">
        <v>314</v>
      </c>
    </row>
    <row r="59" spans="1:105" ht="11.45" customHeight="1" x14ac:dyDescent="0.25">
      <c r="A59" s="83" t="s">
        <v>27</v>
      </c>
      <c r="B59" s="87">
        <v>432.14149635698311</v>
      </c>
      <c r="C59" s="87">
        <v>432.14149635698311</v>
      </c>
      <c r="D59" s="87">
        <v>432.14149635698311</v>
      </c>
      <c r="E59" s="87">
        <v>432.14149635698311</v>
      </c>
      <c r="F59" s="87">
        <v>432.14149635698311</v>
      </c>
      <c r="G59" s="87">
        <v>429.39558429843612</v>
      </c>
      <c r="H59" s="87">
        <v>429.51499977603919</v>
      </c>
      <c r="I59" s="87">
        <v>428.66195530850649</v>
      </c>
      <c r="J59" s="87">
        <v>429.8476753753792</v>
      </c>
      <c r="K59" s="87">
        <v>433.19258919468513</v>
      </c>
      <c r="L59" s="87">
        <v>431.07529054994149</v>
      </c>
      <c r="M59" s="87">
        <v>432.80557912226271</v>
      </c>
      <c r="N59" s="87">
        <v>437.30159926794244</v>
      </c>
      <c r="O59" s="87">
        <v>431.56973123535857</v>
      </c>
      <c r="P59" s="87">
        <v>434.2863576869438</v>
      </c>
      <c r="Q59" s="87">
        <v>433.41136220425324</v>
      </c>
      <c r="R59" s="87">
        <v>428.66381591320282</v>
      </c>
      <c r="S59" s="87">
        <v>430.4606598235186</v>
      </c>
      <c r="T59" s="87">
        <v>435.0822662581474</v>
      </c>
      <c r="U59" s="87">
        <v>433.44199682628539</v>
      </c>
      <c r="V59" s="87">
        <v>437.04805891707218</v>
      </c>
      <c r="W59" s="87">
        <v>421.97264153190241</v>
      </c>
      <c r="DA59" s="171" t="s">
        <v>315</v>
      </c>
    </row>
    <row r="60" spans="1:105" ht="11.45" customHeight="1" x14ac:dyDescent="0.25">
      <c r="A60" s="83" t="s">
        <v>173</v>
      </c>
      <c r="B60" s="87">
        <v>351.82986352695178</v>
      </c>
      <c r="C60" s="87">
        <v>351.89406513390981</v>
      </c>
      <c r="D60" s="87">
        <v>351.86041825567861</v>
      </c>
      <c r="E60" s="87">
        <v>351.14092201575033</v>
      </c>
      <c r="F60" s="87">
        <v>351.37632088565363</v>
      </c>
      <c r="G60" s="87">
        <v>351.2500116434785</v>
      </c>
      <c r="H60" s="87">
        <v>350.85260166497881</v>
      </c>
      <c r="I60" s="87">
        <v>349.6154672258503</v>
      </c>
      <c r="J60" s="87">
        <v>349.78781196950007</v>
      </c>
      <c r="K60" s="87">
        <v>349.05813643791936</v>
      </c>
      <c r="L60" s="87">
        <v>349.63560539904614</v>
      </c>
      <c r="M60" s="87">
        <v>352.92229255992072</v>
      </c>
      <c r="N60" s="87">
        <v>355.86115239483706</v>
      </c>
      <c r="O60" s="87">
        <v>356.26605737794631</v>
      </c>
      <c r="P60" s="87">
        <v>356.17647859646786</v>
      </c>
      <c r="Q60" s="87">
        <v>355.20408516304195</v>
      </c>
      <c r="R60" s="87">
        <v>355.47406395842705</v>
      </c>
      <c r="S60" s="87">
        <v>355.65285111715457</v>
      </c>
      <c r="T60" s="87">
        <v>355.21698745044171</v>
      </c>
      <c r="U60" s="87">
        <v>351.50626174142934</v>
      </c>
      <c r="V60" s="87">
        <v>353.55556757331658</v>
      </c>
      <c r="W60" s="87">
        <v>352.76194228524059</v>
      </c>
      <c r="DA60" s="171" t="s">
        <v>316</v>
      </c>
    </row>
    <row r="61" spans="1:105" ht="11.45" customHeight="1" x14ac:dyDescent="0.25">
      <c r="A61" s="83" t="s">
        <v>174</v>
      </c>
      <c r="B61" s="87">
        <v>735.30925749510618</v>
      </c>
      <c r="C61" s="87">
        <v>735.30925749510618</v>
      </c>
      <c r="D61" s="87">
        <v>735.30925749510607</v>
      </c>
      <c r="E61" s="87">
        <v>735.30925749510618</v>
      </c>
      <c r="F61" s="87">
        <v>735.30925749510607</v>
      </c>
      <c r="G61" s="87">
        <v>751.69681351687677</v>
      </c>
      <c r="H61" s="87">
        <v>764.08669120913282</v>
      </c>
      <c r="I61" s="87">
        <v>755.02293300431666</v>
      </c>
      <c r="J61" s="87">
        <v>807.16070551345729</v>
      </c>
      <c r="K61" s="87">
        <v>793.83207874410334</v>
      </c>
      <c r="L61" s="87">
        <v>743.20452247568903</v>
      </c>
      <c r="M61" s="87">
        <v>736.73669965363331</v>
      </c>
      <c r="N61" s="87">
        <v>732.03314862102388</v>
      </c>
      <c r="O61" s="87">
        <v>698.56221059645304</v>
      </c>
      <c r="P61" s="87">
        <v>689.47051496752385</v>
      </c>
      <c r="Q61" s="87">
        <v>686.24198213261161</v>
      </c>
      <c r="R61" s="87">
        <v>681.80562176270439</v>
      </c>
      <c r="S61" s="87">
        <v>695.35002757327186</v>
      </c>
      <c r="T61" s="87">
        <v>708.43406590937354</v>
      </c>
      <c r="U61" s="87">
        <v>722.23350574625829</v>
      </c>
      <c r="V61" s="87">
        <v>758.68675869659523</v>
      </c>
      <c r="W61" s="87">
        <v>674.04677618961671</v>
      </c>
      <c r="DA61" s="171" t="s">
        <v>317</v>
      </c>
    </row>
    <row r="62" spans="1:105" ht="11.45" customHeight="1" x14ac:dyDescent="0.25">
      <c r="A62" s="12" t="s">
        <v>34</v>
      </c>
      <c r="B62" s="15">
        <v>597.32688267996809</v>
      </c>
      <c r="C62" s="15">
        <v>601.87197659286903</v>
      </c>
      <c r="D62" s="15">
        <v>597.00714199614583</v>
      </c>
      <c r="E62" s="15">
        <v>604.85634221364296</v>
      </c>
      <c r="F62" s="15">
        <v>605.29894141082332</v>
      </c>
      <c r="G62" s="15">
        <v>613.65864666973062</v>
      </c>
      <c r="H62" s="15">
        <v>614.66291687532635</v>
      </c>
      <c r="I62" s="15">
        <v>634.41095016896895</v>
      </c>
      <c r="J62" s="15">
        <v>635.49904346614574</v>
      </c>
      <c r="K62" s="15">
        <v>615.80710415399483</v>
      </c>
      <c r="L62" s="15">
        <v>609.27951178882927</v>
      </c>
      <c r="M62" s="15">
        <v>611.60113530906904</v>
      </c>
      <c r="N62" s="15">
        <v>589.88605806089367</v>
      </c>
      <c r="O62" s="15">
        <v>615.42459520155296</v>
      </c>
      <c r="P62" s="15">
        <v>631.08020626088819</v>
      </c>
      <c r="Q62" s="15">
        <v>642.51938517384656</v>
      </c>
      <c r="R62" s="15">
        <v>657.99096372702331</v>
      </c>
      <c r="S62" s="15">
        <v>677.39386876969229</v>
      </c>
      <c r="T62" s="15">
        <v>699.42439437557141</v>
      </c>
      <c r="U62" s="15">
        <v>681.50330726520269</v>
      </c>
      <c r="V62" s="15">
        <v>676.47289944473505</v>
      </c>
      <c r="W62" s="15">
        <v>671.57496460996106</v>
      </c>
      <c r="DA62" s="193" t="s">
        <v>318</v>
      </c>
    </row>
    <row r="63" spans="1:105" ht="11.45" customHeight="1" x14ac:dyDescent="0.25">
      <c r="A63" s="92" t="s">
        <v>27</v>
      </c>
      <c r="B63" s="101">
        <v>419.77044838929885</v>
      </c>
      <c r="C63" s="101">
        <v>419.77044838929885</v>
      </c>
      <c r="D63" s="101">
        <v>419.77044838929885</v>
      </c>
      <c r="E63" s="101">
        <v>419.77044838929885</v>
      </c>
      <c r="F63" s="101">
        <v>419.77044838929891</v>
      </c>
      <c r="G63" s="101">
        <v>417.4170082205369</v>
      </c>
      <c r="H63" s="101">
        <v>413.14505691026818</v>
      </c>
      <c r="I63" s="101">
        <v>408.24538327118699</v>
      </c>
      <c r="J63" s="101">
        <v>405.10220808717622</v>
      </c>
      <c r="K63" s="101">
        <v>403.61961394729929</v>
      </c>
      <c r="L63" s="101">
        <v>398.21482658263221</v>
      </c>
      <c r="M63" s="101">
        <v>402.57798784047725</v>
      </c>
      <c r="N63" s="101">
        <v>409.31496163053828</v>
      </c>
      <c r="O63" s="101">
        <v>402.95596509332256</v>
      </c>
      <c r="P63" s="101">
        <v>403.07844640147573</v>
      </c>
      <c r="Q63" s="101">
        <v>400.5399989387555</v>
      </c>
      <c r="R63" s="101">
        <v>395.26328671366633</v>
      </c>
      <c r="S63" s="101">
        <v>394.78753508449</v>
      </c>
      <c r="T63" s="101">
        <v>396.27567827308405</v>
      </c>
      <c r="U63" s="101">
        <v>394.31945047065926</v>
      </c>
      <c r="V63" s="101">
        <v>396.7939318752571</v>
      </c>
      <c r="W63" s="101">
        <v>386.4040111181796</v>
      </c>
      <c r="DA63" s="175" t="s">
        <v>319</v>
      </c>
    </row>
    <row r="64" spans="1:105" ht="11.45" customHeight="1" x14ac:dyDescent="0.25">
      <c r="A64" s="92" t="s">
        <v>173</v>
      </c>
      <c r="B64" s="101">
        <v>323.58342369075166</v>
      </c>
      <c r="C64" s="101">
        <v>323.58465549375398</v>
      </c>
      <c r="D64" s="101">
        <v>323.71262310272846</v>
      </c>
      <c r="E64" s="101">
        <v>323.45118857667671</v>
      </c>
      <c r="F64" s="101">
        <v>323.46105744995742</v>
      </c>
      <c r="G64" s="101">
        <v>324.1351651208326</v>
      </c>
      <c r="H64" s="101">
        <v>323.1163080401567</v>
      </c>
      <c r="I64" s="101">
        <v>323.42654232778114</v>
      </c>
      <c r="J64" s="101">
        <v>322.7236089480262</v>
      </c>
      <c r="K64" s="101">
        <v>323.19344831022465</v>
      </c>
      <c r="L64" s="101">
        <v>321.07071929513734</v>
      </c>
      <c r="M64" s="101">
        <v>319.88884564649533</v>
      </c>
      <c r="N64" s="101">
        <v>320.5662985979244</v>
      </c>
      <c r="O64" s="101">
        <v>318.72087282940811</v>
      </c>
      <c r="P64" s="101">
        <v>318.41350202106588</v>
      </c>
      <c r="Q64" s="101">
        <v>317.77965504675666</v>
      </c>
      <c r="R64" s="101">
        <v>315.82234064258768</v>
      </c>
      <c r="S64" s="101">
        <v>315.39298319216346</v>
      </c>
      <c r="T64" s="101">
        <v>315.46078861230836</v>
      </c>
      <c r="U64" s="101">
        <v>314.78529823374618</v>
      </c>
      <c r="V64" s="101">
        <v>313.1386685829392</v>
      </c>
      <c r="W64" s="101">
        <v>313.0397298627405</v>
      </c>
      <c r="DA64" s="175" t="s">
        <v>320</v>
      </c>
    </row>
    <row r="65" spans="1:105" ht="11.45" customHeight="1" x14ac:dyDescent="0.25">
      <c r="A65" s="85" t="s">
        <v>174</v>
      </c>
      <c r="B65" s="88">
        <v>819.37461504410953</v>
      </c>
      <c r="C65" s="88">
        <v>819.37461504410953</v>
      </c>
      <c r="D65" s="88">
        <v>819.37461504410942</v>
      </c>
      <c r="E65" s="88">
        <v>819.37461504410953</v>
      </c>
      <c r="F65" s="88">
        <v>819.37461504410953</v>
      </c>
      <c r="G65" s="88">
        <v>823.34424933388698</v>
      </c>
      <c r="H65" s="88">
        <v>806.91637722043379</v>
      </c>
      <c r="I65" s="88">
        <v>785.58509912710713</v>
      </c>
      <c r="J65" s="88">
        <v>777.13885033109727</v>
      </c>
      <c r="K65" s="88">
        <v>755.04614723227189</v>
      </c>
      <c r="L65" s="88">
        <v>725.41334201308234</v>
      </c>
      <c r="M65" s="88">
        <v>722.03331995048802</v>
      </c>
      <c r="N65" s="88">
        <v>685.12910022643098</v>
      </c>
      <c r="O65" s="88">
        <v>721.8831138711663</v>
      </c>
      <c r="P65" s="88">
        <v>740.57514536755332</v>
      </c>
      <c r="Q65" s="88">
        <v>755.61151451023318</v>
      </c>
      <c r="R65" s="88">
        <v>770.12001824301217</v>
      </c>
      <c r="S65" s="88">
        <v>784.05517671183588</v>
      </c>
      <c r="T65" s="88">
        <v>800.27191343795846</v>
      </c>
      <c r="U65" s="88">
        <v>790.19439261053822</v>
      </c>
      <c r="V65" s="88">
        <v>797.75176960621604</v>
      </c>
      <c r="W65" s="88">
        <v>781.52511450321617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1.0124869888417112</v>
      </c>
      <c r="C67" s="59">
        <f t="shared" ref="C67:W67" si="60">IF(C3=0,0,C17/C57)</f>
        <v>1.1174849924394219</v>
      </c>
      <c r="D67" s="59">
        <f t="shared" si="60"/>
        <v>1.0121963463917985</v>
      </c>
      <c r="E67" s="59">
        <f t="shared" si="60"/>
        <v>1.1370938438916216</v>
      </c>
      <c r="F67" s="59">
        <f t="shared" si="60"/>
        <v>1.1251176026618044</v>
      </c>
      <c r="G67" s="59">
        <f t="shared" si="60"/>
        <v>1.0995413736876056</v>
      </c>
      <c r="H67" s="59">
        <f t="shared" si="60"/>
        <v>1.0790852838695761</v>
      </c>
      <c r="I67" s="59">
        <f t="shared" si="60"/>
        <v>1.0416816725916063</v>
      </c>
      <c r="J67" s="59">
        <f t="shared" si="60"/>
        <v>0.98580965518249386</v>
      </c>
      <c r="K67" s="59">
        <f t="shared" si="60"/>
        <v>1.0020301635323712</v>
      </c>
      <c r="L67" s="59">
        <f t="shared" si="60"/>
        <v>1.0151981651218105</v>
      </c>
      <c r="M67" s="59">
        <f t="shared" si="60"/>
        <v>1.016935027307929</v>
      </c>
      <c r="N67" s="59">
        <f t="shared" si="60"/>
        <v>1.0153654053928463</v>
      </c>
      <c r="O67" s="59">
        <f t="shared" si="60"/>
        <v>0.98756571848713248</v>
      </c>
      <c r="P67" s="59">
        <f t="shared" si="60"/>
        <v>0.99855395550805082</v>
      </c>
      <c r="Q67" s="59">
        <f t="shared" si="60"/>
        <v>1.050633509053428</v>
      </c>
      <c r="R67" s="59">
        <f t="shared" si="60"/>
        <v>1.0456124748942643</v>
      </c>
      <c r="S67" s="59">
        <f t="shared" si="60"/>
        <v>1.0512316359864649</v>
      </c>
      <c r="T67" s="59">
        <f t="shared" si="60"/>
        <v>1.0291374268773785</v>
      </c>
      <c r="U67" s="59">
        <f t="shared" si="60"/>
        <v>1.0275370264323025</v>
      </c>
      <c r="V67" s="59">
        <f t="shared" si="60"/>
        <v>1.0007277753281496</v>
      </c>
      <c r="W67" s="59">
        <f t="shared" si="60"/>
        <v>1.008538883376497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1.0147690263658318</v>
      </c>
      <c r="C68" s="23">
        <f t="shared" ref="C68:W68" si="62">IF(C6=0,0,C18/C58)</f>
        <v>1.1202142953016532</v>
      </c>
      <c r="D68" s="23">
        <f t="shared" si="62"/>
        <v>1.0138551930552384</v>
      </c>
      <c r="E68" s="23">
        <f t="shared" si="62"/>
        <v>1.1405820473025945</v>
      </c>
      <c r="F68" s="23">
        <f t="shared" si="62"/>
        <v>1.1286027465316637</v>
      </c>
      <c r="G68" s="23">
        <f t="shared" si="62"/>
        <v>1.1033214074068163</v>
      </c>
      <c r="H68" s="23">
        <f t="shared" si="62"/>
        <v>1.0837672772230733</v>
      </c>
      <c r="I68" s="23">
        <f t="shared" si="62"/>
        <v>1.0473061770695775</v>
      </c>
      <c r="J68" s="23">
        <f t="shared" si="62"/>
        <v>0.9918795791572359</v>
      </c>
      <c r="K68" s="23">
        <f t="shared" si="62"/>
        <v>1.0077174743690989</v>
      </c>
      <c r="L68" s="23">
        <f t="shared" si="62"/>
        <v>1.023110856087313</v>
      </c>
      <c r="M68" s="23">
        <f t="shared" si="62"/>
        <v>1.0247015820171834</v>
      </c>
      <c r="N68" s="23">
        <f t="shared" si="62"/>
        <v>1.0220150905581256</v>
      </c>
      <c r="O68" s="23">
        <f t="shared" si="62"/>
        <v>0.99429220519463568</v>
      </c>
      <c r="P68" s="23">
        <f t="shared" si="62"/>
        <v>1.0048951724628752</v>
      </c>
      <c r="Q68" s="23">
        <f t="shared" si="62"/>
        <v>1.0582271154319478</v>
      </c>
      <c r="R68" s="23">
        <f t="shared" si="62"/>
        <v>1.0531551938524195</v>
      </c>
      <c r="S68" s="23">
        <f t="shared" si="62"/>
        <v>1.061804139119477</v>
      </c>
      <c r="T68" s="23">
        <f t="shared" si="62"/>
        <v>1.0410295805731264</v>
      </c>
      <c r="U68" s="23">
        <f t="shared" si="62"/>
        <v>1.0390252970881717</v>
      </c>
      <c r="V68" s="23">
        <f t="shared" si="62"/>
        <v>1.0210774658515021</v>
      </c>
      <c r="W68" s="23">
        <f t="shared" si="62"/>
        <v>1.0332380255353535</v>
      </c>
      <c r="DA68" s="189"/>
    </row>
    <row r="69" spans="1:105" ht="11.45" customHeight="1" x14ac:dyDescent="0.25">
      <c r="A69" s="83" t="s">
        <v>27</v>
      </c>
      <c r="B69" s="91">
        <f t="shared" si="61"/>
        <v>1.5865939311926831</v>
      </c>
      <c r="C69" s="91">
        <f t="shared" ref="C69:W69" si="63">IF(C7=0,0,C19/C59)</f>
        <v>1.7225919720132132</v>
      </c>
      <c r="D69" s="91">
        <f t="shared" si="63"/>
        <v>1.6893979326836166</v>
      </c>
      <c r="E69" s="91">
        <f t="shared" si="63"/>
        <v>1.7348946563935344</v>
      </c>
      <c r="F69" s="91">
        <f t="shared" si="63"/>
        <v>1.7187274530236933</v>
      </c>
      <c r="G69" s="91">
        <f t="shared" si="63"/>
        <v>1.8022412679136897</v>
      </c>
      <c r="H69" s="91">
        <f t="shared" si="63"/>
        <v>1.8070147896456972</v>
      </c>
      <c r="I69" s="91">
        <f t="shared" si="63"/>
        <v>1.8030030118995599</v>
      </c>
      <c r="J69" s="91">
        <f t="shared" si="63"/>
        <v>1.8176417945289285</v>
      </c>
      <c r="K69" s="91">
        <f t="shared" si="63"/>
        <v>1.8188365758587357</v>
      </c>
      <c r="L69" s="91">
        <f t="shared" si="63"/>
        <v>2.0738019866626192</v>
      </c>
      <c r="M69" s="91">
        <f t="shared" si="63"/>
        <v>1.9192383812750569</v>
      </c>
      <c r="N69" s="91">
        <f t="shared" si="63"/>
        <v>2.0056786640344275</v>
      </c>
      <c r="O69" s="91">
        <f t="shared" si="63"/>
        <v>2.0133562681740838</v>
      </c>
      <c r="P69" s="91">
        <f t="shared" si="63"/>
        <v>2.0945427680786941</v>
      </c>
      <c r="Q69" s="91">
        <f t="shared" si="63"/>
        <v>2.2037548892749768</v>
      </c>
      <c r="R69" s="91">
        <f t="shared" si="63"/>
        <v>2.308500993203721</v>
      </c>
      <c r="S69" s="91">
        <f t="shared" si="63"/>
        <v>2.3792109977729217</v>
      </c>
      <c r="T69" s="91">
        <f t="shared" si="63"/>
        <v>2.2325095754961013</v>
      </c>
      <c r="U69" s="91">
        <f t="shared" si="63"/>
        <v>2.2436305125382723</v>
      </c>
      <c r="V69" s="91">
        <f t="shared" si="63"/>
        <v>1.8191479342917756</v>
      </c>
      <c r="W69" s="91">
        <f t="shared" si="63"/>
        <v>2.2530486634080842</v>
      </c>
      <c r="DA69" s="171"/>
    </row>
    <row r="70" spans="1:105" ht="11.45" customHeight="1" x14ac:dyDescent="0.25">
      <c r="A70" s="83" t="s">
        <v>173</v>
      </c>
      <c r="B70" s="91">
        <f t="shared" si="61"/>
        <v>0.89797010930408749</v>
      </c>
      <c r="C70" s="91">
        <f t="shared" ref="C70:W70" si="64">IF(C8=0,0,C20/C60)</f>
        <v>0.99005066596920821</v>
      </c>
      <c r="D70" s="91">
        <f t="shared" si="64"/>
        <v>0.88598386965875064</v>
      </c>
      <c r="E70" s="91">
        <f t="shared" si="64"/>
        <v>1.0092725972727923</v>
      </c>
      <c r="F70" s="91">
        <f t="shared" si="64"/>
        <v>1.0029079615312957</v>
      </c>
      <c r="G70" s="91">
        <f t="shared" si="64"/>
        <v>0.9690997506357516</v>
      </c>
      <c r="H70" s="91">
        <f t="shared" si="64"/>
        <v>0.9976729328603412</v>
      </c>
      <c r="I70" s="91">
        <f t="shared" si="64"/>
        <v>0.97234387451909299</v>
      </c>
      <c r="J70" s="91">
        <f t="shared" si="64"/>
        <v>0.96658352740110476</v>
      </c>
      <c r="K70" s="91">
        <f t="shared" si="64"/>
        <v>0.9839576656881478</v>
      </c>
      <c r="L70" s="91">
        <f t="shared" si="64"/>
        <v>0.90589329145814179</v>
      </c>
      <c r="M70" s="91">
        <f t="shared" si="64"/>
        <v>1.0058083041815591</v>
      </c>
      <c r="N70" s="91">
        <f t="shared" si="64"/>
        <v>1.0142950449287913</v>
      </c>
      <c r="O70" s="91">
        <f t="shared" si="64"/>
        <v>0.99529459257667996</v>
      </c>
      <c r="P70" s="91">
        <f t="shared" si="64"/>
        <v>0.9629875364795567</v>
      </c>
      <c r="Q70" s="91">
        <f t="shared" si="64"/>
        <v>0.99499194384778844</v>
      </c>
      <c r="R70" s="91">
        <f t="shared" si="64"/>
        <v>0.97511450378986075</v>
      </c>
      <c r="S70" s="91">
        <f t="shared" si="64"/>
        <v>1.0047001297363038</v>
      </c>
      <c r="T70" s="91">
        <f t="shared" si="64"/>
        <v>1.0099162712897012</v>
      </c>
      <c r="U70" s="91">
        <f t="shared" si="64"/>
        <v>1.0479137407389993</v>
      </c>
      <c r="V70" s="91">
        <f t="shared" si="64"/>
        <v>0.81671142517918638</v>
      </c>
      <c r="W70" s="91">
        <f t="shared" si="64"/>
        <v>0.70223153756459955</v>
      </c>
      <c r="DA70" s="171"/>
    </row>
    <row r="71" spans="1:105" ht="11.45" customHeight="1" x14ac:dyDescent="0.25">
      <c r="A71" s="83" t="s">
        <v>174</v>
      </c>
      <c r="B71" s="91">
        <f t="shared" si="61"/>
        <v>0.72937578331775599</v>
      </c>
      <c r="C71" s="91">
        <f t="shared" ref="C71:W71" si="65">IF(C9=0,0,C21/C61)</f>
        <v>0.8033270067774847</v>
      </c>
      <c r="D71" s="91">
        <f t="shared" si="65"/>
        <v>0.71806099392468603</v>
      </c>
      <c r="E71" s="91">
        <f t="shared" si="65"/>
        <v>0.81390930159354824</v>
      </c>
      <c r="F71" s="91">
        <f t="shared" si="65"/>
        <v>0.80967043166065167</v>
      </c>
      <c r="G71" s="91">
        <f t="shared" si="65"/>
        <v>0.70020677088811178</v>
      </c>
      <c r="H71" s="91">
        <f t="shared" si="65"/>
        <v>0.62575560237673056</v>
      </c>
      <c r="I71" s="91">
        <f t="shared" si="65"/>
        <v>0.57904881481998161</v>
      </c>
      <c r="J71" s="91">
        <f t="shared" si="65"/>
        <v>0.51101918882174457</v>
      </c>
      <c r="K71" s="91">
        <f t="shared" si="65"/>
        <v>0.54995270281978403</v>
      </c>
      <c r="L71" s="91">
        <f t="shared" si="65"/>
        <v>0.53838423671666646</v>
      </c>
      <c r="M71" s="91">
        <f t="shared" si="65"/>
        <v>0.5774342410310529</v>
      </c>
      <c r="N71" s="91">
        <f t="shared" si="65"/>
        <v>0.59472327229309774</v>
      </c>
      <c r="O71" s="91">
        <f t="shared" si="65"/>
        <v>0.59947722979245399</v>
      </c>
      <c r="P71" s="91">
        <f t="shared" si="65"/>
        <v>0.61892251241230989</v>
      </c>
      <c r="Q71" s="91">
        <f t="shared" si="65"/>
        <v>0.66066915478177113</v>
      </c>
      <c r="R71" s="91">
        <f t="shared" si="65"/>
        <v>0.63399523467790131</v>
      </c>
      <c r="S71" s="91">
        <f t="shared" si="65"/>
        <v>0.60546428834588906</v>
      </c>
      <c r="T71" s="91">
        <f t="shared" si="65"/>
        <v>0.58955510816874379</v>
      </c>
      <c r="U71" s="91">
        <f t="shared" si="65"/>
        <v>0.55716777601647083</v>
      </c>
      <c r="V71" s="91">
        <f t="shared" si="65"/>
        <v>0.7645170604086724</v>
      </c>
      <c r="W71" s="91">
        <f t="shared" si="65"/>
        <v>0.64777605666790761</v>
      </c>
      <c r="DA71" s="171"/>
    </row>
    <row r="72" spans="1:105" ht="11.45" customHeight="1" x14ac:dyDescent="0.25">
      <c r="A72" s="12" t="s">
        <v>34</v>
      </c>
      <c r="B72" s="24">
        <f t="shared" si="61"/>
        <v>0.85428514843179981</v>
      </c>
      <c r="C72" s="24">
        <f t="shared" ref="C72:W72" si="66">IF(C10=0,0,C22/C62)</f>
        <v>0.93019405150977075</v>
      </c>
      <c r="D72" s="24">
        <f t="shared" si="66"/>
        <v>0.86975002135197022</v>
      </c>
      <c r="E72" s="24">
        <f t="shared" si="66"/>
        <v>0.92013285813870538</v>
      </c>
      <c r="F72" s="24">
        <f t="shared" si="66"/>
        <v>0.92089344106139959</v>
      </c>
      <c r="G72" s="24">
        <f t="shared" si="66"/>
        <v>0.87561182598577481</v>
      </c>
      <c r="H72" s="24">
        <f t="shared" si="66"/>
        <v>0.83212749563193533</v>
      </c>
      <c r="I72" s="24">
        <f t="shared" si="66"/>
        <v>0.76260544016548615</v>
      </c>
      <c r="J72" s="24">
        <f t="shared" si="66"/>
        <v>0.71003878047869484</v>
      </c>
      <c r="K72" s="24">
        <f t="shared" si="66"/>
        <v>0.73391336988091649</v>
      </c>
      <c r="L72" s="24">
        <f t="shared" si="66"/>
        <v>0.71278012568497207</v>
      </c>
      <c r="M72" s="24">
        <f t="shared" si="66"/>
        <v>0.70413305023078632</v>
      </c>
      <c r="N72" s="24">
        <f t="shared" si="66"/>
        <v>0.72754378844111267</v>
      </c>
      <c r="O72" s="24">
        <f t="shared" si="66"/>
        <v>0.70756053452962497</v>
      </c>
      <c r="P72" s="24">
        <f t="shared" si="66"/>
        <v>0.71397044613241667</v>
      </c>
      <c r="Q72" s="24">
        <f t="shared" si="66"/>
        <v>0.73670870254898613</v>
      </c>
      <c r="R72" s="24">
        <f t="shared" si="66"/>
        <v>0.70915130008141636</v>
      </c>
      <c r="S72" s="24">
        <f t="shared" si="66"/>
        <v>0.67403064796518541</v>
      </c>
      <c r="T72" s="24">
        <f t="shared" si="66"/>
        <v>0.63605653763648284</v>
      </c>
      <c r="U72" s="24">
        <f t="shared" si="66"/>
        <v>0.61702208639265377</v>
      </c>
      <c r="V72" s="24">
        <f t="shared" si="66"/>
        <v>0.73497812400092843</v>
      </c>
      <c r="W72" s="24">
        <f t="shared" si="66"/>
        <v>0.64846361452319889</v>
      </c>
      <c r="DA72" s="193"/>
    </row>
    <row r="73" spans="1:105" ht="11.45" customHeight="1" x14ac:dyDescent="0.25">
      <c r="A73" s="92" t="s">
        <v>27</v>
      </c>
      <c r="B73" s="93">
        <f t="shared" si="61"/>
        <v>1.5865939311926835</v>
      </c>
      <c r="C73" s="93">
        <f t="shared" ref="C73:W73" si="67">IF(C11=0,0,C23/C63)</f>
        <v>1.722591972013213</v>
      </c>
      <c r="D73" s="93">
        <f t="shared" si="67"/>
        <v>1.6893979326836168</v>
      </c>
      <c r="E73" s="93">
        <f t="shared" si="67"/>
        <v>1.7348946563935346</v>
      </c>
      <c r="F73" s="93">
        <f t="shared" si="67"/>
        <v>1.7187274530236933</v>
      </c>
      <c r="G73" s="93">
        <f t="shared" si="67"/>
        <v>1.8022412679136894</v>
      </c>
      <c r="H73" s="93">
        <f t="shared" si="67"/>
        <v>1.8070147896456976</v>
      </c>
      <c r="I73" s="93">
        <f t="shared" si="67"/>
        <v>1.8030030118995592</v>
      </c>
      <c r="J73" s="93">
        <f t="shared" si="67"/>
        <v>1.8176417945289287</v>
      </c>
      <c r="K73" s="93">
        <f t="shared" si="67"/>
        <v>1.8188365758587353</v>
      </c>
      <c r="L73" s="93">
        <f t="shared" si="67"/>
        <v>2.0738019866626192</v>
      </c>
      <c r="M73" s="93">
        <f t="shared" si="67"/>
        <v>1.9192383812750571</v>
      </c>
      <c r="N73" s="93">
        <f t="shared" si="67"/>
        <v>2.0056786640344271</v>
      </c>
      <c r="O73" s="93">
        <f t="shared" si="67"/>
        <v>2.0133562681740833</v>
      </c>
      <c r="P73" s="93">
        <f t="shared" si="67"/>
        <v>2.0945427680786941</v>
      </c>
      <c r="Q73" s="93">
        <f t="shared" si="67"/>
        <v>2.2037548892749763</v>
      </c>
      <c r="R73" s="93">
        <f t="shared" si="67"/>
        <v>2.3085009932037206</v>
      </c>
      <c r="S73" s="93">
        <f t="shared" si="67"/>
        <v>2.3792109977729212</v>
      </c>
      <c r="T73" s="93">
        <f t="shared" si="67"/>
        <v>2.2325095754961009</v>
      </c>
      <c r="U73" s="93">
        <f t="shared" si="67"/>
        <v>2.2436305125382727</v>
      </c>
      <c r="V73" s="93">
        <f t="shared" si="67"/>
        <v>1.8191479342917749</v>
      </c>
      <c r="W73" s="93">
        <f t="shared" si="67"/>
        <v>2.2530486634080842</v>
      </c>
      <c r="DA73" s="175"/>
    </row>
    <row r="74" spans="1:105" ht="11.45" customHeight="1" x14ac:dyDescent="0.25">
      <c r="A74" s="92" t="s">
        <v>173</v>
      </c>
      <c r="B74" s="93">
        <f t="shared" si="61"/>
        <v>0.88857123680084538</v>
      </c>
      <c r="C74" s="93">
        <f t="shared" ref="C74:W74" si="68">IF(C12=0,0,C24/C64)</f>
        <v>0.97862359385913622</v>
      </c>
      <c r="D74" s="93">
        <f t="shared" si="68"/>
        <v>0.87333468433115613</v>
      </c>
      <c r="E74" s="93">
        <f t="shared" si="68"/>
        <v>0.99294547183294957</v>
      </c>
      <c r="F74" s="93">
        <f t="shared" si="68"/>
        <v>0.98753046194432559</v>
      </c>
      <c r="G74" s="93">
        <f t="shared" si="68"/>
        <v>0.94951518507591393</v>
      </c>
      <c r="H74" s="93">
        <f t="shared" si="68"/>
        <v>0.97696367440670284</v>
      </c>
      <c r="I74" s="93">
        <f t="shared" si="68"/>
        <v>0.93573930564705587</v>
      </c>
      <c r="J74" s="93">
        <f t="shared" si="68"/>
        <v>0.92779020894711584</v>
      </c>
      <c r="K74" s="93">
        <f t="shared" si="68"/>
        <v>0.95183645157849772</v>
      </c>
      <c r="L74" s="93">
        <f t="shared" si="68"/>
        <v>0.87170007609545563</v>
      </c>
      <c r="M74" s="93">
        <f t="shared" si="68"/>
        <v>0.95957923181432836</v>
      </c>
      <c r="N74" s="93">
        <f t="shared" si="68"/>
        <v>0.98177342805277146</v>
      </c>
      <c r="O74" s="93">
        <f t="shared" si="68"/>
        <v>0.95497550546875687</v>
      </c>
      <c r="P74" s="93">
        <f t="shared" si="68"/>
        <v>0.90759058291745387</v>
      </c>
      <c r="Q74" s="93">
        <f t="shared" si="68"/>
        <v>0.94209174434715404</v>
      </c>
      <c r="R74" s="93">
        <f t="shared" si="68"/>
        <v>0.91217986071892854</v>
      </c>
      <c r="S74" s="93">
        <f t="shared" si="68"/>
        <v>0.9334805606958646</v>
      </c>
      <c r="T74" s="93">
        <f t="shared" si="68"/>
        <v>0.94460814667908</v>
      </c>
      <c r="U74" s="93">
        <f t="shared" si="68"/>
        <v>0.97534729475894866</v>
      </c>
      <c r="V74" s="93">
        <f t="shared" si="68"/>
        <v>0.85247250029495292</v>
      </c>
      <c r="W74" s="93">
        <f t="shared" si="68"/>
        <v>0.72275504608916774</v>
      </c>
      <c r="DA74" s="175"/>
    </row>
    <row r="75" spans="1:105" ht="11.45" customHeight="1" x14ac:dyDescent="0.25">
      <c r="A75" s="85" t="s">
        <v>174</v>
      </c>
      <c r="B75" s="94">
        <f t="shared" si="61"/>
        <v>0.65643820498598049</v>
      </c>
      <c r="C75" s="94">
        <f t="shared" ref="C75:W75" si="69">IF(C13=0,0,C25/C65)</f>
        <v>0.72299430609973625</v>
      </c>
      <c r="D75" s="94">
        <f t="shared" si="69"/>
        <v>0.64625489453221752</v>
      </c>
      <c r="E75" s="94">
        <f t="shared" si="69"/>
        <v>0.7325183714341934</v>
      </c>
      <c r="F75" s="94">
        <f t="shared" si="69"/>
        <v>0.72870338849458671</v>
      </c>
      <c r="G75" s="94">
        <f t="shared" si="69"/>
        <v>0.63018609379930057</v>
      </c>
      <c r="H75" s="94">
        <f t="shared" si="69"/>
        <v>0.56318004213905748</v>
      </c>
      <c r="I75" s="94">
        <f t="shared" si="69"/>
        <v>0.52114393333798348</v>
      </c>
      <c r="J75" s="94">
        <f t="shared" si="69"/>
        <v>0.45991726993957005</v>
      </c>
      <c r="K75" s="94">
        <f t="shared" si="69"/>
        <v>0.49495743253780572</v>
      </c>
      <c r="L75" s="94">
        <f t="shared" si="69"/>
        <v>0.48454581304499983</v>
      </c>
      <c r="M75" s="94">
        <f t="shared" si="69"/>
        <v>0.51969081692794761</v>
      </c>
      <c r="N75" s="94">
        <f t="shared" si="69"/>
        <v>0.53525094506378812</v>
      </c>
      <c r="O75" s="94">
        <f t="shared" si="69"/>
        <v>0.53952950681320866</v>
      </c>
      <c r="P75" s="94">
        <f t="shared" si="69"/>
        <v>0.5570302611710789</v>
      </c>
      <c r="Q75" s="94">
        <f t="shared" si="69"/>
        <v>0.59460223930359402</v>
      </c>
      <c r="R75" s="94">
        <f t="shared" si="69"/>
        <v>0.57059571121011121</v>
      </c>
      <c r="S75" s="94">
        <f t="shared" si="69"/>
        <v>0.54491785951130012</v>
      </c>
      <c r="T75" s="94">
        <f t="shared" si="69"/>
        <v>0.53059959735186935</v>
      </c>
      <c r="U75" s="94">
        <f t="shared" si="69"/>
        <v>0.50145099841482388</v>
      </c>
      <c r="V75" s="94">
        <f t="shared" si="69"/>
        <v>0.68806535436780536</v>
      </c>
      <c r="W75" s="94">
        <f t="shared" si="69"/>
        <v>0.58299845100111691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13882.458947040002</v>
      </c>
      <c r="C3" s="79">
        <f t="shared" si="0"/>
        <v>14008.63097952</v>
      </c>
      <c r="D3" s="79">
        <f t="shared" ref="D3" si="1">SUM(D4:D5)</f>
        <v>13297.385933999998</v>
      </c>
      <c r="E3" s="79">
        <f t="shared" ref="E3" si="2">SUM(E4:E5)</f>
        <v>13944.366701999999</v>
      </c>
      <c r="F3" s="79">
        <f t="shared" ref="F3" si="3">SUM(F4:F5)</f>
        <v>15453.732672000002</v>
      </c>
      <c r="G3" s="79">
        <f t="shared" ref="G3" si="4">SUM(G4:G5)</f>
        <v>16465.214682000002</v>
      </c>
      <c r="H3" s="79">
        <f t="shared" ref="H3" si="5">SUM(H4:H5)</f>
        <v>17223.033491999999</v>
      </c>
      <c r="I3" s="79">
        <f t="shared" ref="I3" si="6">SUM(I4:I5)</f>
        <v>18120.297132000003</v>
      </c>
      <c r="J3" s="79">
        <f t="shared" ref="J3" si="7">SUM(J4:J5)</f>
        <v>17888.829461999998</v>
      </c>
      <c r="K3" s="79">
        <f t="shared" ref="K3" si="8">SUM(K4:K5)</f>
        <v>16306.675182000003</v>
      </c>
      <c r="L3" s="79">
        <f t="shared" ref="L3" si="9">SUM(L4:L5)</f>
        <v>16661.943018000002</v>
      </c>
      <c r="M3" s="79">
        <f t="shared" ref="M3" si="10">SUM(M4:M5)</f>
        <v>17762.346755999999</v>
      </c>
      <c r="N3" s="79">
        <f t="shared" ref="N3" si="11">SUM(N4:N5)</f>
        <v>16750.934676000004</v>
      </c>
      <c r="O3" s="79">
        <f t="shared" ref="O3" si="12">SUM(O4:O5)</f>
        <v>15882.138215999996</v>
      </c>
      <c r="P3" s="79">
        <f t="shared" ref="P3" si="13">SUM(P4:P5)</f>
        <v>16364.237904000001</v>
      </c>
      <c r="Q3" s="79">
        <f t="shared" ref="Q3" si="14">SUM(Q4:Q5)</f>
        <v>17420.041043999998</v>
      </c>
      <c r="R3" s="79">
        <f t="shared" ref="R3" si="15">SUM(R4:R5)</f>
        <v>18621.770454000001</v>
      </c>
      <c r="S3" s="79">
        <f t="shared" ref="S3" si="16">SUM(S4:S5)</f>
        <v>20299.118364000005</v>
      </c>
      <c r="T3" s="79">
        <f t="shared" ref="T3" si="17">SUM(T4:T5)</f>
        <v>21139.377714000002</v>
      </c>
      <c r="U3" s="79">
        <f t="shared" ref="U3" si="18">SUM(U4:U5)</f>
        <v>21881.272896000002</v>
      </c>
      <c r="V3" s="79">
        <f t="shared" ref="V3:W3" si="19">SUM(V4:V5)</f>
        <v>7631.8123140000007</v>
      </c>
      <c r="W3" s="79">
        <f t="shared" si="19"/>
        <v>10569.013169400001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5514.7441370400011</v>
      </c>
      <c r="C4" s="96">
        <f t="shared" si="20"/>
        <v>5485.5474595200012</v>
      </c>
      <c r="D4" s="96">
        <f t="shared" ref="D4:V4" si="21">SUM(D7,D11)</f>
        <v>5100.8937839999999</v>
      </c>
      <c r="E4" s="96">
        <f t="shared" si="21"/>
        <v>5345.184221999999</v>
      </c>
      <c r="F4" s="96">
        <f t="shared" si="21"/>
        <v>5919.1671420000002</v>
      </c>
      <c r="G4" s="96">
        <f t="shared" si="21"/>
        <v>6898.9412519999987</v>
      </c>
      <c r="H4" s="96">
        <f t="shared" si="21"/>
        <v>7250.8989420000007</v>
      </c>
      <c r="I4" s="96">
        <f t="shared" si="21"/>
        <v>7631.3238120000015</v>
      </c>
      <c r="J4" s="96">
        <f t="shared" si="21"/>
        <v>7361.806662</v>
      </c>
      <c r="K4" s="96">
        <f t="shared" si="21"/>
        <v>6515.2756620000027</v>
      </c>
      <c r="L4" s="96">
        <f t="shared" si="21"/>
        <v>7263.7214580000009</v>
      </c>
      <c r="M4" s="96">
        <f t="shared" si="21"/>
        <v>6512.3838359999982</v>
      </c>
      <c r="N4" s="96">
        <f t="shared" si="21"/>
        <v>5637.3157260000007</v>
      </c>
      <c r="O4" s="96">
        <f t="shared" si="21"/>
        <v>4803.3979559999998</v>
      </c>
      <c r="P4" s="96">
        <f t="shared" si="21"/>
        <v>5088.9086640000014</v>
      </c>
      <c r="Q4" s="96">
        <f t="shared" si="21"/>
        <v>5504.2122239999999</v>
      </c>
      <c r="R4" s="96">
        <f t="shared" si="21"/>
        <v>5989.3430939999998</v>
      </c>
      <c r="S4" s="96">
        <f t="shared" si="21"/>
        <v>6509.352654000003</v>
      </c>
      <c r="T4" s="96">
        <f t="shared" si="21"/>
        <v>6772.5282239999997</v>
      </c>
      <c r="U4" s="96">
        <f t="shared" si="21"/>
        <v>7159.2949259999987</v>
      </c>
      <c r="V4" s="96">
        <f t="shared" si="21"/>
        <v>2888.3104739999999</v>
      </c>
      <c r="W4" s="96">
        <f t="shared" ref="W4" si="22">SUM(W7,W11)</f>
        <v>5008.05007776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8367.7148100000013</v>
      </c>
      <c r="C5" s="96">
        <f t="shared" si="23"/>
        <v>8523.0835199999983</v>
      </c>
      <c r="D5" s="96">
        <f t="shared" ref="D5:V5" si="24">SUM(D8:D9,D12:D13)</f>
        <v>8196.4921499999982</v>
      </c>
      <c r="E5" s="96">
        <f t="shared" si="24"/>
        <v>8599.1824800000013</v>
      </c>
      <c r="F5" s="96">
        <f t="shared" si="24"/>
        <v>9534.5655300000017</v>
      </c>
      <c r="G5" s="96">
        <f t="shared" si="24"/>
        <v>9566.2734300000029</v>
      </c>
      <c r="H5" s="96">
        <f t="shared" si="24"/>
        <v>9972.1345499999989</v>
      </c>
      <c r="I5" s="96">
        <f t="shared" si="24"/>
        <v>10488.973320000001</v>
      </c>
      <c r="J5" s="96">
        <f t="shared" si="24"/>
        <v>10527.022799999999</v>
      </c>
      <c r="K5" s="96">
        <f t="shared" si="24"/>
        <v>9791.3995200000008</v>
      </c>
      <c r="L5" s="96">
        <f t="shared" si="24"/>
        <v>9398.2215600000018</v>
      </c>
      <c r="M5" s="96">
        <f t="shared" si="24"/>
        <v>11249.962920000002</v>
      </c>
      <c r="N5" s="96">
        <f t="shared" si="24"/>
        <v>11113.618950000002</v>
      </c>
      <c r="O5" s="96">
        <f t="shared" si="24"/>
        <v>11078.740259999997</v>
      </c>
      <c r="P5" s="96">
        <f t="shared" si="24"/>
        <v>11275.329239999999</v>
      </c>
      <c r="Q5" s="96">
        <f t="shared" si="24"/>
        <v>11915.828819999999</v>
      </c>
      <c r="R5" s="96">
        <f t="shared" si="24"/>
        <v>12632.427360000001</v>
      </c>
      <c r="S5" s="96">
        <f t="shared" si="24"/>
        <v>13789.765710000001</v>
      </c>
      <c r="T5" s="96">
        <f t="shared" si="24"/>
        <v>14366.849490000001</v>
      </c>
      <c r="U5" s="96">
        <f t="shared" si="24"/>
        <v>14721.977970000002</v>
      </c>
      <c r="V5" s="96">
        <f t="shared" si="24"/>
        <v>4743.5018400000008</v>
      </c>
      <c r="W5" s="96">
        <f t="shared" ref="W5" si="25">SUM(W8:W9,W12:W13)</f>
        <v>5560.963091640001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13530.784878025746</v>
      </c>
      <c r="C6" s="21">
        <f t="shared" si="26"/>
        <v>13640.809797451429</v>
      </c>
      <c r="D6" s="21">
        <f t="shared" ref="D6:V6" si="27">SUM(D7:D9)</f>
        <v>12973.09245071546</v>
      </c>
      <c r="E6" s="21">
        <f t="shared" si="27"/>
        <v>13616.685168421967</v>
      </c>
      <c r="F6" s="21">
        <f t="shared" si="27"/>
        <v>15034.532366410991</v>
      </c>
      <c r="G6" s="21">
        <f t="shared" si="27"/>
        <v>16071.124169291943</v>
      </c>
      <c r="H6" s="21">
        <f t="shared" si="27"/>
        <v>16830.095113814823</v>
      </c>
      <c r="I6" s="21">
        <f t="shared" si="27"/>
        <v>17733.703626554707</v>
      </c>
      <c r="J6" s="21">
        <f t="shared" si="27"/>
        <v>17512.657473571831</v>
      </c>
      <c r="K6" s="21">
        <f t="shared" si="27"/>
        <v>15984.379609107446</v>
      </c>
      <c r="L6" s="21">
        <f t="shared" si="27"/>
        <v>16302.902157565431</v>
      </c>
      <c r="M6" s="21">
        <f t="shared" si="27"/>
        <v>17416.050855555142</v>
      </c>
      <c r="N6" s="21">
        <f t="shared" si="27"/>
        <v>16443.118222811434</v>
      </c>
      <c r="O6" s="21">
        <f t="shared" si="27"/>
        <v>15572.646514606933</v>
      </c>
      <c r="P6" s="21">
        <f t="shared" si="27"/>
        <v>16064.625982670019</v>
      </c>
      <c r="Q6" s="21">
        <f t="shared" si="27"/>
        <v>17087.578459012038</v>
      </c>
      <c r="R6" s="21">
        <f t="shared" si="27"/>
        <v>18304.702368026519</v>
      </c>
      <c r="S6" s="21">
        <f t="shared" si="27"/>
        <v>19903.860617861159</v>
      </c>
      <c r="T6" s="21">
        <f t="shared" si="27"/>
        <v>20719.412411892368</v>
      </c>
      <c r="U6" s="21">
        <f t="shared" si="27"/>
        <v>21496.565254259134</v>
      </c>
      <c r="V6" s="21">
        <f t="shared" si="27"/>
        <v>7195.6291952180381</v>
      </c>
      <c r="W6" s="21">
        <f t="shared" ref="W6" si="28">SUM(W7:W9)</f>
        <v>10102.048735607284</v>
      </c>
      <c r="DA6" s="189" t="s">
        <v>326</v>
      </c>
    </row>
    <row r="7" spans="1:105" ht="11.45" customHeight="1" x14ac:dyDescent="0.25">
      <c r="A7" s="83" t="s">
        <v>27</v>
      </c>
      <c r="B7" s="96">
        <v>5353.2540344674562</v>
      </c>
      <c r="C7" s="96">
        <v>5318.6476163667612</v>
      </c>
      <c r="D7" s="96">
        <v>4947.6901013022016</v>
      </c>
      <c r="E7" s="96">
        <v>5212.3976673175266</v>
      </c>
      <c r="F7" s="96">
        <v>5741.0411607893075</v>
      </c>
      <c r="G7" s="96">
        <v>6715.4349353157613</v>
      </c>
      <c r="H7" s="96">
        <v>7065.631401780709</v>
      </c>
      <c r="I7" s="96">
        <v>7453.505415940841</v>
      </c>
      <c r="J7" s="96">
        <v>7188.8105327614221</v>
      </c>
      <c r="K7" s="96">
        <v>6378.7641478732021</v>
      </c>
      <c r="L7" s="96">
        <v>7121.1415480408441</v>
      </c>
      <c r="M7" s="96">
        <v>6401.6673854401597</v>
      </c>
      <c r="N7" s="96">
        <v>5541.6193854690937</v>
      </c>
      <c r="O7" s="96">
        <v>4714.571211217617</v>
      </c>
      <c r="P7" s="96">
        <v>5004.0684441729318</v>
      </c>
      <c r="Q7" s="96">
        <v>5421.7724918359472</v>
      </c>
      <c r="R7" s="96">
        <v>5910.9410375114512</v>
      </c>
      <c r="S7" s="96">
        <v>6420.0327696950162</v>
      </c>
      <c r="T7" s="96">
        <v>6692.5338658366709</v>
      </c>
      <c r="U7" s="96">
        <v>7088.2673198847351</v>
      </c>
      <c r="V7" s="96">
        <v>2839.2873585382749</v>
      </c>
      <c r="W7" s="96">
        <v>4940.9536611339126</v>
      </c>
      <c r="DA7" s="171" t="s">
        <v>327</v>
      </c>
    </row>
    <row r="8" spans="1:105" ht="11.45" customHeight="1" x14ac:dyDescent="0.25">
      <c r="A8" s="83" t="s">
        <v>173</v>
      </c>
      <c r="B8" s="96">
        <v>4862.199995716056</v>
      </c>
      <c r="C8" s="96">
        <v>5409.2878985280058</v>
      </c>
      <c r="D8" s="96">
        <v>4959.0298008755472</v>
      </c>
      <c r="E8" s="96">
        <v>5851.5069585086476</v>
      </c>
      <c r="F8" s="96">
        <v>6289.8101362996504</v>
      </c>
      <c r="G8" s="96">
        <v>6362.0763316314697</v>
      </c>
      <c r="H8" s="96">
        <v>6688.9328147159868</v>
      </c>
      <c r="I8" s="96">
        <v>7092.7637041363068</v>
      </c>
      <c r="J8" s="96">
        <v>7048.7099225619213</v>
      </c>
      <c r="K8" s="96">
        <v>6372.5263969643656</v>
      </c>
      <c r="L8" s="96">
        <v>6042.4950334505238</v>
      </c>
      <c r="M8" s="96">
        <v>7339.9841173645591</v>
      </c>
      <c r="N8" s="96">
        <v>7194.6435669641696</v>
      </c>
      <c r="O8" s="96">
        <v>7223.4298660285185</v>
      </c>
      <c r="P8" s="96">
        <v>7402.4644094152927</v>
      </c>
      <c r="Q8" s="96">
        <v>7806.5372812487294</v>
      </c>
      <c r="R8" s="96">
        <v>8568.9915671957915</v>
      </c>
      <c r="S8" s="96">
        <v>9482.08090959521</v>
      </c>
      <c r="T8" s="96">
        <v>9754.9095021859266</v>
      </c>
      <c r="U8" s="96">
        <v>9910.353430810992</v>
      </c>
      <c r="V8" s="96">
        <v>2532.5677293050776</v>
      </c>
      <c r="W8" s="96">
        <v>3200.4929556560132</v>
      </c>
      <c r="DA8" s="171" t="s">
        <v>328</v>
      </c>
    </row>
    <row r="9" spans="1:105" ht="11.45" customHeight="1" x14ac:dyDescent="0.25">
      <c r="A9" s="83" t="s">
        <v>174</v>
      </c>
      <c r="B9" s="96">
        <v>3315.330847842235</v>
      </c>
      <c r="C9" s="96">
        <v>2912.8742825566628</v>
      </c>
      <c r="D9" s="96">
        <v>3066.3725485377108</v>
      </c>
      <c r="E9" s="96">
        <v>2552.7805425957945</v>
      </c>
      <c r="F9" s="96">
        <v>3003.6810693220341</v>
      </c>
      <c r="G9" s="96">
        <v>2993.6129023447129</v>
      </c>
      <c r="H9" s="96">
        <v>3075.5308973181286</v>
      </c>
      <c r="I9" s="96">
        <v>3187.4345064775584</v>
      </c>
      <c r="J9" s="96">
        <v>3275.1370182484866</v>
      </c>
      <c r="K9" s="96">
        <v>3233.0890642698782</v>
      </c>
      <c r="L9" s="96">
        <v>3139.265576074064</v>
      </c>
      <c r="M9" s="96">
        <v>3674.3993527504226</v>
      </c>
      <c r="N9" s="96">
        <v>3706.855270378172</v>
      </c>
      <c r="O9" s="96">
        <v>3634.645437360798</v>
      </c>
      <c r="P9" s="96">
        <v>3658.093129081793</v>
      </c>
      <c r="Q9" s="96">
        <v>3859.2686859273608</v>
      </c>
      <c r="R9" s="96">
        <v>3824.7697633192756</v>
      </c>
      <c r="S9" s="96">
        <v>4001.7469385709323</v>
      </c>
      <c r="T9" s="96">
        <v>4271.9690438697689</v>
      </c>
      <c r="U9" s="96">
        <v>4497.9445035634071</v>
      </c>
      <c r="V9" s="96">
        <v>1823.7741073746859</v>
      </c>
      <c r="W9" s="96">
        <v>1960.6021188173579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351.67406901425534</v>
      </c>
      <c r="C10" s="22">
        <f t="shared" si="29"/>
        <v>367.82118206857132</v>
      </c>
      <c r="D10" s="22">
        <f t="shared" ref="D10:V10" si="30">SUM(D11:D13)</f>
        <v>324.29348328453818</v>
      </c>
      <c r="E10" s="22">
        <f t="shared" si="30"/>
        <v>327.68153357803101</v>
      </c>
      <c r="F10" s="22">
        <f t="shared" si="30"/>
        <v>419.20030558900896</v>
      </c>
      <c r="G10" s="22">
        <f t="shared" si="30"/>
        <v>394.09051270805776</v>
      </c>
      <c r="H10" s="22">
        <f t="shared" si="30"/>
        <v>392.93837818517591</v>
      </c>
      <c r="I10" s="22">
        <f t="shared" si="30"/>
        <v>386.59350544529633</v>
      </c>
      <c r="J10" s="22">
        <f t="shared" si="30"/>
        <v>376.17198842816771</v>
      </c>
      <c r="K10" s="22">
        <f t="shared" si="30"/>
        <v>322.2955728925574</v>
      </c>
      <c r="L10" s="22">
        <f t="shared" si="30"/>
        <v>359.0408604345705</v>
      </c>
      <c r="M10" s="22">
        <f t="shared" si="30"/>
        <v>346.29590044485747</v>
      </c>
      <c r="N10" s="22">
        <f t="shared" si="30"/>
        <v>307.81645318856761</v>
      </c>
      <c r="O10" s="22">
        <f t="shared" si="30"/>
        <v>309.49170139306466</v>
      </c>
      <c r="P10" s="22">
        <f t="shared" si="30"/>
        <v>299.61192132998445</v>
      </c>
      <c r="Q10" s="22">
        <f t="shared" si="30"/>
        <v>332.46258498796306</v>
      </c>
      <c r="R10" s="22">
        <f t="shared" si="30"/>
        <v>317.06808597348311</v>
      </c>
      <c r="S10" s="22">
        <f t="shared" si="30"/>
        <v>395.25774613884744</v>
      </c>
      <c r="T10" s="22">
        <f t="shared" si="30"/>
        <v>419.96530210763251</v>
      </c>
      <c r="U10" s="22">
        <f t="shared" si="30"/>
        <v>384.7076417408673</v>
      </c>
      <c r="V10" s="22">
        <f t="shared" si="30"/>
        <v>436.18311878196312</v>
      </c>
      <c r="W10" s="22">
        <f t="shared" ref="W10" si="31">SUM(W11:W13)</f>
        <v>466.96443379271716</v>
      </c>
      <c r="DA10" s="193" t="s">
        <v>330</v>
      </c>
    </row>
    <row r="11" spans="1:105" ht="11.45" customHeight="1" x14ac:dyDescent="0.25">
      <c r="A11" s="92" t="s">
        <v>27</v>
      </c>
      <c r="B11" s="97">
        <v>161.49010257254457</v>
      </c>
      <c r="C11" s="97">
        <v>166.89984315324014</v>
      </c>
      <c r="D11" s="97">
        <v>153.2036826977982</v>
      </c>
      <c r="E11" s="97">
        <v>132.78655468247234</v>
      </c>
      <c r="F11" s="97">
        <v>178.1259812106924</v>
      </c>
      <c r="G11" s="97">
        <v>183.50631668423728</v>
      </c>
      <c r="H11" s="97">
        <v>185.2675402192915</v>
      </c>
      <c r="I11" s="97">
        <v>177.81839605916008</v>
      </c>
      <c r="J11" s="97">
        <v>172.99612923857757</v>
      </c>
      <c r="K11" s="97">
        <v>136.51151412680042</v>
      </c>
      <c r="L11" s="97">
        <v>142.57990995915651</v>
      </c>
      <c r="M11" s="97">
        <v>110.71645055983883</v>
      </c>
      <c r="N11" s="97">
        <v>95.696340530907321</v>
      </c>
      <c r="O11" s="97">
        <v>88.826744782383216</v>
      </c>
      <c r="P11" s="97">
        <v>84.840219827069475</v>
      </c>
      <c r="Q11" s="97">
        <v>82.43973216405243</v>
      </c>
      <c r="R11" s="97">
        <v>78.402056488548197</v>
      </c>
      <c r="S11" s="97">
        <v>89.319884304986857</v>
      </c>
      <c r="T11" s="97">
        <v>79.994358163328926</v>
      </c>
      <c r="U11" s="97">
        <v>71.027606115263708</v>
      </c>
      <c r="V11" s="97">
        <v>49.023115461725084</v>
      </c>
      <c r="W11" s="97">
        <v>67.096416626087091</v>
      </c>
      <c r="DA11" s="175" t="s">
        <v>331</v>
      </c>
    </row>
    <row r="12" spans="1:105" ht="11.45" customHeight="1" x14ac:dyDescent="0.25">
      <c r="A12" s="92" t="s">
        <v>173</v>
      </c>
      <c r="B12" s="97">
        <v>57.523589753908816</v>
      </c>
      <c r="C12" s="97">
        <v>59.206814189713292</v>
      </c>
      <c r="D12" s="97">
        <v>51.813962710010472</v>
      </c>
      <c r="E12" s="97">
        <v>56.466495099753466</v>
      </c>
      <c r="F12" s="97">
        <v>69.656669780678129</v>
      </c>
      <c r="G12" s="97">
        <v>63.281147615118833</v>
      </c>
      <c r="H12" s="97">
        <v>65.241829399207575</v>
      </c>
      <c r="I12" s="97">
        <v>55.190676965196161</v>
      </c>
      <c r="J12" s="97">
        <v>55.878975297772811</v>
      </c>
      <c r="K12" s="97">
        <v>52.289417788878794</v>
      </c>
      <c r="L12" s="97">
        <v>52.580624854595804</v>
      </c>
      <c r="M12" s="97">
        <v>55.704401824234296</v>
      </c>
      <c r="N12" s="97">
        <v>49.389408409103005</v>
      </c>
      <c r="O12" s="97">
        <v>48.324321692482357</v>
      </c>
      <c r="P12" s="97">
        <v>42.309654719338511</v>
      </c>
      <c r="Q12" s="97">
        <v>47.091303003194213</v>
      </c>
      <c r="R12" s="97">
        <v>42.207151989659842</v>
      </c>
      <c r="S12" s="97">
        <v>51.633416310725856</v>
      </c>
      <c r="T12" s="97">
        <v>52.910420183868339</v>
      </c>
      <c r="U12" s="97">
        <v>58.583742899247589</v>
      </c>
      <c r="V12" s="97">
        <v>54.070392838634987</v>
      </c>
      <c r="W12" s="97">
        <v>52.844853841790929</v>
      </c>
      <c r="DA12" s="175" t="s">
        <v>332</v>
      </c>
    </row>
    <row r="13" spans="1:105" ht="11.45" customHeight="1" x14ac:dyDescent="0.25">
      <c r="A13" s="85" t="s">
        <v>174</v>
      </c>
      <c r="B13" s="98">
        <v>132.66037668780197</v>
      </c>
      <c r="C13" s="98">
        <v>141.71452472561788</v>
      </c>
      <c r="D13" s="98">
        <v>119.27583787672948</v>
      </c>
      <c r="E13" s="98">
        <v>138.42848379580522</v>
      </c>
      <c r="F13" s="98">
        <v>171.4176545976384</v>
      </c>
      <c r="G13" s="98">
        <v>147.30304840870161</v>
      </c>
      <c r="H13" s="98">
        <v>142.42900856667686</v>
      </c>
      <c r="I13" s="98">
        <v>153.58443242094009</v>
      </c>
      <c r="J13" s="98">
        <v>147.29688389181734</v>
      </c>
      <c r="K13" s="98">
        <v>133.49464097687817</v>
      </c>
      <c r="L13" s="98">
        <v>163.88032562081818</v>
      </c>
      <c r="M13" s="98">
        <v>179.87504806078437</v>
      </c>
      <c r="N13" s="98">
        <v>162.73070424855729</v>
      </c>
      <c r="O13" s="98">
        <v>172.34063491819913</v>
      </c>
      <c r="P13" s="98">
        <v>172.46204678357645</v>
      </c>
      <c r="Q13" s="98">
        <v>202.93154982071641</v>
      </c>
      <c r="R13" s="98">
        <v>196.45887749527506</v>
      </c>
      <c r="S13" s="98">
        <v>254.30444552313472</v>
      </c>
      <c r="T13" s="98">
        <v>287.06052376043527</v>
      </c>
      <c r="U13" s="98">
        <v>255.09629272635604</v>
      </c>
      <c r="V13" s="98">
        <v>333.08961048160302</v>
      </c>
      <c r="W13" s="98">
        <v>347.02316332483912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3.0098498133675653</v>
      </c>
      <c r="C18" s="97">
        <f>IF(C4=0,0,C4/TrAvia_ene!C4)</f>
        <v>3.0098011955818329</v>
      </c>
      <c r="D18" s="97">
        <f>IF(D4=0,0,D4/TrAvia_ene!D4)</f>
        <v>3.0096635877682747</v>
      </c>
      <c r="E18" s="97">
        <f>IF(E4=0,0,E4/TrAvia_ene!E4)</f>
        <v>3.0097878578196857</v>
      </c>
      <c r="F18" s="97">
        <f>IF(F4=0,0,F4/TrAvia_ene!F4)</f>
        <v>3.0098811961791783</v>
      </c>
      <c r="G18" s="97">
        <f>IF(G4=0,0,G4/TrAvia_ene!G4)</f>
        <v>3.0099419730275736</v>
      </c>
      <c r="H18" s="97">
        <f>IF(H4=0,0,H4/TrAvia_ene!H4)</f>
        <v>3.0099597961080242</v>
      </c>
      <c r="I18" s="97">
        <f>IF(I4=0,0,I4/TrAvia_ene!I4)</f>
        <v>3.009944018984235</v>
      </c>
      <c r="J18" s="97">
        <f>IF(J4=0,0,J4/TrAvia_ene!J4)</f>
        <v>3.0099306513186042</v>
      </c>
      <c r="K18" s="97">
        <f>IF(K4=0,0,K4/TrAvia_ene!K4)</f>
        <v>3.0099203508950758</v>
      </c>
      <c r="L18" s="97">
        <f>IF(L4=0,0,L4/TrAvia_ene!L4)</f>
        <v>3.0100301660676214</v>
      </c>
      <c r="M18" s="97">
        <f>IF(M4=0,0,M4/TrAvia_ene!M4)</f>
        <v>3.0100757767798556</v>
      </c>
      <c r="N18" s="97">
        <f>IF(N4=0,0,N4/TrAvia_ene!N4)</f>
        <v>3.0100844833632667</v>
      </c>
      <c r="O18" s="97">
        <f>IF(O4=0,0,O4/TrAvia_ene!O4)</f>
        <v>3.010045473732784</v>
      </c>
      <c r="P18" s="97">
        <f>IF(P4=0,0,P4/TrAvia_ene!P4)</f>
        <v>3.010159835495072</v>
      </c>
      <c r="Q18" s="97">
        <f>IF(Q4=0,0,Q4/TrAvia_ene!Q4)</f>
        <v>3.0101250784046178</v>
      </c>
      <c r="R18" s="97">
        <f>IF(R4=0,0,R4/TrAvia_ene!R4)</f>
        <v>3.0101399912335416</v>
      </c>
      <c r="S18" s="97">
        <f>IF(S4=0,0,S4/TrAvia_ene!S4)</f>
        <v>3.0101535080346822</v>
      </c>
      <c r="T18" s="97">
        <f>IF(T4=0,0,T4/TrAvia_ene!T4)</f>
        <v>3.0101595578115936</v>
      </c>
      <c r="U18" s="97">
        <f>IF(U4=0,0,U4/TrAvia_ene!U4)</f>
        <v>3.0101322525845076</v>
      </c>
      <c r="V18" s="97">
        <f>IF(V4=0,0,V4/TrAvia_ene!V4)</f>
        <v>3.009958341528097</v>
      </c>
      <c r="W18" s="97">
        <f>IF(W4=0,0,W4/TrAvia_ene!W4)</f>
        <v>3.0100744608249435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3.0103092000000018</v>
      </c>
      <c r="C19" s="98">
        <f>IF(C5=0,0,C5/TrAvia_ene!C5)</f>
        <v>3.0103091999999996</v>
      </c>
      <c r="D19" s="98">
        <f>IF(D5=0,0,D5/TrAvia_ene!D5)</f>
        <v>3.0103092000000005</v>
      </c>
      <c r="E19" s="98">
        <f>IF(E5=0,0,E5/TrAvia_ene!E5)</f>
        <v>3.0103091999999996</v>
      </c>
      <c r="F19" s="98">
        <f>IF(F5=0,0,F5/TrAvia_ene!F5)</f>
        <v>3.0103092000000009</v>
      </c>
      <c r="G19" s="98">
        <f>IF(G5=0,0,G5/TrAvia_ene!G5)</f>
        <v>3.0103092</v>
      </c>
      <c r="H19" s="98">
        <f>IF(H5=0,0,H5/TrAvia_ene!H5)</f>
        <v>3.0103092000000009</v>
      </c>
      <c r="I19" s="98">
        <f>IF(I5=0,0,I5/TrAvia_ene!I5)</f>
        <v>3.0103092000000014</v>
      </c>
      <c r="J19" s="98">
        <f>IF(J5=0,0,J5/TrAvia_ene!J5)</f>
        <v>3.0103092000000005</v>
      </c>
      <c r="K19" s="98">
        <f>IF(K5=0,0,K5/TrAvia_ene!K5)</f>
        <v>3.0103091999999991</v>
      </c>
      <c r="L19" s="98">
        <f>IF(L5=0,0,L5/TrAvia_ene!L5)</f>
        <v>3.0103092000000014</v>
      </c>
      <c r="M19" s="98">
        <f>IF(M5=0,0,M5/TrAvia_ene!M5)</f>
        <v>3.0103091999999996</v>
      </c>
      <c r="N19" s="98">
        <f>IF(N5=0,0,N5/TrAvia_ene!N5)</f>
        <v>3.0103092</v>
      </c>
      <c r="O19" s="98">
        <f>IF(O5=0,0,O5/TrAvia_ene!O5)</f>
        <v>3.0103091999999996</v>
      </c>
      <c r="P19" s="98">
        <f>IF(P5=0,0,P5/TrAvia_ene!P5)</f>
        <v>3.0103092</v>
      </c>
      <c r="Q19" s="98">
        <f>IF(Q5=0,0,Q5/TrAvia_ene!Q5)</f>
        <v>3.0103091999999991</v>
      </c>
      <c r="R19" s="98">
        <f>IF(R5=0,0,R5/TrAvia_ene!R5)</f>
        <v>3.0103092000000014</v>
      </c>
      <c r="S19" s="98">
        <f>IF(S5=0,0,S5/TrAvia_ene!S5)</f>
        <v>3.0103092000000005</v>
      </c>
      <c r="T19" s="98">
        <f>IF(T5=0,0,T5/TrAvia_ene!T5)</f>
        <v>3.0103092</v>
      </c>
      <c r="U19" s="98">
        <f>IF(U5=0,0,U5/TrAvia_ene!U5)</f>
        <v>3.0103092000000018</v>
      </c>
      <c r="V19" s="98">
        <f>IF(V5=0,0,V5/TrAvia_ene!V5)</f>
        <v>3.0103091999999991</v>
      </c>
      <c r="W19" s="98">
        <f>IF(W5=0,0,W5/TrAvia_ene!W5)</f>
        <v>3.010307104279685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13897.822561544963</v>
      </c>
      <c r="C21" s="54">
        <f>IF(C3=0,0,C3/TrAvia_act!C13*1000)</f>
        <v>14921.856421122078</v>
      </c>
      <c r="D21" s="54">
        <f>IF(D3=0,0,D3/TrAvia_act!D13*1000)</f>
        <v>13747.166081707692</v>
      </c>
      <c r="E21" s="54">
        <f>IF(E3=0,0,E3/TrAvia_act!E13*1000)</f>
        <v>14822.79486001574</v>
      </c>
      <c r="F21" s="54">
        <f>IF(F3=0,0,F3/TrAvia_act!F13*1000)</f>
        <v>14826.51944695529</v>
      </c>
      <c r="G21" s="54">
        <f>IF(G3=0,0,G3/TrAvia_act!G13*1000)</f>
        <v>14668.663772837595</v>
      </c>
      <c r="H21" s="54">
        <f>IF(H3=0,0,H3/TrAvia_act!H13*1000)</f>
        <v>14639.930192816284</v>
      </c>
      <c r="I21" s="54">
        <f>IF(I3=0,0,I3/TrAvia_act!I13*1000)</f>
        <v>14131.855341177054</v>
      </c>
      <c r="J21" s="54">
        <f>IF(J3=0,0,J3/TrAvia_act!J13*1000)</f>
        <v>13870.477680614327</v>
      </c>
      <c r="K21" s="54">
        <f>IF(K3=0,0,K3/TrAvia_act!K13*1000)</f>
        <v>14118.077362437332</v>
      </c>
      <c r="L21" s="54">
        <f>IF(L3=0,0,L3/TrAvia_act!L13*1000)</f>
        <v>14043.246926542532</v>
      </c>
      <c r="M21" s="54">
        <f>IF(M3=0,0,M3/TrAvia_act!M13*1000)</f>
        <v>14135.70923544146</v>
      </c>
      <c r="N21" s="54">
        <f>IF(N3=0,0,N3/TrAvia_act!N13*1000)</f>
        <v>14211.138361742567</v>
      </c>
      <c r="O21" s="54">
        <f>IF(O3=0,0,O3/TrAvia_act!O13*1000)</f>
        <v>13587.197132245978</v>
      </c>
      <c r="P21" s="54">
        <f>IF(P3=0,0,P3/TrAvia_act!P13*1000)</f>
        <v>13562.870332473218</v>
      </c>
      <c r="Q21" s="54">
        <f>IF(Q3=0,0,Q3/TrAvia_act!Q13*1000)</f>
        <v>14180.694585055195</v>
      </c>
      <c r="R21" s="54">
        <f>IF(R3=0,0,R3/TrAvia_act!R13*1000)</f>
        <v>13936.841843323702</v>
      </c>
      <c r="S21" s="54">
        <f>IF(S3=0,0,S3/TrAvia_act!S13*1000)</f>
        <v>14152.889645446321</v>
      </c>
      <c r="T21" s="54">
        <f>IF(T3=0,0,T3/TrAvia_act!T13*1000)</f>
        <v>14061.672709018721</v>
      </c>
      <c r="U21" s="54">
        <f>IF(U3=0,0,U3/TrAvia_act!U13*1000)</f>
        <v>14230.757916023405</v>
      </c>
      <c r="V21" s="54">
        <f>IF(V3=0,0,V3/TrAvia_act!V13*1000)</f>
        <v>14039.515855226586</v>
      </c>
      <c r="W21" s="54">
        <f>IF(W3=0,0,W3/TrAvia_act!W13*1000)</f>
        <v>13435.923339807889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13863.51884085758</v>
      </c>
      <c r="C22" s="11">
        <f>IF(C6=0,0,C6/TrAvia_act!C14*1000)</f>
        <v>14875.910198620086</v>
      </c>
      <c r="D22" s="11">
        <f>IF(D6=0,0,D6/TrAvia_act!D14*1000)</f>
        <v>13705.90650750245</v>
      </c>
      <c r="E22" s="11">
        <f>IF(E6=0,0,E6/TrAvia_act!E14*1000)</f>
        <v>14781.817052748042</v>
      </c>
      <c r="F22" s="11">
        <f>IF(F6=0,0,F6/TrAvia_act!F14*1000)</f>
        <v>14778.571476870749</v>
      </c>
      <c r="G22" s="11">
        <f>IF(G6=0,0,G6/TrAvia_act!G14*1000)</f>
        <v>14635.256660224037</v>
      </c>
      <c r="H22" s="11">
        <f>IF(H6=0,0,H6/TrAvia_act!H14*1000)</f>
        <v>14623.159329235928</v>
      </c>
      <c r="I22" s="11">
        <f>IF(I6=0,0,I6/TrAvia_act!I14*1000)</f>
        <v>14122.736028942632</v>
      </c>
      <c r="J22" s="11">
        <f>IF(J6=0,0,J6/TrAvia_act!J14*1000)</f>
        <v>13876.795197133944</v>
      </c>
      <c r="K22" s="11">
        <f>IF(K6=0,0,K6/TrAvia_act!K14*1000)</f>
        <v>14128.835726023834</v>
      </c>
      <c r="L22" s="11">
        <f>IF(L6=0,0,L6/TrAvia_act!L14*1000)</f>
        <v>14066.244377818219</v>
      </c>
      <c r="M22" s="11">
        <f>IF(M6=0,0,M6/TrAvia_act!M14*1000)</f>
        <v>14161.169719142748</v>
      </c>
      <c r="N22" s="11">
        <f>IF(N6=0,0,N6/TrAvia_act!N14*1000)</f>
        <v>14237.796953164867</v>
      </c>
      <c r="O22" s="11">
        <f>IF(O6=0,0,O6/TrAvia_act!O14*1000)</f>
        <v>13597.074640260676</v>
      </c>
      <c r="P22" s="11">
        <f>IF(P6=0,0,P6/TrAvia_act!P14*1000)</f>
        <v>13562.859739209545</v>
      </c>
      <c r="Q22" s="11">
        <f>IF(Q6=0,0,Q6/TrAvia_act!Q14*1000)</f>
        <v>14179.370732201711</v>
      </c>
      <c r="R22" s="11">
        <f>IF(R6=0,0,R6/TrAvia_act!R14*1000)</f>
        <v>13934.959791616879</v>
      </c>
      <c r="S22" s="11">
        <f>IF(S6=0,0,S6/TrAvia_act!S14*1000)</f>
        <v>14161.246830025479</v>
      </c>
      <c r="T22" s="11">
        <f>IF(T6=0,0,T6/TrAvia_act!T14*1000)</f>
        <v>14075.940986094365</v>
      </c>
      <c r="U22" s="11">
        <f>IF(U6=0,0,U6/TrAvia_act!U14*1000)</f>
        <v>14262.465476891795</v>
      </c>
      <c r="V22" s="11">
        <f>IF(V6=0,0,V6/TrAvia_act!V14*1000)</f>
        <v>13986.983442714652</v>
      </c>
      <c r="W22" s="11">
        <f>IF(W6=0,0,W6/TrAvia_act!W14*1000)</f>
        <v>13451.405751251021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20636.525844422078</v>
      </c>
      <c r="C23" s="84">
        <f>IF(C7=0,0,C7/TrAvia_act!C15*1000)</f>
        <v>22405.064612197206</v>
      </c>
      <c r="D23" s="84">
        <f>IF(D7=0,0,D7/TrAvia_act!D15*1000)</f>
        <v>21972.318404617454</v>
      </c>
      <c r="E23" s="84">
        <f>IF(E7=0,0,E7/TrAvia_act!E15*1000)</f>
        <v>22564.980710056025</v>
      </c>
      <c r="F23" s="84">
        <f>IF(F7=0,0,F7/TrAvia_act!F15*1000)</f>
        <v>22355.394551001369</v>
      </c>
      <c r="G23" s="84">
        <f>IF(G7=0,0,G7/TrAvia_act!G15*1000)</f>
        <v>23293.17165679561</v>
      </c>
      <c r="H23" s="84">
        <f>IF(H7=0,0,H7/TrAvia_act!H15*1000)</f>
        <v>23361.50066632625</v>
      </c>
      <c r="I23" s="84">
        <f>IF(I7=0,0,I7/TrAvia_act!I15*1000)</f>
        <v>23263.219109489637</v>
      </c>
      <c r="J23" s="84">
        <f>IF(J7=0,0,J7/TrAvia_act!J15*1000)</f>
        <v>23516.862083747612</v>
      </c>
      <c r="K23" s="84">
        <f>IF(K7=0,0,K7/TrAvia_act!K15*1000)</f>
        <v>23715.358860613756</v>
      </c>
      <c r="L23" s="84">
        <f>IF(L7=0,0,L7/TrAvia_act!L15*1000)</f>
        <v>26908.609971727652</v>
      </c>
      <c r="M23" s="84">
        <f>IF(M7=0,0,M7/TrAvia_act!M15*1000)</f>
        <v>25003.407525537066</v>
      </c>
      <c r="N23" s="84">
        <f>IF(N7=0,0,N7/TrAvia_act!N15*1000)</f>
        <v>26401.044262898653</v>
      </c>
      <c r="O23" s="84">
        <f>IF(O7=0,0,O7/TrAvia_act!O15*1000)</f>
        <v>26154.394191373023</v>
      </c>
      <c r="P23" s="84">
        <f>IF(P7=0,0,P7/TrAvia_act!P15*1000)</f>
        <v>27381.357541800829</v>
      </c>
      <c r="Q23" s="84">
        <f>IF(Q7=0,0,Q7/TrAvia_act!Q15*1000)</f>
        <v>28750.680160979588</v>
      </c>
      <c r="R23" s="84">
        <f>IF(R7=0,0,R7/TrAvia_act!R15*1000)</f>
        <v>29787.467740494765</v>
      </c>
      <c r="S23" s="84">
        <f>IF(S7=0,0,S7/TrAvia_act!S15*1000)</f>
        <v>30828.689915294624</v>
      </c>
      <c r="T23" s="84">
        <f>IF(T7=0,0,T7/TrAvia_act!T15*1000)</f>
        <v>29238.442124483645</v>
      </c>
      <c r="U23" s="84">
        <f>IF(U7=0,0,U7/TrAvia_act!U15*1000)</f>
        <v>29273.045188611901</v>
      </c>
      <c r="V23" s="84">
        <f>IF(V7=0,0,V7/TrAvia_act!V15*1000)</f>
        <v>23930.826506518752</v>
      </c>
      <c r="W23" s="84">
        <f>IF(W7=0,0,W7/TrAvia_act!W15*1000)</f>
        <v>28617.527287147266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9510.5511642444653</v>
      </c>
      <c r="C24" s="84">
        <f>IF(C8=0,0,C8/TrAvia_act!C16*1000)</f>
        <v>10487.705132459158</v>
      </c>
      <c r="D24" s="84">
        <f>IF(D8=0,0,D8/TrAvia_act!D16*1000)</f>
        <v>9384.4178221610655</v>
      </c>
      <c r="E24" s="84">
        <f>IF(E8=0,0,E8/TrAvia_act!E16*1000)</f>
        <v>10668.442797432008</v>
      </c>
      <c r="F24" s="84">
        <f>IF(F8=0,0,F8/TrAvia_act!F16*1000)</f>
        <v>10608.272717220125</v>
      </c>
      <c r="G24" s="84">
        <f>IF(G8=0,0,G8/TrAvia_act!G16*1000)</f>
        <v>10246.981096060012</v>
      </c>
      <c r="H24" s="84">
        <f>IF(H8=0,0,H8/TrAvia_act!H16*1000)</f>
        <v>10537.170249311466</v>
      </c>
      <c r="I24" s="84">
        <f>IF(I8=0,0,I8/TrAvia_act!I16*1000)</f>
        <v>10233.439500073129</v>
      </c>
      <c r="J24" s="84">
        <f>IF(J8=0,0,J8/TrAvia_act!J16*1000)</f>
        <v>10177.829430307374</v>
      </c>
      <c r="K24" s="84">
        <f>IF(K8=0,0,K8/TrAvia_act!K16*1000)</f>
        <v>10339.160689942029</v>
      </c>
      <c r="L24" s="84">
        <f>IF(L8=0,0,L8/TrAvia_act!L16*1000)</f>
        <v>9534.6290735583552</v>
      </c>
      <c r="M24" s="84">
        <f>IF(M8=0,0,M8/TrAvia_act!M16*1000)</f>
        <v>10685.759968843253</v>
      </c>
      <c r="N24" s="84">
        <f>IF(N8=0,0,N8/TrAvia_act!N16*1000)</f>
        <v>10865.656978903053</v>
      </c>
      <c r="O24" s="84">
        <f>IF(O8=0,0,O8/TrAvia_act!O16*1000)</f>
        <v>10674.245772141061</v>
      </c>
      <c r="P24" s="84">
        <f>IF(P8=0,0,P8/TrAvia_act!P16*1000)</f>
        <v>10325.16517716676</v>
      </c>
      <c r="Q24" s="84">
        <f>IF(Q8=0,0,Q8/TrAvia_act!Q16*1000)</f>
        <v>10639.191405815587</v>
      </c>
      <c r="R24" s="84">
        <f>IF(R8=0,0,R8/TrAvia_act!R16*1000)</f>
        <v>10434.572029672996</v>
      </c>
      <c r="S24" s="84">
        <f>IF(S8=0,0,S8/TrAvia_act!S16*1000)</f>
        <v>10756.571263568412</v>
      </c>
      <c r="T24" s="84">
        <f>IF(T8=0,0,T8/TrAvia_act!T16*1000)</f>
        <v>10799.165627760407</v>
      </c>
      <c r="U24" s="84">
        <f>IF(U8=0,0,U8/TrAvia_act!U16*1000)</f>
        <v>11088.421005965894</v>
      </c>
      <c r="V24" s="84">
        <f>IF(V8=0,0,V8/TrAvia_act!V16*1000)</f>
        <v>8692.3542552110648</v>
      </c>
      <c r="W24" s="84">
        <f>IF(W8=0,0,W8/TrAvia_act!W16*1000)</f>
        <v>7457.1496503145718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16144.792937994796</v>
      </c>
      <c r="C25" s="84">
        <f>IF(C9=0,0,C9/TrAvia_act!C17*1000)</f>
        <v>17781.709350050332</v>
      </c>
      <c r="D25" s="84">
        <f>IF(D9=0,0,D9/TrAvia_act!D17*1000)</f>
        <v>15894.339144399957</v>
      </c>
      <c r="E25" s="84">
        <f>IF(E9=0,0,E9/TrAvia_act!E17*1000)</f>
        <v>18015.949315952417</v>
      </c>
      <c r="F25" s="84">
        <f>IF(F9=0,0,F9/TrAvia_act!F17*1000)</f>
        <v>17922.121581438936</v>
      </c>
      <c r="G25" s="84">
        <f>IF(G9=0,0,G9/TrAvia_act!G17*1000)</f>
        <v>15844.557727403715</v>
      </c>
      <c r="H25" s="84">
        <f>IF(H9=0,0,H9/TrAvia_act!H17*1000)</f>
        <v>14393.237367224705</v>
      </c>
      <c r="I25" s="84">
        <f>IF(I9=0,0,I9/TrAvia_act!I17*1000)</f>
        <v>13160.925356349419</v>
      </c>
      <c r="J25" s="84">
        <f>IF(J9=0,0,J9/TrAvia_act!J17*1000)</f>
        <v>12416.761101797216</v>
      </c>
      <c r="K25" s="84">
        <f>IF(K9=0,0,K9/TrAvia_act!K17*1000)</f>
        <v>13142.109803180874</v>
      </c>
      <c r="L25" s="84">
        <f>IF(L9=0,0,L9/TrAvia_act!L17*1000)</f>
        <v>12045.138147401034</v>
      </c>
      <c r="M25" s="84">
        <f>IF(M9=0,0,M9/TrAvia_act!M17*1000)</f>
        <v>12806.366999181711</v>
      </c>
      <c r="N25" s="84">
        <f>IF(N9=0,0,N9/TrAvia_act!N17*1000)</f>
        <v>13105.596326511428</v>
      </c>
      <c r="O25" s="84">
        <f>IF(O9=0,0,O9/TrAvia_act!O17*1000)</f>
        <v>12606.336222719554</v>
      </c>
      <c r="P25" s="84">
        <f>IF(P9=0,0,P9/TrAvia_act!P17*1000)</f>
        <v>12845.857028594886</v>
      </c>
      <c r="Q25" s="84">
        <f>IF(Q9=0,0,Q9/TrAvia_act!Q17*1000)</f>
        <v>13648.107047961406</v>
      </c>
      <c r="R25" s="84">
        <f>IF(R9=0,0,R9/TrAvia_act!R17*1000)</f>
        <v>13012.408159347086</v>
      </c>
      <c r="S25" s="84">
        <f>IF(S9=0,0,S9/TrAvia_act!S17*1000)</f>
        <v>12673.691010550829</v>
      </c>
      <c r="T25" s="84">
        <f>IF(T9=0,0,T9/TrAvia_act!T17*1000)</f>
        <v>12572.885170536401</v>
      </c>
      <c r="U25" s="84">
        <f>IF(U9=0,0,U9/TrAvia_act!U17*1000)</f>
        <v>12113.641845442993</v>
      </c>
      <c r="V25" s="84">
        <f>IF(V9=0,0,V9/TrAvia_act!V17*1000)</f>
        <v>17460.665462520992</v>
      </c>
      <c r="W25" s="84">
        <f>IF(W9=0,0,W9/TrAvia_act!W17*1000)</f>
        <v>13143.944930565016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15360.154545172312</v>
      </c>
      <c r="C26" s="13">
        <f>IF(C10=0,0,C10/TrAvia_act!C18*1000)</f>
        <v>16852.158187407003</v>
      </c>
      <c r="D26" s="13">
        <f>IF(D10=0,0,D10/TrAvia_act!D18*1000)</f>
        <v>15629.355551008219</v>
      </c>
      <c r="E26" s="13">
        <f>IF(E10=0,0,E10/TrAvia_act!E18*1000)</f>
        <v>16752.645608490257</v>
      </c>
      <c r="F26" s="13">
        <f>IF(F10=0,0,F10/TrAvia_act!F18*1000)</f>
        <v>16778.926026046865</v>
      </c>
      <c r="G26" s="13">
        <f>IF(G10=0,0,G10/TrAvia_act!G18*1000)</f>
        <v>16174.278260534986</v>
      </c>
      <c r="H26" s="13">
        <f>IF(H10=0,0,H10/TrAvia_act!H18*1000)</f>
        <v>15396.22402407401</v>
      </c>
      <c r="I26" s="13">
        <f>IF(I10=0,0,I10/TrAvia_act!I18*1000)</f>
        <v>14563.221008684595</v>
      </c>
      <c r="J26" s="13">
        <f>IF(J10=0,0,J10/TrAvia_act!J18*1000)</f>
        <v>13582.601477119268</v>
      </c>
      <c r="K26" s="13">
        <f>IF(K10=0,0,K10/TrAvia_act!K18*1000)</f>
        <v>13604.319923664852</v>
      </c>
      <c r="L26" s="13">
        <f>IF(L10=0,0,L10/TrAvia_act!L18*1000)</f>
        <v>13072.759596500471</v>
      </c>
      <c r="M26" s="13">
        <f>IF(M10=0,0,M10/TrAvia_act!M18*1000)</f>
        <v>12963.53220398036</v>
      </c>
      <c r="N26" s="13">
        <f>IF(N10=0,0,N10/TrAvia_act!N18*1000)</f>
        <v>12918.98206476254</v>
      </c>
      <c r="O26" s="13">
        <f>IF(O10=0,0,O10/TrAvia_act!O18*1000)</f>
        <v>13108.066473626408</v>
      </c>
      <c r="P26" s="13">
        <f>IF(P10=0,0,P10/TrAvia_act!P18*1000)</f>
        <v>13563.438347517629</v>
      </c>
      <c r="Q26" s="13">
        <f>IF(Q10=0,0,Q10/TrAvia_act!Q18*1000)</f>
        <v>14249.071114938981</v>
      </c>
      <c r="R26" s="13">
        <f>IF(R10=0,0,R10/TrAvia_act!R18*1000)</f>
        <v>14046.36346705396</v>
      </c>
      <c r="S26" s="13">
        <f>IF(S10=0,0,S10/TrAvia_act!S18*1000)</f>
        <v>13744.436383232809</v>
      </c>
      <c r="T26" s="13">
        <f>IF(T10=0,0,T10/TrAvia_act!T18*1000)</f>
        <v>13391.939843210066</v>
      </c>
      <c r="U26" s="13">
        <f>IF(U10=0,0,U10/TrAvia_act!U18*1000)</f>
        <v>12658.290847159358</v>
      </c>
      <c r="V26" s="13">
        <f>IF(V10=0,0,V10/TrAvia_act!V18*1000)</f>
        <v>14966.843995269255</v>
      </c>
      <c r="W26" s="13">
        <f>IF(W10=0,0,W10/TrAvia_act!W18*1000)</f>
        <v>13109.49889195204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20045.757650994972</v>
      </c>
      <c r="C27" s="102">
        <f>IF(C11=0,0,C11/TrAvia_act!C19*1000)</f>
        <v>21763.667913724192</v>
      </c>
      <c r="D27" s="102">
        <f>IF(D11=0,0,D11/TrAvia_act!D19*1000)</f>
        <v>21343.310065366906</v>
      </c>
      <c r="E27" s="102">
        <f>IF(E11=0,0,E11/TrAvia_act!E19*1000)</f>
        <v>21919.006044102236</v>
      </c>
      <c r="F27" s="102">
        <f>IF(F11=0,0,F11/TrAvia_act!F19*1000)</f>
        <v>21715.41977269754</v>
      </c>
      <c r="G27" s="102">
        <f>IF(G11=0,0,G11/TrAvia_act!G19*1000)</f>
        <v>22643.376831256439</v>
      </c>
      <c r="H27" s="102">
        <f>IF(H11=0,0,H11/TrAvia_act!H19*1000)</f>
        <v>22471.132620121025</v>
      </c>
      <c r="I27" s="102">
        <f>IF(I11=0,0,I11/TrAvia_act!I19*1000)</f>
        <v>22155.22437637407</v>
      </c>
      <c r="J27" s="102">
        <f>IF(J11=0,0,J11/TrAvia_act!J19*1000)</f>
        <v>22163.043569069454</v>
      </c>
      <c r="K27" s="102">
        <f>IF(K11=0,0,K11/TrAvia_act!K19*1000)</f>
        <v>22096.3705905891</v>
      </c>
      <c r="L27" s="102">
        <f>IF(L11=0,0,L11/TrAvia_act!L19*1000)</f>
        <v>24857.391941442766</v>
      </c>
      <c r="M27" s="102">
        <f>IF(M11=0,0,M11/TrAvia_act!M19*1000)</f>
        <v>23257.143568250252</v>
      </c>
      <c r="N27" s="102">
        <f>IF(N11=0,0,N11/TrAvia_act!N19*1000)</f>
        <v>24711.417560705664</v>
      </c>
      <c r="O27" s="102">
        <f>IF(O11=0,0,O11/TrAvia_act!O19*1000)</f>
        <v>24420.315861003644</v>
      </c>
      <c r="P27" s="102">
        <f>IF(P11=0,0,P11/TrAvia_act!P19*1000)</f>
        <v>25413.727286060253</v>
      </c>
      <c r="Q27" s="102">
        <f>IF(Q11=0,0,Q11/TrAvia_act!Q19*1000)</f>
        <v>26570.132685492972</v>
      </c>
      <c r="R27" s="102">
        <f>IF(R11=0,0,R11/TrAvia_act!R19*1000)</f>
        <v>27466.494639634533</v>
      </c>
      <c r="S27" s="102">
        <f>IF(S11=0,0,S11/TrAvia_act!S19*1000)</f>
        <v>28273.855516861971</v>
      </c>
      <c r="T27" s="102">
        <f>IF(T11=0,0,T11/TrAvia_act!T19*1000)</f>
        <v>26630.557903855031</v>
      </c>
      <c r="U27" s="102">
        <f>IF(U11=0,0,U11/TrAvia_act!U19*1000)</f>
        <v>26630.855286047401</v>
      </c>
      <c r="V27" s="102">
        <f>IF(V11=0,0,V11/TrAvia_act!V19*1000)</f>
        <v>21726.68782942231</v>
      </c>
      <c r="W27" s="102">
        <f>IF(W11=0,0,W11/TrAvia_act!W19*1000)</f>
        <v>26205.31817393106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8655.4494154599197</v>
      </c>
      <c r="C28" s="102">
        <f>IF(C12=0,0,C12/TrAvia_act!C20*1000)</f>
        <v>9532.6732483093874</v>
      </c>
      <c r="D28" s="102">
        <f>IF(D12=0,0,D12/TrAvia_act!D20*1000)</f>
        <v>8510.428929149095</v>
      </c>
      <c r="E28" s="102">
        <f>IF(E12=0,0,E12/TrAvia_act!E20*1000)</f>
        <v>9668.1917867548473</v>
      </c>
      <c r="F28" s="102">
        <f>IF(F12=0,0,F12/TrAvia_act!F20*1000)</f>
        <v>9615.7598595711734</v>
      </c>
      <c r="G28" s="102">
        <f>IF(G12=0,0,G12/TrAvia_act!G20*1000)</f>
        <v>9264.8665938494505</v>
      </c>
      <c r="H28" s="102">
        <f>IF(H12=0,0,H12/TrAvia_act!H20*1000)</f>
        <v>9502.7302170586354</v>
      </c>
      <c r="I28" s="102">
        <f>IF(I12=0,0,I12/TrAvia_act!I20*1000)</f>
        <v>9110.4879091171733</v>
      </c>
      <c r="J28" s="102">
        <f>IF(J12=0,0,J12/TrAvia_act!J20*1000)</f>
        <v>9013.4619238352625</v>
      </c>
      <c r="K28" s="102">
        <f>IF(K12=0,0,K12/TrAvia_act!K20*1000)</f>
        <v>9260.5330645190861</v>
      </c>
      <c r="L28" s="102">
        <f>IF(L12=0,0,L12/TrAvia_act!L20*1000)</f>
        <v>8425.1742311213839</v>
      </c>
      <c r="M28" s="102">
        <f>IF(M12=0,0,M12/TrAvia_act!M20*1000)</f>
        <v>9240.4057686982796</v>
      </c>
      <c r="N28" s="102">
        <f>IF(N12=0,0,N12/TrAvia_act!N20*1000)</f>
        <v>9474.1496891507231</v>
      </c>
      <c r="O28" s="102">
        <f>IF(O12=0,0,O12/TrAvia_act!O20*1000)</f>
        <v>9162.4969756521441</v>
      </c>
      <c r="P28" s="102">
        <f>IF(P12=0,0,P12/TrAvia_act!P20*1000)</f>
        <v>8699.4653411179679</v>
      </c>
      <c r="Q28" s="102">
        <f>IF(Q12=0,0,Q12/TrAvia_act!Q20*1000)</f>
        <v>9012.1911206920413</v>
      </c>
      <c r="R28" s="102">
        <f>IF(R12=0,0,R12/TrAvia_act!R20*1000)</f>
        <v>8672.3028031681224</v>
      </c>
      <c r="S28" s="102">
        <f>IF(S12=0,0,S12/TrAvia_act!S20*1000)</f>
        <v>8862.7482112443395</v>
      </c>
      <c r="T28" s="102">
        <f>IF(T12=0,0,T12/TrAvia_act!T20*1000)</f>
        <v>8970.3249847989919</v>
      </c>
      <c r="U28" s="102">
        <f>IF(U12=0,0,U12/TrAvia_act!U20*1000)</f>
        <v>9242.4014920375976</v>
      </c>
      <c r="V28" s="102">
        <f>IF(V12=0,0,V12/TrAvia_act!V20*1000)</f>
        <v>8035.7827077372976</v>
      </c>
      <c r="W28" s="102">
        <f>IF(W12=0,0,W12/TrAvia_act!W20*1000)</f>
        <v>6810.851262619175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16191.514015804365</v>
      </c>
      <c r="C29" s="86">
        <f>IF(C13=0,0,C13/TrAvia_act!C21*1000)</f>
        <v>17833.167465946983</v>
      </c>
      <c r="D29" s="86">
        <f>IF(D13=0,0,D13/TrAvia_act!D21*1000)</f>
        <v>15940.335439226976</v>
      </c>
      <c r="E29" s="86">
        <f>IF(E13=0,0,E13/TrAvia_act!E21*1000)</f>
        <v>18068.085293975586</v>
      </c>
      <c r="F29" s="86">
        <f>IF(F13=0,0,F13/TrAvia_act!F21*1000)</f>
        <v>17973.986033348279</v>
      </c>
      <c r="G29" s="86">
        <f>IF(G13=0,0,G13/TrAvia_act!G21*1000)</f>
        <v>15619.293215247053</v>
      </c>
      <c r="H29" s="86">
        <f>IF(H13=0,0,H13/TrAvia_act!H21*1000)</f>
        <v>13680.025025707871</v>
      </c>
      <c r="I29" s="86">
        <f>IF(I13=0,0,I13/TrAvia_act!I21*1000)</f>
        <v>12324.29342057057</v>
      </c>
      <c r="J29" s="86">
        <f>IF(J13=0,0,J13/TrAvia_act!J21*1000)</f>
        <v>10759.434451424899</v>
      </c>
      <c r="K29" s="86">
        <f>IF(K13=0,0,K13/TrAvia_act!K21*1000)</f>
        <v>11249.998173649654</v>
      </c>
      <c r="L29" s="86">
        <f>IF(L13=0,0,L13/TrAvia_act!L21*1000)</f>
        <v>10581.11635336711</v>
      </c>
      <c r="M29" s="86">
        <f>IF(M13=0,0,M13/TrAvia_act!M21*1000)</f>
        <v>11295.70620921103</v>
      </c>
      <c r="N29" s="86">
        <f>IF(N13=0,0,N13/TrAvia_act!N21*1000)</f>
        <v>11039.285437312701</v>
      </c>
      <c r="O29" s="86">
        <f>IF(O13=0,0,O13/TrAvia_act!O21*1000)</f>
        <v>11724.469199778508</v>
      </c>
      <c r="P29" s="86">
        <f>IF(P13=0,0,P13/TrAvia_act!P21*1000)</f>
        <v>12418.210796285484</v>
      </c>
      <c r="Q29" s="86">
        <f>IF(Q13=0,0,Q13/TrAvia_act!Q21*1000)</f>
        <v>13524.966986417263</v>
      </c>
      <c r="R29" s="86">
        <f>IF(R13=0,0,R13/TrAvia_act!R21*1000)</f>
        <v>13228.116812587212</v>
      </c>
      <c r="S29" s="86">
        <f>IF(S13=0,0,S13/TrAvia_act!S21*1000)</f>
        <v>12861.415669447706</v>
      </c>
      <c r="T29" s="86">
        <f>IF(T13=0,0,T13/TrAvia_act!T21*1000)</f>
        <v>12782.493984038934</v>
      </c>
      <c r="U29" s="86">
        <f>IF(U13=0,0,U13/TrAvia_act!U21*1000)</f>
        <v>11928.162575930057</v>
      </c>
      <c r="V29" s="86">
        <f>IF(V13=0,0,V13/TrAvia_act!V21*1000)</f>
        <v>16523.748372309234</v>
      </c>
      <c r="W29" s="86">
        <f>IF(W13=0,0,W13/TrAvia_act!W21*1000)</f>
        <v>13715.799981208826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100.17638805021868</v>
      </c>
      <c r="C32" s="14">
        <f>IF(C6=0,0,C6/TrAvia_act!C4*1000)</f>
        <v>106.3039526953763</v>
      </c>
      <c r="D32" s="14">
        <f>IF(D6=0,0,D6/TrAvia_act!D4*1000)</f>
        <v>103.44355781388165</v>
      </c>
      <c r="E32" s="14">
        <f>IF(E6=0,0,E6/TrAvia_act!E4*1000)</f>
        <v>104.9174513693623</v>
      </c>
      <c r="F32" s="14">
        <f>IF(F6=0,0,F6/TrAvia_act!F4*1000)</f>
        <v>105.82423304433877</v>
      </c>
      <c r="G32" s="14">
        <f>IF(G6=0,0,G6/TrAvia_act!G4*1000)</f>
        <v>104.34097841270169</v>
      </c>
      <c r="H32" s="14">
        <f>IF(H6=0,0,H6/TrAvia_act!H4*1000)</f>
        <v>104.87331100741574</v>
      </c>
      <c r="I32" s="14">
        <f>IF(I6=0,0,I6/TrAvia_act!I4*1000)</f>
        <v>102.39120092164586</v>
      </c>
      <c r="J32" s="14">
        <f>IF(J6=0,0,J6/TrAvia_act!J4*1000)</f>
        <v>99.633938180322104</v>
      </c>
      <c r="K32" s="14">
        <f>IF(K6=0,0,K6/TrAvia_act!K4*1000)</f>
        <v>98.516005680255901</v>
      </c>
      <c r="L32" s="14">
        <f>IF(L6=0,0,L6/TrAvia_act!L4*1000)</f>
        <v>95.891283316791672</v>
      </c>
      <c r="M32" s="14">
        <f>IF(M6=0,0,M6/TrAvia_act!M4*1000)</f>
        <v>93.933962300961994</v>
      </c>
      <c r="N32" s="14">
        <f>IF(N6=0,0,N6/TrAvia_act!N4*1000)</f>
        <v>90.628727467208066</v>
      </c>
      <c r="O32" s="14">
        <f>IF(O6=0,0,O6/TrAvia_act!O4*1000)</f>
        <v>85.927483919382638</v>
      </c>
      <c r="P32" s="14">
        <f>IF(P6=0,0,P6/TrAvia_act!P4*1000)</f>
        <v>86.139561955554242</v>
      </c>
      <c r="Q32" s="14">
        <f>IF(Q6=0,0,Q6/TrAvia_act!Q4*1000)</f>
        <v>88.812262467446587</v>
      </c>
      <c r="R32" s="14">
        <f>IF(R6=0,0,R6/TrAvia_act!R4*1000)</f>
        <v>85.060143575210489</v>
      </c>
      <c r="S32" s="14">
        <f>IF(S6=0,0,S6/TrAvia_act!S4*1000)</f>
        <v>85.599598998743943</v>
      </c>
      <c r="T32" s="14">
        <f>IF(T6=0,0,T6/TrAvia_act!T4*1000)</f>
        <v>84.550963315146575</v>
      </c>
      <c r="U32" s="14">
        <f>IF(U6=0,0,U6/TrAvia_act!U4*1000)</f>
        <v>83.955047041191136</v>
      </c>
      <c r="V32" s="14">
        <f>IF(V6=0,0,V6/TrAvia_act!V4*1000)</f>
        <v>106.61477619938721</v>
      </c>
      <c r="W32" s="14">
        <f>IF(W6=0,0,W6/TrAvia_act!W4*1000)</f>
        <v>102.67572338163757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215.48172372663538</v>
      </c>
      <c r="C33" s="87">
        <f>IF(C7=0,0,C7/TrAvia_act!C5*1000)</f>
        <v>232.08444399786617</v>
      </c>
      <c r="D33" s="87">
        <f>IF(D7=0,0,D7/TrAvia_act!D5*1000)</f>
        <v>218.71853252242735</v>
      </c>
      <c r="E33" s="87">
        <f>IF(E7=0,0,E7/TrAvia_act!E5*1000)</f>
        <v>213.31887119958984</v>
      </c>
      <c r="F33" s="87">
        <f>IF(F7=0,0,F7/TrAvia_act!F5*1000)</f>
        <v>211.26367882715346</v>
      </c>
      <c r="G33" s="87">
        <f>IF(G7=0,0,G7/TrAvia_act!G5*1000)</f>
        <v>219.9735848626274</v>
      </c>
      <c r="H33" s="87">
        <f>IF(H7=0,0,H7/TrAvia_act!H5*1000)</f>
        <v>218.11426563279082</v>
      </c>
      <c r="I33" s="87">
        <f>IF(I7=0,0,I7/TrAvia_act!I5*1000)</f>
        <v>212.49667119538384</v>
      </c>
      <c r="J33" s="87">
        <f>IF(J7=0,0,J7/TrAvia_act!J5*1000)</f>
        <v>224.17323454514278</v>
      </c>
      <c r="K33" s="87">
        <f>IF(K7=0,0,K7/TrAvia_act!K5*1000)</f>
        <v>218.70559495561739</v>
      </c>
      <c r="L33" s="87">
        <f>IF(L7=0,0,L7/TrAvia_act!L5*1000)</f>
        <v>237.52568927252878</v>
      </c>
      <c r="M33" s="87">
        <f>IF(M7=0,0,M7/TrAvia_act!M5*1000)</f>
        <v>212.17660340319091</v>
      </c>
      <c r="N33" s="87">
        <f>IF(N7=0,0,N7/TrAvia_act!N5*1000)</f>
        <v>210.7847877386977</v>
      </c>
      <c r="O33" s="87">
        <f>IF(O7=0,0,O7/TrAvia_act!O5*1000)</f>
        <v>206.78432430325537</v>
      </c>
      <c r="P33" s="87">
        <f>IF(P7=0,0,P7/TrAvia_act!P5*1000)</f>
        <v>218.30193682240457</v>
      </c>
      <c r="Q33" s="87">
        <f>IF(Q7=0,0,Q7/TrAvia_act!Q5*1000)</f>
        <v>222.44546094882287</v>
      </c>
      <c r="R33" s="87">
        <f>IF(R7=0,0,R7/TrAvia_act!R5*1000)</f>
        <v>221.27621696282111</v>
      </c>
      <c r="S33" s="87">
        <f>IF(S7=0,0,S7/TrAvia_act!S5*1000)</f>
        <v>223.61136945625913</v>
      </c>
      <c r="T33" s="87">
        <f>IF(T7=0,0,T7/TrAvia_act!T5*1000)</f>
        <v>210.25159116789419</v>
      </c>
      <c r="U33" s="87">
        <f>IF(U7=0,0,U7/TrAvia_act!U5*1000)</f>
        <v>209.70656950990102</v>
      </c>
      <c r="V33" s="87">
        <f>IF(V7=0,0,V7/TrAvia_act!V5*1000)</f>
        <v>223.41468347475998</v>
      </c>
      <c r="W33" s="87">
        <f>IF(W7=0,0,W7/TrAvia_act!W5*1000)</f>
        <v>232.47900318330446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60.227596447379135</v>
      </c>
      <c r="C34" s="87">
        <f>IF(C8=0,0,C8/TrAvia_act!C6*1000)</f>
        <v>66.336436422288642</v>
      </c>
      <c r="D34" s="87">
        <f>IF(D8=0,0,D8/TrAvia_act!D6*1000)</f>
        <v>62.20340223669497</v>
      </c>
      <c r="E34" s="87">
        <f>IF(E8=0,0,E8/TrAvia_act!E6*1000)</f>
        <v>70.977267509314572</v>
      </c>
      <c r="F34" s="87">
        <f>IF(F8=0,0,F8/TrAvia_act!F6*1000)</f>
        <v>72.18610486047983</v>
      </c>
      <c r="G34" s="87">
        <f>IF(G8=0,0,G8/TrAvia_act!G6*1000)</f>
        <v>69.598254093707453</v>
      </c>
      <c r="H34" s="87">
        <f>IF(H8=0,0,H8/TrAvia_act!H6*1000)</f>
        <v>73.333624752151195</v>
      </c>
      <c r="I34" s="87">
        <f>IF(I8=0,0,I8/TrAvia_act!I6*1000)</f>
        <v>74.07963378540785</v>
      </c>
      <c r="J34" s="87">
        <f>IF(J8=0,0,J8/TrAvia_act!J6*1000)</f>
        <v>73.672491489827166</v>
      </c>
      <c r="K34" s="87">
        <f>IF(K8=0,0,K8/TrAvia_act!K6*1000)</f>
        <v>73.374529767711138</v>
      </c>
      <c r="L34" s="87">
        <f>IF(L8=0,0,L8/TrAvia_act!L6*1000)</f>
        <v>67.199372382179163</v>
      </c>
      <c r="M34" s="87">
        <f>IF(M8=0,0,M8/TrAvia_act!M6*1000)</f>
        <v>72.760294975819136</v>
      </c>
      <c r="N34" s="87">
        <f>IF(N8=0,0,N8/TrAvia_act!N6*1000)</f>
        <v>71.628370003633606</v>
      </c>
      <c r="O34" s="87">
        <f>IF(O8=0,0,O8/TrAvia_act!O6*1000)</f>
        <v>69.869591362233351</v>
      </c>
      <c r="P34" s="87">
        <f>IF(P8=0,0,P8/TrAvia_act!P6*1000)</f>
        <v>67.795843649552737</v>
      </c>
      <c r="Q34" s="87">
        <f>IF(Q8=0,0,Q8/TrAvia_act!Q6*1000)</f>
        <v>69.515606071950998</v>
      </c>
      <c r="R34" s="87">
        <f>IF(R8=0,0,R8/TrAvia_act!R6*1000)</f>
        <v>66.660058028658483</v>
      </c>
      <c r="S34" s="87">
        <f>IF(S8=0,0,S8/TrAvia_act!S6*1000)</f>
        <v>68.467239745705911</v>
      </c>
      <c r="T34" s="87">
        <f>IF(T8=0,0,T8/TrAvia_act!T6*1000)</f>
        <v>69.513567544629993</v>
      </c>
      <c r="U34" s="87">
        <f>IF(U8=0,0,U8/TrAvia_act!U6*1000)</f>
        <v>70.440239705399435</v>
      </c>
      <c r="V34" s="87">
        <f>IF(V8=0,0,V8/TrAvia_act!V6*1000)</f>
        <v>72.868623779586386</v>
      </c>
      <c r="W34" s="87">
        <f>IF(W8=0,0,W8/TrAvia_act!W6*1000)</f>
        <v>61.415289243788351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112.39943129522636</v>
      </c>
      <c r="C35" s="87">
        <f>IF(C9=0,0,C9/TrAvia_act!C7*1000)</f>
        <v>122.08789244121411</v>
      </c>
      <c r="D35" s="87">
        <f>IF(D9=0,0,D9/TrAvia_act!D7*1000)</f>
        <v>132.92634596341469</v>
      </c>
      <c r="E35" s="87">
        <f>IF(E9=0,0,E9/TrAvia_act!E7*1000)</f>
        <v>111.43624065412114</v>
      </c>
      <c r="F35" s="87">
        <f>IF(F9=0,0,F9/TrAvia_act!F7*1000)</f>
        <v>108.19097108449047</v>
      </c>
      <c r="G35" s="87">
        <f>IF(G9=0,0,G9/TrAvia_act!G7*1000)</f>
        <v>93.301864147155058</v>
      </c>
      <c r="H35" s="87">
        <f>IF(H9=0,0,H9/TrAvia_act!H7*1000)</f>
        <v>83.407127309027757</v>
      </c>
      <c r="I35" s="87">
        <f>IF(I9=0,0,I9/TrAvia_act!I7*1000)</f>
        <v>75.22042276582539</v>
      </c>
      <c r="J35" s="87">
        <f>IF(J9=0,0,J9/TrAvia_act!J7*1000)</f>
        <v>68.195624754052133</v>
      </c>
      <c r="K35" s="87">
        <f>IF(K9=0,0,K9/TrAvia_act!K7*1000)</f>
        <v>69.925315003339747</v>
      </c>
      <c r="L35" s="87">
        <f>IF(L9=0,0,L9/TrAvia_act!L7*1000)</f>
        <v>62.641235108519808</v>
      </c>
      <c r="M35" s="87">
        <f>IF(M9=0,0,M9/TrAvia_act!M7*1000)</f>
        <v>67.597533364377071</v>
      </c>
      <c r="N35" s="87">
        <f>IF(N9=0,0,N9/TrAvia_act!N7*1000)</f>
        <v>67.767777434409339</v>
      </c>
      <c r="O35" s="87">
        <f>IF(O9=0,0,O9/TrAvia_act!O7*1000)</f>
        <v>66.029021758294604</v>
      </c>
      <c r="P35" s="87">
        <f>IF(P9=0,0,P9/TrAvia_act!P7*1000)</f>
        <v>67.262842513184935</v>
      </c>
      <c r="Q35" s="87">
        <f>IF(Q9=0,0,Q9/TrAvia_act!Q7*1000)</f>
        <v>69.251177201882882</v>
      </c>
      <c r="R35" s="87">
        <f>IF(R9=0,0,R9/TrAvia_act!R7*1000)</f>
        <v>63.813588663199042</v>
      </c>
      <c r="S35" s="87">
        <f>IF(S9=0,0,S9/TrAvia_act!S7*1000)</f>
        <v>61.262436443667632</v>
      </c>
      <c r="T35" s="87">
        <f>IF(T9=0,0,T9/TrAvia_act!T7*1000)</f>
        <v>58.608226416064696</v>
      </c>
      <c r="U35" s="87">
        <f>IF(U9=0,0,U9/TrAvia_act!U7*1000)</f>
        <v>55.151617803870487</v>
      </c>
      <c r="V35" s="87">
        <f>IF(V9=0,0,V9/TrAvia_act!V7*1000)</f>
        <v>91.061210102509534</v>
      </c>
      <c r="W35" s="87">
        <f>IF(W9=0,0,W9/TrAvia_act!W7*1000)</f>
        <v>78.354347992855267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372.9253647008461</v>
      </c>
      <c r="C36" s="15">
        <f>IF(C10=0,0,C10/TrAvia_act!C8*1000)</f>
        <v>389.20679266525207</v>
      </c>
      <c r="D36" s="15">
        <f>IF(D10=0,0,D10/TrAvia_act!D8*1000)</f>
        <v>380.15254187052778</v>
      </c>
      <c r="E36" s="15">
        <f>IF(E10=0,0,E10/TrAvia_act!E8*1000)</f>
        <v>410.84714855186616</v>
      </c>
      <c r="F36" s="15">
        <f>IF(F10=0,0,F10/TrAvia_act!F8*1000)</f>
        <v>438.16097702817154</v>
      </c>
      <c r="G36" s="15">
        <f>IF(G10=0,0,G10/TrAvia_act!G8*1000)</f>
        <v>441.01590090208509</v>
      </c>
      <c r="H36" s="15">
        <f>IF(H10=0,0,H10/TrAvia_act!H8*1000)</f>
        <v>430.63103025643926</v>
      </c>
      <c r="I36" s="15">
        <f>IF(I10=0,0,I10/TrAvia_act!I8*1000)</f>
        <v>382.50816838090549</v>
      </c>
      <c r="J36" s="15">
        <f>IF(J10=0,0,J10/TrAvia_act!J8*1000)</f>
        <v>353.05809247784873</v>
      </c>
      <c r="K36" s="15">
        <f>IF(K10=0,0,K10/TrAvia_act!K8*1000)</f>
        <v>315.83872138406326</v>
      </c>
      <c r="L36" s="15">
        <f>IF(L10=0,0,L10/TrAvia_act!L8*1000)</f>
        <v>274.57067624859803</v>
      </c>
      <c r="M36" s="15">
        <f>IF(M10=0,0,M10/TrAvia_act!M8*1000)</f>
        <v>251.48920741782993</v>
      </c>
      <c r="N36" s="15">
        <f>IF(N10=0,0,N10/TrAvia_act!N8*1000)</f>
        <v>226.66046403573884</v>
      </c>
      <c r="O36" s="15">
        <f>IF(O10=0,0,O10/TrAvia_act!O8*1000)</f>
        <v>226.96443113269157</v>
      </c>
      <c r="P36" s="15">
        <f>IF(P10=0,0,P10/TrAvia_act!P8*1000)</f>
        <v>204.4852345146185</v>
      </c>
      <c r="Q36" s="15">
        <f>IF(Q10=0,0,Q10/TrAvia_act!Q8*1000)</f>
        <v>211.47913317914964</v>
      </c>
      <c r="R36" s="15">
        <f>IF(R10=0,0,R10/TrAvia_act!R8*1000)</f>
        <v>188.03450703685473</v>
      </c>
      <c r="S36" s="15">
        <f>IF(S10=0,0,S10/TrAvia_act!S8*1000)</f>
        <v>184.1087058369865</v>
      </c>
      <c r="T36" s="15">
        <f>IF(T10=0,0,T10/TrAvia_act!T8*1000)</f>
        <v>169.98588170537116</v>
      </c>
      <c r="U36" s="15">
        <f>IF(U10=0,0,U10/TrAvia_act!U8*1000)</f>
        <v>154.88876501173638</v>
      </c>
      <c r="V36" s="15">
        <f>IF(V10=0,0,V10/TrAvia_act!V8*1000)</f>
        <v>256.89379692214618</v>
      </c>
      <c r="W36" s="15">
        <f>IF(W10=0,0,W10/TrAvia_act!W8*1000)</f>
        <v>239.4159935556697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1587.6498526952673</v>
      </c>
      <c r="C37" s="101">
        <f>IF(C11=0,0,C11/TrAvia_act!C9*1000)</f>
        <v>1736.9542303616065</v>
      </c>
      <c r="D37" s="101">
        <f>IF(D11=0,0,D11/TrAvia_act!D9*1000)</f>
        <v>1656.4790771441092</v>
      </c>
      <c r="E37" s="101">
        <f>IF(E11=0,0,E11/TrAvia_act!E9*1000)</f>
        <v>1599.303941060359</v>
      </c>
      <c r="F37" s="101">
        <f>IF(F11=0,0,F11/TrAvia_act!F9*1000)</f>
        <v>1682.6163838277778</v>
      </c>
      <c r="G37" s="101">
        <f>IF(G11=0,0,G11/TrAvia_act!G9*1000)</f>
        <v>1792.82916404153</v>
      </c>
      <c r="H37" s="101">
        <f>IF(H11=0,0,H11/TrAvia_act!H9*1000)</f>
        <v>1849.6758417420542</v>
      </c>
      <c r="I37" s="101">
        <f>IF(I11=0,0,I11/TrAvia_act!I9*1000)</f>
        <v>1830.4687384445183</v>
      </c>
      <c r="J37" s="101">
        <f>IF(J11=0,0,J11/TrAvia_act!J9*1000)</f>
        <v>1903.2631924735654</v>
      </c>
      <c r="K37" s="101">
        <f>IF(K11=0,0,K11/TrAvia_act!K9*1000)</f>
        <v>1881.2856679775596</v>
      </c>
      <c r="L37" s="101">
        <f>IF(L11=0,0,L11/TrAvia_act!L9*1000)</f>
        <v>1978.7209711396035</v>
      </c>
      <c r="M37" s="101">
        <f>IF(M11=0,0,M11/TrAvia_act!M9*1000)</f>
        <v>1664.0788202426945</v>
      </c>
      <c r="N37" s="101">
        <f>IF(N11=0,0,N11/TrAvia_act!N9*1000)</f>
        <v>1703.241509954923</v>
      </c>
      <c r="O37" s="101">
        <f>IF(O11=0,0,O11/TrAvia_act!O9*1000)</f>
        <v>1671.3528974295027</v>
      </c>
      <c r="P37" s="101">
        <f>IF(P11=0,0,P11/TrAvia_act!P9*1000)</f>
        <v>1563.4604767611108</v>
      </c>
      <c r="Q37" s="101">
        <f>IF(Q11=0,0,Q11/TrAvia_act!Q9*1000)</f>
        <v>1590.7926289665802</v>
      </c>
      <c r="R37" s="101">
        <f>IF(R11=0,0,R11/TrAvia_act!R9*1000)</f>
        <v>1439.8409634729492</v>
      </c>
      <c r="S37" s="101">
        <f>IF(S11=0,0,S11/TrAvia_act!S9*1000)</f>
        <v>1613.3743094361835</v>
      </c>
      <c r="T37" s="101">
        <f>IF(T11=0,0,T11/TrAvia_act!T9*1000)</f>
        <v>1465.1894005949871</v>
      </c>
      <c r="U37" s="101">
        <f>IF(U11=0,0,U11/TrAvia_act!U9*1000)</f>
        <v>1339.6620703193319</v>
      </c>
      <c r="V37" s="101">
        <f>IF(V11=0,0,V11/TrAvia_act!V9*1000)</f>
        <v>1228.5327371585356</v>
      </c>
      <c r="W37" s="101">
        <f>IF(W11=0,0,W11/TrAvia_act!W9*1000)</f>
        <v>1433.7501375503812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346.91717019270976</v>
      </c>
      <c r="C38" s="101">
        <f>IF(C12=0,0,C12/TrAvia_act!C10*1000)</f>
        <v>364.03541352740632</v>
      </c>
      <c r="D38" s="101">
        <f>IF(D12=0,0,D12/TrAvia_act!D10*1000)</f>
        <v>344.86744189959632</v>
      </c>
      <c r="E38" s="101">
        <f>IF(E12=0,0,E12/TrAvia_act!E10*1000)</f>
        <v>385.0745964233754</v>
      </c>
      <c r="F38" s="101">
        <f>IF(F12=0,0,F12/TrAvia_act!F10*1000)</f>
        <v>423.03487075160785</v>
      </c>
      <c r="G38" s="101">
        <f>IF(G12=0,0,G12/TrAvia_act!G10*1000)</f>
        <v>413.36544400000236</v>
      </c>
      <c r="H38" s="101">
        <f>IF(H12=0,0,H12/TrAvia_act!H10*1000)</f>
        <v>497.00704494558249</v>
      </c>
      <c r="I38" s="101">
        <f>IF(I12=0,0,I12/TrAvia_act!I10*1000)</f>
        <v>493.00004538229416</v>
      </c>
      <c r="J38" s="101">
        <f>IF(J12=0,0,J12/TrAvia_act!J10*1000)</f>
        <v>500.01077970904493</v>
      </c>
      <c r="K38" s="101">
        <f>IF(K12=0,0,K12/TrAvia_act!K10*1000)</f>
        <v>500.60103278137569</v>
      </c>
      <c r="L38" s="101">
        <f>IF(L12=0,0,L12/TrAvia_act!L10*1000)</f>
        <v>451.74023069008496</v>
      </c>
      <c r="M38" s="101">
        <f>IF(M12=0,0,M12/TrAvia_act!M10*1000)</f>
        <v>473.90682999528769</v>
      </c>
      <c r="N38" s="101">
        <f>IF(N12=0,0,N12/TrAvia_act!N10*1000)</f>
        <v>445.47700698613323</v>
      </c>
      <c r="O38" s="101">
        <f>IF(O12=0,0,O12/TrAvia_act!O10*1000)</f>
        <v>432.64831170912521</v>
      </c>
      <c r="P38" s="101">
        <f>IF(P12=0,0,P12/TrAvia_act!P10*1000)</f>
        <v>356.29954548846382</v>
      </c>
      <c r="Q38" s="101">
        <f>IF(Q12=0,0,Q12/TrAvia_act!Q10*1000)</f>
        <v>375.37549874259054</v>
      </c>
      <c r="R38" s="101">
        <f>IF(R12=0,0,R12/TrAvia_act!R10*1000)</f>
        <v>332.41990204731172</v>
      </c>
      <c r="S38" s="101">
        <f>IF(S12=0,0,S12/TrAvia_act!S10*1000)</f>
        <v>371.82167685675591</v>
      </c>
      <c r="T38" s="101">
        <f>IF(T12=0,0,T12/TrAvia_act!T10*1000)</f>
        <v>373.92431596957044</v>
      </c>
      <c r="U38" s="101">
        <f>IF(U12=0,0,U12/TrAvia_act!U10*1000)</f>
        <v>366.39895151411986</v>
      </c>
      <c r="V38" s="101">
        <f>IF(V12=0,0,V12/TrAvia_act!V10*1000)</f>
        <v>376.48474984402202</v>
      </c>
      <c r="W38" s="101">
        <f>IF(W12=0,0,W12/TrAvia_act!W10*1000)</f>
        <v>345.59896101281316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196.3929094620251</v>
      </c>
      <c r="C39" s="88">
        <f>IF(C13=0,0,C13/TrAvia_act!C11*1000)</f>
        <v>206.48298343024982</v>
      </c>
      <c r="D39" s="88">
        <f>IF(D13=0,0,D13/TrAvia_act!D11*1000)</f>
        <v>195.42818355711566</v>
      </c>
      <c r="E39" s="88">
        <f>IF(E13=0,0,E13/TrAvia_act!E11*1000)</f>
        <v>243.75084309241174</v>
      </c>
      <c r="F39" s="88">
        <f>IF(F13=0,0,F13/TrAvia_act!F11*1000)</f>
        <v>249.80538798938366</v>
      </c>
      <c r="G39" s="88">
        <f>IF(G13=0,0,G13/TrAvia_act!G11*1000)</f>
        <v>230.82691827670294</v>
      </c>
      <c r="H39" s="88">
        <f>IF(H13=0,0,H13/TrAvia_act!H11*1000)</f>
        <v>209.13471682874763</v>
      </c>
      <c r="I39" s="88">
        <f>IF(I13=0,0,I13/TrAvia_act!I11*1000)</f>
        <v>191.60018368859815</v>
      </c>
      <c r="J39" s="88">
        <f>IF(J13=0,0,J13/TrAvia_act!J11*1000)</f>
        <v>170.71612124098914</v>
      </c>
      <c r="K39" s="88">
        <f>IF(K13=0,0,K13/TrAvia_act!K11*1000)</f>
        <v>158.27639603086249</v>
      </c>
      <c r="L39" s="88">
        <f>IF(L13=0,0,L13/TrAvia_act!L11*1000)</f>
        <v>146.42731932535773</v>
      </c>
      <c r="M39" s="88">
        <f>IF(M13=0,0,M13/TrAvia_act!M11*1000)</f>
        <v>150.78739845192325</v>
      </c>
      <c r="N39" s="88">
        <f>IF(N13=0,0,N13/TrAvia_act!N11*1000)</f>
        <v>136.63395940148061</v>
      </c>
      <c r="O39" s="88">
        <f>IF(O13=0,0,O13/TrAvia_act!O11*1000)</f>
        <v>143.76426837644726</v>
      </c>
      <c r="P39" s="88">
        <f>IF(P13=0,0,P13/TrAvia_act!P11*1000)</f>
        <v>133.46503767586344</v>
      </c>
      <c r="Q39" s="88">
        <f>IF(Q13=0,0,Q13/TrAvia_act!Q11*1000)</f>
        <v>145.49067213634734</v>
      </c>
      <c r="R39" s="88">
        <f>IF(R13=0,0,R13/TrAvia_act!R11*1000)</f>
        <v>130.55467135563339</v>
      </c>
      <c r="S39" s="88">
        <f>IF(S13=0,0,S13/TrAvia_act!S11*1000)</f>
        <v>130.23599380938111</v>
      </c>
      <c r="T39" s="88">
        <f>IF(T13=0,0,T13/TrAvia_act!T11*1000)</f>
        <v>126.20861176456758</v>
      </c>
      <c r="U39" s="88">
        <f>IF(U13=0,0,U13/TrAvia_act!U11*1000)</f>
        <v>112.33478087248886</v>
      </c>
      <c r="V39" s="88">
        <f>IF(V13=0,0,V13/TrAvia_act!V11*1000)</f>
        <v>219.94978319938818</v>
      </c>
      <c r="W39" s="88">
        <f>IF(W13=0,0,W13/TrAvia_act!W11*1000)</f>
        <v>198.21678964648564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17715.895217861813</v>
      </c>
      <c r="C41" s="54">
        <f>IF(C3=0,0,C3/TrAvia_act!C23*1000000)</f>
        <v>18975.842353071854</v>
      </c>
      <c r="D41" s="54">
        <f>IF(D3=0,0,D3/TrAvia_act!D23*1000000)</f>
        <v>18182.097278302303</v>
      </c>
      <c r="E41" s="54">
        <f>IF(E3=0,0,E3/TrAvia_act!E23*1000000)</f>
        <v>18944.554537525371</v>
      </c>
      <c r="F41" s="54">
        <f>IF(F3=0,0,F3/TrAvia_act!F23*1000000)</f>
        <v>18979.310390903924</v>
      </c>
      <c r="G41" s="54">
        <f>IF(G3=0,0,G3/TrAvia_act!G23*1000000)</f>
        <v>18674.035639553284</v>
      </c>
      <c r="H41" s="54">
        <f>IF(H3=0,0,H3/TrAvia_act!H23*1000000)</f>
        <v>18787.814170847363</v>
      </c>
      <c r="I41" s="54">
        <f>IF(I3=0,0,I3/TrAvia_act!I23*1000000)</f>
        <v>18294.829808371873</v>
      </c>
      <c r="J41" s="54">
        <f>IF(J3=0,0,J3/TrAvia_act!J23*1000000)</f>
        <v>18450.880173856</v>
      </c>
      <c r="K41" s="54">
        <f>IF(K3=0,0,K3/TrAvia_act!K23*1000000)</f>
        <v>18811.523608026811</v>
      </c>
      <c r="L41" s="54">
        <f>IF(L3=0,0,L3/TrAvia_act!L23*1000000)</f>
        <v>19227.796294522563</v>
      </c>
      <c r="M41" s="54">
        <f>IF(M3=0,0,M3/TrAvia_act!M23*1000000)</f>
        <v>20001.088604601668</v>
      </c>
      <c r="N41" s="54">
        <f>IF(N3=0,0,N3/TrAvia_act!N23*1000000)</f>
        <v>20874.869525014183</v>
      </c>
      <c r="O41" s="54">
        <f>IF(O3=0,0,O3/TrAvia_act!O23*1000000)</f>
        <v>21186.551573903493</v>
      </c>
      <c r="P41" s="54">
        <f>IF(P3=0,0,P3/TrAvia_act!P23*1000000)</f>
        <v>21171.831554161141</v>
      </c>
      <c r="Q41" s="54">
        <f>IF(Q3=0,0,Q3/TrAvia_act!Q23*1000000)</f>
        <v>21977.1587511654</v>
      </c>
      <c r="R41" s="54">
        <f>IF(R3=0,0,R3/TrAvia_act!R23*1000000)</f>
        <v>22109.972352101671</v>
      </c>
      <c r="S41" s="54">
        <f>IF(S3=0,0,S3/TrAvia_act!S23*1000000)</f>
        <v>22709.911756413876</v>
      </c>
      <c r="T41" s="54">
        <f>IF(T3=0,0,T3/TrAvia_act!T23*1000000)</f>
        <v>22173.90106834357</v>
      </c>
      <c r="U41" s="54">
        <f>IF(U3=0,0,U3/TrAvia_act!U23*1000000)</f>
        <v>22354.609395336865</v>
      </c>
      <c r="V41" s="54">
        <f>IF(V3=0,0,V3/TrAvia_act!V23*1000000)</f>
        <v>19826.854498172361</v>
      </c>
      <c r="W41" s="54">
        <f>IF(W3=0,0,W3/TrAvia_act!W23*1000000)</f>
        <v>19294.160588043076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17692.272832267561</v>
      </c>
      <c r="C42" s="11">
        <f>IF(C6=0,0,C6/TrAvia_act!C24*1000000)</f>
        <v>18935.917105380217</v>
      </c>
      <c r="D42" s="11">
        <f>IF(D6=0,0,D6/TrAvia_act!D24*1000000)</f>
        <v>18159.398504083085</v>
      </c>
      <c r="E42" s="11">
        <f>IF(E6=0,0,E6/TrAvia_act!E24*1000000)</f>
        <v>18887.011212103345</v>
      </c>
      <c r="F42" s="11">
        <f>IF(F6=0,0,F6/TrAvia_act!F24*1000000)</f>
        <v>18924.096551026149</v>
      </c>
      <c r="G42" s="11">
        <f>IF(G6=0,0,G6/TrAvia_act!G24*1000000)</f>
        <v>18632.582558817732</v>
      </c>
      <c r="H42" s="11">
        <f>IF(H6=0,0,H6/TrAvia_act!H24*1000000)</f>
        <v>18755.977655454553</v>
      </c>
      <c r="I42" s="11">
        <f>IF(I6=0,0,I6/TrAvia_act!I24*1000000)</f>
        <v>18249.883326563224</v>
      </c>
      <c r="J42" s="11">
        <f>IF(J6=0,0,J6/TrAvia_act!J24*1000000)</f>
        <v>18415.418099653023</v>
      </c>
      <c r="K42" s="11">
        <f>IF(K6=0,0,K6/TrAvia_act!K24*1000000)</f>
        <v>18774.208168779984</v>
      </c>
      <c r="L42" s="11">
        <f>IF(L6=0,0,L6/TrAvia_act!L24*1000000)</f>
        <v>19164.260382494544</v>
      </c>
      <c r="M42" s="11">
        <f>IF(M6=0,0,M6/TrAvia_act!M24*1000000)</f>
        <v>19943.557761320582</v>
      </c>
      <c r="N42" s="11">
        <f>IF(N6=0,0,N6/TrAvia_act!N24*1000000)</f>
        <v>20831.556385690059</v>
      </c>
      <c r="O42" s="11">
        <f>IF(O6=0,0,O6/TrAvia_act!O24*1000000)</f>
        <v>21126.366997197107</v>
      </c>
      <c r="P42" s="11">
        <f>IF(P6=0,0,P6/TrAvia_act!P24*1000000)</f>
        <v>21096.472128987636</v>
      </c>
      <c r="Q42" s="11">
        <f>IF(Q6=0,0,Q6/TrAvia_act!Q24*1000000)</f>
        <v>21875.40448862937</v>
      </c>
      <c r="R42" s="11">
        <f>IF(R6=0,0,R6/TrAvia_act!R24*1000000)</f>
        <v>22009.071140806864</v>
      </c>
      <c r="S42" s="11">
        <f>IF(S6=0,0,S6/TrAvia_act!S24*1000000)</f>
        <v>22581.969262553717</v>
      </c>
      <c r="T42" s="11">
        <f>IF(T6=0,0,T6/TrAvia_act!T24*1000000)</f>
        <v>22026.743704225566</v>
      </c>
      <c r="U42" s="11">
        <f>IF(U6=0,0,U6/TrAvia_act!U24*1000000)</f>
        <v>22247.323430753335</v>
      </c>
      <c r="V42" s="11">
        <f>IF(V6=0,0,V6/TrAvia_act!V24*1000000)</f>
        <v>19287.508028525426</v>
      </c>
      <c r="W42" s="11">
        <f>IF(W6=0,0,W6/TrAvia_act!W24*1000000)</f>
        <v>18931.059447601179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12784.714559428205</v>
      </c>
      <c r="C43" s="84">
        <f>IF(C7=0,0,C7/TrAvia_act!C25*1000000)</f>
        <v>13880.357474507307</v>
      </c>
      <c r="D43" s="84">
        <f>IF(D7=0,0,D7/TrAvia_act!D25*1000000)</f>
        <v>13612.263087773235</v>
      </c>
      <c r="E43" s="84">
        <f>IF(E7=0,0,E7/TrAvia_act!E25*1000000)</f>
        <v>13979.4284945034</v>
      </c>
      <c r="F43" s="84">
        <f>IF(F7=0,0,F7/TrAvia_act!F25*1000000)</f>
        <v>13849.585940610303</v>
      </c>
      <c r="G43" s="84">
        <f>IF(G7=0,0,G7/TrAvia_act!G25*1000000)</f>
        <v>14585.612839103333</v>
      </c>
      <c r="H43" s="84">
        <f>IF(H7=0,0,H7/TrAvia_act!H25*1000000)</f>
        <v>14635.241996969044</v>
      </c>
      <c r="I43" s="84">
        <f>IF(I7=0,0,I7/TrAvia_act!I25*1000000)</f>
        <v>14636.29786654212</v>
      </c>
      <c r="J43" s="84">
        <f>IF(J7=0,0,J7/TrAvia_act!J25*1000000)</f>
        <v>14740.925925892387</v>
      </c>
      <c r="K43" s="84">
        <f>IF(K7=0,0,K7/TrAvia_act!K25*1000000)</f>
        <v>14687.020991481264</v>
      </c>
      <c r="L43" s="84">
        <f>IF(L7=0,0,L7/TrAvia_act!L25*1000000)</f>
        <v>16817.595063317647</v>
      </c>
      <c r="M43" s="84">
        <f>IF(M7=0,0,M7/TrAvia_act!M25*1000000)</f>
        <v>15547.348496404786</v>
      </c>
      <c r="N43" s="84">
        <f>IF(N7=0,0,N7/TrAvia_act!N25*1000000)</f>
        <v>16162.120484806777</v>
      </c>
      <c r="O43" s="84">
        <f>IF(O7=0,0,O7/TrAvia_act!O25*1000000)</f>
        <v>16413.466223889656</v>
      </c>
      <c r="P43" s="84">
        <f>IF(P7=0,0,P7/TrAvia_act!P25*1000000)</f>
        <v>17050.508353656682</v>
      </c>
      <c r="Q43" s="84">
        <f>IF(Q7=0,0,Q7/TrAvia_act!Q25*1000000)</f>
        <v>18013.849822365581</v>
      </c>
      <c r="R43" s="84">
        <f>IF(R7=0,0,R7/TrAvia_act!R25*1000000)</f>
        <v>19068.59743118639</v>
      </c>
      <c r="S43" s="84">
        <f>IF(S7=0,0,S7/TrAvia_act!S25*1000000)</f>
        <v>19649.893241312973</v>
      </c>
      <c r="T43" s="84">
        <f>IF(T7=0,0,T7/TrAvia_act!T25*1000000)</f>
        <v>18353.106961219873</v>
      </c>
      <c r="U43" s="84">
        <f>IF(U7=0,0,U7/TrAvia_act!U25*1000000)</f>
        <v>18514.621558702915</v>
      </c>
      <c r="V43" s="84">
        <f>IF(V7=0,0,V7/TrAvia_act!V25*1000000)</f>
        <v>14925.785290932807</v>
      </c>
      <c r="W43" s="84">
        <f>IF(W7=0,0,W7/TrAvia_act!W25*1000000)</f>
        <v>18955.695436679147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16504.02059596702</v>
      </c>
      <c r="C44" s="84">
        <f>IF(C8=0,0,C8/TrAvia_act!C26*1000000)</f>
        <v>18265.858603399738</v>
      </c>
      <c r="D44" s="84">
        <f>IF(D8=0,0,D8/TrAvia_act!D26*1000000)</f>
        <v>16388.773479612631</v>
      </c>
      <c r="E44" s="84">
        <f>IF(E8=0,0,E8/TrAvia_act!E26*1000000)</f>
        <v>18719.550841710647</v>
      </c>
      <c r="F44" s="84">
        <f>IF(F8=0,0,F8/TrAvia_act!F26*1000000)</f>
        <v>18612.099520922675</v>
      </c>
      <c r="G44" s="84">
        <f>IF(G8=0,0,G8/TrAvia_act!G26*1000000)</f>
        <v>17900.315211797606</v>
      </c>
      <c r="H44" s="84">
        <f>IF(H8=0,0,H8/TrAvia_act!H26*1000000)</f>
        <v>18456.454346004706</v>
      </c>
      <c r="I44" s="84">
        <f>IF(I8=0,0,I8/TrAvia_act!I26*1000000)</f>
        <v>17593.143342228934</v>
      </c>
      <c r="J44" s="84">
        <f>IF(J8=0,0,J8/TrAvia_act!J26*1000000)</f>
        <v>17561.144953453007</v>
      </c>
      <c r="K44" s="84">
        <f>IF(K8=0,0,K8/TrAvia_act!K26*1000000)</f>
        <v>17752.649018459797</v>
      </c>
      <c r="L44" s="84">
        <f>IF(L8=0,0,L8/TrAvia_act!L26*1000000)</f>
        <v>16625.885041094996</v>
      </c>
      <c r="M44" s="84">
        <f>IF(M8=0,0,M8/TrAvia_act!M26*1000000)</f>
        <v>18790.311237256505</v>
      </c>
      <c r="N44" s="84">
        <f>IF(N8=0,0,N8/TrAvia_act!N26*1000000)</f>
        <v>19132.247923042189</v>
      </c>
      <c r="O44" s="84">
        <f>IF(O8=0,0,O8/TrAvia_act!O26*1000000)</f>
        <v>19181.049693112222</v>
      </c>
      <c r="P44" s="84">
        <f>IF(P8=0,0,P8/TrAvia_act!P26*1000000)</f>
        <v>18709.202645245761</v>
      </c>
      <c r="Q44" s="84">
        <f>IF(Q8=0,0,Q8/TrAvia_act!Q26*1000000)</f>
        <v>19097.954759233904</v>
      </c>
      <c r="R44" s="84">
        <f>IF(R8=0,0,R8/TrAvia_act!R26*1000000)</f>
        <v>19132.594361797721</v>
      </c>
      <c r="S44" s="84">
        <f>IF(S8=0,0,S8/TrAvia_act!S26*1000000)</f>
        <v>19876.492840572708</v>
      </c>
      <c r="T44" s="84">
        <f>IF(T8=0,0,T8/TrAvia_act!T26*1000000)</f>
        <v>19741.824930960502</v>
      </c>
      <c r="U44" s="84">
        <f>IF(U8=0,0,U8/TrAvia_act!U26*1000000)</f>
        <v>19903.945160282285</v>
      </c>
      <c r="V44" s="84">
        <f>IF(V8=0,0,V8/TrAvia_act!V26*1000000)</f>
        <v>15869.213166896909</v>
      </c>
      <c r="W44" s="84">
        <f>IF(W8=0,0,W8/TrAvia_act!W26*1000000)</f>
        <v>13490.300937667605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64431.655773826351</v>
      </c>
      <c r="C45" s="84">
        <f>IF(C9=0,0,C9/TrAvia_act!C27*1000000)</f>
        <v>70964.364814886911</v>
      </c>
      <c r="D45" s="84">
        <f>IF(D9=0,0,D9/TrAvia_act!D27*1000000)</f>
        <v>63432.129011350844</v>
      </c>
      <c r="E45" s="84">
        <f>IF(E9=0,0,E9/TrAvia_act!E27*1000000)</f>
        <v>71899.184413344454</v>
      </c>
      <c r="F45" s="84">
        <f>IF(F9=0,0,F9/TrAvia_act!F27*1000000)</f>
        <v>71524.730785141903</v>
      </c>
      <c r="G45" s="84">
        <f>IF(G9=0,0,G9/TrAvia_act!G27*1000000)</f>
        <v>64108.551103835714</v>
      </c>
      <c r="H45" s="84">
        <f>IF(H9=0,0,H9/TrAvia_act!H27*1000000)</f>
        <v>59008.651138106841</v>
      </c>
      <c r="I45" s="84">
        <f>IF(I9=0,0,I9/TrAvia_act!I27*1000000)</f>
        <v>53739.222539368406</v>
      </c>
      <c r="J45" s="84">
        <f>IF(J9=0,0,J9/TrAvia_act!J27*1000000)</f>
        <v>52893.039700395449</v>
      </c>
      <c r="K45" s="84">
        <f>IF(K9=0,0,K9/TrAvia_act!K27*1000000)</f>
        <v>55622.08072583488</v>
      </c>
      <c r="L45" s="84">
        <f>IF(L9=0,0,L9/TrAvia_act!L27*1000000)</f>
        <v>49189.369728518708</v>
      </c>
      <c r="M45" s="84">
        <f>IF(M9=0,0,M9/TrAvia_act!M27*1000000)</f>
        <v>51833.869664124009</v>
      </c>
      <c r="N45" s="84">
        <f>IF(N9=0,0,N9/TrAvia_act!N27*1000000)</f>
        <v>52645.220564366471</v>
      </c>
      <c r="O45" s="84">
        <f>IF(O9=0,0,O9/TrAvia_act!O27*1000000)</f>
        <v>49593.328294297891</v>
      </c>
      <c r="P45" s="84">
        <f>IF(P9=0,0,P9/TrAvia_act!P27*1000000)</f>
        <v>50568.055419986078</v>
      </c>
      <c r="Q45" s="84">
        <f>IF(Q9=0,0,Q9/TrAvia_act!Q27*1000000)</f>
        <v>54058.196214191717</v>
      </c>
      <c r="R45" s="84">
        <f>IF(R9=0,0,R9/TrAvia_act!R27*1000000)</f>
        <v>51803.68625148006</v>
      </c>
      <c r="S45" s="84">
        <f>IF(S9=0,0,S9/TrAvia_act!S27*1000000)</f>
        <v>51546.319120114029</v>
      </c>
      <c r="T45" s="84">
        <f>IF(T9=0,0,T9/TrAvia_act!T27*1000000)</f>
        <v>52179.9077057502</v>
      </c>
      <c r="U45" s="84">
        <f>IF(U9=0,0,U9/TrAvia_act!U27*1000000)</f>
        <v>52608.768667844946</v>
      </c>
      <c r="V45" s="84">
        <f>IF(V9=0,0,V9/TrAvia_act!V27*1000000)</f>
        <v>78425.031493213755</v>
      </c>
      <c r="W45" s="84">
        <f>IF(W9=0,0,W9/TrAvia_act!W27*1000000)</f>
        <v>54886.540657242462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18675.273167344028</v>
      </c>
      <c r="C46" s="13">
        <f>IF(C10=0,0,C10/TrAvia_act!C28*1000000)</f>
        <v>20585.470229940191</v>
      </c>
      <c r="D46" s="13">
        <f>IF(D10=0,0,D10/TrAvia_act!D28*1000000)</f>
        <v>19139.133810466134</v>
      </c>
      <c r="E46" s="13">
        <f>IF(E10=0,0,E10/TrAvia_act!E28*1000000)</f>
        <v>21690.708517775271</v>
      </c>
      <c r="F46" s="13">
        <f>IF(F10=0,0,F10/TrAvia_act!F28*1000000)</f>
        <v>21197.426455754903</v>
      </c>
      <c r="G46" s="13">
        <f>IF(G10=0,0,G10/TrAvia_act!G28*1000000)</f>
        <v>20537.313706188845</v>
      </c>
      <c r="H46" s="13">
        <f>IF(H10=0,0,H10/TrAvia_act!H28*1000000)</f>
        <v>20260.821810104975</v>
      </c>
      <c r="I46" s="13">
        <f>IF(I10=0,0,I10/TrAvia_act!I28*1000000)</f>
        <v>20624.920264900571</v>
      </c>
      <c r="J46" s="13">
        <f>IF(J10=0,0,J10/TrAvia_act!J28*1000000)</f>
        <v>20267.887307552137</v>
      </c>
      <c r="K46" s="13">
        <f>IF(K10=0,0,K10/TrAvia_act!K28*1000000)</f>
        <v>20868.659213452305</v>
      </c>
      <c r="L46" s="13">
        <f>IF(L10=0,0,L10/TrAvia_act!L28*1000000)</f>
        <v>22635.283093845068</v>
      </c>
      <c r="M46" s="13">
        <f>IF(M10=0,0,M10/TrAvia_act!M28*1000000)</f>
        <v>23395.21013679621</v>
      </c>
      <c r="N46" s="13">
        <f>IF(N10=0,0,N10/TrAvia_act!N28*1000000)</f>
        <v>23483.098351279186</v>
      </c>
      <c r="O46" s="13">
        <f>IF(O10=0,0,O10/TrAvia_act!O28*1000000)</f>
        <v>24731.636678365405</v>
      </c>
      <c r="P46" s="13">
        <f>IF(P10=0,0,P10/TrAvia_act!P28*1000000)</f>
        <v>26187.564140370985</v>
      </c>
      <c r="Q46" s="13">
        <f>IF(Q10=0,0,Q10/TrAvia_act!Q28*1000000)</f>
        <v>28882.163581614375</v>
      </c>
      <c r="R46" s="13">
        <f>IF(R10=0,0,R10/TrAvia_act!R28*1000000)</f>
        <v>30068.097294782656</v>
      </c>
      <c r="S46" s="13">
        <f>IF(S10=0,0,S10/TrAvia_act!S28*1000000)</f>
        <v>31775.685034074075</v>
      </c>
      <c r="T46" s="13">
        <f>IF(T10=0,0,T10/TrAvia_act!T28*1000000)</f>
        <v>33075.947240106521</v>
      </c>
      <c r="U46" s="13">
        <f>IF(U10=0,0,U10/TrAvia_act!U28*1000000)</f>
        <v>30600.353304236978</v>
      </c>
      <c r="V46" s="13">
        <f>IF(V10=0,0,V10/TrAvia_act!V28*1000000)</f>
        <v>36805.596049444197</v>
      </c>
      <c r="W46" s="13">
        <f>IF(W10=0,0,W10/TrAvia_act!W28*1000000)</f>
        <v>32977.714250898105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13363.960821958339</v>
      </c>
      <c r="C47" s="102">
        <f>IF(C11=0,0,C11/TrAvia_act!C29*1000000)</f>
        <v>14509.244819024614</v>
      </c>
      <c r="D47" s="102">
        <f>IF(D11=0,0,D11/TrAvia_act!D29*1000000)</f>
        <v>14229.003686987853</v>
      </c>
      <c r="E47" s="102">
        <f>IF(E11=0,0,E11/TrAvia_act!E29*1000000)</f>
        <v>14612.804521015994</v>
      </c>
      <c r="F47" s="102">
        <f>IF(F11=0,0,F11/TrAvia_act!F29*1000000)</f>
        <v>14477.079097097887</v>
      </c>
      <c r="G47" s="102">
        <f>IF(G11=0,0,G11/TrAvia_act!G29*1000000)</f>
        <v>15246.453695931978</v>
      </c>
      <c r="H47" s="102">
        <f>IF(H11=0,0,H11/TrAvia_act!H29*1000000)</f>
        <v>15373.623783859555</v>
      </c>
      <c r="I47" s="102">
        <f>IF(I11=0,0,I11/TrAvia_act!I29*1000000)</f>
        <v>15450.377622657057</v>
      </c>
      <c r="J47" s="102">
        <f>IF(J11=0,0,J11/TrAvia_act!J29*1000000)</f>
        <v>15637.361406361526</v>
      </c>
      <c r="K47" s="102">
        <f>IF(K11=0,0,K11/TrAvia_act!K29*1000000)</f>
        <v>15656.785655098111</v>
      </c>
      <c r="L47" s="102">
        <f>IF(L11=0,0,L11/TrAvia_act!L29*1000000)</f>
        <v>18016.162491680127</v>
      </c>
      <c r="M47" s="102">
        <f>IF(M11=0,0,M11/TrAvia_act!M29*1000000)</f>
        <v>16480.567216409472</v>
      </c>
      <c r="N47" s="102">
        <f>IF(N11=0,0,N11/TrAvia_act!N29*1000000)</f>
        <v>16952.407534261703</v>
      </c>
      <c r="O47" s="102">
        <f>IF(O11=0,0,O11/TrAvia_act!O29*1000000)</f>
        <v>17241.215990369412</v>
      </c>
      <c r="P47" s="102">
        <f>IF(P11=0,0,P11/TrAvia_act!P29*1000000)</f>
        <v>17936.621527921663</v>
      </c>
      <c r="Q47" s="102">
        <f>IF(Q11=0,0,Q11/TrAvia_act!Q29*1000000)</f>
        <v>18977.838895960504</v>
      </c>
      <c r="R47" s="102">
        <f>IF(R11=0,0,R11/TrAvia_act!R29*1000000)</f>
        <v>20118.56722826487</v>
      </c>
      <c r="S47" s="102">
        <f>IF(S11=0,0,S11/TrAvia_act!S29*1000000)</f>
        <v>20762.409182935113</v>
      </c>
      <c r="T47" s="102">
        <f>IF(T11=0,0,T11/TrAvia_act!T29*1000000)</f>
        <v>19420.820141619064</v>
      </c>
      <c r="U47" s="102">
        <f>IF(U11=0,0,U11/TrAvia_act!U29*1000000)</f>
        <v>19686.143601791497</v>
      </c>
      <c r="V47" s="102">
        <f>IF(V11=0,0,V11/TrAvia_act!V29*1000000)</f>
        <v>15870.221904087111</v>
      </c>
      <c r="W47" s="102">
        <f>IF(W11=0,0,W11/TrAvia_act!W29*1000000)</f>
        <v>20155.126652474344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11386.300426347747</v>
      </c>
      <c r="C48" s="102">
        <f>IF(C12=0,0,C12/TrAvia_act!C30*1000000)</f>
        <v>12541.15954029089</v>
      </c>
      <c r="D48" s="102">
        <f>IF(D12=0,0,D12/TrAvia_act!D30*1000000)</f>
        <v>11193.338239362814</v>
      </c>
      <c r="E48" s="102">
        <f>IF(E12=0,0,E12/TrAvia_act!E30*1000000)</f>
        <v>12732.016933428065</v>
      </c>
      <c r="F48" s="102">
        <f>IF(F12=0,0,F12/TrAvia_act!F30*1000000)</f>
        <v>12667.152169608678</v>
      </c>
      <c r="G48" s="102">
        <f>IF(G12=0,0,G12/TrAvia_act!G30*1000000)</f>
        <v>12113.542805344339</v>
      </c>
      <c r="H48" s="102">
        <f>IF(H12=0,0,H12/TrAvia_act!H30*1000000)</f>
        <v>12476.92281491826</v>
      </c>
      <c r="I48" s="102">
        <f>IF(I12=0,0,I12/TrAvia_act!I30*1000000)</f>
        <v>11775.267114400716</v>
      </c>
      <c r="J48" s="102">
        <f>IF(J12=0,0,J12/TrAvia_act!J30*1000000)</f>
        <v>11675.50674838546</v>
      </c>
      <c r="K48" s="102">
        <f>IF(K12=0,0,K12/TrAvia_act!K30*1000000)</f>
        <v>12009.512583573449</v>
      </c>
      <c r="L48" s="102">
        <f>IF(L12=0,0,L12/TrAvia_act!L30*1000000)</f>
        <v>11076.600980534191</v>
      </c>
      <c r="M48" s="102">
        <f>IF(M12=0,0,M12/TrAvia_act!M30*1000000)</f>
        <v>12099.131586497457</v>
      </c>
      <c r="N48" s="102">
        <f>IF(N12=0,0,N12/TrAvia_act!N30*1000000)</f>
        <v>12194.915656568644</v>
      </c>
      <c r="O48" s="102">
        <f>IF(O12=0,0,O12/TrAvia_act!O30*1000000)</f>
        <v>11934.878165592087</v>
      </c>
      <c r="P48" s="102">
        <f>IF(P12=0,0,P12/TrAvia_act!P30*1000000)</f>
        <v>11379.681204770983</v>
      </c>
      <c r="Q48" s="102">
        <f>IF(Q12=0,0,Q12/TrAvia_act!Q30*1000000)</f>
        <v>11533.505511436251</v>
      </c>
      <c r="R48" s="102">
        <f>IF(R12=0,0,R12/TrAvia_act!R30*1000000)</f>
        <v>11321.660941432361</v>
      </c>
      <c r="S48" s="102">
        <f>IF(S12=0,0,S12/TrAvia_act!S30*1000000)</f>
        <v>11584.791633548542</v>
      </c>
      <c r="T48" s="102">
        <f>IF(T12=0,0,T12/TrAvia_act!T30*1000000)</f>
        <v>11482.296046846428</v>
      </c>
      <c r="U48" s="102">
        <f>IF(U12=0,0,U12/TrAvia_act!U30*1000000)</f>
        <v>11921.803601800486</v>
      </c>
      <c r="V48" s="102">
        <f>IF(V12=0,0,V12/TrAvia_act!V30*1000000)</f>
        <v>10709.129102522278</v>
      </c>
      <c r="W48" s="102">
        <f>IF(W12=0,0,W12/TrAvia_act!W30*1000000)</f>
        <v>8982.6370630275233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78265.708960355143</v>
      </c>
      <c r="C49" s="86">
        <f>IF(C13=0,0,C13/TrAvia_act!C31*1000000)</f>
        <v>86201.049103173893</v>
      </c>
      <c r="D49" s="86">
        <f>IF(D13=0,0,D13/TrAvia_act!D31*1000000)</f>
        <v>77051.574855768398</v>
      </c>
      <c r="E49" s="86">
        <f>IF(E13=0,0,E13/TrAvia_act!E31*1000000)</f>
        <v>87336.582836470174</v>
      </c>
      <c r="F49" s="86">
        <f>IF(F13=0,0,F13/TrAvia_act!F31*1000000)</f>
        <v>86881.730662766553</v>
      </c>
      <c r="G49" s="86">
        <f>IF(G13=0,0,G13/TrAvia_act!G31*1000000)</f>
        <v>76362.389014360611</v>
      </c>
      <c r="H49" s="86">
        <f>IF(H13=0,0,H13/TrAvia_act!H31*1000000)</f>
        <v>67374.176237784704</v>
      </c>
      <c r="I49" s="86">
        <f>IF(I13=0,0,I13/TrAvia_act!I31*1000000)</f>
        <v>60276.464843383081</v>
      </c>
      <c r="J49" s="86">
        <f>IF(J13=0,0,J13/TrAvia_act!J31*1000000)</f>
        <v>54333.044593071689</v>
      </c>
      <c r="K49" s="86">
        <f>IF(K13=0,0,K13/TrAvia_act!K31*1000000)</f>
        <v>56303.096152205049</v>
      </c>
      <c r="L49" s="86">
        <f>IF(L13=0,0,L13/TrAvia_act!L31*1000000)</f>
        <v>51196.602818125022</v>
      </c>
      <c r="M49" s="86">
        <f>IF(M13=0,0,M13/TrAvia_act!M31*1000000)</f>
        <v>51688.23220137482</v>
      </c>
      <c r="N49" s="86">
        <f>IF(N13=0,0,N13/TrAvia_act!N31*1000000)</f>
        <v>47679.667227822232</v>
      </c>
      <c r="O49" s="86">
        <f>IF(O13=0,0,O13/TrAvia_act!O31*1000000)</f>
        <v>52019.50948330792</v>
      </c>
      <c r="P49" s="86">
        <f>IF(P13=0,0,P13/TrAvia_act!P31*1000000)</f>
        <v>57621.79979404492</v>
      </c>
      <c r="Q49" s="86">
        <f>IF(Q13=0,0,Q13/TrAvia_act!Q31*1000000)</f>
        <v>65801.410447703121</v>
      </c>
      <c r="R49" s="86">
        <f>IF(R13=0,0,R13/TrAvia_act!R31*1000000)</f>
        <v>67280.437498381871</v>
      </c>
      <c r="S49" s="86">
        <f>IF(S13=0,0,S13/TrAvia_act!S31*1000000)</f>
        <v>69104.468892156176</v>
      </c>
      <c r="T49" s="86">
        <f>IF(T13=0,0,T13/TrAvia_act!T31*1000000)</f>
        <v>72307.436715474876</v>
      </c>
      <c r="U49" s="86">
        <f>IF(U13=0,0,U13/TrAvia_act!U31*1000000)</f>
        <v>62986.738944779267</v>
      </c>
      <c r="V49" s="86">
        <f>IF(V13=0,0,V13/TrAvia_act!V31*1000000)</f>
        <v>89709.025176838943</v>
      </c>
      <c r="W49" s="86">
        <f>IF(W13=0,0,W13/TrAvia_act!W31*1000000)</f>
        <v>70134.026540994164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0.97466773931362938</v>
      </c>
      <c r="C52" s="16">
        <f t="shared" si="35"/>
        <v>0.97374324567430548</v>
      </c>
      <c r="D52" s="16">
        <f t="shared" ref="D52:V52" si="36">IF(D6=0,0,D6/D$3)</f>
        <v>0.97561223800721952</v>
      </c>
      <c r="E52" s="16">
        <f t="shared" si="36"/>
        <v>0.97650079486714636</v>
      </c>
      <c r="F52" s="16">
        <f t="shared" si="36"/>
        <v>0.97287384773074648</v>
      </c>
      <c r="G52" s="16">
        <f t="shared" si="36"/>
        <v>0.976065267272896</v>
      </c>
      <c r="H52" s="16">
        <f t="shared" si="36"/>
        <v>0.97718529791121334</v>
      </c>
      <c r="I52" s="16">
        <f t="shared" si="36"/>
        <v>0.97866516742914877</v>
      </c>
      <c r="J52" s="16">
        <f t="shared" si="36"/>
        <v>0.97897168234359644</v>
      </c>
      <c r="K52" s="16">
        <f t="shared" si="36"/>
        <v>0.98023535948957141</v>
      </c>
      <c r="L52" s="16">
        <f t="shared" si="36"/>
        <v>0.97845144110463611</v>
      </c>
      <c r="M52" s="16">
        <f t="shared" si="36"/>
        <v>0.98050393311188566</v>
      </c>
      <c r="N52" s="16">
        <f t="shared" si="36"/>
        <v>0.98162392373068019</v>
      </c>
      <c r="O52" s="16">
        <f t="shared" si="36"/>
        <v>0.98051322201180224</v>
      </c>
      <c r="P52" s="16">
        <f t="shared" si="36"/>
        <v>0.9816910556368319</v>
      </c>
      <c r="Q52" s="16">
        <f t="shared" si="36"/>
        <v>0.98091493675886199</v>
      </c>
      <c r="R52" s="16">
        <f t="shared" si="36"/>
        <v>0.9829732577384781</v>
      </c>
      <c r="S52" s="16">
        <f t="shared" si="36"/>
        <v>0.98052832940568357</v>
      </c>
      <c r="T52" s="16">
        <f t="shared" si="36"/>
        <v>0.98013350687094714</v>
      </c>
      <c r="U52" s="16">
        <f t="shared" si="36"/>
        <v>0.98241840666357239</v>
      </c>
      <c r="V52" s="16">
        <f t="shared" si="36"/>
        <v>0.94284671833689926</v>
      </c>
      <c r="W52" s="16">
        <f t="shared" ref="W52" si="37">IF(W6=0,0,W6/W$3)</f>
        <v>0.95581759372344255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0.38561281217466659</v>
      </c>
      <c r="C53" s="103">
        <f t="shared" si="38"/>
        <v>0.3796693355790719</v>
      </c>
      <c r="D53" s="103">
        <f t="shared" ref="D53:V53" si="39">IF(D7=0,0,D7/D$3)</f>
        <v>0.37207990546859931</v>
      </c>
      <c r="E53" s="103">
        <f t="shared" si="39"/>
        <v>0.3737995262681903</v>
      </c>
      <c r="F53" s="103">
        <f t="shared" si="39"/>
        <v>0.37149867172163975</v>
      </c>
      <c r="G53" s="103">
        <f t="shared" si="39"/>
        <v>0.40785589893687613</v>
      </c>
      <c r="H53" s="103">
        <f t="shared" si="39"/>
        <v>0.41024314358226466</v>
      </c>
      <c r="I53" s="103">
        <f t="shared" si="39"/>
        <v>0.41133461342519223</v>
      </c>
      <c r="J53" s="103">
        <f t="shared" si="39"/>
        <v>0.40186030886101937</v>
      </c>
      <c r="K53" s="103">
        <f t="shared" si="39"/>
        <v>0.39117502965376727</v>
      </c>
      <c r="L53" s="103">
        <f t="shared" si="39"/>
        <v>0.42738962318787371</v>
      </c>
      <c r="M53" s="103">
        <f t="shared" si="39"/>
        <v>0.36040662156748632</v>
      </c>
      <c r="N53" s="103">
        <f t="shared" si="39"/>
        <v>0.33082448786627294</v>
      </c>
      <c r="O53" s="103">
        <f t="shared" si="39"/>
        <v>0.2968473858556438</v>
      </c>
      <c r="P53" s="103">
        <f t="shared" si="39"/>
        <v>0.30579294150629277</v>
      </c>
      <c r="Q53" s="103">
        <f t="shared" si="39"/>
        <v>0.31123764164168682</v>
      </c>
      <c r="R53" s="103">
        <f t="shared" si="39"/>
        <v>0.31742100205309787</v>
      </c>
      <c r="S53" s="103">
        <f t="shared" si="39"/>
        <v>0.31627150768679635</v>
      </c>
      <c r="T53" s="103">
        <f t="shared" si="39"/>
        <v>0.31659086451747337</v>
      </c>
      <c r="U53" s="103">
        <f t="shared" si="39"/>
        <v>0.32394218350891751</v>
      </c>
      <c r="V53" s="103">
        <f t="shared" si="39"/>
        <v>0.37203317399850233</v>
      </c>
      <c r="W53" s="103">
        <f t="shared" ref="W53" si="40">IF(W7=0,0,W7/W$3)</f>
        <v>0.46749432344726738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0.35024054558812634</v>
      </c>
      <c r="C54" s="103">
        <f t="shared" si="41"/>
        <v>0.38613965250681143</v>
      </c>
      <c r="D54" s="103">
        <f t="shared" ref="D54:V54" si="42">IF(D8=0,0,D8/D$3)</f>
        <v>0.37293268206917546</v>
      </c>
      <c r="E54" s="103">
        <f t="shared" si="42"/>
        <v>0.41963232060365879</v>
      </c>
      <c r="F54" s="103">
        <f t="shared" si="42"/>
        <v>0.40700912004877016</v>
      </c>
      <c r="G54" s="103">
        <f t="shared" si="42"/>
        <v>0.38639498205793688</v>
      </c>
      <c r="H54" s="103">
        <f t="shared" si="42"/>
        <v>0.38837135269016099</v>
      </c>
      <c r="I54" s="103">
        <f t="shared" si="42"/>
        <v>0.39142645688798661</v>
      </c>
      <c r="J54" s="103">
        <f t="shared" si="42"/>
        <v>0.39402857171482392</v>
      </c>
      <c r="K54" s="103">
        <f t="shared" si="42"/>
        <v>0.39079250220171369</v>
      </c>
      <c r="L54" s="103">
        <f t="shared" si="42"/>
        <v>0.36265248458254712</v>
      </c>
      <c r="M54" s="103">
        <f t="shared" si="42"/>
        <v>0.41323279058749163</v>
      </c>
      <c r="N54" s="103">
        <f t="shared" si="42"/>
        <v>0.42950699206488674</v>
      </c>
      <c r="O54" s="103">
        <f t="shared" si="42"/>
        <v>0.45481469609372149</v>
      </c>
      <c r="P54" s="103">
        <f t="shared" si="42"/>
        <v>0.45235619604417188</v>
      </c>
      <c r="Q54" s="103">
        <f t="shared" si="42"/>
        <v>0.44813541262794804</v>
      </c>
      <c r="R54" s="103">
        <f t="shared" si="42"/>
        <v>0.46015987515060103</v>
      </c>
      <c r="S54" s="103">
        <f t="shared" si="42"/>
        <v>0.46711786884357748</v>
      </c>
      <c r="T54" s="103">
        <f t="shared" si="42"/>
        <v>0.46145679566175357</v>
      </c>
      <c r="U54" s="103">
        <f t="shared" si="42"/>
        <v>0.45291484996847009</v>
      </c>
      <c r="V54" s="103">
        <f t="shared" si="42"/>
        <v>0.33184355499142287</v>
      </c>
      <c r="W54" s="103">
        <f t="shared" ref="W54" si="43">IF(W8=0,0,W8/W$3)</f>
        <v>0.3028185228231392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0.23881438155083651</v>
      </c>
      <c r="C55" s="103">
        <f t="shared" si="44"/>
        <v>0.20793425758842221</v>
      </c>
      <c r="D55" s="103">
        <f t="shared" ref="D55:V55" si="45">IF(D9=0,0,D9/D$3)</f>
        <v>0.23059965046944475</v>
      </c>
      <c r="E55" s="103">
        <f t="shared" si="45"/>
        <v>0.18306894799529738</v>
      </c>
      <c r="F55" s="103">
        <f t="shared" si="45"/>
        <v>0.19436605596033657</v>
      </c>
      <c r="G55" s="103">
        <f t="shared" si="45"/>
        <v>0.18181438627808305</v>
      </c>
      <c r="H55" s="103">
        <f t="shared" si="45"/>
        <v>0.17857080163878769</v>
      </c>
      <c r="I55" s="103">
        <f t="shared" si="45"/>
        <v>0.17590409711596985</v>
      </c>
      <c r="J55" s="103">
        <f t="shared" si="45"/>
        <v>0.18308280176775307</v>
      </c>
      <c r="K55" s="103">
        <f t="shared" si="45"/>
        <v>0.19826782763409051</v>
      </c>
      <c r="L55" s="103">
        <f t="shared" si="45"/>
        <v>0.18840933333421533</v>
      </c>
      <c r="M55" s="103">
        <f t="shared" si="45"/>
        <v>0.20686452095690766</v>
      </c>
      <c r="N55" s="103">
        <f t="shared" si="45"/>
        <v>0.22129244379952062</v>
      </c>
      <c r="O55" s="103">
        <f t="shared" si="45"/>
        <v>0.22885114006243698</v>
      </c>
      <c r="P55" s="103">
        <f t="shared" si="45"/>
        <v>0.22354191808636717</v>
      </c>
      <c r="Q55" s="103">
        <f t="shared" si="45"/>
        <v>0.22154188248922713</v>
      </c>
      <c r="R55" s="103">
        <f t="shared" si="45"/>
        <v>0.20539238053477915</v>
      </c>
      <c r="S55" s="103">
        <f t="shared" si="45"/>
        <v>0.19713895287530978</v>
      </c>
      <c r="T55" s="103">
        <f t="shared" si="45"/>
        <v>0.20208584669172011</v>
      </c>
      <c r="U55" s="103">
        <f t="shared" si="45"/>
        <v>0.20556137318618481</v>
      </c>
      <c r="V55" s="103">
        <f t="shared" si="45"/>
        <v>0.23896998934697408</v>
      </c>
      <c r="W55" s="103">
        <f t="shared" ref="W55" si="46">IF(W9=0,0,W9/W$3)</f>
        <v>0.18550474745303591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2.5332260686370605E-2</v>
      </c>
      <c r="C56" s="17">
        <f t="shared" si="47"/>
        <v>2.6256754325694614E-2</v>
      </c>
      <c r="D56" s="17">
        <f t="shared" ref="D56:V56" si="48">IF(D10=0,0,D10/D$3)</f>
        <v>2.4387761992780425E-2</v>
      </c>
      <c r="E56" s="17">
        <f t="shared" si="48"/>
        <v>2.3499205132853584E-2</v>
      </c>
      <c r="F56" s="17">
        <f t="shared" si="48"/>
        <v>2.7126152269253447E-2</v>
      </c>
      <c r="G56" s="17">
        <f t="shared" si="48"/>
        <v>2.3934732727103943E-2</v>
      </c>
      <c r="H56" s="17">
        <f t="shared" si="48"/>
        <v>2.2814702088786713E-2</v>
      </c>
      <c r="I56" s="17">
        <f t="shared" si="48"/>
        <v>2.133483257085126E-2</v>
      </c>
      <c r="J56" s="17">
        <f t="shared" si="48"/>
        <v>2.1028317656403613E-2</v>
      </c>
      <c r="K56" s="17">
        <f t="shared" si="48"/>
        <v>1.9764640510428567E-2</v>
      </c>
      <c r="L56" s="17">
        <f t="shared" si="48"/>
        <v>2.1548558895363907E-2</v>
      </c>
      <c r="M56" s="17">
        <f t="shared" si="48"/>
        <v>1.949606688811438E-2</v>
      </c>
      <c r="N56" s="17">
        <f t="shared" si="48"/>
        <v>1.8376076269319665E-2</v>
      </c>
      <c r="O56" s="17">
        <f t="shared" si="48"/>
        <v>1.9486777988197854E-2</v>
      </c>
      <c r="P56" s="17">
        <f t="shared" si="48"/>
        <v>1.8308944363168215E-2</v>
      </c>
      <c r="Q56" s="17">
        <f t="shared" si="48"/>
        <v>1.9085063241138199E-2</v>
      </c>
      <c r="R56" s="17">
        <f t="shared" si="48"/>
        <v>1.7026742261521975E-2</v>
      </c>
      <c r="S56" s="17">
        <f t="shared" si="48"/>
        <v>1.9471670594316426E-2</v>
      </c>
      <c r="T56" s="17">
        <f t="shared" si="48"/>
        <v>1.9866493129052781E-2</v>
      </c>
      <c r="U56" s="17">
        <f t="shared" si="48"/>
        <v>1.758159333642759E-2</v>
      </c>
      <c r="V56" s="17">
        <f t="shared" si="48"/>
        <v>5.7153281663100797E-2</v>
      </c>
      <c r="W56" s="17">
        <f t="shared" ref="W56" si="49">IF(W10=0,0,W10/W$3)</f>
        <v>4.4182406276557472E-2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1.1632672798717497E-2</v>
      </c>
      <c r="C57" s="104">
        <f t="shared" si="50"/>
        <v>1.1914072359907286E-2</v>
      </c>
      <c r="D57" s="104">
        <f t="shared" ref="D57:V57" si="51">IF(D11=0,0,D11/D$3)</f>
        <v>1.152133836366084E-2</v>
      </c>
      <c r="E57" s="104">
        <f t="shared" si="51"/>
        <v>9.5225948600037285E-3</v>
      </c>
      <c r="F57" s="104">
        <f t="shared" si="51"/>
        <v>1.1526404978742237E-2</v>
      </c>
      <c r="G57" s="104">
        <f t="shared" si="51"/>
        <v>1.1145091043656352E-2</v>
      </c>
      <c r="H57" s="104">
        <f t="shared" si="51"/>
        <v>1.0756963359871955E-2</v>
      </c>
      <c r="I57" s="104">
        <f t="shared" si="51"/>
        <v>9.8132163487063967E-3</v>
      </c>
      <c r="J57" s="104">
        <f t="shared" si="51"/>
        <v>9.6706232012587108E-3</v>
      </c>
      <c r="K57" s="104">
        <f t="shared" si="51"/>
        <v>8.3715112126282864E-3</v>
      </c>
      <c r="L57" s="104">
        <f t="shared" si="51"/>
        <v>8.5572198755647245E-3</v>
      </c>
      <c r="M57" s="104">
        <f t="shared" si="51"/>
        <v>6.2332107395910155E-3</v>
      </c>
      <c r="N57" s="104">
        <f t="shared" si="51"/>
        <v>5.7128955716134926E-3</v>
      </c>
      <c r="O57" s="104">
        <f t="shared" si="51"/>
        <v>5.5928706559735964E-3</v>
      </c>
      <c r="P57" s="104">
        <f t="shared" si="51"/>
        <v>5.1844895145609872E-3</v>
      </c>
      <c r="Q57" s="104">
        <f t="shared" si="51"/>
        <v>4.7324648636489428E-3</v>
      </c>
      <c r="R57" s="104">
        <f t="shared" si="51"/>
        <v>4.2102364370895382E-3</v>
      </c>
      <c r="S57" s="104">
        <f t="shared" si="51"/>
        <v>4.4001854023075953E-3</v>
      </c>
      <c r="T57" s="104">
        <f t="shared" si="51"/>
        <v>3.7841396868721904E-3</v>
      </c>
      <c r="U57" s="104">
        <f t="shared" si="51"/>
        <v>3.2460454404482056E-3</v>
      </c>
      <c r="V57" s="104">
        <f t="shared" si="51"/>
        <v>6.4235221523720873E-3</v>
      </c>
      <c r="W57" s="104">
        <f t="shared" ref="W57" si="52">IF(W11=0,0,W11/W$3)</f>
        <v>6.348408839185516E-3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4.143616773754185E-3</v>
      </c>
      <c r="C58" s="104">
        <f t="shared" si="53"/>
        <v>4.2264525545908831E-3</v>
      </c>
      <c r="D58" s="104">
        <f t="shared" ref="D58:V58" si="54">IF(D12=0,0,D12/D$3)</f>
        <v>3.8965525229682696E-3</v>
      </c>
      <c r="E58" s="104">
        <f t="shared" si="54"/>
        <v>4.0494126629396976E-3</v>
      </c>
      <c r="F58" s="104">
        <f t="shared" si="54"/>
        <v>4.5074333340116759E-3</v>
      </c>
      <c r="G58" s="104">
        <f t="shared" si="54"/>
        <v>3.8433235665186103E-3</v>
      </c>
      <c r="H58" s="104">
        <f t="shared" si="54"/>
        <v>3.7880568152823969E-3</v>
      </c>
      <c r="I58" s="104">
        <f t="shared" si="54"/>
        <v>3.0457931546680199E-3</v>
      </c>
      <c r="J58" s="104">
        <f t="shared" si="54"/>
        <v>3.1236798034478806E-3</v>
      </c>
      <c r="K58" s="104">
        <f t="shared" si="54"/>
        <v>3.206626562758671E-3</v>
      </c>
      <c r="L58" s="104">
        <f t="shared" si="54"/>
        <v>3.1557318853985173E-3</v>
      </c>
      <c r="M58" s="104">
        <f t="shared" si="54"/>
        <v>3.1360947170687189E-3</v>
      </c>
      <c r="N58" s="104">
        <f t="shared" si="54"/>
        <v>2.9484568690883832E-3</v>
      </c>
      <c r="O58" s="104">
        <f t="shared" si="54"/>
        <v>3.0426836132051434E-3</v>
      </c>
      <c r="P58" s="104">
        <f t="shared" si="54"/>
        <v>2.5854949657629048E-3</v>
      </c>
      <c r="Q58" s="104">
        <f t="shared" si="54"/>
        <v>2.7032831256969922E-3</v>
      </c>
      <c r="R58" s="104">
        <f t="shared" si="54"/>
        <v>2.2665488275629368E-3</v>
      </c>
      <c r="S58" s="104">
        <f t="shared" si="54"/>
        <v>2.5436285155268847E-3</v>
      </c>
      <c r="T58" s="104">
        <f t="shared" si="54"/>
        <v>2.5029317749891613E-3</v>
      </c>
      <c r="U58" s="104">
        <f t="shared" si="54"/>
        <v>2.6773462027411105E-3</v>
      </c>
      <c r="V58" s="104">
        <f t="shared" si="54"/>
        <v>7.0848693094098776E-3</v>
      </c>
      <c r="W58" s="104">
        <f t="shared" ref="W58" si="55">IF(W12=0,0,W12/W$3)</f>
        <v>4.9999799408700059E-3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9.5559711138989267E-3</v>
      </c>
      <c r="C59" s="105">
        <f t="shared" si="56"/>
        <v>1.0116229411196444E-2</v>
      </c>
      <c r="D59" s="105">
        <f t="shared" ref="D59:V59" si="57">IF(D13=0,0,D13/D$3)</f>
        <v>8.9698711061513142E-3</v>
      </c>
      <c r="E59" s="105">
        <f t="shared" si="57"/>
        <v>9.927197609910161E-3</v>
      </c>
      <c r="F59" s="105">
        <f t="shared" si="57"/>
        <v>1.109231395649953E-2</v>
      </c>
      <c r="G59" s="105">
        <f t="shared" si="57"/>
        <v>8.9463181169289786E-3</v>
      </c>
      <c r="H59" s="105">
        <f t="shared" si="57"/>
        <v>8.2696819136323652E-3</v>
      </c>
      <c r="I59" s="105">
        <f t="shared" si="57"/>
        <v>8.4758230674768422E-3</v>
      </c>
      <c r="J59" s="105">
        <f t="shared" si="57"/>
        <v>8.2340146516970223E-3</v>
      </c>
      <c r="K59" s="105">
        <f t="shared" si="57"/>
        <v>8.1865027350416109E-3</v>
      </c>
      <c r="L59" s="105">
        <f t="shared" si="57"/>
        <v>9.8356071344006656E-3</v>
      </c>
      <c r="M59" s="105">
        <f t="shared" si="57"/>
        <v>1.0126761431454648E-2</v>
      </c>
      <c r="N59" s="105">
        <f t="shared" si="57"/>
        <v>9.7147238286177922E-3</v>
      </c>
      <c r="O59" s="105">
        <f t="shared" si="57"/>
        <v>1.0851223719019117E-2</v>
      </c>
      <c r="P59" s="105">
        <f t="shared" si="57"/>
        <v>1.0538959882844321E-2</v>
      </c>
      <c r="Q59" s="105">
        <f t="shared" si="57"/>
        <v>1.1649315251792264E-2</v>
      </c>
      <c r="R59" s="105">
        <f t="shared" si="57"/>
        <v>1.0549956996869501E-2</v>
      </c>
      <c r="S59" s="105">
        <f t="shared" si="57"/>
        <v>1.2527856676481946E-2</v>
      </c>
      <c r="T59" s="105">
        <f t="shared" si="57"/>
        <v>1.357942166719143E-2</v>
      </c>
      <c r="U59" s="105">
        <f t="shared" si="57"/>
        <v>1.1658201693238278E-2</v>
      </c>
      <c r="V59" s="105">
        <f t="shared" si="57"/>
        <v>4.3644890201318828E-2</v>
      </c>
      <c r="W59" s="105">
        <f t="shared" ref="W59" si="58">IF(W13=0,0,W13/W$3)</f>
        <v>3.2834017496501944E-2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106062997</v>
      </c>
      <c r="C4" s="11">
        <f t="shared" si="0"/>
        <v>100633589</v>
      </c>
      <c r="D4" s="11">
        <f t="shared" ref="D4" si="1">SUM(D5:D7)</f>
        <v>99104371</v>
      </c>
      <c r="E4" s="11">
        <f t="shared" ref="E4" si="2">SUM(E5:E7)</f>
        <v>103732347</v>
      </c>
      <c r="F4" s="11">
        <f t="shared" ref="F4" si="3">SUM(F5:F7)</f>
        <v>113386616</v>
      </c>
      <c r="G4" s="11">
        <f t="shared" ref="G4" si="4">SUM(G5:G7)</f>
        <v>123603075</v>
      </c>
      <c r="H4" s="11">
        <f t="shared" ref="H4" si="5">SUM(H5:H7)</f>
        <v>127684847</v>
      </c>
      <c r="I4" s="11">
        <f t="shared" ref="I4" si="6">SUM(I5:I7)</f>
        <v>139609722</v>
      </c>
      <c r="J4" s="11">
        <f t="shared" ref="J4" si="7">SUM(J5:J7)</f>
        <v>139050917</v>
      </c>
      <c r="K4" s="11">
        <f t="shared" ref="K4" si="8">SUM(K5:K7)</f>
        <v>128766621</v>
      </c>
      <c r="L4" s="11">
        <f t="shared" ref="L4" si="9">SUM(L5:L7)</f>
        <v>131125749</v>
      </c>
      <c r="M4" s="11">
        <f t="shared" ref="M4" si="10">SUM(M5:M7)</f>
        <v>136938862</v>
      </c>
      <c r="N4" s="11">
        <f t="shared" ref="N4" si="11">SUM(N5:N7)</f>
        <v>127071350</v>
      </c>
      <c r="O4" s="11">
        <f t="shared" ref="O4" si="12">SUM(O5:O7)</f>
        <v>120533647</v>
      </c>
      <c r="P4" s="11">
        <f t="shared" ref="P4" si="13">SUM(P5:P7)</f>
        <v>123340437</v>
      </c>
      <c r="Q4" s="11">
        <f t="shared" ref="Q4" si="14">SUM(Q5:Q7)</f>
        <v>127582459</v>
      </c>
      <c r="R4" s="11">
        <f t="shared" ref="R4" si="15">SUM(R5:R7)</f>
        <v>139777075</v>
      </c>
      <c r="S4" s="11">
        <f t="shared" ref="S4" si="16">SUM(S5:S7)</f>
        <v>149294114</v>
      </c>
      <c r="T4" s="11">
        <f t="shared" ref="T4" si="17">SUM(T5:T7)</f>
        <v>156875836</v>
      </c>
      <c r="U4" s="11">
        <f t="shared" ref="U4" si="18">SUM(U5:U7)</f>
        <v>160307464</v>
      </c>
      <c r="V4" s="11">
        <f t="shared" ref="V4:W4" si="19">SUM(V5:V7)</f>
        <v>58102708</v>
      </c>
      <c r="W4" s="11">
        <f t="shared" si="19"/>
        <v>84313986</v>
      </c>
      <c r="DA4" s="189" t="s">
        <v>361</v>
      </c>
    </row>
    <row r="5" spans="1:105" ht="11.45" customHeight="1" x14ac:dyDescent="0.25">
      <c r="A5" s="83" t="s">
        <v>27</v>
      </c>
      <c r="B5" s="84">
        <v>47609319</v>
      </c>
      <c r="C5" s="84">
        <v>43849852</v>
      </c>
      <c r="D5" s="84">
        <v>43167574</v>
      </c>
      <c r="E5" s="84">
        <v>46670446</v>
      </c>
      <c r="F5" s="84">
        <v>52430988</v>
      </c>
      <c r="G5" s="84">
        <v>58201958</v>
      </c>
      <c r="H5" s="84">
        <v>60045484</v>
      </c>
      <c r="I5" s="84">
        <v>63578862</v>
      </c>
      <c r="J5" s="84">
        <v>61271054</v>
      </c>
      <c r="K5" s="84">
        <v>57022114</v>
      </c>
      <c r="L5" s="84">
        <v>56312919</v>
      </c>
      <c r="M5" s="84">
        <v>54842215</v>
      </c>
      <c r="N5" s="84">
        <v>46615390</v>
      </c>
      <c r="O5" s="84">
        <v>39409886</v>
      </c>
      <c r="P5" s="84">
        <v>39261565</v>
      </c>
      <c r="Q5" s="84">
        <v>40697813</v>
      </c>
      <c r="R5" s="84">
        <v>43007698</v>
      </c>
      <c r="S5" s="84">
        <v>46068583</v>
      </c>
      <c r="T5" s="84">
        <v>50337798</v>
      </c>
      <c r="U5" s="84">
        <v>52535200</v>
      </c>
      <c r="V5" s="84">
        <v>25700586</v>
      </c>
      <c r="W5" s="84">
        <v>36740696</v>
      </c>
      <c r="DA5" s="171" t="s">
        <v>362</v>
      </c>
    </row>
    <row r="6" spans="1:105" ht="11.45" customHeight="1" x14ac:dyDescent="0.25">
      <c r="A6" s="83" t="s">
        <v>173</v>
      </c>
      <c r="B6" s="84">
        <v>48166844</v>
      </c>
      <c r="C6" s="84">
        <v>48618434</v>
      </c>
      <c r="D6" s="84">
        <v>48180802</v>
      </c>
      <c r="E6" s="84">
        <v>50628930</v>
      </c>
      <c r="F6" s="84">
        <v>53584882</v>
      </c>
      <c r="G6" s="84">
        <v>56987478</v>
      </c>
      <c r="H6" s="84">
        <v>58087852</v>
      </c>
      <c r="I6" s="84">
        <v>65037481</v>
      </c>
      <c r="J6" s="84">
        <v>65783821</v>
      </c>
      <c r="K6" s="84">
        <v>59897218</v>
      </c>
      <c r="L6" s="84">
        <v>61550852</v>
      </c>
      <c r="M6" s="84">
        <v>67266890</v>
      </c>
      <c r="N6" s="84">
        <v>65734752</v>
      </c>
      <c r="O6" s="84">
        <v>66321260</v>
      </c>
      <c r="P6" s="84">
        <v>69332320</v>
      </c>
      <c r="Q6" s="84">
        <v>71733652</v>
      </c>
      <c r="R6" s="84">
        <v>80518848</v>
      </c>
      <c r="S6" s="84">
        <v>85934503</v>
      </c>
      <c r="T6" s="84">
        <v>88185752</v>
      </c>
      <c r="U6" s="84">
        <v>88812075</v>
      </c>
      <c r="V6" s="84">
        <v>27496907</v>
      </c>
      <c r="W6" s="84">
        <v>40638642</v>
      </c>
      <c r="DA6" s="171" t="s">
        <v>363</v>
      </c>
    </row>
    <row r="7" spans="1:105" ht="11.45" customHeight="1" x14ac:dyDescent="0.25">
      <c r="A7" s="85" t="s">
        <v>174</v>
      </c>
      <c r="B7" s="86">
        <v>10286834</v>
      </c>
      <c r="C7" s="86">
        <v>8165303</v>
      </c>
      <c r="D7" s="86">
        <v>7755995</v>
      </c>
      <c r="E7" s="86">
        <v>6432971</v>
      </c>
      <c r="F7" s="86">
        <v>7370746</v>
      </c>
      <c r="G7" s="86">
        <v>8413639</v>
      </c>
      <c r="H7" s="86">
        <v>9551511</v>
      </c>
      <c r="I7" s="86">
        <v>10993379</v>
      </c>
      <c r="J7" s="86">
        <v>11996042</v>
      </c>
      <c r="K7" s="86">
        <v>11847289</v>
      </c>
      <c r="L7" s="86">
        <v>13261978</v>
      </c>
      <c r="M7" s="86">
        <v>14829757</v>
      </c>
      <c r="N7" s="86">
        <v>14721208</v>
      </c>
      <c r="O7" s="86">
        <v>14802501</v>
      </c>
      <c r="P7" s="86">
        <v>14746552</v>
      </c>
      <c r="Q7" s="86">
        <v>15150994</v>
      </c>
      <c r="R7" s="86">
        <v>16250529</v>
      </c>
      <c r="S7" s="86">
        <v>17291028</v>
      </c>
      <c r="T7" s="86">
        <v>18352286</v>
      </c>
      <c r="U7" s="86">
        <v>18960189</v>
      </c>
      <c r="V7" s="86">
        <v>4905215</v>
      </c>
      <c r="W7" s="86">
        <v>6934648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138.68341690801989</v>
      </c>
      <c r="C12" s="14">
        <f>IF(C4=0,0,C4/TrAvia_act!C24)</f>
        <v>139.69766660604941</v>
      </c>
      <c r="D12" s="14">
        <f>IF(D4=0,0,D4/TrAvia_act!D24)</f>
        <v>138.72372939007644</v>
      </c>
      <c r="E12" s="14">
        <f>IF(E4=0,0,E4/TrAvia_act!E24)</f>
        <v>143.88186086510254</v>
      </c>
      <c r="F12" s="14">
        <f>IF(F4=0,0,F4/TrAvia_act!F24)</f>
        <v>142.72071897440415</v>
      </c>
      <c r="G12" s="14">
        <f>IF(G4=0,0,G4/TrAvia_act!G24)</f>
        <v>143.30326087964681</v>
      </c>
      <c r="H12" s="14">
        <f>IF(H4=0,0,H4/TrAvia_act!H24)</f>
        <v>142.29593600492132</v>
      </c>
      <c r="I12" s="14">
        <f>IF(I4=0,0,I4/TrAvia_act!I24)</f>
        <v>143.6733798764248</v>
      </c>
      <c r="J12" s="14">
        <f>IF(J4=0,0,J4/TrAvia_act!J24)</f>
        <v>146.21885784949811</v>
      </c>
      <c r="K12" s="14">
        <f>IF(K4=0,0,K4/TrAvia_act!K24)</f>
        <v>151.24086182656586</v>
      </c>
      <c r="L12" s="14">
        <f>IF(L4=0,0,L4/TrAvia_act!L24)</f>
        <v>154.13991769063574</v>
      </c>
      <c r="M12" s="14">
        <f>IF(M4=0,0,M4/TrAvia_act!M24)</f>
        <v>156.8121342040865</v>
      </c>
      <c r="N12" s="14">
        <f>IF(N4=0,0,N4/TrAvia_act!N24)</f>
        <v>160.98491518831628</v>
      </c>
      <c r="O12" s="14">
        <f>IF(O4=0,0,O4/TrAvia_act!O24)</f>
        <v>163.51992961787718</v>
      </c>
      <c r="P12" s="14">
        <f>IF(P4=0,0,P4/TrAvia_act!P24)</f>
        <v>161.97377357895897</v>
      </c>
      <c r="Q12" s="14">
        <f>IF(Q4=0,0,Q4/TrAvia_act!Q24)</f>
        <v>163.33021691596298</v>
      </c>
      <c r="R12" s="14">
        <f>IF(R4=0,0,R4/TrAvia_act!R24)</f>
        <v>168.06411410996176</v>
      </c>
      <c r="S12" s="14">
        <f>IF(S4=0,0,S4/TrAvia_act!S24)</f>
        <v>169.38196856155795</v>
      </c>
      <c r="T12" s="14">
        <f>IF(T4=0,0,T4/TrAvia_act!T24)</f>
        <v>166.77421947423477</v>
      </c>
      <c r="U12" s="14">
        <f>IF(U4=0,0,U4/TrAvia_act!U24)</f>
        <v>165.90613234201359</v>
      </c>
      <c r="V12" s="14">
        <f>IF(V4=0,0,V4/TrAvia_act!V24)</f>
        <v>155.74127246215207</v>
      </c>
      <c r="W12" s="14">
        <f>IF(W4=0,0,W4/TrAvia_act!W24)</f>
        <v>158.00290842036418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113.70122730301416</v>
      </c>
      <c r="C13" s="87">
        <f>IF(C5=0,0,C5/TrAvia_act!C25)</f>
        <v>114.437290241089</v>
      </c>
      <c r="D13" s="87">
        <f>IF(D5=0,0,D5/TrAvia_act!D25)</f>
        <v>118.76418330935172</v>
      </c>
      <c r="E13" s="87">
        <f>IF(E5=0,0,E5/TrAvia_act!E25)</f>
        <v>125.16814800113715</v>
      </c>
      <c r="F13" s="87">
        <f>IF(F5=0,0,F5/TrAvia_act!F25)</f>
        <v>126.48358615099583</v>
      </c>
      <c r="G13" s="87">
        <f>IF(G5=0,0,G5/TrAvia_act!G25)</f>
        <v>126.41195008850711</v>
      </c>
      <c r="H13" s="87">
        <f>IF(H5=0,0,H5/TrAvia_act!H25)</f>
        <v>124.37390789217494</v>
      </c>
      <c r="I13" s="87">
        <f>IF(I5=0,0,I5/TrAvia_act!I25)</f>
        <v>124.84852566922207</v>
      </c>
      <c r="J13" s="87">
        <f>IF(J5=0,0,J5/TrAvia_act!J25)</f>
        <v>125.63859685816637</v>
      </c>
      <c r="K13" s="87">
        <f>IF(K5=0,0,K5/TrAvia_act!K25)</f>
        <v>131.29267141439468</v>
      </c>
      <c r="L13" s="87">
        <f>IF(L5=0,0,L5/TrAvia_act!L25)</f>
        <v>132.99101867115064</v>
      </c>
      <c r="M13" s="87">
        <f>IF(M5=0,0,M5/TrAvia_act!M25)</f>
        <v>133.19202288750779</v>
      </c>
      <c r="N13" s="87">
        <f>IF(N5=0,0,N5/TrAvia_act!N25)</f>
        <v>135.95368018268942</v>
      </c>
      <c r="O13" s="87">
        <f>IF(O5=0,0,O5/TrAvia_act!O25)</f>
        <v>137.20289794525794</v>
      </c>
      <c r="P13" s="87">
        <f>IF(P5=0,0,P5/TrAvia_act!P25)</f>
        <v>133.77707548937767</v>
      </c>
      <c r="Q13" s="87">
        <f>IF(Q5=0,0,Q5/TrAvia_act!Q25)</f>
        <v>135.21856414754566</v>
      </c>
      <c r="R13" s="87">
        <f>IF(R5=0,0,R5/TrAvia_act!R25)</f>
        <v>138.74211811615476</v>
      </c>
      <c r="S13" s="87">
        <f>IF(S5=0,0,S5/TrAvia_act!S25)</f>
        <v>141.00282197960951</v>
      </c>
      <c r="T13" s="87">
        <f>IF(T5=0,0,T5/TrAvia_act!T25)</f>
        <v>138.04263219380564</v>
      </c>
      <c r="U13" s="87">
        <f>IF(U5=0,0,U5/TrAvia_act!U25)</f>
        <v>137.22244134079671</v>
      </c>
      <c r="V13" s="87">
        <f>IF(V5=0,0,V5/TrAvia_act!V25)</f>
        <v>135.10482739043354</v>
      </c>
      <c r="W13" s="87">
        <f>IF(W5=0,0,W5/TrAvia_act!W25)</f>
        <v>140.9536480752557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163.49524620935688</v>
      </c>
      <c r="C14" s="87">
        <f>IF(C6=0,0,C6/TrAvia_act!C26)</f>
        <v>164.17270768752829</v>
      </c>
      <c r="D14" s="87">
        <f>IF(D6=0,0,D6/TrAvia_act!D26)</f>
        <v>159.2295835577867</v>
      </c>
      <c r="E14" s="87">
        <f>IF(E6=0,0,E6/TrAvia_act!E26)</f>
        <v>161.96696610234557</v>
      </c>
      <c r="F14" s="87">
        <f>IF(F6=0,0,F6/TrAvia_act!F26)</f>
        <v>158.56236277231005</v>
      </c>
      <c r="G14" s="87">
        <f>IF(G6=0,0,G6/TrAvia_act!G26)</f>
        <v>160.33976427689166</v>
      </c>
      <c r="H14" s="87">
        <f>IF(H6=0,0,H6/TrAvia_act!H26)</f>
        <v>160.27904872012076</v>
      </c>
      <c r="I14" s="87">
        <f>IF(I6=0,0,I6/TrAvia_act!I26)</f>
        <v>161.32128089692549</v>
      </c>
      <c r="J14" s="87">
        <f>IF(J6=0,0,J6/TrAvia_act!J26)</f>
        <v>163.89370946806153</v>
      </c>
      <c r="K14" s="87">
        <f>IF(K6=0,0,K6/TrAvia_act!K26)</f>
        <v>166.86228068709224</v>
      </c>
      <c r="L14" s="87">
        <f>IF(L6=0,0,L6/TrAvia_act!L26)</f>
        <v>169.35676138224022</v>
      </c>
      <c r="M14" s="87">
        <f>IF(M6=0,0,M6/TrAvia_act!M26)</f>
        <v>172.20279756083823</v>
      </c>
      <c r="N14" s="87">
        <f>IF(N6=0,0,N6/TrAvia_act!N26)</f>
        <v>174.80415266136237</v>
      </c>
      <c r="O14" s="87">
        <f>IF(O6=0,0,O6/TrAvia_act!O26)</f>
        <v>176.10905170582487</v>
      </c>
      <c r="P14" s="87">
        <f>IF(P6=0,0,P6/TrAvia_act!P26)</f>
        <v>175.23251082371436</v>
      </c>
      <c r="Q14" s="87">
        <f>IF(Q6=0,0,Q6/TrAvia_act!Q26)</f>
        <v>175.4895917683352</v>
      </c>
      <c r="R14" s="87">
        <f>IF(R6=0,0,R6/TrAvia_act!R26)</f>
        <v>179.78013459142528</v>
      </c>
      <c r="S14" s="87">
        <f>IF(S6=0,0,S6/TrAvia_act!S26)</f>
        <v>180.13730845823289</v>
      </c>
      <c r="T14" s="87">
        <f>IF(T6=0,0,T6/TrAvia_act!T26)</f>
        <v>178.46887016214552</v>
      </c>
      <c r="U14" s="87">
        <f>IF(U6=0,0,U6/TrAvia_act!U26)</f>
        <v>178.37009373198717</v>
      </c>
      <c r="V14" s="87">
        <f>IF(V6=0,0,V6/TrAvia_act!V26)</f>
        <v>172.2971802744533</v>
      </c>
      <c r="W14" s="87">
        <f>IF(W6=0,0,W6/TrAvia_act!W26)</f>
        <v>171.29470924449092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199.91903605091827</v>
      </c>
      <c r="C15" s="88">
        <f>IF(C7=0,0,C7/TrAvia_act!C27)</f>
        <v>198.92569493507443</v>
      </c>
      <c r="D15" s="88">
        <f>IF(D7=0,0,D7/TrAvia_act!D27)</f>
        <v>160.44341242423616</v>
      </c>
      <c r="E15" s="88">
        <f>IF(E7=0,0,E7/TrAvia_act!E27)</f>
        <v>181.1849316997606</v>
      </c>
      <c r="F15" s="88">
        <f>IF(F7=0,0,F7/TrAvia_act!F27)</f>
        <v>175.5148470055959</v>
      </c>
      <c r="G15" s="88">
        <f>IF(G7=0,0,G7/TrAvia_act!G27)</f>
        <v>180.17900890868597</v>
      </c>
      <c r="H15" s="88">
        <f>IF(H7=0,0,H7/TrAvia_act!H27)</f>
        <v>183.25999616270147</v>
      </c>
      <c r="I15" s="88">
        <f>IF(I7=0,0,I7/TrAvia_act!I27)</f>
        <v>185.34518570970951</v>
      </c>
      <c r="J15" s="88">
        <f>IF(J7=0,0,J7/TrAvia_act!J27)</f>
        <v>193.73452842377262</v>
      </c>
      <c r="K15" s="88">
        <f>IF(K7=0,0,K7/TrAvia_act!K27)</f>
        <v>203.8208202869628</v>
      </c>
      <c r="L15" s="88">
        <f>IF(L7=0,0,L7/TrAvia_act!L27)</f>
        <v>207.80285177060483</v>
      </c>
      <c r="M15" s="88">
        <f>IF(M7=0,0,M7/TrAvia_act!M27)</f>
        <v>209.19982225482451</v>
      </c>
      <c r="N15" s="88">
        <f>IF(N7=0,0,N7/TrAvia_act!N27)</f>
        <v>209.07243083565302</v>
      </c>
      <c r="O15" s="88">
        <f>IF(O7=0,0,O7/TrAvia_act!O27)</f>
        <v>201.97438906247868</v>
      </c>
      <c r="P15" s="88">
        <f>IF(P7=0,0,P7/TrAvia_act!P27)</f>
        <v>203.85059441526127</v>
      </c>
      <c r="Q15" s="88">
        <f>IF(Q7=0,0,Q7/TrAvia_act!Q27)</f>
        <v>212.22554663753135</v>
      </c>
      <c r="R15" s="88">
        <f>IF(R7=0,0,R7/TrAvia_act!R27)</f>
        <v>220.1014329829884</v>
      </c>
      <c r="S15" s="88">
        <f>IF(S7=0,0,S7/TrAvia_act!S27)</f>
        <v>222.72494010356286</v>
      </c>
      <c r="T15" s="88">
        <f>IF(T7=0,0,T7/TrAvia_act!T27)</f>
        <v>224.16374740442166</v>
      </c>
      <c r="U15" s="88">
        <f>IF(U7=0,0,U7/TrAvia_act!U27)</f>
        <v>221.76178390137781</v>
      </c>
      <c r="V15" s="88">
        <f>IF(V7=0,0,V7/TrAvia_act!V27)</f>
        <v>210.93162760696623</v>
      </c>
      <c r="W15" s="88">
        <f>IF(W7=0,0,W7/TrAvia_act!W27)</f>
        <v>194.13364687438761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0.70047130574671579</v>
      </c>
      <c r="C18" s="25">
        <f>IF(TrAvia_act!C34=0,0,(TrAvia_act!C34/TrAvia_act!C24)/TrAvia_png!C12)</f>
        <v>0.70822477572572717</v>
      </c>
      <c r="D18" s="25">
        <f>IF(TrAvia_act!D34=0,0,(TrAvia_act!D34/TrAvia_act!D24)/TrAvia_png!D12)</f>
        <v>0.71275156975669629</v>
      </c>
      <c r="E18" s="25">
        <f>IF(TrAvia_act!E34=0,0,(TrAvia_act!E34/TrAvia_act!E24)/TrAvia_png!E12)</f>
        <v>0.72564385340669102</v>
      </c>
      <c r="F18" s="25">
        <f>IF(TrAvia_act!F34=0,0,(TrAvia_act!F34/TrAvia_act!F24)/TrAvia_png!F12)</f>
        <v>0.72831595044692055</v>
      </c>
      <c r="G18" s="25">
        <f>IF(TrAvia_act!G34=0,0,(TrAvia_act!G34/TrAvia_act!G24)/TrAvia_png!G12)</f>
        <v>0.72692538595823764</v>
      </c>
      <c r="H18" s="25">
        <f>IF(TrAvia_act!H34=0,0,(TrAvia_act!H34/TrAvia_act!H24)/TrAvia_png!H12)</f>
        <v>0.7371057976832599</v>
      </c>
      <c r="I18" s="25">
        <f>IF(TrAvia_act!I34=0,0,(TrAvia_act!I34/TrAvia_act!I24)/TrAvia_png!I12)</f>
        <v>0.73969727552354836</v>
      </c>
      <c r="J18" s="25">
        <f>IF(TrAvia_act!J34=0,0,(TrAvia_act!J34/TrAvia_act!J24)/TrAvia_png!J12)</f>
        <v>0.72697555816909853</v>
      </c>
      <c r="K18" s="25">
        <f>IF(TrAvia_act!K34=0,0,(TrAvia_act!K34/TrAvia_act!K24)/TrAvia_png!K12)</f>
        <v>0.7219423269637556</v>
      </c>
      <c r="L18" s="25">
        <f>IF(TrAvia_act!L34=0,0,(TrAvia_act!L34/TrAvia_act!L24)/TrAvia_png!L12)</f>
        <v>0.72993649782698289</v>
      </c>
      <c r="M18" s="25">
        <f>IF(TrAvia_act!M34=0,0,(TrAvia_act!M34/TrAvia_act!M24)/TrAvia_png!M12)</f>
        <v>0.7415061255584261</v>
      </c>
      <c r="N18" s="25">
        <f>IF(TrAvia_act!N34=0,0,(TrAvia_act!N34/TrAvia_act!N24)/TrAvia_png!N12)</f>
        <v>0.76014788542027767</v>
      </c>
      <c r="O18" s="25">
        <f>IF(TrAvia_act!O34=0,0,(TrAvia_act!O34/TrAvia_act!O24)/TrAvia_png!O12)</f>
        <v>0.7730362128675986</v>
      </c>
      <c r="P18" s="25">
        <f>IF(TrAvia_act!P34=0,0,(TrAvia_act!P34/TrAvia_act!P24)/TrAvia_png!P12)</f>
        <v>0.78921040307324353</v>
      </c>
      <c r="Q18" s="25">
        <f>IF(TrAvia_act!Q34=0,0,(TrAvia_act!Q34/TrAvia_act!Q24)/TrAvia_png!Q12)</f>
        <v>0.80588039144158519</v>
      </c>
      <c r="R18" s="25">
        <f>IF(TrAvia_act!R34=0,0,(TrAvia_act!R34/TrAvia_act!R24)/TrAvia_png!R12)</f>
        <v>0.81296880049893738</v>
      </c>
      <c r="S18" s="25">
        <f>IF(TrAvia_act!S34=0,0,(TrAvia_act!S34/TrAvia_act!S24)/TrAvia_png!S12)</f>
        <v>0.82351220490849364</v>
      </c>
      <c r="T18" s="25">
        <f>IF(TrAvia_act!T34=0,0,(TrAvia_act!T34/TrAvia_act!T24)/TrAvia_png!T12)</f>
        <v>0.82935291576709125</v>
      </c>
      <c r="U18" s="25">
        <f>IF(TrAvia_act!U34=0,0,(TrAvia_act!U34/TrAvia_act!U24)/TrAvia_png!U12)</f>
        <v>0.84394399127915831</v>
      </c>
      <c r="V18" s="25">
        <f>IF(TrAvia_act!V34=0,0,(TrAvia_act!V34/TrAvia_act!V24)/TrAvia_png!V12)</f>
        <v>0.64759403296658746</v>
      </c>
      <c r="W18" s="25">
        <f>IF(TrAvia_act!W34=0,0,(TrAvia_act!W34/TrAvia_act!W24)/TrAvia_png!W12)</f>
        <v>0.69367440414927128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0.66865526894009975</v>
      </c>
      <c r="C19" s="89">
        <f>IF(TrAvia_act!C35=0,0,(TrAvia_act!C35/TrAvia_act!C25)/TrAvia_png!C13)</f>
        <v>0.66969010522544059</v>
      </c>
      <c r="D19" s="89">
        <f>IF(TrAvia_act!D35=0,0,(TrAvia_act!D35/TrAvia_act!D25)/TrAvia_png!D13)</f>
        <v>0.67150011719444791</v>
      </c>
      <c r="E19" s="89">
        <f>IF(TrAvia_act!E35=0,0,(TrAvia_act!E35/TrAvia_act!E25)/TrAvia_png!E13)</f>
        <v>0.6708928172659846</v>
      </c>
      <c r="F19" s="89">
        <f>IF(TrAvia_act!F35=0,0,(TrAvia_act!F35/TrAvia_act!F25)/TrAvia_png!F13)</f>
        <v>0.6641476029404596</v>
      </c>
      <c r="G19" s="89">
        <f>IF(TrAvia_act!G35=0,0,(TrAvia_act!G35/TrAvia_act!G25)/TrAvia_png!G13)</f>
        <v>0.6649840714980757</v>
      </c>
      <c r="H19" s="89">
        <f>IF(TrAvia_act!H35=0,0,(TrAvia_act!H35/TrAvia_act!H25)/TrAvia_png!H13)</f>
        <v>0.68364188720670482</v>
      </c>
      <c r="I19" s="89">
        <f>IF(TrAvia_act!I35=0,0,(TrAvia_act!I35/TrAvia_act!I25)/TrAvia_png!I13)</f>
        <v>0.69610626248705121</v>
      </c>
      <c r="J19" s="89">
        <f>IF(TrAvia_act!J35=0,0,(TrAvia_act!J35/TrAvia_act!J25)/TrAvia_png!J13)</f>
        <v>0.6628477943271549</v>
      </c>
      <c r="K19" s="89">
        <f>IF(TrAvia_act!K35=0,0,(TrAvia_act!K35/TrAvia_act!K25)/TrAvia_png!K13)</f>
        <v>0.65564778955757419</v>
      </c>
      <c r="L19" s="89">
        <f>IF(TrAvia_act!L35=0,0,(TrAvia_act!L35/TrAvia_act!L25)/TrAvia_png!L13)</f>
        <v>0.67623811154239755</v>
      </c>
      <c r="M19" s="89">
        <f>IF(TrAvia_act!M35=0,0,(TrAvia_act!M35/TrAvia_act!M25)/TrAvia_png!M13)</f>
        <v>0.68973891736502635</v>
      </c>
      <c r="N19" s="89">
        <f>IF(TrAvia_act!N35=0,0,(TrAvia_act!N35/TrAvia_act!N25)/TrAvia_png!N13)</f>
        <v>0.7106411423351815</v>
      </c>
      <c r="O19" s="89">
        <f>IF(TrAvia_act!O35=0,0,(TrAvia_act!O35/TrAvia_act!O25)/TrAvia_png!O13)</f>
        <v>0.72383358327907876</v>
      </c>
      <c r="P19" s="89">
        <f>IF(TrAvia_act!P35=0,0,(TrAvia_act!P35/TrAvia_act!P25)/TrAvia_png!P13)</f>
        <v>0.74218498422057289</v>
      </c>
      <c r="Q19" s="89">
        <f>IF(TrAvia_act!Q35=0,0,(TrAvia_act!Q35/TrAvia_act!Q25)/TrAvia_png!Q13)</f>
        <v>0.75771169816913753</v>
      </c>
      <c r="R19" s="89">
        <f>IF(TrAvia_act!R35=0,0,(TrAvia_act!R35/TrAvia_act!R25)/TrAvia_png!R13)</f>
        <v>0.77623659373724208</v>
      </c>
      <c r="S19" s="89">
        <f>IF(TrAvia_act!S35=0,0,(TrAvia_act!S35/TrAvia_act!S25)/TrAvia_png!S13)</f>
        <v>0.78318990189040549</v>
      </c>
      <c r="T19" s="89">
        <f>IF(TrAvia_act!T35=0,0,(TrAvia_act!T35/TrAvia_act!T25)/TrAvia_png!T13)</f>
        <v>0.79192007961889788</v>
      </c>
      <c r="U19" s="89">
        <f>IF(TrAvia_act!U35=0,0,(TrAvia_act!U35/TrAvia_act!U25)/TrAvia_png!U13)</f>
        <v>0.80870328846183137</v>
      </c>
      <c r="V19" s="89">
        <f>IF(TrAvia_act!V35=0,0,(TrAvia_act!V35/TrAvia_act!V25)/TrAvia_png!V13)</f>
        <v>0.65296985835264609</v>
      </c>
      <c r="W19" s="89">
        <f>IF(TrAvia_act!W35=0,0,(TrAvia_act!W35/TrAvia_act!W25)/TrAvia_png!W13)</f>
        <v>0.70400098027538727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0.76038025244086982</v>
      </c>
      <c r="C20" s="89">
        <f>IF(TrAvia_act!C36=0,0,(TrAvia_act!C36/TrAvia_act!C26)/TrAvia_png!C14)</f>
        <v>0.76484886370465976</v>
      </c>
      <c r="D20" s="89">
        <f>IF(TrAvia_act!D36=0,0,(TrAvia_act!D36/TrAvia_act!D26)/TrAvia_png!D14)</f>
        <v>0.76973660587883108</v>
      </c>
      <c r="E20" s="89">
        <f>IF(TrAvia_act!E36=0,0,(TrAvia_act!E36/TrAvia_act!E26)/TrAvia_png!E14)</f>
        <v>0.7788102177944507</v>
      </c>
      <c r="F20" s="89">
        <f>IF(TrAvia_act!F36=0,0,(TrAvia_act!F36/TrAvia_act!F26)/TrAvia_png!F14)</f>
        <v>0.78879473878471906</v>
      </c>
      <c r="G20" s="89">
        <f>IF(TrAvia_act!G36=0,0,(TrAvia_act!G36/TrAvia_act!G26)/TrAvia_png!G14)</f>
        <v>0.78765605314206044</v>
      </c>
      <c r="H20" s="89">
        <f>IF(TrAvia_act!H36=0,0,(TrAvia_act!H36/TrAvia_act!H26)/TrAvia_png!H14)</f>
        <v>0.79133902214184126</v>
      </c>
      <c r="I20" s="89">
        <f>IF(TrAvia_act!I36=0,0,(TrAvia_act!I36/TrAvia_act!I26)/TrAvia_png!I14)</f>
        <v>0.78137397418574694</v>
      </c>
      <c r="J20" s="89">
        <f>IF(TrAvia_act!J36=0,0,(TrAvia_act!J36/TrAvia_act!J26)/TrAvia_png!J14)</f>
        <v>0.78397466453035614</v>
      </c>
      <c r="K20" s="89">
        <f>IF(TrAvia_act!K36=0,0,(TrAvia_act!K36/TrAvia_act!K26)/TrAvia_png!K14)</f>
        <v>0.78386420217379704</v>
      </c>
      <c r="L20" s="89">
        <f>IF(TrAvia_act!L36=0,0,(TrAvia_act!L36/TrAvia_act!L26)/TrAvia_png!L14)</f>
        <v>0.77894166274091547</v>
      </c>
      <c r="M20" s="89">
        <f>IF(TrAvia_act!M36=0,0,(TrAvia_act!M36/TrAvia_act!M26)/TrAvia_png!M14)</f>
        <v>0.78864719329227206</v>
      </c>
      <c r="N20" s="89">
        <f>IF(TrAvia_act!N36=0,0,(TrAvia_act!N36/TrAvia_act!N26)/TrAvia_png!N14)</f>
        <v>0.80012931363915396</v>
      </c>
      <c r="O20" s="89">
        <f>IF(TrAvia_act!O36=0,0,(TrAvia_act!O36/TrAvia_act!O26)/TrAvia_png!O14)</f>
        <v>0.80673042098416103</v>
      </c>
      <c r="P20" s="89">
        <f>IF(TrAvia_act!P36=0,0,(TrAvia_act!P36/TrAvia_act!P26)/TrAvia_png!P14)</f>
        <v>0.82347255940663744</v>
      </c>
      <c r="Q20" s="89">
        <f>IF(TrAvia_act!Q36=0,0,(TrAvia_act!Q36/TrAvia_act!Q26)/TrAvia_png!Q14)</f>
        <v>0.84587338450299454</v>
      </c>
      <c r="R20" s="89">
        <f>IF(TrAvia_act!R36=0,0,(TrAvia_act!R36/TrAvia_act!R26)/TrAvia_png!R14)</f>
        <v>0.8468255283533116</v>
      </c>
      <c r="S20" s="89">
        <f>IF(TrAvia_act!S36=0,0,(TrAvia_act!S36/TrAvia_act!S26)/TrAvia_png!S14)</f>
        <v>0.85799907401570707</v>
      </c>
      <c r="T20" s="89">
        <f>IF(TrAvia_act!T36=0,0,(TrAvia_act!T36/TrAvia_act!T26)/TrAvia_png!T14)</f>
        <v>0.8616970120071098</v>
      </c>
      <c r="U20" s="89">
        <f>IF(TrAvia_act!U36=0,0,(TrAvia_act!U36/TrAvia_act!U26)/TrAvia_png!U14)</f>
        <v>0.87428701558881483</v>
      </c>
      <c r="V20" s="89">
        <f>IF(TrAvia_act!V36=0,0,(TrAvia_act!V36/TrAvia_act!V26)/TrAvia_png!V14)</f>
        <v>0.63882225008070903</v>
      </c>
      <c r="W20" s="89">
        <f>IF(TrAvia_act!W36=0,0,(TrAvia_act!W36/TrAvia_act!W26)/TrAvia_png!W14)</f>
        <v>0.68444634542660154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0.5672053228427717</v>
      </c>
      <c r="C21" s="90">
        <f>IF(TrAvia_act!C37=0,0,(TrAvia_act!C37/TrAvia_act!C27)/TrAvia_png!C15)</f>
        <v>0.57801100583775034</v>
      </c>
      <c r="D21" s="90">
        <f>IF(TrAvia_act!D37=0,0,(TrAvia_act!D37/TrAvia_act!D27)/TrAvia_png!D15)</f>
        <v>0.58834978619764455</v>
      </c>
      <c r="E21" s="90">
        <f>IF(TrAvia_act!E37=0,0,(TrAvia_act!E37/TrAvia_act!E27)/TrAvia_png!E15)</f>
        <v>0.70442490724736673</v>
      </c>
      <c r="F21" s="90">
        <f>IF(TrAvia_act!F37=0,0,(TrAvia_act!F37/TrAvia_act!F27)/TrAvia_png!F15)</f>
        <v>0.74509323750947332</v>
      </c>
      <c r="G21" s="90">
        <f>IF(TrAvia_act!G37=0,0,(TrAvia_act!G37/TrAvia_act!G27)/TrAvia_png!G15)</f>
        <v>0.74406639029794364</v>
      </c>
      <c r="H21" s="90">
        <f>IF(TrAvia_act!H37=0,0,(TrAvia_act!H37/TrAvia_act!H27)/TrAvia_png!H15)</f>
        <v>0.74338489480878978</v>
      </c>
      <c r="I21" s="90">
        <f>IF(TrAvia_act!I37=0,0,(TrAvia_act!I37/TrAvia_act!I27)/TrAvia_png!I15)</f>
        <v>0.74523874779537747</v>
      </c>
      <c r="J21" s="90">
        <f>IF(TrAvia_act!J37=0,0,(TrAvia_act!J37/TrAvia_act!J27)/TrAvia_png!J15)</f>
        <v>0.74194355104792065</v>
      </c>
      <c r="K21" s="90">
        <f>IF(TrAvia_act!K37=0,0,(TrAvia_act!K37/TrAvia_act!K27)/TrAvia_png!K15)</f>
        <v>0.72796113946405794</v>
      </c>
      <c r="L21" s="90">
        <f>IF(TrAvia_act!L37=0,0,(TrAvia_act!L37/TrAvia_act!L27)/TrAvia_png!L15)</f>
        <v>0.73050980781298236</v>
      </c>
      <c r="M21" s="90">
        <f>IF(TrAvia_act!M37=0,0,(TrAvia_act!M37/TrAvia_act!M27)/TrAvia_png!M15)</f>
        <v>0.71911839148814116</v>
      </c>
      <c r="N21" s="90">
        <f>IF(TrAvia_act!N37=0,0,(TrAvia_act!N37/TrAvia_act!N27)/TrAvia_png!N15)</f>
        <v>0.73838383371799376</v>
      </c>
      <c r="O21" s="90">
        <f>IF(TrAvia_act!O37=0,0,(TrAvia_act!O37/TrAvia_act!O27)/TrAvia_png!O15)</f>
        <v>0.75306848484590549</v>
      </c>
      <c r="P21" s="90">
        <f>IF(TrAvia_act!P37=0,0,(TrAvia_act!P37/TrAvia_act!P27)/TrAvia_png!P15)</f>
        <v>0.75332518408370974</v>
      </c>
      <c r="Q21" s="90">
        <f>IF(TrAvia_act!Q37=0,0,(TrAvia_act!Q37/TrAvia_act!Q27)/TrAvia_png!Q15)</f>
        <v>0.74591845261109591</v>
      </c>
      <c r="R21" s="90">
        <f>IF(TrAvia_act!R37=0,0,(TrAvia_act!R37/TrAvia_act!R27)/TrAvia_png!R15)</f>
        <v>0.74242727729048086</v>
      </c>
      <c r="S21" s="90">
        <f>IF(TrAvia_act!S37=0,0,(TrAvia_act!S37/TrAvia_act!S27)/TrAvia_png!S15)</f>
        <v>0.75954720563751332</v>
      </c>
      <c r="T21" s="90">
        <f>IF(TrAvia_act!T37=0,0,(TrAvia_act!T37/TrAvia_act!T27)/TrAvia_png!T15)</f>
        <v>0.77660733927097692</v>
      </c>
      <c r="U21" s="90">
        <f>IF(TrAvia_act!U37=0,0,(TrAvia_act!U37/TrAvia_act!U27)/TrAvia_png!U15)</f>
        <v>0.79945869737901876</v>
      </c>
      <c r="V21" s="90">
        <f>IF(TrAvia_act!V37=0,0,(TrAvia_act!V37/TrAvia_act!V27)/TrAvia_png!V15)</f>
        <v>0.66859923571138069</v>
      </c>
      <c r="W21" s="90">
        <f>IF(TrAvia_act!W37=0,0,(TrAvia_act!W37/TrAvia_act!W27)/TrAvia_png!W15)</f>
        <v>0.69304137715425496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3.3209631895458176E-2</v>
      </c>
      <c r="C24" s="23">
        <f>IF(TrAvia_ene!C6=0,0,TrAvia_ene!C6/(C12*TrAvia_act!C14))</f>
        <v>3.5376256156465551E-2</v>
      </c>
      <c r="D24" s="23">
        <f>IF(TrAvia_ene!D6=0,0,TrAvia_ene!D6/(D12*TrAvia_act!D14))</f>
        <v>3.2823238782434108E-2</v>
      </c>
      <c r="E24" s="23">
        <f>IF(TrAvia_ene!E6=0,0,TrAvia_ene!E6/(E12*TrAvia_act!E14))</f>
        <v>3.4130249761175034E-2</v>
      </c>
      <c r="F24" s="23">
        <f>IF(TrAvia_ene!F6=0,0,TrAvia_ene!F6/(F12*TrAvia_act!F14))</f>
        <v>3.4399957592372743E-2</v>
      </c>
      <c r="G24" s="23">
        <f>IF(TrAvia_ene!G6=0,0,TrAvia_ene!G6/(G12*TrAvia_act!G14))</f>
        <v>3.3927769138635461E-2</v>
      </c>
      <c r="H24" s="23">
        <f>IF(TrAvia_ene!H6=0,0,TrAvia_ene!H6/(H12*TrAvia_act!H14))</f>
        <v>3.4139627147105257E-2</v>
      </c>
      <c r="I24" s="23">
        <f>IF(TrAvia_ene!I6=0,0,TrAvia_ene!I6/(I12*TrAvia_act!I14))</f>
        <v>3.2655292089068866E-2</v>
      </c>
      <c r="J24" s="23">
        <f>IF(TrAvia_ene!J6=0,0,TrAvia_ene!J6/(J12*TrAvia_act!J14))</f>
        <v>3.1528049669631422E-2</v>
      </c>
      <c r="K24" s="23">
        <f>IF(TrAvia_ene!K6=0,0,TrAvia_ene!K6/(K12*TrAvia_act!K14))</f>
        <v>3.1034768888364459E-2</v>
      </c>
      <c r="L24" s="23">
        <f>IF(TrAvia_ene!L6=0,0,TrAvia_ene!L6/(L12*TrAvia_act!L14))</f>
        <v>3.031583361588543E-2</v>
      </c>
      <c r="M24" s="23">
        <f>IF(TrAvia_ene!M6=0,0,TrAvia_ene!M6/(M12*TrAvia_act!M14))</f>
        <v>2.9999964124958371E-2</v>
      </c>
      <c r="N24" s="23">
        <f>IF(TrAvia_ene!N6=0,0,TrAvia_ene!N6/(N12*TrAvia_act!N14))</f>
        <v>2.9380381638353176E-2</v>
      </c>
      <c r="O24" s="23">
        <f>IF(TrAvia_ene!O6=0,0,TrAvia_ene!O6/(O12*TrAvia_act!O14))</f>
        <v>2.7623277341321775E-2</v>
      </c>
      <c r="P24" s="23">
        <f>IF(TrAvia_ene!P6=0,0,TrAvia_ene!P6/(P12*TrAvia_act!P14))</f>
        <v>2.7816480324031286E-2</v>
      </c>
      <c r="Q24" s="23">
        <f>IF(TrAvia_ene!Q6=0,0,TrAvia_ene!Q6/(Q12*TrAvia_act!Q14))</f>
        <v>2.8839500999687649E-2</v>
      </c>
      <c r="R24" s="23">
        <f>IF(TrAvia_ene!R6=0,0,TrAvia_ene!R6/(R12*TrAvia_act!R14))</f>
        <v>2.7544031526267592E-2</v>
      </c>
      <c r="S24" s="23">
        <f>IF(TrAvia_ene!S6=0,0,TrAvia_ene!S6/(S12*TrAvia_act!S14))</f>
        <v>2.7773489983132053E-2</v>
      </c>
      <c r="T24" s="23">
        <f>IF(TrAvia_ene!T6=0,0,TrAvia_ene!T6/(T12*TrAvia_act!T14))</f>
        <v>2.8037829364583305E-2</v>
      </c>
      <c r="U24" s="23">
        <f>IF(TrAvia_ene!U6=0,0,TrAvia_ene!U6/(U12*TrAvia_act!U14))</f>
        <v>2.8558111132804667E-2</v>
      </c>
      <c r="V24" s="23">
        <f>IF(TrAvia_ene!V6=0,0,TrAvia_ene!V6/(V12*TrAvia_act!V14))</f>
        <v>2.9835217702526791E-2</v>
      </c>
      <c r="W24" s="23">
        <f>IF(TrAvia_ene!W6=0,0,TrAvia_ene!W6/(W12*TrAvia_act!W14))</f>
        <v>2.8281875436871214E-2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6.0301290654435936E-2</v>
      </c>
      <c r="C25" s="91">
        <f>IF(TrAvia_ene!C7=0,0,TrAvia_ene!C7/(C13*TrAvia_act!C15))</f>
        <v>6.5049029982277254E-2</v>
      </c>
      <c r="D25" s="91">
        <f>IF(TrAvia_ene!D7=0,0,TrAvia_ene!D7/(D13*TrAvia_act!D15))</f>
        <v>6.14713064350947E-2</v>
      </c>
      <c r="E25" s="91">
        <f>IF(TrAvia_ene!E7=0,0,TrAvia_ene!E7/(E13*TrAvia_act!E15))</f>
        <v>5.9897025306216468E-2</v>
      </c>
      <c r="F25" s="91">
        <f>IF(TrAvia_ene!F7=0,0,TrAvia_ene!F7/(F13*TrAvia_act!F15))</f>
        <v>5.8721726350548883E-2</v>
      </c>
      <c r="G25" s="91">
        <f>IF(TrAvia_ene!G7=0,0,TrAvia_ene!G7/(G13*TrAvia_act!G15))</f>
        <v>6.1218456146015163E-2</v>
      </c>
      <c r="H25" s="91">
        <f>IF(TrAvia_ene!H7=0,0,TrAvia_ene!H7/(H13*TrAvia_act!H15))</f>
        <v>6.2403760573547316E-2</v>
      </c>
      <c r="I25" s="91">
        <f>IF(TrAvia_ene!I7=0,0,TrAvia_ene!I7/(I13*TrAvia_act!I15))</f>
        <v>6.1905320256298677E-2</v>
      </c>
      <c r="J25" s="91">
        <f>IF(TrAvia_ene!J7=0,0,TrAvia_ene!J7/(J13*TrAvia_act!J15))</f>
        <v>6.2187028475446424E-2</v>
      </c>
      <c r="K25" s="91">
        <f>IF(TrAvia_ene!K7=0,0,TrAvia_ene!K7/(K13*TrAvia_act!K15))</f>
        <v>6.0011462721433852E-2</v>
      </c>
      <c r="L25" s="91">
        <f>IF(TrAvia_ene!L7=0,0,TrAvia_ene!L7/(L13*TrAvia_act!L15))</f>
        <v>6.7219937321794473E-2</v>
      </c>
      <c r="M25" s="91">
        <f>IF(TrAvia_ene!M7=0,0,TrAvia_ene!M7/(M13*TrAvia_act!M15))</f>
        <v>6.2365377525873823E-2</v>
      </c>
      <c r="N25" s="91">
        <f>IF(TrAvia_ene!N7=0,0,TrAvia_ene!N7/(N13*TrAvia_act!N15))</f>
        <v>6.4513625980646472E-2</v>
      </c>
      <c r="O25" s="91">
        <f>IF(TrAvia_ene!O7=0,0,TrAvia_ene!O7/(O13*TrAvia_act!O15))</f>
        <v>6.3329830240436619E-2</v>
      </c>
      <c r="P25" s="91">
        <f>IF(TrAvia_ene!P7=0,0,TrAvia_ene!P7/(P13*TrAvia_act!P15))</f>
        <v>6.799605585941014E-2</v>
      </c>
      <c r="Q25" s="91">
        <f>IF(TrAvia_ene!Q7=0,0,TrAvia_ene!Q7/(Q13*TrAvia_act!Q15))</f>
        <v>7.0636189235284613E-2</v>
      </c>
      <c r="R25" s="91">
        <f>IF(TrAvia_ene!R7=0,0,TrAvia_ene!R7/(R13*TrAvia_act!R15))</f>
        <v>7.132447293025021E-2</v>
      </c>
      <c r="S25" s="91">
        <f>IF(TrAvia_ene!S7=0,0,TrAvia_ene!S7/(S13*TrAvia_act!S15))</f>
        <v>7.2633775805480541E-2</v>
      </c>
      <c r="T25" s="91">
        <f>IF(TrAvia_ene!T7=0,0,TrAvia_ene!T7/(T13*TrAvia_act!T15))</f>
        <v>7.0364155631729861E-2</v>
      </c>
      <c r="U25" s="91">
        <f>IF(TrAvia_ene!U7=0,0,TrAvia_ene!U7/(U13*TrAvia_act!U15))</f>
        <v>7.0869143559381342E-2</v>
      </c>
      <c r="V25" s="91">
        <f>IF(TrAvia_ene!V7=0,0,TrAvia_ene!V7/(V13*TrAvia_act!V15))</f>
        <v>5.8847273552086125E-2</v>
      </c>
      <c r="W25" s="91">
        <f>IF(TrAvia_ene!W7=0,0,TrAvia_ene!W7/(W13*TrAvia_act!W15))</f>
        <v>6.7449470728890654E-2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1.9323662817889206E-2</v>
      </c>
      <c r="C26" s="93">
        <f>IF(TrAvia_ene!C8=0,0,TrAvia_ene!C8/(C14*TrAvia_act!C16))</f>
        <v>2.1221124902169451E-2</v>
      </c>
      <c r="D26" s="93">
        <f>IF(TrAvia_ene!D8=0,0,TrAvia_ene!D8/(D14*TrAvia_act!D16))</f>
        <v>1.9578186916049855E-2</v>
      </c>
      <c r="E26" s="93">
        <f>IF(TrAvia_ene!E8=0,0,TrAvia_ene!E8/(E14*TrAvia_act!E16))</f>
        <v>2.1880814273427762E-2</v>
      </c>
      <c r="F26" s="93">
        <f>IF(TrAvia_ene!F8=0,0,TrAvia_ene!F8/(F14*TrAvia_act!F16))</f>
        <v>2.2224574832794875E-2</v>
      </c>
      <c r="G26" s="93">
        <f>IF(TrAvia_ene!G8=0,0,TrAvia_ene!G8/(G14*TrAvia_act!G16))</f>
        <v>2.1229686860875487E-2</v>
      </c>
      <c r="H26" s="93">
        <f>IF(TrAvia_ene!H8=0,0,TrAvia_ene!H8/(H14*TrAvia_act!H16))</f>
        <v>2.183917030328858E-2</v>
      </c>
      <c r="I26" s="93">
        <f>IF(TrAvia_ene!I8=0,0,TrAvia_ene!I8/(I14*TrAvia_act!I16))</f>
        <v>2.1072635681053848E-2</v>
      </c>
      <c r="J26" s="93">
        <f>IF(TrAvia_ene!J8=0,0,TrAvia_ene!J8/(J14*TrAvia_act!J16))</f>
        <v>2.0629171078788727E-2</v>
      </c>
      <c r="K26" s="93">
        <f>IF(TrAvia_ene!K8=0,0,TrAvia_ene!K8/(K14*TrAvia_act!K16))</f>
        <v>2.058334739910328E-2</v>
      </c>
      <c r="L26" s="93">
        <f>IF(TrAvia_ene!L8=0,0,TrAvia_ene!L8/(L14*TrAvia_act!L16))</f>
        <v>1.8702090592712321E-2</v>
      </c>
      <c r="M26" s="93">
        <f>IF(TrAvia_ene!M8=0,0,TrAvia_ene!M8/(M14*TrAvia_act!M16))</f>
        <v>2.0613612416032462E-2</v>
      </c>
      <c r="N26" s="93">
        <f>IF(TrAvia_ene!N8=0,0,TrAvia_ene!N8/(N14*TrAvia_act!N16))</f>
        <v>2.0648720185496745E-2</v>
      </c>
      <c r="O26" s="93">
        <f>IF(TrAvia_ene!O8=0,0,TrAvia_ene!O8/(O14*TrAvia_act!O16))</f>
        <v>2.0134665253844813E-2</v>
      </c>
      <c r="P26" s="93">
        <f>IF(TrAvia_ene!P8=0,0,TrAvia_ene!P8/(P14*TrAvia_act!P16))</f>
        <v>1.9573622957479105E-2</v>
      </c>
      <c r="Q26" s="93">
        <f>IF(TrAvia_ene!Q8=0,0,TrAvia_ene!Q8/(Q14*TrAvia_act!Q16))</f>
        <v>2.0139382603705017E-2</v>
      </c>
      <c r="R26" s="93">
        <f>IF(TrAvia_ene!R8=0,0,TrAvia_ene!R8/(R14*TrAvia_act!R16))</f>
        <v>1.9280657246961447E-2</v>
      </c>
      <c r="S26" s="93">
        <f>IF(TrAvia_ene!S8=0,0,TrAvia_ene!S8/(S14*TrAvia_act!S16))</f>
        <v>1.9836227637504738E-2</v>
      </c>
      <c r="T26" s="93">
        <f>IF(TrAvia_ene!T8=0,0,TrAvia_ene!T8/(T14*TrAvia_act!T16))</f>
        <v>2.0100951787209876E-2</v>
      </c>
      <c r="U26" s="93">
        <f>IF(TrAvia_ene!U8=0,0,TrAvia_ene!U8/(U14*TrAvia_act!U16))</f>
        <v>2.0650784777189755E-2</v>
      </c>
      <c r="V26" s="93">
        <f>IF(TrAvia_ene!V8=0,0,TrAvia_ene!V8/(V14*TrAvia_act!V16))</f>
        <v>1.6759001570013116E-2</v>
      </c>
      <c r="W26" s="93">
        <f>IF(TrAvia_ene!W8=0,0,TrAvia_ene!W8/(W14*TrAvia_act!W16))</f>
        <v>1.4461658636033214E-2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2.6826698260474489E-2</v>
      </c>
      <c r="C27" s="94">
        <f>IF(TrAvia_ene!C9=0,0,TrAvia_ene!C9/(C15*TrAvia_act!C17))</f>
        <v>2.9694192350169225E-2</v>
      </c>
      <c r="D27" s="94">
        <f>IF(TrAvia_ene!D9=0,0,TrAvia_ene!D9/(D15*TrAvia_act!D17))</f>
        <v>3.2908605489071548E-2</v>
      </c>
      <c r="E27" s="94">
        <f>IF(TrAvia_ene!E9=0,0,TrAvia_ene!E9/(E15*TrAvia_act!E17))</f>
        <v>3.3031170893109273E-2</v>
      </c>
      <c r="F27" s="94">
        <f>IF(TrAvia_ene!F9=0,0,TrAvia_ene!F9/(F15*TrAvia_act!F17))</f>
        <v>3.3920672471722813E-2</v>
      </c>
      <c r="G27" s="94">
        <f>IF(TrAvia_ene!G9=0,0,TrAvia_ene!G9/(G15*TrAvia_act!G17))</f>
        <v>2.9212237411422554E-2</v>
      </c>
      <c r="H27" s="94">
        <f>IF(TrAvia_ene!H9=0,0,TrAvia_ene!H9/(H15*TrAvia_act!H17))</f>
        <v>2.6090338193673217E-2</v>
      </c>
      <c r="I27" s="94">
        <f>IF(TrAvia_ene!I9=0,0,TrAvia_ene!I9/(I15*TrAvia_act!I17))</f>
        <v>2.3588157029489704E-2</v>
      </c>
      <c r="J27" s="94">
        <f>IF(TrAvia_ene!J9=0,0,TrAvia_ene!J9/(J15*TrAvia_act!J17))</f>
        <v>2.1290712209959387E-2</v>
      </c>
      <c r="K27" s="94">
        <f>IF(TrAvia_ene!K9=0,0,TrAvia_ene!K9/(K15*TrAvia_act!K17))</f>
        <v>2.1419308227477094E-2</v>
      </c>
      <c r="L27" s="94">
        <f>IF(TrAvia_ene!L9=0,0,TrAvia_ene!L9/(L15*TrAvia_act!L17))</f>
        <v>1.9255250644931214E-2</v>
      </c>
      <c r="M27" s="94">
        <f>IF(TrAvia_ene!M9=0,0,TrAvia_ene!M9/(M15*TrAvia_act!M17))</f>
        <v>2.0335437784742557E-2</v>
      </c>
      <c r="N27" s="94">
        <f>IF(TrAvia_ene!N9=0,0,TrAvia_ene!N9/(N15*TrAvia_act!N17))</f>
        <v>2.0823269133802679E-2</v>
      </c>
      <c r="O27" s="94">
        <f>IF(TrAvia_ene!O9=0,0,TrAvia_ene!O9/(O15*TrAvia_act!O17))</f>
        <v>2.0733922790404466E-2</v>
      </c>
      <c r="P27" s="94">
        <f>IF(TrAvia_ene!P9=0,0,TrAvia_ene!P9/(P15*TrAvia_act!P17))</f>
        <v>2.0933410794408847E-2</v>
      </c>
      <c r="Q27" s="94">
        <f>IF(TrAvia_ene!Q9=0,0,TrAvia_ene!Q9/(Q15*TrAvia_act!Q17))</f>
        <v>2.1363069502922005E-2</v>
      </c>
      <c r="R27" s="94">
        <f>IF(TrAvia_ene!R9=0,0,TrAvia_ene!R9/(R15*TrAvia_act!R17))</f>
        <v>1.9639195861463E-2</v>
      </c>
      <c r="S27" s="94">
        <f>IF(TrAvia_ene!S9=0,0,TrAvia_ene!S9/(S15*TrAvia_act!S17))</f>
        <v>1.8902670235321824E-2</v>
      </c>
      <c r="T27" s="94">
        <f>IF(TrAvia_ene!T9=0,0,TrAvia_ene!T9/(T15*TrAvia_act!T17))</f>
        <v>1.8631956647481761E-2</v>
      </c>
      <c r="U27" s="94">
        <f>IF(TrAvia_ene!U9=0,0,TrAvia_ene!U9/(U15*TrAvia_act!U17))</f>
        <v>1.8145833293809539E-2</v>
      </c>
      <c r="V27" s="94">
        <f>IF(TrAvia_ene!V9=0,0,TrAvia_ene!V9/(V15*TrAvia_act!V17))</f>
        <v>2.7498435256493928E-2</v>
      </c>
      <c r="W27" s="94">
        <f>IF(TrAvia_ene!W9=0,0,TrAvia_ene!W9/(W15*TrAvia_act!W17))</f>
        <v>2.2491277000135063E-2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11846.754999999999</v>
      </c>
      <c r="C3" s="54">
        <f t="shared" si="0"/>
        <v>11865.871999999999</v>
      </c>
      <c r="D3" s="54">
        <f t="shared" si="0"/>
        <v>10045.645</v>
      </c>
      <c r="E3" s="54">
        <f t="shared" si="0"/>
        <v>9290.6229999999996</v>
      </c>
      <c r="F3" s="54">
        <f t="shared" si="0"/>
        <v>9359.277</v>
      </c>
      <c r="G3" s="54">
        <f t="shared" si="0"/>
        <v>10268.962</v>
      </c>
      <c r="H3" s="54">
        <f t="shared" si="0"/>
        <v>10898.717000000001</v>
      </c>
      <c r="I3" s="54">
        <f t="shared" si="0"/>
        <v>10034.232</v>
      </c>
      <c r="J3" s="54">
        <f t="shared" si="0"/>
        <v>9297.4259999999995</v>
      </c>
      <c r="K3" s="54">
        <f t="shared" si="0"/>
        <v>7885.1869999999999</v>
      </c>
      <c r="L3" s="54">
        <f t="shared" si="0"/>
        <v>8396.4419999999991</v>
      </c>
      <c r="M3" s="54">
        <f t="shared" si="0"/>
        <v>8628.1190000000006</v>
      </c>
      <c r="N3" s="54">
        <f t="shared" si="0"/>
        <v>7219.38</v>
      </c>
      <c r="O3" s="54">
        <f t="shared" si="0"/>
        <v>7262.7910000000002</v>
      </c>
      <c r="P3" s="54">
        <f t="shared" si="0"/>
        <v>7688.56</v>
      </c>
      <c r="Q3" s="54">
        <f t="shared" si="0"/>
        <v>9037.0550000000003</v>
      </c>
      <c r="R3" s="54">
        <f t="shared" ref="R3:V3" si="1">SUM(R4:R5)</f>
        <v>9491.1260000000002</v>
      </c>
      <c r="S3" s="54">
        <f t="shared" si="1"/>
        <v>8519.8760000000002</v>
      </c>
      <c r="T3" s="54">
        <f t="shared" si="1"/>
        <v>9701.0439999999999</v>
      </c>
      <c r="U3" s="54">
        <f t="shared" si="1"/>
        <v>10042.199000000001</v>
      </c>
      <c r="V3" s="54">
        <f t="shared" si="1"/>
        <v>8330.7819999999992</v>
      </c>
      <c r="W3" s="54">
        <f t="shared" ref="W3" si="2">SUM(W4:W5)</f>
        <v>8413.8970000000008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11846.754999999999</v>
      </c>
      <c r="C4" s="56">
        <v>11865.871999999999</v>
      </c>
      <c r="D4" s="56">
        <v>10045.645</v>
      </c>
      <c r="E4" s="56">
        <v>9290.6229999999996</v>
      </c>
      <c r="F4" s="56">
        <v>9359.277</v>
      </c>
      <c r="G4" s="56">
        <v>10268.962</v>
      </c>
      <c r="H4" s="56">
        <v>10898.717000000001</v>
      </c>
      <c r="I4" s="56">
        <v>10034.232</v>
      </c>
      <c r="J4" s="56">
        <v>9297.4259999999995</v>
      </c>
      <c r="K4" s="56">
        <v>7885.1869999999999</v>
      </c>
      <c r="L4" s="56">
        <v>8396.4419999999991</v>
      </c>
      <c r="M4" s="56">
        <v>8628.1190000000006</v>
      </c>
      <c r="N4" s="56">
        <v>7219.38</v>
      </c>
      <c r="O4" s="56">
        <v>7262.7910000000002</v>
      </c>
      <c r="P4" s="56">
        <v>7688.56</v>
      </c>
      <c r="Q4" s="56">
        <v>9037.0550000000003</v>
      </c>
      <c r="R4" s="56">
        <v>9491.1260000000002</v>
      </c>
      <c r="S4" s="56">
        <v>8519.8760000000002</v>
      </c>
      <c r="T4" s="56">
        <v>9701.0439999999999</v>
      </c>
      <c r="U4" s="56">
        <v>10042.199000000001</v>
      </c>
      <c r="V4" s="56">
        <v>8330.7819999999992</v>
      </c>
      <c r="W4" s="56">
        <v>8413.8970000000008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10.647</v>
      </c>
      <c r="C7" s="59">
        <f t="shared" si="3"/>
        <v>10.013</v>
      </c>
      <c r="D7" s="59">
        <f t="shared" si="3"/>
        <v>9.1359999999999992</v>
      </c>
      <c r="E7" s="59">
        <f t="shared" si="3"/>
        <v>9.4730000000000008</v>
      </c>
      <c r="F7" s="59">
        <f t="shared" si="3"/>
        <v>9.5289999999999999</v>
      </c>
      <c r="G7" s="59">
        <f t="shared" si="3"/>
        <v>10.186</v>
      </c>
      <c r="H7" s="59">
        <f t="shared" si="3"/>
        <v>12.132</v>
      </c>
      <c r="I7" s="59">
        <f t="shared" si="3"/>
        <v>10.613</v>
      </c>
      <c r="J7" s="59">
        <f t="shared" si="3"/>
        <v>9.1289999999999996</v>
      </c>
      <c r="K7" s="59">
        <f t="shared" si="3"/>
        <v>7.9009999999999998</v>
      </c>
      <c r="L7" s="59">
        <f t="shared" si="3"/>
        <v>7.633</v>
      </c>
      <c r="M7" s="59">
        <f t="shared" si="3"/>
        <v>7.2869999999999999</v>
      </c>
      <c r="N7" s="59">
        <f t="shared" si="3"/>
        <v>7.7240000000000002</v>
      </c>
      <c r="O7" s="59">
        <f t="shared" si="3"/>
        <v>6.915</v>
      </c>
      <c r="P7" s="59">
        <f t="shared" si="3"/>
        <v>6.3890000000000002</v>
      </c>
      <c r="Q7" s="59">
        <f t="shared" si="3"/>
        <v>9.9540000000000006</v>
      </c>
      <c r="R7" s="59">
        <f t="shared" ref="R7:V7" si="4">SUM(R8:R9)</f>
        <v>8.7769999999999992</v>
      </c>
      <c r="S7" s="59">
        <f t="shared" si="4"/>
        <v>5.7329999999999997</v>
      </c>
      <c r="T7" s="59">
        <f t="shared" si="4"/>
        <v>6.915</v>
      </c>
      <c r="U7" s="59">
        <f t="shared" si="4"/>
        <v>7.109</v>
      </c>
      <c r="V7" s="59">
        <f t="shared" si="4"/>
        <v>6.1470000000000002</v>
      </c>
      <c r="W7" s="59">
        <f t="shared" ref="W7" si="5">SUM(W8:W9)</f>
        <v>5.8029999999999999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10.647</v>
      </c>
      <c r="C8" s="60">
        <v>10.013</v>
      </c>
      <c r="D8" s="60">
        <v>9.1359999999999992</v>
      </c>
      <c r="E8" s="60">
        <v>9.4730000000000008</v>
      </c>
      <c r="F8" s="60">
        <v>9.5289999999999999</v>
      </c>
      <c r="G8" s="60">
        <v>10.186</v>
      </c>
      <c r="H8" s="60">
        <v>12.132</v>
      </c>
      <c r="I8" s="60">
        <v>10.613</v>
      </c>
      <c r="J8" s="60">
        <v>9.1289999999999996</v>
      </c>
      <c r="K8" s="60">
        <v>7.9009999999999998</v>
      </c>
      <c r="L8" s="60">
        <v>7.633</v>
      </c>
      <c r="M8" s="60">
        <v>7.2869999999999999</v>
      </c>
      <c r="N8" s="60">
        <v>7.7240000000000002</v>
      </c>
      <c r="O8" s="60">
        <v>6.915</v>
      </c>
      <c r="P8" s="60">
        <v>6.3890000000000002</v>
      </c>
      <c r="Q8" s="60">
        <v>9.9540000000000006</v>
      </c>
      <c r="R8" s="60">
        <v>8.7769999999999992</v>
      </c>
      <c r="S8" s="60">
        <v>5.7329999999999997</v>
      </c>
      <c r="T8" s="60">
        <v>6.915</v>
      </c>
      <c r="U8" s="60">
        <v>7.109</v>
      </c>
      <c r="V8" s="60">
        <v>6.1470000000000002</v>
      </c>
      <c r="W8" s="60">
        <v>5.8029999999999999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1112.68479383864</v>
      </c>
      <c r="C13" s="62">
        <f t="shared" si="6"/>
        <v>1185.0466393688205</v>
      </c>
      <c r="D13" s="62">
        <f t="shared" si="6"/>
        <v>1099.5670971978986</v>
      </c>
      <c r="E13" s="62">
        <f t="shared" si="6"/>
        <v>980.74770400084435</v>
      </c>
      <c r="F13" s="62">
        <f t="shared" ref="F13:V13" si="7">IF(F3=0,0,F3/F7)</f>
        <v>982.18879210830096</v>
      </c>
      <c r="G13" s="62">
        <f t="shared" si="7"/>
        <v>1008.1447084233261</v>
      </c>
      <c r="H13" s="62">
        <f t="shared" si="7"/>
        <v>898.34462578305317</v>
      </c>
      <c r="I13" s="62">
        <f t="shared" si="7"/>
        <v>945.46612644869504</v>
      </c>
      <c r="J13" s="62">
        <f t="shared" si="7"/>
        <v>1018.4495563588564</v>
      </c>
      <c r="K13" s="62">
        <f t="shared" si="7"/>
        <v>997.99860777116817</v>
      </c>
      <c r="L13" s="62">
        <f t="shared" si="7"/>
        <v>1100.0186034324643</v>
      </c>
      <c r="M13" s="62">
        <f t="shared" si="7"/>
        <v>1184.0426787429669</v>
      </c>
      <c r="N13" s="62">
        <f t="shared" si="7"/>
        <v>934.66856551009835</v>
      </c>
      <c r="O13" s="62">
        <f t="shared" si="7"/>
        <v>1050.2951554591468</v>
      </c>
      <c r="P13" s="62">
        <f t="shared" si="7"/>
        <v>1203.4058538112381</v>
      </c>
      <c r="Q13" s="62">
        <f t="shared" si="7"/>
        <v>907.88175607795858</v>
      </c>
      <c r="R13" s="62">
        <f t="shared" si="7"/>
        <v>1081.3633359917969</v>
      </c>
      <c r="S13" s="62">
        <f t="shared" si="7"/>
        <v>1486.1112855398571</v>
      </c>
      <c r="T13" s="62">
        <f t="shared" si="7"/>
        <v>1402.8986261749819</v>
      </c>
      <c r="U13" s="62">
        <f t="shared" si="7"/>
        <v>1412.6036010690675</v>
      </c>
      <c r="V13" s="62">
        <f t="shared" si="7"/>
        <v>1355.259801529201</v>
      </c>
      <c r="W13" s="62">
        <f t="shared" ref="W13" si="8">IF(W3=0,0,W3/W7)</f>
        <v>1449.9219369291748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1112.68479383864</v>
      </c>
      <c r="C14" s="63">
        <f t="shared" si="6"/>
        <v>1185.0466393688205</v>
      </c>
      <c r="D14" s="63">
        <f t="shared" si="6"/>
        <v>1099.5670971978986</v>
      </c>
      <c r="E14" s="63">
        <f t="shared" si="6"/>
        <v>980.74770400084435</v>
      </c>
      <c r="F14" s="63">
        <f t="shared" ref="F14:V14" si="9">IF(F4=0,0,F4/F8)</f>
        <v>982.18879210830096</v>
      </c>
      <c r="G14" s="63">
        <f t="shared" si="9"/>
        <v>1008.1447084233261</v>
      </c>
      <c r="H14" s="63">
        <f t="shared" si="9"/>
        <v>898.34462578305317</v>
      </c>
      <c r="I14" s="63">
        <f t="shared" si="9"/>
        <v>945.46612644869504</v>
      </c>
      <c r="J14" s="63">
        <f t="shared" si="9"/>
        <v>1018.4495563588564</v>
      </c>
      <c r="K14" s="63">
        <f t="shared" si="9"/>
        <v>997.99860777116817</v>
      </c>
      <c r="L14" s="63">
        <f t="shared" si="9"/>
        <v>1100.0186034324643</v>
      </c>
      <c r="M14" s="63">
        <f t="shared" si="9"/>
        <v>1184.0426787429669</v>
      </c>
      <c r="N14" s="63">
        <f t="shared" si="9"/>
        <v>934.66856551009835</v>
      </c>
      <c r="O14" s="63">
        <f t="shared" si="9"/>
        <v>1050.2951554591468</v>
      </c>
      <c r="P14" s="63">
        <f t="shared" si="9"/>
        <v>1203.4058538112381</v>
      </c>
      <c r="Q14" s="63">
        <f t="shared" si="9"/>
        <v>907.88175607795858</v>
      </c>
      <c r="R14" s="63">
        <f t="shared" si="9"/>
        <v>1081.3633359917969</v>
      </c>
      <c r="S14" s="63">
        <f t="shared" si="9"/>
        <v>1486.1112855398571</v>
      </c>
      <c r="T14" s="63">
        <f t="shared" si="9"/>
        <v>1402.8986261749819</v>
      </c>
      <c r="U14" s="63">
        <f t="shared" si="9"/>
        <v>1412.6036010690675</v>
      </c>
      <c r="V14" s="63">
        <f t="shared" si="9"/>
        <v>1355.259801529201</v>
      </c>
      <c r="W14" s="63">
        <f t="shared" ref="W14" si="10">IF(W4=0,0,W4/W8)</f>
        <v>1449.9219369291748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" si="18">IF(W4=0,0,W4/W$3)</f>
        <v>1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" si="27">IF(W8=0,0,W8/W$7)</f>
        <v>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1399.4171969045572</v>
      </c>
      <c r="C3" s="62">
        <f t="shared" ref="C3:V3" si="0">SUM(C4,C10)</f>
        <v>1393.5654342218404</v>
      </c>
      <c r="D3" s="62">
        <f t="shared" si="0"/>
        <v>1400.8837489251928</v>
      </c>
      <c r="E3" s="62">
        <f t="shared" si="0"/>
        <v>1566.8959587274287</v>
      </c>
      <c r="F3" s="62">
        <f t="shared" si="0"/>
        <v>1621.3718830610492</v>
      </c>
      <c r="G3" s="62">
        <f t="shared" si="0"/>
        <v>1558.8993981083408</v>
      </c>
      <c r="H3" s="62">
        <f t="shared" si="0"/>
        <v>1694.2772141014616</v>
      </c>
      <c r="I3" s="62">
        <f t="shared" si="0"/>
        <v>1469.1650042992264</v>
      </c>
      <c r="J3" s="62">
        <f t="shared" si="0"/>
        <v>1331.4750644883916</v>
      </c>
      <c r="K3" s="62">
        <f t="shared" si="0"/>
        <v>1103.9361994840926</v>
      </c>
      <c r="L3" s="62">
        <f t="shared" si="0"/>
        <v>1060.0458297506448</v>
      </c>
      <c r="M3" s="62">
        <f t="shared" si="0"/>
        <v>829.96087704213232</v>
      </c>
      <c r="N3" s="62">
        <f t="shared" si="0"/>
        <v>862.16680997420451</v>
      </c>
      <c r="O3" s="62">
        <f t="shared" si="0"/>
        <v>506.59690455717958</v>
      </c>
      <c r="P3" s="62">
        <f t="shared" si="0"/>
        <v>327.35735167669816</v>
      </c>
      <c r="Q3" s="62">
        <f t="shared" si="0"/>
        <v>447.057437661221</v>
      </c>
      <c r="R3" s="62">
        <f t="shared" si="0"/>
        <v>628.3374032674119</v>
      </c>
      <c r="S3" s="62">
        <f t="shared" si="0"/>
        <v>958.33645743766112</v>
      </c>
      <c r="T3" s="62">
        <f t="shared" si="0"/>
        <v>991.20163370593286</v>
      </c>
      <c r="U3" s="62">
        <f t="shared" si="0"/>
        <v>1037.8338779019775</v>
      </c>
      <c r="V3" s="62">
        <f t="shared" si="0"/>
        <v>803.44961306964728</v>
      </c>
      <c r="W3" s="62">
        <f t="shared" ref="W3" si="1">SUM(W4,W10)</f>
        <v>908.26706792777281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1399.4171969045572</v>
      </c>
      <c r="C4" s="71">
        <f t="shared" ref="C4:V4" si="2">SUM(C5:C9)</f>
        <v>1393.5654342218404</v>
      </c>
      <c r="D4" s="71">
        <f t="shared" si="2"/>
        <v>1400.8837489251928</v>
      </c>
      <c r="E4" s="71">
        <f t="shared" si="2"/>
        <v>1566.8959587274287</v>
      </c>
      <c r="F4" s="71">
        <f t="shared" si="2"/>
        <v>1621.3718830610492</v>
      </c>
      <c r="G4" s="71">
        <f t="shared" si="2"/>
        <v>1558.8993981083408</v>
      </c>
      <c r="H4" s="71">
        <f t="shared" si="2"/>
        <v>1694.2772141014616</v>
      </c>
      <c r="I4" s="71">
        <f t="shared" si="2"/>
        <v>1469.1650042992264</v>
      </c>
      <c r="J4" s="71">
        <f t="shared" si="2"/>
        <v>1331.4750644883916</v>
      </c>
      <c r="K4" s="71">
        <f t="shared" si="2"/>
        <v>1103.9361994840926</v>
      </c>
      <c r="L4" s="71">
        <f t="shared" si="2"/>
        <v>1060.0458297506448</v>
      </c>
      <c r="M4" s="71">
        <f t="shared" si="2"/>
        <v>829.96087704213232</v>
      </c>
      <c r="N4" s="71">
        <f t="shared" si="2"/>
        <v>862.16680997420451</v>
      </c>
      <c r="O4" s="71">
        <f t="shared" si="2"/>
        <v>506.59690455717958</v>
      </c>
      <c r="P4" s="71">
        <f t="shared" si="2"/>
        <v>327.35735167669816</v>
      </c>
      <c r="Q4" s="71">
        <f t="shared" si="2"/>
        <v>447.057437661221</v>
      </c>
      <c r="R4" s="71">
        <f t="shared" si="2"/>
        <v>628.3374032674119</v>
      </c>
      <c r="S4" s="71">
        <f t="shared" si="2"/>
        <v>958.33645743766112</v>
      </c>
      <c r="T4" s="71">
        <f t="shared" si="2"/>
        <v>991.20163370593286</v>
      </c>
      <c r="U4" s="71">
        <f t="shared" si="2"/>
        <v>1037.8338779019775</v>
      </c>
      <c r="V4" s="71">
        <f t="shared" si="2"/>
        <v>803.44961306964728</v>
      </c>
      <c r="W4" s="71">
        <f t="shared" ref="W4" si="3">SUM(W5:W9)</f>
        <v>908.26706792777281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1185.2011177987961</v>
      </c>
      <c r="C5" s="73">
        <v>1184.174032674119</v>
      </c>
      <c r="D5" s="73">
        <v>1161.579277730008</v>
      </c>
      <c r="E5" s="73">
        <v>1289.9588993981081</v>
      </c>
      <c r="F5" s="73">
        <v>1472.7715391229581</v>
      </c>
      <c r="G5" s="73">
        <v>1476.879707652623</v>
      </c>
      <c r="H5" s="73">
        <v>1433.7441100601891</v>
      </c>
      <c r="I5" s="73">
        <v>1237.580051590714</v>
      </c>
      <c r="J5" s="73">
        <v>1130.7680997420459</v>
      </c>
      <c r="K5" s="73">
        <v>926.38770421324148</v>
      </c>
      <c r="L5" s="73">
        <v>934.60395528804804</v>
      </c>
      <c r="M5" s="73">
        <v>688.11504729148749</v>
      </c>
      <c r="N5" s="73">
        <v>757.95356835769553</v>
      </c>
      <c r="O5" s="73">
        <v>383.08495270851239</v>
      </c>
      <c r="P5" s="73">
        <v>243.4078245915735</v>
      </c>
      <c r="Q5" s="73">
        <v>339.94935511607912</v>
      </c>
      <c r="R5" s="73">
        <v>402.59862424763543</v>
      </c>
      <c r="S5" s="73">
        <v>466.27497850386931</v>
      </c>
      <c r="T5" s="73">
        <v>499.14015477214099</v>
      </c>
      <c r="U5" s="73">
        <v>472.43714531384347</v>
      </c>
      <c r="V5" s="73">
        <v>458.05864144453989</v>
      </c>
      <c r="W5" s="73">
        <v>519.5741186586414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214.21607910576108</v>
      </c>
      <c r="C6" s="73">
        <v>209.39140154772144</v>
      </c>
      <c r="D6" s="73">
        <v>239.30447119518476</v>
      </c>
      <c r="E6" s="73">
        <v>276.93705932932062</v>
      </c>
      <c r="F6" s="73">
        <v>148.6003439380911</v>
      </c>
      <c r="G6" s="73">
        <v>82.019690455717864</v>
      </c>
      <c r="H6" s="73">
        <v>260.53310404127251</v>
      </c>
      <c r="I6" s="73">
        <v>231.58495270851245</v>
      </c>
      <c r="J6" s="73">
        <v>200.70696474634565</v>
      </c>
      <c r="K6" s="73">
        <v>177.54849527085116</v>
      </c>
      <c r="L6" s="73">
        <v>125.44187446259673</v>
      </c>
      <c r="M6" s="73">
        <v>141.84582975064484</v>
      </c>
      <c r="N6" s="73">
        <v>104.21324161650898</v>
      </c>
      <c r="O6" s="73">
        <v>123.5119518486672</v>
      </c>
      <c r="P6" s="73">
        <v>83.949527085124657</v>
      </c>
      <c r="Q6" s="73">
        <v>107.10808254514188</v>
      </c>
      <c r="R6" s="73">
        <v>224.83043852106624</v>
      </c>
      <c r="S6" s="73">
        <v>491.15313843508159</v>
      </c>
      <c r="T6" s="73">
        <v>491.15313843508164</v>
      </c>
      <c r="U6" s="73">
        <v>564.48839208942377</v>
      </c>
      <c r="V6" s="73">
        <v>344.48263112639717</v>
      </c>
      <c r="W6" s="73">
        <v>388.09974204643152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0.90834049871023215</v>
      </c>
      <c r="S7" s="73">
        <v>0.90834049871023215</v>
      </c>
      <c r="T7" s="73">
        <v>0.90834049871023215</v>
      </c>
      <c r="U7" s="73">
        <v>0.90834049871023215</v>
      </c>
      <c r="V7" s="73">
        <v>0.90834049871023215</v>
      </c>
      <c r="W7" s="73">
        <v>0.59320722269991399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13143.770047004386</v>
      </c>
      <c r="C19" s="62">
        <f>IF(C3=0,0,C3/TrNavi_act!C7*100)</f>
        <v>13917.561512252476</v>
      </c>
      <c r="D19" s="62">
        <f>IF(D3=0,0,D3/TrNavi_act!D7*100)</f>
        <v>15333.666253559466</v>
      </c>
      <c r="E19" s="62">
        <f>IF(E3=0,0,E3/TrNavi_act!E7*100)</f>
        <v>16540.651944763311</v>
      </c>
      <c r="F19" s="62">
        <f>IF(F3=0,0,F3/TrNavi_act!F7*100)</f>
        <v>17015.131525459641</v>
      </c>
      <c r="G19" s="62">
        <f>IF(G3=0,0,G3/TrNavi_act!G7*100)</f>
        <v>15304.333380211474</v>
      </c>
      <c r="H19" s="62">
        <f>IF(H3=0,0,H3/TrNavi_act!H7*100)</f>
        <v>13965.357847852471</v>
      </c>
      <c r="I19" s="62">
        <f>IF(I3=0,0,I3/TrNavi_act!I7*100)</f>
        <v>13843.069860541094</v>
      </c>
      <c r="J19" s="62">
        <f>IF(J3=0,0,J3/TrNavi_act!J7*100)</f>
        <v>14585.114081371361</v>
      </c>
      <c r="K19" s="62">
        <f>IF(K3=0,0,K3/TrNavi_act!K7*100)</f>
        <v>13972.10732165666</v>
      </c>
      <c r="L19" s="62">
        <f>IF(L3=0,0,L3/TrNavi_act!L7*100)</f>
        <v>13887.669720301908</v>
      </c>
      <c r="M19" s="62">
        <f>IF(M3=0,0,M3/TrNavi_act!M7*100)</f>
        <v>11389.609949802832</v>
      </c>
      <c r="N19" s="62">
        <f>IF(N3=0,0,N3/TrNavi_act!N7*100)</f>
        <v>11162.180346636516</v>
      </c>
      <c r="O19" s="62">
        <f>IF(O3=0,0,O3/TrNavi_act!O7*100)</f>
        <v>7326.057911166733</v>
      </c>
      <c r="P19" s="62">
        <f>IF(P3=0,0,P3/TrNavi_act!P7*100)</f>
        <v>5123.7650911989067</v>
      </c>
      <c r="Q19" s="62">
        <f>IF(Q3=0,0,Q3/TrNavi_act!Q7*100)</f>
        <v>4491.2340532571925</v>
      </c>
      <c r="R19" s="62">
        <f>IF(R3=0,0,R3/TrNavi_act!R7*100)</f>
        <v>7158.9085481076909</v>
      </c>
      <c r="S19" s="62">
        <f>IF(S3=0,0,S3/TrNavi_act!S7*100)</f>
        <v>16716.142638019555</v>
      </c>
      <c r="T19" s="62">
        <f>IF(T3=0,0,T3/TrNavi_act!T7*100)</f>
        <v>14334.080024670035</v>
      </c>
      <c r="U19" s="62">
        <f>IF(U3=0,0,U3/TrNavi_act!U7*100)</f>
        <v>14598.872948403116</v>
      </c>
      <c r="V19" s="62">
        <f>IF(V3=0,0,V3/TrNavi_act!V7*100)</f>
        <v>13070.597251824423</v>
      </c>
      <c r="W19" s="62">
        <f>IF(W3=0,0,W3/TrNavi_act!W7*100)</f>
        <v>15651.681335994706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13143.770047004386</v>
      </c>
      <c r="C20" s="63">
        <f>IF(C4=0,0,C4/TrNavi_act!C8*100)</f>
        <v>13917.561512252476</v>
      </c>
      <c r="D20" s="63">
        <f>IF(D4=0,0,D4/TrNavi_act!D8*100)</f>
        <v>15333.666253559466</v>
      </c>
      <c r="E20" s="63">
        <f>IF(E4=0,0,E4/TrNavi_act!E8*100)</f>
        <v>16540.651944763311</v>
      </c>
      <c r="F20" s="63">
        <f>IF(F4=0,0,F4/TrNavi_act!F8*100)</f>
        <v>17015.131525459641</v>
      </c>
      <c r="G20" s="63">
        <f>IF(G4=0,0,G4/TrNavi_act!G8*100)</f>
        <v>15304.333380211474</v>
      </c>
      <c r="H20" s="63">
        <f>IF(H4=0,0,H4/TrNavi_act!H8*100)</f>
        <v>13965.357847852471</v>
      </c>
      <c r="I20" s="63">
        <f>IF(I4=0,0,I4/TrNavi_act!I8*100)</f>
        <v>13843.069860541094</v>
      </c>
      <c r="J20" s="63">
        <f>IF(J4=0,0,J4/TrNavi_act!J8*100)</f>
        <v>14585.114081371361</v>
      </c>
      <c r="K20" s="63">
        <f>IF(K4=0,0,K4/TrNavi_act!K8*100)</f>
        <v>13972.10732165666</v>
      </c>
      <c r="L20" s="63">
        <f>IF(L4=0,0,L4/TrNavi_act!L8*100)</f>
        <v>13887.669720301908</v>
      </c>
      <c r="M20" s="63">
        <f>IF(M4=0,0,M4/TrNavi_act!M8*100)</f>
        <v>11389.609949802832</v>
      </c>
      <c r="N20" s="63">
        <f>IF(N4=0,0,N4/TrNavi_act!N8*100)</f>
        <v>11162.180346636516</v>
      </c>
      <c r="O20" s="63">
        <f>IF(O4=0,0,O4/TrNavi_act!O8*100)</f>
        <v>7326.057911166733</v>
      </c>
      <c r="P20" s="63">
        <f>IF(P4=0,0,P4/TrNavi_act!P8*100)</f>
        <v>5123.7650911989067</v>
      </c>
      <c r="Q20" s="63">
        <f>IF(Q4=0,0,Q4/TrNavi_act!Q8*100)</f>
        <v>4491.2340532571925</v>
      </c>
      <c r="R20" s="63">
        <f>IF(R4=0,0,R4/TrNavi_act!R8*100)</f>
        <v>7158.9085481076909</v>
      </c>
      <c r="S20" s="63">
        <f>IF(S4=0,0,S4/TrNavi_act!S8*100)</f>
        <v>16716.142638019555</v>
      </c>
      <c r="T20" s="63">
        <f>IF(T4=0,0,T4/TrNavi_act!T8*100)</f>
        <v>14334.080024670035</v>
      </c>
      <c r="U20" s="63">
        <f>IF(U4=0,0,U4/TrNavi_act!U8*100)</f>
        <v>14598.872948403116</v>
      </c>
      <c r="V20" s="63">
        <f>IF(V4=0,0,V4/TrNavi_act!V8*100)</f>
        <v>13070.597251824423</v>
      </c>
      <c r="W20" s="63">
        <f>IF(W4=0,0,W4/TrNavi_act!W8*100)</f>
        <v>15651.681335994706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118.12662597517694</v>
      </c>
      <c r="C23" s="62">
        <f>IF(C3=0,0,C3/TrNavi_act!C3*1000)</f>
        <v>117.44315413328582</v>
      </c>
      <c r="D23" s="62">
        <f>IF(D3=0,0,D3/TrNavi_act!D3*1000)</f>
        <v>139.45184693717454</v>
      </c>
      <c r="E23" s="62">
        <f>IF(E3=0,0,E3/TrNavi_act!E3*1000)</f>
        <v>168.65348628691839</v>
      </c>
      <c r="F23" s="62">
        <f>IF(F3=0,0,F3/TrNavi_act!F3*1000)</f>
        <v>173.23687321798994</v>
      </c>
      <c r="G23" s="62">
        <f>IF(G3=0,0,G3/TrNavi_act!G3*1000)</f>
        <v>151.80691077718868</v>
      </c>
      <c r="H23" s="62">
        <f>IF(H3=0,0,H3/TrNavi_act!H3*1000)</f>
        <v>155.45657476026412</v>
      </c>
      <c r="I23" s="62">
        <f>IF(I3=0,0,I3/TrNavi_act!I3*1000)</f>
        <v>146.41529160370484</v>
      </c>
      <c r="J23" s="62">
        <f>IF(J3=0,0,J3/TrNavi_act!J3*1000)</f>
        <v>143.20899832796644</v>
      </c>
      <c r="K23" s="62">
        <f>IF(K3=0,0,K3/TrNavi_act!K3*1000)</f>
        <v>140.00127067171553</v>
      </c>
      <c r="L23" s="62">
        <f>IF(L3=0,0,L3/TrNavi_act!L3*1000)</f>
        <v>126.24940775517116</v>
      </c>
      <c r="M23" s="62">
        <f>IF(M3=0,0,M3/TrNavi_act!M3*1000)</f>
        <v>96.192562601666978</v>
      </c>
      <c r="N23" s="62">
        <f>IF(N3=0,0,N3/TrNavi_act!N3*1000)</f>
        <v>119.4239408334517</v>
      </c>
      <c r="O23" s="62">
        <f>IF(O3=0,0,O3/TrNavi_act!O3*1000)</f>
        <v>69.752372683886904</v>
      </c>
      <c r="P23" s="62">
        <f>IF(P3=0,0,P3/TrNavi_act!P3*1000)</f>
        <v>42.577199329484081</v>
      </c>
      <c r="Q23" s="62">
        <f>IF(Q3=0,0,Q3/TrNavi_act!Q3*1000)</f>
        <v>49.469372230358339</v>
      </c>
      <c r="R23" s="62">
        <f>IF(R3=0,0,R3/TrNavi_act!R3*1000)</f>
        <v>66.202619506622483</v>
      </c>
      <c r="S23" s="62">
        <f>IF(S3=0,0,S3/TrNavi_act!S3*1000)</f>
        <v>112.48244193197895</v>
      </c>
      <c r="T23" s="62">
        <f>IF(T3=0,0,T3/TrNavi_act!T3*1000)</f>
        <v>102.17473848236673</v>
      </c>
      <c r="U23" s="62">
        <f>IF(U3=0,0,U3/TrNavi_act!U3*1000)</f>
        <v>103.3472726344078</v>
      </c>
      <c r="V23" s="62">
        <f>IF(V3=0,0,V3/TrNavi_act!V3*1000)</f>
        <v>96.443480704410135</v>
      </c>
      <c r="W23" s="62">
        <f>IF(W3=0,0,W3/TrNavi_act!W3*1000)</f>
        <v>107.94844148053782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118.12662597517694</v>
      </c>
      <c r="C24" s="63">
        <f>IF(C4=0,0,C4/TrNavi_act!C4*1000)</f>
        <v>117.44315413328582</v>
      </c>
      <c r="D24" s="63">
        <f>IF(D4=0,0,D4/TrNavi_act!D4*1000)</f>
        <v>139.45184693717454</v>
      </c>
      <c r="E24" s="63">
        <f>IF(E4=0,0,E4/TrNavi_act!E4*1000)</f>
        <v>168.65348628691839</v>
      </c>
      <c r="F24" s="63">
        <f>IF(F4=0,0,F4/TrNavi_act!F4*1000)</f>
        <v>173.23687321798994</v>
      </c>
      <c r="G24" s="63">
        <f>IF(G4=0,0,G4/TrNavi_act!G4*1000)</f>
        <v>151.80691077718868</v>
      </c>
      <c r="H24" s="63">
        <f>IF(H4=0,0,H4/TrNavi_act!H4*1000)</f>
        <v>155.45657476026412</v>
      </c>
      <c r="I24" s="63">
        <f>IF(I4=0,0,I4/TrNavi_act!I4*1000)</f>
        <v>146.41529160370484</v>
      </c>
      <c r="J24" s="63">
        <f>IF(J4=0,0,J4/TrNavi_act!J4*1000)</f>
        <v>143.20899832796644</v>
      </c>
      <c r="K24" s="63">
        <f>IF(K4=0,0,K4/TrNavi_act!K4*1000)</f>
        <v>140.00127067171553</v>
      </c>
      <c r="L24" s="63">
        <f>IF(L4=0,0,L4/TrNavi_act!L4*1000)</f>
        <v>126.24940775517116</v>
      </c>
      <c r="M24" s="63">
        <f>IF(M4=0,0,M4/TrNavi_act!M4*1000)</f>
        <v>96.192562601666978</v>
      </c>
      <c r="N24" s="63">
        <f>IF(N4=0,0,N4/TrNavi_act!N4*1000)</f>
        <v>119.4239408334517</v>
      </c>
      <c r="O24" s="63">
        <f>IF(O4=0,0,O4/TrNavi_act!O4*1000)</f>
        <v>69.752372683886904</v>
      </c>
      <c r="P24" s="63">
        <f>IF(P4=0,0,P4/TrNavi_act!P4*1000)</f>
        <v>42.577199329484081</v>
      </c>
      <c r="Q24" s="63">
        <f>IF(Q4=0,0,Q4/TrNavi_act!Q4*1000)</f>
        <v>49.469372230358339</v>
      </c>
      <c r="R24" s="63">
        <f>IF(R4=0,0,R4/TrNavi_act!R4*1000)</f>
        <v>66.202619506622483</v>
      </c>
      <c r="S24" s="63">
        <f>IF(S4=0,0,S4/TrNavi_act!S4*1000)</f>
        <v>112.48244193197895</v>
      </c>
      <c r="T24" s="63">
        <f>IF(T4=0,0,T4/TrNavi_act!T4*1000)</f>
        <v>102.17473848236673</v>
      </c>
      <c r="U24" s="63">
        <f>IF(U4=0,0,U4/TrNavi_act!U4*1000)</f>
        <v>103.3472726344078</v>
      </c>
      <c r="V24" s="63">
        <f>IF(V4=0,0,V4/TrNavi_act!V4*1000)</f>
        <v>96.443480704410135</v>
      </c>
      <c r="W24" s="63">
        <f>IF(W4=0,0,W4/TrNavi_act!W4*1000)</f>
        <v>107.94844148053782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1</v>
      </c>
      <c r="C28" s="77">
        <f t="shared" si="8"/>
        <v>1</v>
      </c>
      <c r="D28" s="77">
        <f t="shared" si="8"/>
        <v>1</v>
      </c>
      <c r="E28" s="77">
        <f t="shared" si="8"/>
        <v>1</v>
      </c>
      <c r="F28" s="77">
        <f t="shared" si="8"/>
        <v>1</v>
      </c>
      <c r="G28" s="77">
        <f t="shared" si="8"/>
        <v>1</v>
      </c>
      <c r="H28" s="77">
        <f t="shared" si="8"/>
        <v>1</v>
      </c>
      <c r="I28" s="77">
        <f t="shared" si="8"/>
        <v>1</v>
      </c>
      <c r="J28" s="77">
        <f t="shared" si="8"/>
        <v>1</v>
      </c>
      <c r="K28" s="77">
        <f t="shared" si="8"/>
        <v>1</v>
      </c>
      <c r="L28" s="77">
        <f t="shared" si="8"/>
        <v>1</v>
      </c>
      <c r="M28" s="77">
        <f t="shared" si="8"/>
        <v>1</v>
      </c>
      <c r="N28" s="77">
        <f t="shared" si="8"/>
        <v>1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1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1</v>
      </c>
      <c r="W28" s="77">
        <f t="shared" si="9"/>
        <v>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4371.1752567599997</v>
      </c>
      <c r="C3" s="54">
        <f t="shared" ref="C3:V3" si="1">SUM(C4:C5)</f>
        <v>4352.3540395200016</v>
      </c>
      <c r="D3" s="54">
        <f t="shared" si="1"/>
        <v>4379.1914379599984</v>
      </c>
      <c r="E3" s="54">
        <f t="shared" si="1"/>
        <v>4899.4303226399988</v>
      </c>
      <c r="F3" s="54">
        <f t="shared" si="1"/>
        <v>5050.7058891600009</v>
      </c>
      <c r="G3" s="54">
        <f t="shared" si="1"/>
        <v>4847.6910013200013</v>
      </c>
      <c r="H3" s="54">
        <f t="shared" si="1"/>
        <v>5292.3538814399999</v>
      </c>
      <c r="I3" s="54">
        <f t="shared" si="1"/>
        <v>4589.9619256800015</v>
      </c>
      <c r="J3" s="54">
        <f t="shared" si="1"/>
        <v>4158.523829159999</v>
      </c>
      <c r="K3" s="54">
        <f t="shared" si="1"/>
        <v>3449.4033005999995</v>
      </c>
      <c r="L3" s="54">
        <f t="shared" si="1"/>
        <v>3306.0377124000001</v>
      </c>
      <c r="M3" s="54">
        <f t="shared" si="1"/>
        <v>2594.4842721600003</v>
      </c>
      <c r="N3" s="54">
        <f t="shared" si="1"/>
        <v>2689.2010799999998</v>
      </c>
      <c r="O3" s="54">
        <f t="shared" si="1"/>
        <v>1588.7407154399998</v>
      </c>
      <c r="P3" s="54">
        <f t="shared" si="1"/>
        <v>1027.1984382000001</v>
      </c>
      <c r="Q3" s="54">
        <f t="shared" si="1"/>
        <v>1401.7579232400001</v>
      </c>
      <c r="R3" s="54">
        <f t="shared" si="1"/>
        <v>1977.6112826400006</v>
      </c>
      <c r="S3" s="54">
        <f t="shared" si="1"/>
        <v>3038.2028683200001</v>
      </c>
      <c r="T3" s="54">
        <f t="shared" si="1"/>
        <v>3140.16440904</v>
      </c>
      <c r="U3" s="54">
        <f t="shared" si="1"/>
        <v>3294.96948144</v>
      </c>
      <c r="V3" s="54">
        <f t="shared" si="1"/>
        <v>2537.4143678399996</v>
      </c>
      <c r="W3" s="54">
        <f t="shared" ref="W3" si="2">SUM(W4:W5)</f>
        <v>2869.6060177199997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4371.1752567599997</v>
      </c>
      <c r="C4" s="56">
        <v>4352.3540395200016</v>
      </c>
      <c r="D4" s="56">
        <v>4379.1914379599984</v>
      </c>
      <c r="E4" s="56">
        <v>4899.4303226399988</v>
      </c>
      <c r="F4" s="56">
        <v>5050.7058891600009</v>
      </c>
      <c r="G4" s="56">
        <v>4847.6910013200013</v>
      </c>
      <c r="H4" s="56">
        <v>5292.3538814399999</v>
      </c>
      <c r="I4" s="56">
        <v>4589.9619256800015</v>
      </c>
      <c r="J4" s="56">
        <v>4158.523829159999</v>
      </c>
      <c r="K4" s="56">
        <v>3449.4033005999995</v>
      </c>
      <c r="L4" s="56">
        <v>3306.0377124000001</v>
      </c>
      <c r="M4" s="56">
        <v>2594.4842721600003</v>
      </c>
      <c r="N4" s="56">
        <v>2689.2010799999998</v>
      </c>
      <c r="O4" s="56">
        <v>1588.7407154399998</v>
      </c>
      <c r="P4" s="56">
        <v>1027.1984382000001</v>
      </c>
      <c r="Q4" s="56">
        <v>1401.7579232400001</v>
      </c>
      <c r="R4" s="56">
        <v>1977.6112826400006</v>
      </c>
      <c r="S4" s="56">
        <v>3038.2028683200001</v>
      </c>
      <c r="T4" s="56">
        <v>3140.16440904</v>
      </c>
      <c r="U4" s="56">
        <v>3294.96948144</v>
      </c>
      <c r="V4" s="56">
        <v>2537.4143678399996</v>
      </c>
      <c r="W4" s="56">
        <v>2869.6060177199997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3.1235683443285009</v>
      </c>
      <c r="C9" s="79">
        <f>IF(C3=0,0,C3/TrNavi_ene!C3)</f>
        <v>3.1231788135950236</v>
      </c>
      <c r="D9" s="79">
        <f>IF(D3=0,0,D3/TrNavi_ene!D3)</f>
        <v>3.1260205861620336</v>
      </c>
      <c r="E9" s="79">
        <f>IF(E3=0,0,E3/TrNavi_ene!E3)</f>
        <v>3.1268383170884704</v>
      </c>
      <c r="F9" s="79">
        <f>IF(F3=0,0,F3/TrNavi_ene!F3)</f>
        <v>3.1150817045282557</v>
      </c>
      <c r="G9" s="79">
        <f>IF(G3=0,0,G3/TrNavi_ene!G3)</f>
        <v>3.1096881602510535</v>
      </c>
      <c r="H9" s="79">
        <f>IF(H3=0,0,H3/TrNavi_ene!H3)</f>
        <v>3.1236646738749494</v>
      </c>
      <c r="I9" s="79">
        <f>IF(I3=0,0,I3/TrNavi_ene!I3)</f>
        <v>3.1241976988618489</v>
      </c>
      <c r="J9" s="79">
        <f>IF(J3=0,0,J3/TrNavi_ene!J3)</f>
        <v>3.1232457445666681</v>
      </c>
      <c r="K9" s="79">
        <f>IF(K3=0,0,K3/TrNavi_ene!K3)</f>
        <v>3.1246400853708978</v>
      </c>
      <c r="L9" s="79">
        <f>IF(L3=0,0,L3/TrNavi_ene!L3)</f>
        <v>3.1187686603867699</v>
      </c>
      <c r="M9" s="79">
        <f>IF(M3=0,0,M3/TrNavi_ene!M3)</f>
        <v>3.1260320141913067</v>
      </c>
      <c r="N9" s="79">
        <f>IF(N3=0,0,N3/TrNavi_ene!N3)</f>
        <v>3.119119234107909</v>
      </c>
      <c r="O9" s="79">
        <f>IF(O3=0,0,O3/TrNavi_ene!O3)</f>
        <v>3.136104269781772</v>
      </c>
      <c r="P9" s="79">
        <f>IF(P3=0,0,P3/TrNavi_ene!P3)</f>
        <v>3.1378505261567269</v>
      </c>
      <c r="Q9" s="79">
        <f>IF(Q3=0,0,Q3/TrNavi_ene!Q3)</f>
        <v>3.1355208641048238</v>
      </c>
      <c r="R9" s="79">
        <f>IF(R3=0,0,R3/TrNavi_ene!R3)</f>
        <v>3.1473715751381999</v>
      </c>
      <c r="S9" s="79">
        <f>IF(S3=0,0,S3/TrNavi_ene!S3)</f>
        <v>3.1702883102698118</v>
      </c>
      <c r="T9" s="79">
        <f>IF(T3=0,0,T3/TrNavi_ene!T3)</f>
        <v>3.1680379675116797</v>
      </c>
      <c r="U9" s="79">
        <f>IF(U3=0,0,U3/TrNavi_ene!U3)</f>
        <v>3.1748524996128591</v>
      </c>
      <c r="V9" s="79">
        <f>IF(V3=0,0,V3/TrNavi_ene!V3)</f>
        <v>3.1581499655536494</v>
      </c>
      <c r="W9" s="79">
        <f>IF(W3=0,0,W3/TrNavi_ene!W3)</f>
        <v>3.1594297746224091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3.1235683443285009</v>
      </c>
      <c r="C10" s="80">
        <f>IF(C4=0,0,C4/TrNavi_ene!C4)</f>
        <v>3.1231788135950236</v>
      </c>
      <c r="D10" s="80">
        <f>IF(D4=0,0,D4/TrNavi_ene!D4)</f>
        <v>3.1260205861620336</v>
      </c>
      <c r="E10" s="80">
        <f>IF(E4=0,0,E4/TrNavi_ene!E4)</f>
        <v>3.1268383170884704</v>
      </c>
      <c r="F10" s="80">
        <f>IF(F4=0,0,F4/TrNavi_ene!F4)</f>
        <v>3.1150817045282557</v>
      </c>
      <c r="G10" s="80">
        <f>IF(G4=0,0,G4/TrNavi_ene!G4)</f>
        <v>3.1096881602510535</v>
      </c>
      <c r="H10" s="80">
        <f>IF(H4=0,0,H4/TrNavi_ene!H4)</f>
        <v>3.1236646738749494</v>
      </c>
      <c r="I10" s="80">
        <f>IF(I4=0,0,I4/TrNavi_ene!I4)</f>
        <v>3.1241976988618489</v>
      </c>
      <c r="J10" s="80">
        <f>IF(J4=0,0,J4/TrNavi_ene!J4)</f>
        <v>3.1232457445666681</v>
      </c>
      <c r="K10" s="80">
        <f>IF(K4=0,0,K4/TrNavi_ene!K4)</f>
        <v>3.1246400853708978</v>
      </c>
      <c r="L10" s="80">
        <f>IF(L4=0,0,L4/TrNavi_ene!L4)</f>
        <v>3.1187686603867699</v>
      </c>
      <c r="M10" s="80">
        <f>IF(M4=0,0,M4/TrNavi_ene!M4)</f>
        <v>3.1260320141913067</v>
      </c>
      <c r="N10" s="80">
        <f>IF(N4=0,0,N4/TrNavi_ene!N4)</f>
        <v>3.119119234107909</v>
      </c>
      <c r="O10" s="80">
        <f>IF(O4=0,0,O4/TrNavi_ene!O4)</f>
        <v>3.136104269781772</v>
      </c>
      <c r="P10" s="80">
        <f>IF(P4=0,0,P4/TrNavi_ene!P4)</f>
        <v>3.1378505261567269</v>
      </c>
      <c r="Q10" s="80">
        <f>IF(Q4=0,0,Q4/TrNavi_ene!Q4)</f>
        <v>3.1355208641048238</v>
      </c>
      <c r="R10" s="80">
        <f>IF(R4=0,0,R4/TrNavi_ene!R4)</f>
        <v>3.1473715751381999</v>
      </c>
      <c r="S10" s="80">
        <f>IF(S4=0,0,S4/TrNavi_ene!S4)</f>
        <v>3.1702883102698118</v>
      </c>
      <c r="T10" s="80">
        <f>IF(T4=0,0,T4/TrNavi_ene!T4)</f>
        <v>3.1680379675116797</v>
      </c>
      <c r="U10" s="80">
        <f>IF(U4=0,0,U4/TrNavi_ene!U4)</f>
        <v>3.1748524996128591</v>
      </c>
      <c r="V10" s="80">
        <f>IF(V4=0,0,V4/TrNavi_ene!V4)</f>
        <v>3.1581499655536494</v>
      </c>
      <c r="W10" s="80">
        <f>IF(W4=0,0,W4/TrNavi_ene!W4)</f>
        <v>3.1594297746224091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410554.6404395604</v>
      </c>
      <c r="C13" s="54">
        <f>IF(C3=0,0,C3/TrNavi_act!C7*1000)</f>
        <v>434670.3325197245</v>
      </c>
      <c r="D13" s="54">
        <f>IF(D3=0,0,D3/TrNavi_act!D7*1000)</f>
        <v>479333.56369964965</v>
      </c>
      <c r="E13" s="54">
        <f>IF(E3=0,0,E3/TrNavi_act!E7*1000)</f>
        <v>517199.44290509855</v>
      </c>
      <c r="F13" s="54">
        <f>IF(F3=0,0,F3/TrNavi_act!F7*1000)</f>
        <v>530035.24915101274</v>
      </c>
      <c r="G13" s="54">
        <f>IF(G3=0,0,G3/TrNavi_act!G7*1000)</f>
        <v>475917.04312978615</v>
      </c>
      <c r="H13" s="54">
        <f>IF(H3=0,0,H3/TrNavi_act!H7*1000)</f>
        <v>436230.94967359048</v>
      </c>
      <c r="I13" s="54">
        <f>IF(I3=0,0,I3/TrNavi_act!I7*1000)</f>
        <v>432484.87003486307</v>
      </c>
      <c r="J13" s="54">
        <f>IF(J3=0,0,J3/TrNavi_act!J7*1000)</f>
        <v>455528.95488662494</v>
      </c>
      <c r="K13" s="54">
        <f>IF(K3=0,0,K3/TrNavi_act!K7*1000)</f>
        <v>436578.06614352611</v>
      </c>
      <c r="L13" s="54">
        <f>IF(L3=0,0,L3/TrNavi_act!L7*1000)</f>
        <v>433124.29089479893</v>
      </c>
      <c r="M13" s="54">
        <f>IF(M3=0,0,M3/TrNavi_act!M7*1000)</f>
        <v>356042.8533223549</v>
      </c>
      <c r="N13" s="54">
        <f>IF(N3=0,0,N3/TrNavi_act!N7*1000)</f>
        <v>348161.71413775242</v>
      </c>
      <c r="O13" s="54">
        <f>IF(O3=0,0,O3/TrNavi_act!O7*1000)</f>
        <v>229752.81495878522</v>
      </c>
      <c r="P13" s="54">
        <f>IF(P3=0,0,P3/TrNavi_act!P7*1000)</f>
        <v>160776.08987321961</v>
      </c>
      <c r="Q13" s="54">
        <f>IF(Q3=0,0,Q3/TrNavi_act!Q7*1000)</f>
        <v>140823.58079566003</v>
      </c>
      <c r="R13" s="54">
        <f>IF(R3=0,0,R3/TrNavi_act!R7*1000)</f>
        <v>225317.45273328025</v>
      </c>
      <c r="S13" s="54">
        <f>IF(S3=0,0,S3/TrNavi_act!S7*1000)</f>
        <v>529949.91598116176</v>
      </c>
      <c r="T13" s="54">
        <f>IF(T3=0,0,T3/TrNavi_act!T7*1000)</f>
        <v>454109.09747505421</v>
      </c>
      <c r="U13" s="54">
        <f>IF(U3=0,0,U3/TrNavi_act!U7*1000)</f>
        <v>463492.6827176818</v>
      </c>
      <c r="V13" s="54">
        <f>IF(V3=0,0,V3/TrNavi_act!V7*1000)</f>
        <v>412789.06260614929</v>
      </c>
      <c r="W13" s="54">
        <f>IF(W3=0,0,W3/TrNavi_act!W7*1000)</f>
        <v>494503.88035843527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410554.6404395604</v>
      </c>
      <c r="C14" s="56">
        <f>IF(C4=0,0,C4/TrNavi_act!C8*1000)</f>
        <v>434670.3325197245</v>
      </c>
      <c r="D14" s="56">
        <f>IF(D4=0,0,D4/TrNavi_act!D8*1000)</f>
        <v>479333.56369964965</v>
      </c>
      <c r="E14" s="56">
        <f>IF(E4=0,0,E4/TrNavi_act!E8*1000)</f>
        <v>517199.44290509855</v>
      </c>
      <c r="F14" s="56">
        <f>IF(F4=0,0,F4/TrNavi_act!F8*1000)</f>
        <v>530035.24915101274</v>
      </c>
      <c r="G14" s="56">
        <f>IF(G4=0,0,G4/TrNavi_act!G8*1000)</f>
        <v>475917.04312978615</v>
      </c>
      <c r="H14" s="56">
        <f>IF(H4=0,0,H4/TrNavi_act!H8*1000)</f>
        <v>436230.94967359048</v>
      </c>
      <c r="I14" s="56">
        <f>IF(I4=0,0,I4/TrNavi_act!I8*1000)</f>
        <v>432484.87003486307</v>
      </c>
      <c r="J14" s="56">
        <f>IF(J4=0,0,J4/TrNavi_act!J8*1000)</f>
        <v>455528.95488662494</v>
      </c>
      <c r="K14" s="56">
        <f>IF(K4=0,0,K4/TrNavi_act!K8*1000)</f>
        <v>436578.06614352611</v>
      </c>
      <c r="L14" s="56">
        <f>IF(L4=0,0,L4/TrNavi_act!L8*1000)</f>
        <v>433124.29089479893</v>
      </c>
      <c r="M14" s="56">
        <f>IF(M4=0,0,M4/TrNavi_act!M8*1000)</f>
        <v>356042.8533223549</v>
      </c>
      <c r="N14" s="56">
        <f>IF(N4=0,0,N4/TrNavi_act!N8*1000)</f>
        <v>348161.71413775242</v>
      </c>
      <c r="O14" s="56">
        <f>IF(O4=0,0,O4/TrNavi_act!O8*1000)</f>
        <v>229752.81495878522</v>
      </c>
      <c r="P14" s="56">
        <f>IF(P4=0,0,P4/TrNavi_act!P8*1000)</f>
        <v>160776.08987321961</v>
      </c>
      <c r="Q14" s="56">
        <f>IF(Q4=0,0,Q4/TrNavi_act!Q8*1000)</f>
        <v>140823.58079566003</v>
      </c>
      <c r="R14" s="56">
        <f>IF(R4=0,0,R4/TrNavi_act!R8*1000)</f>
        <v>225317.45273328025</v>
      </c>
      <c r="S14" s="56">
        <f>IF(S4=0,0,S4/TrNavi_act!S8*1000)</f>
        <v>529949.91598116176</v>
      </c>
      <c r="T14" s="56">
        <f>IF(T4=0,0,T4/TrNavi_act!T8*1000)</f>
        <v>454109.09747505421</v>
      </c>
      <c r="U14" s="56">
        <f>IF(U4=0,0,U4/TrNavi_act!U8*1000)</f>
        <v>463492.6827176818</v>
      </c>
      <c r="V14" s="56">
        <f>IF(V4=0,0,V4/TrNavi_act!V8*1000)</f>
        <v>412789.06260614929</v>
      </c>
      <c r="W14" s="56">
        <f>IF(W4=0,0,W4/TrNavi_act!W8*1000)</f>
        <v>494503.88035843527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368.97658951839554</v>
      </c>
      <c r="C17" s="62">
        <f>IF(C3=0,0,C3/TrNavi_act!C3*1000)</f>
        <v>366.79597079085312</v>
      </c>
      <c r="D17" s="62">
        <f>IF(D3=0,0,D3/TrNavi_act!D3*1000)</f>
        <v>435.92934430392455</v>
      </c>
      <c r="E17" s="62">
        <f>IF(E3=0,0,E3/TrNavi_act!E3*1000)</f>
        <v>527.35218323249148</v>
      </c>
      <c r="F17" s="62">
        <f>IF(F3=0,0,F3/TrNavi_act!F3*1000)</f>
        <v>539.6470143110414</v>
      </c>
      <c r="G17" s="62">
        <f>IF(G3=0,0,G3/TrNavi_act!G3*1000)</f>
        <v>472.07215308811169</v>
      </c>
      <c r="H17" s="62">
        <f>IF(H3=0,0,H3/TrNavi_act!H3*1000)</f>
        <v>485.59421090023716</v>
      </c>
      <c r="I17" s="62">
        <f>IF(I3=0,0,I3/TrNavi_act!I3*1000)</f>
        <v>457.43031710648125</v>
      </c>
      <c r="J17" s="62">
        <f>IF(J3=0,0,J3/TrNavi_act!J3*1000)</f>
        <v>447.27689461147622</v>
      </c>
      <c r="K17" s="62">
        <f>IF(K3=0,0,K3/TrNavi_act!K3*1000)</f>
        <v>437.45358234370343</v>
      </c>
      <c r="L17" s="62">
        <f>IF(L3=0,0,L3/TrNavi_act!L3*1000)</f>
        <v>393.74269629921821</v>
      </c>
      <c r="M17" s="62">
        <f>IF(M3=0,0,M3/TrNavi_act!M3*1000)</f>
        <v>300.70103021991235</v>
      </c>
      <c r="N17" s="62">
        <f>IF(N3=0,0,N3/TrNavi_act!N3*1000)</f>
        <v>372.49751086658404</v>
      </c>
      <c r="O17" s="62">
        <f>IF(O3=0,0,O3/TrNavi_act!O3*1000)</f>
        <v>218.75071380134713</v>
      </c>
      <c r="P17" s="62">
        <f>IF(P3=0,0,P3/TrNavi_act!P3*1000)</f>
        <v>133.60088731830146</v>
      </c>
      <c r="Q17" s="62">
        <f>IF(Q3=0,0,Q3/TrNavi_act!Q3*1000)</f>
        <v>155.11224876245635</v>
      </c>
      <c r="R17" s="62">
        <f>IF(R3=0,0,R3/TrNavi_act!R3*1000)</f>
        <v>208.36424283483333</v>
      </c>
      <c r="S17" s="62">
        <f>IF(S3=0,0,S3/TrNavi_act!S3*1000)</f>
        <v>356.60177076755576</v>
      </c>
      <c r="T17" s="62">
        <f>IF(T3=0,0,T3/TrNavi_act!T3*1000)</f>
        <v>323.69345083271452</v>
      </c>
      <c r="U17" s="62">
        <f>IF(U3=0,0,U3/TrNavi_act!U3*1000)</f>
        <v>328.11234685152124</v>
      </c>
      <c r="V17" s="62">
        <f>IF(V3=0,0,V3/TrNavi_act!V3*1000)</f>
        <v>304.58297526450696</v>
      </c>
      <c r="W17" s="62">
        <f>IF(W3=0,0,W3/TrNavi_act!W3*1000)</f>
        <v>341.05552013769591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368.97658951839554</v>
      </c>
      <c r="C18" s="63">
        <f>IF(C4=0,0,C4/TrNavi_act!C4*1000)</f>
        <v>366.79597079085312</v>
      </c>
      <c r="D18" s="63">
        <f>IF(D4=0,0,D4/TrNavi_act!D4*1000)</f>
        <v>435.92934430392455</v>
      </c>
      <c r="E18" s="63">
        <f>IF(E4=0,0,E4/TrNavi_act!E4*1000)</f>
        <v>527.35218323249148</v>
      </c>
      <c r="F18" s="63">
        <f>IF(F4=0,0,F4/TrNavi_act!F4*1000)</f>
        <v>539.6470143110414</v>
      </c>
      <c r="G18" s="63">
        <f>IF(G4=0,0,G4/TrNavi_act!G4*1000)</f>
        <v>472.07215308811169</v>
      </c>
      <c r="H18" s="63">
        <f>IF(H4=0,0,H4/TrNavi_act!H4*1000)</f>
        <v>485.59421090023716</v>
      </c>
      <c r="I18" s="63">
        <f>IF(I4=0,0,I4/TrNavi_act!I4*1000)</f>
        <v>457.43031710648125</v>
      </c>
      <c r="J18" s="63">
        <f>IF(J4=0,0,J4/TrNavi_act!J4*1000)</f>
        <v>447.27689461147622</v>
      </c>
      <c r="K18" s="63">
        <f>IF(K4=0,0,K4/TrNavi_act!K4*1000)</f>
        <v>437.45358234370343</v>
      </c>
      <c r="L18" s="63">
        <f>IF(L4=0,0,L4/TrNavi_act!L4*1000)</f>
        <v>393.74269629921821</v>
      </c>
      <c r="M18" s="63">
        <f>IF(M4=0,0,M4/TrNavi_act!M4*1000)</f>
        <v>300.70103021991235</v>
      </c>
      <c r="N18" s="63">
        <f>IF(N4=0,0,N4/TrNavi_act!N4*1000)</f>
        <v>372.49751086658404</v>
      </c>
      <c r="O18" s="63">
        <f>IF(O4=0,0,O4/TrNavi_act!O4*1000)</f>
        <v>218.75071380134713</v>
      </c>
      <c r="P18" s="63">
        <f>IF(P4=0,0,P4/TrNavi_act!P4*1000)</f>
        <v>133.60088731830146</v>
      </c>
      <c r="Q18" s="63">
        <f>IF(Q4=0,0,Q4/TrNavi_act!Q4*1000)</f>
        <v>155.11224876245635</v>
      </c>
      <c r="R18" s="63">
        <f>IF(R4=0,0,R4/TrNavi_act!R4*1000)</f>
        <v>208.36424283483333</v>
      </c>
      <c r="S18" s="63">
        <f>IF(S4=0,0,S4/TrNavi_act!S4*1000)</f>
        <v>356.60177076755576</v>
      </c>
      <c r="T18" s="63">
        <f>IF(T4=0,0,T4/TrNavi_act!T4*1000)</f>
        <v>323.69345083271452</v>
      </c>
      <c r="U18" s="63">
        <f>IF(U4=0,0,U4/TrNavi_act!U4*1000)</f>
        <v>328.11234685152124</v>
      </c>
      <c r="V18" s="63">
        <f>IF(V4=0,0,V4/TrNavi_act!V4*1000)</f>
        <v>304.58297526450696</v>
      </c>
      <c r="W18" s="63">
        <f>IF(W4=0,0,W4/TrNavi_act!W4*1000)</f>
        <v>341.05552013769591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1</v>
      </c>
      <c r="C22" s="77">
        <f t="shared" si="5"/>
        <v>1</v>
      </c>
      <c r="D22" s="77">
        <f t="shared" si="5"/>
        <v>1</v>
      </c>
      <c r="E22" s="77">
        <f t="shared" si="5"/>
        <v>1</v>
      </c>
      <c r="F22" s="77">
        <f t="shared" si="5"/>
        <v>1</v>
      </c>
      <c r="G22" s="77">
        <f t="shared" si="5"/>
        <v>1</v>
      </c>
      <c r="H22" s="77">
        <f t="shared" si="5"/>
        <v>1</v>
      </c>
      <c r="I22" s="77">
        <f t="shared" si="5"/>
        <v>1</v>
      </c>
      <c r="J22" s="77">
        <f t="shared" si="5"/>
        <v>1</v>
      </c>
      <c r="K22" s="77">
        <f t="shared" si="5"/>
        <v>1</v>
      </c>
      <c r="L22" s="77">
        <f t="shared" si="5"/>
        <v>1</v>
      </c>
      <c r="M22" s="77">
        <f t="shared" si="5"/>
        <v>1</v>
      </c>
      <c r="N22" s="77">
        <f t="shared" si="5"/>
        <v>1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1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1</v>
      </c>
      <c r="W22" s="77">
        <f t="shared" si="6"/>
        <v>1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610521.44012199994</v>
      </c>
      <c r="C3" s="54">
        <f t="shared" si="0"/>
        <v>733609.77781699994</v>
      </c>
      <c r="D3" s="54">
        <f t="shared" si="0"/>
        <v>775781.49471899995</v>
      </c>
      <c r="E3" s="54">
        <f t="shared" si="0"/>
        <v>820706.49188799993</v>
      </c>
      <c r="F3" s="54">
        <f t="shared" si="0"/>
        <v>920636.79541299993</v>
      </c>
      <c r="G3" s="54">
        <f t="shared" si="0"/>
        <v>1018630.5638059999</v>
      </c>
      <c r="H3" s="54">
        <f t="shared" si="0"/>
        <v>1095158.411202</v>
      </c>
      <c r="I3" s="54">
        <f t="shared" si="0"/>
        <v>1188923.1658719999</v>
      </c>
      <c r="J3" s="54">
        <f t="shared" si="0"/>
        <v>1136546.2627119999</v>
      </c>
      <c r="K3" s="54">
        <f t="shared" si="0"/>
        <v>932697.11116199999</v>
      </c>
      <c r="L3" s="54">
        <f t="shared" si="0"/>
        <v>958009.68282700004</v>
      </c>
      <c r="M3" s="54">
        <f t="shared" si="0"/>
        <v>1063270.4440319999</v>
      </c>
      <c r="N3" s="54">
        <f t="shared" si="0"/>
        <v>1109290.8522910001</v>
      </c>
      <c r="O3" s="54">
        <f t="shared" si="0"/>
        <v>1019308.0460340001</v>
      </c>
      <c r="P3" s="54">
        <f t="shared" si="0"/>
        <v>1042546.029128</v>
      </c>
      <c r="Q3" s="54">
        <f t="shared" si="0"/>
        <v>991372.90810100001</v>
      </c>
      <c r="R3" s="54">
        <f t="shared" ref="R3:W3" si="1">SUM(R4:R5)</f>
        <v>994201.95229200006</v>
      </c>
      <c r="S3" s="54">
        <f t="shared" si="1"/>
        <v>1048425.906704</v>
      </c>
      <c r="T3" s="54">
        <f t="shared" si="1"/>
        <v>1125298.307359</v>
      </c>
      <c r="U3" s="54">
        <f t="shared" si="1"/>
        <v>1235182.3276750001</v>
      </c>
      <c r="V3" s="54">
        <f t="shared" si="1"/>
        <v>1137730.271861</v>
      </c>
      <c r="W3" s="54">
        <f t="shared" si="1"/>
        <v>1177322.4844229999</v>
      </c>
      <c r="DA3" s="172" t="s">
        <v>387</v>
      </c>
    </row>
    <row r="4" spans="1:105" ht="11.45" customHeight="1" x14ac:dyDescent="0.25">
      <c r="A4" s="55" t="s">
        <v>170</v>
      </c>
      <c r="B4" s="56">
        <v>81249.036166000005</v>
      </c>
      <c r="C4" s="56">
        <v>93100.742295000004</v>
      </c>
      <c r="D4" s="56">
        <v>96568.344681000002</v>
      </c>
      <c r="E4" s="56">
        <v>101746.349131</v>
      </c>
      <c r="F4" s="56">
        <v>113810.029779</v>
      </c>
      <c r="G4" s="56">
        <v>120262.57239300001</v>
      </c>
      <c r="H4" s="56">
        <v>116580.53730700001</v>
      </c>
      <c r="I4" s="56">
        <v>115940.437091</v>
      </c>
      <c r="J4" s="56">
        <v>109487.862492</v>
      </c>
      <c r="K4" s="56">
        <v>102737.40494200001</v>
      </c>
      <c r="L4" s="56">
        <v>104662.475796</v>
      </c>
      <c r="M4" s="56">
        <v>106646.28104900001</v>
      </c>
      <c r="N4" s="56">
        <v>106470.35304399999</v>
      </c>
      <c r="O4" s="56">
        <v>106516.72536</v>
      </c>
      <c r="P4" s="56">
        <v>116223.69357399999</v>
      </c>
      <c r="Q4" s="56">
        <v>111854.70970000001</v>
      </c>
      <c r="R4" s="56">
        <v>116539.993187</v>
      </c>
      <c r="S4" s="56">
        <v>116937.506003</v>
      </c>
      <c r="T4" s="56">
        <v>126731.68619600001</v>
      </c>
      <c r="U4" s="56">
        <v>140628.78663300001</v>
      </c>
      <c r="V4" s="56">
        <v>138481.43329699998</v>
      </c>
      <c r="W4" s="56">
        <v>145923.169689</v>
      </c>
      <c r="DA4" s="181" t="s">
        <v>388</v>
      </c>
    </row>
    <row r="5" spans="1:105" ht="11.45" customHeight="1" x14ac:dyDescent="0.25">
      <c r="A5" s="57" t="s">
        <v>171</v>
      </c>
      <c r="B5" s="58">
        <v>529272.40395599999</v>
      </c>
      <c r="C5" s="58">
        <v>640509.03552199993</v>
      </c>
      <c r="D5" s="58">
        <v>679213.15003799996</v>
      </c>
      <c r="E5" s="58">
        <v>718960.14275699994</v>
      </c>
      <c r="F5" s="58">
        <v>806826.76563399995</v>
      </c>
      <c r="G5" s="58">
        <v>898367.99141299992</v>
      </c>
      <c r="H5" s="58">
        <v>978577.87389499997</v>
      </c>
      <c r="I5" s="58">
        <v>1072982.728781</v>
      </c>
      <c r="J5" s="58">
        <v>1027058.40022</v>
      </c>
      <c r="K5" s="58">
        <v>829959.70621999993</v>
      </c>
      <c r="L5" s="58">
        <v>853347.20703100006</v>
      </c>
      <c r="M5" s="58">
        <v>956624.16298299993</v>
      </c>
      <c r="N5" s="58">
        <v>1002820.499247</v>
      </c>
      <c r="O5" s="58">
        <v>912791.32067400008</v>
      </c>
      <c r="P5" s="58">
        <v>926322.33555399999</v>
      </c>
      <c r="Q5" s="58">
        <v>879518.198401</v>
      </c>
      <c r="R5" s="58">
        <v>877661.95910500002</v>
      </c>
      <c r="S5" s="58">
        <v>931488.40070100001</v>
      </c>
      <c r="T5" s="58">
        <v>998566.621163</v>
      </c>
      <c r="U5" s="58">
        <v>1094553.5410420001</v>
      </c>
      <c r="V5" s="58">
        <v>999248.83856399998</v>
      </c>
      <c r="W5" s="58">
        <v>1031399.314734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38.121282000000001</v>
      </c>
      <c r="C7" s="59">
        <f t="shared" si="2"/>
        <v>42.773868999999998</v>
      </c>
      <c r="D7" s="59">
        <f t="shared" si="2"/>
        <v>44.37612</v>
      </c>
      <c r="E7" s="59">
        <f t="shared" si="2"/>
        <v>48.045041999999995</v>
      </c>
      <c r="F7" s="59">
        <f t="shared" si="2"/>
        <v>52.956307000000002</v>
      </c>
      <c r="G7" s="59">
        <f t="shared" si="2"/>
        <v>55.308869999999999</v>
      </c>
      <c r="H7" s="59">
        <f t="shared" si="2"/>
        <v>54.462754000000004</v>
      </c>
      <c r="I7" s="59">
        <f t="shared" si="2"/>
        <v>55.615917000000003</v>
      </c>
      <c r="J7" s="59">
        <f t="shared" si="2"/>
        <v>50.720769000000004</v>
      </c>
      <c r="K7" s="59">
        <f t="shared" si="2"/>
        <v>41.396636000000001</v>
      </c>
      <c r="L7" s="59">
        <f t="shared" si="2"/>
        <v>41.681163999999995</v>
      </c>
      <c r="M7" s="59">
        <f t="shared" si="2"/>
        <v>40.798116</v>
      </c>
      <c r="N7" s="59">
        <f t="shared" si="2"/>
        <v>39.195824999999999</v>
      </c>
      <c r="O7" s="59">
        <f t="shared" si="2"/>
        <v>36.280192</v>
      </c>
      <c r="P7" s="59">
        <f t="shared" si="2"/>
        <v>37.074381000000002</v>
      </c>
      <c r="Q7" s="59">
        <f t="shared" si="2"/>
        <v>35.373674000000001</v>
      </c>
      <c r="R7" s="59">
        <f t="shared" si="2"/>
        <v>35.534492999999998</v>
      </c>
      <c r="S7" s="59">
        <f t="shared" si="2"/>
        <v>36.749843999999996</v>
      </c>
      <c r="T7" s="59">
        <f t="shared" si="2"/>
        <v>40.557352999999999</v>
      </c>
      <c r="U7" s="59">
        <f t="shared" si="2"/>
        <v>44.830683999999998</v>
      </c>
      <c r="V7" s="59">
        <f t="shared" si="2"/>
        <v>39.678713000000002</v>
      </c>
      <c r="W7" s="59">
        <f t="shared" si="2"/>
        <v>41.848488000000003</v>
      </c>
      <c r="DA7" s="172" t="s">
        <v>961</v>
      </c>
    </row>
    <row r="8" spans="1:105" ht="11.45" customHeight="1" x14ac:dyDescent="0.25">
      <c r="A8" s="55" t="s">
        <v>170</v>
      </c>
      <c r="B8" s="60">
        <v>13.253571000000001</v>
      </c>
      <c r="C8" s="60">
        <v>14.418359000000001</v>
      </c>
      <c r="D8" s="60">
        <v>14.633570000000001</v>
      </c>
      <c r="E8" s="60">
        <v>15.475581</v>
      </c>
      <c r="F8" s="60">
        <v>17.086956999999998</v>
      </c>
      <c r="G8" s="60">
        <v>17.441665</v>
      </c>
      <c r="H8" s="60">
        <v>16.077518000000001</v>
      </c>
      <c r="I8" s="60">
        <v>15.437015000000001</v>
      </c>
      <c r="J8" s="60">
        <v>14.005784999999999</v>
      </c>
      <c r="K8" s="60">
        <v>12.646749</v>
      </c>
      <c r="L8" s="60">
        <v>13.055099999999999</v>
      </c>
      <c r="M8" s="60">
        <v>12.724355000000001</v>
      </c>
      <c r="N8" s="60">
        <v>12.342298</v>
      </c>
      <c r="O8" s="60">
        <v>12.162986</v>
      </c>
      <c r="P8" s="60">
        <v>13.011170000000002</v>
      </c>
      <c r="Q8" s="60">
        <v>12.700150000000001</v>
      </c>
      <c r="R8" s="60">
        <v>13.015077999999999</v>
      </c>
      <c r="S8" s="60">
        <v>13.007296999999999</v>
      </c>
      <c r="T8" s="60">
        <v>15.289477999999999</v>
      </c>
      <c r="U8" s="60">
        <v>17.176627</v>
      </c>
      <c r="V8" s="60">
        <v>14.780740999999999</v>
      </c>
      <c r="W8" s="60">
        <v>16.504280000000001</v>
      </c>
      <c r="DA8" s="181" t="s">
        <v>962</v>
      </c>
    </row>
    <row r="9" spans="1:105" ht="11.45" customHeight="1" x14ac:dyDescent="0.25">
      <c r="A9" s="57" t="s">
        <v>171</v>
      </c>
      <c r="B9" s="61">
        <v>24.867711</v>
      </c>
      <c r="C9" s="61">
        <v>28.355509999999999</v>
      </c>
      <c r="D9" s="61">
        <v>29.742549999999998</v>
      </c>
      <c r="E9" s="61">
        <v>32.569460999999997</v>
      </c>
      <c r="F9" s="61">
        <v>35.869350000000004</v>
      </c>
      <c r="G9" s="61">
        <v>37.867204999999998</v>
      </c>
      <c r="H9" s="61">
        <v>38.385236000000006</v>
      </c>
      <c r="I9" s="61">
        <v>40.178902000000001</v>
      </c>
      <c r="J9" s="61">
        <v>36.714984000000001</v>
      </c>
      <c r="K9" s="61">
        <v>28.749887000000001</v>
      </c>
      <c r="L9" s="61">
        <v>28.626064</v>
      </c>
      <c r="M9" s="61">
        <v>28.073761000000001</v>
      </c>
      <c r="N9" s="61">
        <v>26.853527</v>
      </c>
      <c r="O9" s="61">
        <v>24.117205999999999</v>
      </c>
      <c r="P9" s="61">
        <v>24.063210999999999</v>
      </c>
      <c r="Q9" s="61">
        <v>22.673524</v>
      </c>
      <c r="R9" s="61">
        <v>22.519415000000002</v>
      </c>
      <c r="S9" s="61">
        <v>23.742546999999998</v>
      </c>
      <c r="T9" s="61">
        <v>25.267875</v>
      </c>
      <c r="U9" s="61">
        <v>27.654056999999998</v>
      </c>
      <c r="V9" s="61">
        <v>24.897971999999999</v>
      </c>
      <c r="W9" s="61">
        <v>25.344208000000002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16015.238945059611</v>
      </c>
      <c r="C13" s="62">
        <f t="shared" si="3"/>
        <v>17150.886626996496</v>
      </c>
      <c r="D13" s="62">
        <f t="shared" si="3"/>
        <v>17481.958646204308</v>
      </c>
      <c r="E13" s="62">
        <f t="shared" si="3"/>
        <v>17082.022571402893</v>
      </c>
      <c r="F13" s="62">
        <f t="shared" si="3"/>
        <v>17384.837568318348</v>
      </c>
      <c r="G13" s="62">
        <f t="shared" si="3"/>
        <v>18417.128460697171</v>
      </c>
      <c r="H13" s="62">
        <f t="shared" si="3"/>
        <v>20108.392080246253</v>
      </c>
      <c r="I13" s="62">
        <f t="shared" si="3"/>
        <v>21377.390322845884</v>
      </c>
      <c r="J13" s="62">
        <f t="shared" si="3"/>
        <v>22407.906763243274</v>
      </c>
      <c r="K13" s="62">
        <f t="shared" si="3"/>
        <v>22530.746487758086</v>
      </c>
      <c r="L13" s="62">
        <f t="shared" si="3"/>
        <v>22984.235344939028</v>
      </c>
      <c r="M13" s="62">
        <f t="shared" si="3"/>
        <v>26061.753538619279</v>
      </c>
      <c r="N13" s="62">
        <f t="shared" si="3"/>
        <v>28301.250255377967</v>
      </c>
      <c r="O13" s="62">
        <f t="shared" si="3"/>
        <v>28095.442439610026</v>
      </c>
      <c r="P13" s="62">
        <f t="shared" si="3"/>
        <v>28120.389363425918</v>
      </c>
      <c r="Q13" s="62">
        <f t="shared" si="3"/>
        <v>28025.726366478077</v>
      </c>
      <c r="R13" s="62">
        <f t="shared" si="3"/>
        <v>27978.503936780529</v>
      </c>
      <c r="S13" s="62">
        <f t="shared" si="3"/>
        <v>28528.717202282547</v>
      </c>
      <c r="T13" s="62">
        <f t="shared" si="3"/>
        <v>27745.851839961055</v>
      </c>
      <c r="U13" s="62">
        <f t="shared" si="3"/>
        <v>27552.163328023282</v>
      </c>
      <c r="V13" s="62">
        <f t="shared" si="3"/>
        <v>28673.567911867503</v>
      </c>
      <c r="W13" s="62">
        <f t="shared" si="3"/>
        <v>28132.975423699892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6130.3505422048138</v>
      </c>
      <c r="C14" s="63">
        <f t="shared" si="3"/>
        <v>6457.096975807025</v>
      </c>
      <c r="D14" s="63">
        <f t="shared" si="3"/>
        <v>6599.0967809632239</v>
      </c>
      <c r="E14" s="63">
        <f t="shared" si="3"/>
        <v>6574.6384016858556</v>
      </c>
      <c r="F14" s="63">
        <f t="shared" si="3"/>
        <v>6660.6376886768085</v>
      </c>
      <c r="G14" s="63">
        <f t="shared" si="3"/>
        <v>6895.1314219714695</v>
      </c>
      <c r="H14" s="63">
        <f t="shared" si="3"/>
        <v>7251.152653475493</v>
      </c>
      <c r="I14" s="63">
        <f t="shared" si="3"/>
        <v>7510.5476733034202</v>
      </c>
      <c r="J14" s="63">
        <f t="shared" si="3"/>
        <v>7817.3313735717065</v>
      </c>
      <c r="K14" s="63">
        <f t="shared" si="3"/>
        <v>8123.6217261843349</v>
      </c>
      <c r="L14" s="63">
        <f t="shared" si="3"/>
        <v>8016.9800151664867</v>
      </c>
      <c r="M14" s="63">
        <f t="shared" si="3"/>
        <v>8381.2720604698625</v>
      </c>
      <c r="N14" s="63">
        <f t="shared" si="3"/>
        <v>8626.4610564418381</v>
      </c>
      <c r="O14" s="63">
        <f t="shared" si="3"/>
        <v>8757.448652822588</v>
      </c>
      <c r="P14" s="63">
        <f t="shared" si="3"/>
        <v>8932.6089486187611</v>
      </c>
      <c r="Q14" s="63">
        <f t="shared" si="3"/>
        <v>8807.3534328334699</v>
      </c>
      <c r="R14" s="63">
        <f t="shared" si="3"/>
        <v>8954.2293320869849</v>
      </c>
      <c r="S14" s="63">
        <f t="shared" si="3"/>
        <v>8990.1465310586827</v>
      </c>
      <c r="T14" s="63">
        <f t="shared" si="3"/>
        <v>8288.8170672667839</v>
      </c>
      <c r="U14" s="63">
        <f t="shared" si="3"/>
        <v>8187.2178183178812</v>
      </c>
      <c r="V14" s="63">
        <f t="shared" si="3"/>
        <v>9369.0453879815632</v>
      </c>
      <c r="W14" s="63">
        <f t="shared" si="3"/>
        <v>8841.5350253994711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21283.519176976119</v>
      </c>
      <c r="C15" s="64">
        <f t="shared" si="3"/>
        <v>22588.521085390457</v>
      </c>
      <c r="D15" s="64">
        <f t="shared" si="3"/>
        <v>22836.412817260119</v>
      </c>
      <c r="E15" s="64">
        <f t="shared" si="3"/>
        <v>22074.671200637924</v>
      </c>
      <c r="F15" s="64">
        <f t="shared" si="3"/>
        <v>22493.487214962075</v>
      </c>
      <c r="G15" s="64">
        <f t="shared" si="3"/>
        <v>23724.169539658393</v>
      </c>
      <c r="H15" s="64">
        <f t="shared" si="3"/>
        <v>25493.600557646689</v>
      </c>
      <c r="I15" s="64">
        <f t="shared" si="3"/>
        <v>26705.128198401242</v>
      </c>
      <c r="J15" s="64">
        <f t="shared" si="3"/>
        <v>27973.821266543378</v>
      </c>
      <c r="K15" s="64">
        <f t="shared" si="3"/>
        <v>28868.277159489353</v>
      </c>
      <c r="L15" s="64">
        <f t="shared" si="3"/>
        <v>29810.14808850424</v>
      </c>
      <c r="M15" s="64">
        <f t="shared" si="3"/>
        <v>34075.383165903557</v>
      </c>
      <c r="N15" s="64">
        <f t="shared" si="3"/>
        <v>37344.088888100247</v>
      </c>
      <c r="O15" s="64">
        <f t="shared" si="3"/>
        <v>37848.137162903535</v>
      </c>
      <c r="P15" s="64">
        <f t="shared" si="3"/>
        <v>38495.375183054333</v>
      </c>
      <c r="Q15" s="64">
        <f t="shared" si="3"/>
        <v>38790.538180169962</v>
      </c>
      <c r="R15" s="64">
        <f t="shared" si="3"/>
        <v>38973.568323377847</v>
      </c>
      <c r="S15" s="64">
        <f t="shared" si="3"/>
        <v>39232.875929486421</v>
      </c>
      <c r="T15" s="64">
        <f t="shared" si="3"/>
        <v>39519.216442340323</v>
      </c>
      <c r="U15" s="64">
        <f t="shared" si="3"/>
        <v>39580.215700068897</v>
      </c>
      <c r="V15" s="64">
        <f t="shared" si="3"/>
        <v>40133.744168561199</v>
      </c>
      <c r="W15" s="64">
        <f t="shared" si="3"/>
        <v>40695.661696510695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0.13308138064695008</v>
      </c>
      <c r="C18" s="66">
        <f t="shared" si="4"/>
        <v>0.126907717304477</v>
      </c>
      <c r="D18" s="66">
        <f t="shared" si="4"/>
        <v>0.12447879375619619</v>
      </c>
      <c r="E18" s="66">
        <f t="shared" si="4"/>
        <v>0.12397410053006515</v>
      </c>
      <c r="F18" s="66">
        <f t="shared" si="4"/>
        <v>0.12362098750131374</v>
      </c>
      <c r="G18" s="66">
        <f t="shared" si="4"/>
        <v>0.11806299228215995</v>
      </c>
      <c r="H18" s="66">
        <f t="shared" si="4"/>
        <v>0.10645084411034755</v>
      </c>
      <c r="I18" s="66">
        <f t="shared" si="4"/>
        <v>9.7517182286514723E-2</v>
      </c>
      <c r="J18" s="66">
        <f t="shared" si="4"/>
        <v>9.6333837067698977E-2</v>
      </c>
      <c r="K18" s="66">
        <f t="shared" si="4"/>
        <v>0.11015087718456069</v>
      </c>
      <c r="L18" s="66">
        <f t="shared" si="4"/>
        <v>0.10924991435070937</v>
      </c>
      <c r="M18" s="66">
        <f t="shared" si="4"/>
        <v>0.10030024030818487</v>
      </c>
      <c r="N18" s="66">
        <f t="shared" si="4"/>
        <v>9.5980556248263044E-2</v>
      </c>
      <c r="O18" s="66">
        <f t="shared" si="4"/>
        <v>0.10449905283730784</v>
      </c>
      <c r="P18" s="66">
        <f t="shared" si="4"/>
        <v>0.11148063522069246</v>
      </c>
      <c r="Q18" s="66">
        <f t="shared" si="4"/>
        <v>0.11282808798382492</v>
      </c>
      <c r="R18" s="66">
        <f t="shared" si="4"/>
        <v>0.11721963824184069</v>
      </c>
      <c r="S18" s="66">
        <f t="shared" si="4"/>
        <v>0.11153626141366874</v>
      </c>
      <c r="T18" s="66">
        <f t="shared" si="4"/>
        <v>0.11262052503520673</v>
      </c>
      <c r="U18" s="66">
        <f t="shared" si="4"/>
        <v>0.11385265436699327</v>
      </c>
      <c r="V18" s="66">
        <f t="shared" si="4"/>
        <v>0.12171727932533967</v>
      </c>
      <c r="W18" s="66">
        <f t="shared" si="4"/>
        <v>0.12394494424398617</v>
      </c>
      <c r="DA18" s="181"/>
    </row>
    <row r="19" spans="1:105" ht="11.45" customHeight="1" x14ac:dyDescent="0.25">
      <c r="A19" s="57" t="s">
        <v>171</v>
      </c>
      <c r="B19" s="67">
        <f t="shared" si="4"/>
        <v>0.86691861935305004</v>
      </c>
      <c r="C19" s="67">
        <f t="shared" si="4"/>
        <v>0.87309228269552297</v>
      </c>
      <c r="D19" s="67">
        <f t="shared" si="4"/>
        <v>0.87552120624380381</v>
      </c>
      <c r="E19" s="67">
        <f t="shared" si="4"/>
        <v>0.87602589946993481</v>
      </c>
      <c r="F19" s="67">
        <f t="shared" si="4"/>
        <v>0.87637901249868633</v>
      </c>
      <c r="G19" s="67">
        <f t="shared" si="4"/>
        <v>0.88193700771784</v>
      </c>
      <c r="H19" s="67">
        <f t="shared" si="4"/>
        <v>0.89354915588965245</v>
      </c>
      <c r="I19" s="67">
        <f t="shared" si="4"/>
        <v>0.90248281771348537</v>
      </c>
      <c r="J19" s="67">
        <f t="shared" si="4"/>
        <v>0.90366616293230106</v>
      </c>
      <c r="K19" s="67">
        <f t="shared" si="4"/>
        <v>0.88984912281543926</v>
      </c>
      <c r="L19" s="67">
        <f t="shared" si="4"/>
        <v>0.8907500856492907</v>
      </c>
      <c r="M19" s="67">
        <f t="shared" si="4"/>
        <v>0.89969975969181515</v>
      </c>
      <c r="N19" s="67">
        <f t="shared" si="4"/>
        <v>0.90401944375173682</v>
      </c>
      <c r="O19" s="67">
        <f t="shared" si="4"/>
        <v>0.89550094716269213</v>
      </c>
      <c r="P19" s="67">
        <f t="shared" si="4"/>
        <v>0.88851936477930749</v>
      </c>
      <c r="Q19" s="67">
        <f t="shared" si="4"/>
        <v>0.88717191201617507</v>
      </c>
      <c r="R19" s="67">
        <f t="shared" si="4"/>
        <v>0.88278036175815922</v>
      </c>
      <c r="S19" s="67">
        <f t="shared" si="4"/>
        <v>0.88846373858633132</v>
      </c>
      <c r="T19" s="67">
        <f t="shared" si="4"/>
        <v>0.8873794749647933</v>
      </c>
      <c r="U19" s="67">
        <f t="shared" si="4"/>
        <v>0.88614734563300668</v>
      </c>
      <c r="V19" s="67">
        <f t="shared" si="4"/>
        <v>0.87828272067466029</v>
      </c>
      <c r="W19" s="67">
        <f t="shared" si="4"/>
        <v>0.87605505575601395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0.34766855427369942</v>
      </c>
      <c r="C22" s="66">
        <f t="shared" si="5"/>
        <v>0.33708334871460893</v>
      </c>
      <c r="D22" s="66">
        <f t="shared" si="5"/>
        <v>0.32976226853541951</v>
      </c>
      <c r="E22" s="66">
        <f t="shared" si="5"/>
        <v>0.32210568158104641</v>
      </c>
      <c r="F22" s="66">
        <f t="shared" si="5"/>
        <v>0.32266141594805692</v>
      </c>
      <c r="G22" s="66">
        <f t="shared" si="5"/>
        <v>0.3153502322502702</v>
      </c>
      <c r="H22" s="66">
        <f t="shared" si="5"/>
        <v>0.29520207516498342</v>
      </c>
      <c r="I22" s="66">
        <f t="shared" si="5"/>
        <v>0.27756469429426112</v>
      </c>
      <c r="J22" s="66">
        <f t="shared" si="5"/>
        <v>0.27613510749413123</v>
      </c>
      <c r="K22" s="66">
        <f t="shared" si="5"/>
        <v>0.30550185285586973</v>
      </c>
      <c r="L22" s="66">
        <f t="shared" si="5"/>
        <v>0.31321342177488137</v>
      </c>
      <c r="M22" s="66">
        <f t="shared" si="5"/>
        <v>0.31188584786611229</v>
      </c>
      <c r="N22" s="66">
        <f t="shared" si="5"/>
        <v>0.31488807800320567</v>
      </c>
      <c r="O22" s="66">
        <f t="shared" si="5"/>
        <v>0.33525142314572093</v>
      </c>
      <c r="P22" s="66">
        <f t="shared" si="5"/>
        <v>0.3509477339621665</v>
      </c>
      <c r="Q22" s="66">
        <f t="shared" si="5"/>
        <v>0.35902829884167531</v>
      </c>
      <c r="R22" s="66">
        <f t="shared" si="5"/>
        <v>0.36626603902861371</v>
      </c>
      <c r="S22" s="66">
        <f t="shared" si="5"/>
        <v>0.35394155686756112</v>
      </c>
      <c r="T22" s="66">
        <f t="shared" si="5"/>
        <v>0.37698411925452824</v>
      </c>
      <c r="U22" s="66">
        <f t="shared" si="5"/>
        <v>0.38314443295132417</v>
      </c>
      <c r="V22" s="66">
        <f t="shared" si="5"/>
        <v>0.37251059529072927</v>
      </c>
      <c r="W22" s="66">
        <f t="shared" si="5"/>
        <v>0.39438175161788402</v>
      </c>
      <c r="DA22" s="181"/>
    </row>
    <row r="23" spans="1:105" ht="11.45" customHeight="1" x14ac:dyDescent="0.25">
      <c r="A23" s="57" t="s">
        <v>171</v>
      </c>
      <c r="B23" s="67">
        <f t="shared" si="5"/>
        <v>0.65233144572630053</v>
      </c>
      <c r="C23" s="67">
        <f t="shared" si="5"/>
        <v>0.66291665128539112</v>
      </c>
      <c r="D23" s="67">
        <f t="shared" si="5"/>
        <v>0.67023773146458043</v>
      </c>
      <c r="E23" s="67">
        <f t="shared" si="5"/>
        <v>0.67789431841895365</v>
      </c>
      <c r="F23" s="67">
        <f t="shared" si="5"/>
        <v>0.67733858405194314</v>
      </c>
      <c r="G23" s="67">
        <f t="shared" si="5"/>
        <v>0.68464976774972985</v>
      </c>
      <c r="H23" s="67">
        <f t="shared" si="5"/>
        <v>0.70479792483501669</v>
      </c>
      <c r="I23" s="67">
        <f t="shared" si="5"/>
        <v>0.72243530570573888</v>
      </c>
      <c r="J23" s="67">
        <f t="shared" si="5"/>
        <v>0.72386489250586872</v>
      </c>
      <c r="K23" s="67">
        <f t="shared" si="5"/>
        <v>0.69449814714413027</v>
      </c>
      <c r="L23" s="67">
        <f t="shared" si="5"/>
        <v>0.68678657822511868</v>
      </c>
      <c r="M23" s="67">
        <f t="shared" si="5"/>
        <v>0.68811415213388782</v>
      </c>
      <c r="N23" s="67">
        <f t="shared" si="5"/>
        <v>0.68511192199679427</v>
      </c>
      <c r="O23" s="67">
        <f t="shared" si="5"/>
        <v>0.66474857685427902</v>
      </c>
      <c r="P23" s="67">
        <f t="shared" si="5"/>
        <v>0.64905226603783339</v>
      </c>
      <c r="Q23" s="67">
        <f t="shared" si="5"/>
        <v>0.64097170115832469</v>
      </c>
      <c r="R23" s="67">
        <f t="shared" si="5"/>
        <v>0.63373396097138646</v>
      </c>
      <c r="S23" s="67">
        <f t="shared" si="5"/>
        <v>0.64605844313243888</v>
      </c>
      <c r="T23" s="67">
        <f t="shared" si="5"/>
        <v>0.62301588074547176</v>
      </c>
      <c r="U23" s="67">
        <f t="shared" si="5"/>
        <v>0.61685556704867583</v>
      </c>
      <c r="V23" s="67">
        <f t="shared" si="5"/>
        <v>0.62748940470927062</v>
      </c>
      <c r="W23" s="67">
        <f t="shared" si="5"/>
        <v>0.60561824838211598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6016.499484092863</v>
      </c>
      <c r="C3" s="62">
        <f t="shared" ref="C3:W3" si="0">SUM(C4,C10)</f>
        <v>6732.4496130696471</v>
      </c>
      <c r="D3" s="62">
        <f t="shared" si="0"/>
        <v>6870.3162510748043</v>
      </c>
      <c r="E3" s="62">
        <f t="shared" si="0"/>
        <v>6996.9666380051567</v>
      </c>
      <c r="F3" s="62">
        <f t="shared" si="0"/>
        <v>7216.1269131556328</v>
      </c>
      <c r="G3" s="62">
        <f t="shared" si="0"/>
        <v>7917.3306964746316</v>
      </c>
      <c r="H3" s="62">
        <f t="shared" si="0"/>
        <v>8267.8943250214961</v>
      </c>
      <c r="I3" s="62">
        <f t="shared" si="0"/>
        <v>8462.6349097162492</v>
      </c>
      <c r="J3" s="62">
        <f t="shared" si="0"/>
        <v>8785.506878761822</v>
      </c>
      <c r="K3" s="62">
        <f t="shared" si="0"/>
        <v>8729.1725709372313</v>
      </c>
      <c r="L3" s="62">
        <f t="shared" si="0"/>
        <v>8418.9500429922628</v>
      </c>
      <c r="M3" s="62">
        <f t="shared" si="0"/>
        <v>8603.8693035253655</v>
      </c>
      <c r="N3" s="62">
        <f t="shared" si="0"/>
        <v>8398.7962166809957</v>
      </c>
      <c r="O3" s="62">
        <f t="shared" si="0"/>
        <v>7226.6073946689594</v>
      </c>
      <c r="P3" s="62">
        <f t="shared" si="0"/>
        <v>7811.4645743766123</v>
      </c>
      <c r="Q3" s="62">
        <f t="shared" si="0"/>
        <v>7488.5783319002576</v>
      </c>
      <c r="R3" s="62">
        <f t="shared" si="0"/>
        <v>7523.0343078245905</v>
      </c>
      <c r="S3" s="62">
        <f t="shared" si="0"/>
        <v>6681.7832330180572</v>
      </c>
      <c r="T3" s="62">
        <f t="shared" si="0"/>
        <v>7002.7944969905411</v>
      </c>
      <c r="U3" s="62">
        <f t="shared" si="0"/>
        <v>7185.404127257093</v>
      </c>
      <c r="V3" s="62">
        <f t="shared" si="0"/>
        <v>6377.7345657781607</v>
      </c>
      <c r="W3" s="62">
        <f t="shared" si="0"/>
        <v>7323.307738607049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1843.7300456686062</v>
      </c>
      <c r="C4" s="71">
        <f t="shared" ref="C4:W4" si="1">SUM(C5:C9)</f>
        <v>2017.8495117058785</v>
      </c>
      <c r="D4" s="71">
        <f t="shared" si="1"/>
        <v>2032.4488569504942</v>
      </c>
      <c r="E4" s="71">
        <f t="shared" si="1"/>
        <v>2057.2417800499234</v>
      </c>
      <c r="F4" s="71">
        <f t="shared" si="1"/>
        <v>2127.181979454178</v>
      </c>
      <c r="G4" s="71">
        <f t="shared" si="1"/>
        <v>2280.5005420840985</v>
      </c>
      <c r="H4" s="71">
        <f t="shared" si="1"/>
        <v>2234.7343271456884</v>
      </c>
      <c r="I4" s="71">
        <f t="shared" si="1"/>
        <v>2173.1314333602131</v>
      </c>
      <c r="J4" s="71">
        <f t="shared" si="1"/>
        <v>2245.9588141520744</v>
      </c>
      <c r="K4" s="71">
        <f t="shared" si="1"/>
        <v>2433.7468046490294</v>
      </c>
      <c r="L4" s="71">
        <f t="shared" si="1"/>
        <v>2350.3633064209052</v>
      </c>
      <c r="M4" s="71">
        <f t="shared" si="1"/>
        <v>2295.6091505318768</v>
      </c>
      <c r="N4" s="71">
        <f t="shared" si="1"/>
        <v>2196.0924036149763</v>
      </c>
      <c r="O4" s="71">
        <f t="shared" si="1"/>
        <v>1992.9781876252896</v>
      </c>
      <c r="P4" s="71">
        <f t="shared" si="1"/>
        <v>2239.6957142486858</v>
      </c>
      <c r="Q4" s="71">
        <f t="shared" si="1"/>
        <v>2162.3233107483602</v>
      </c>
      <c r="R4" s="71">
        <f t="shared" si="1"/>
        <v>2216.2811782211193</v>
      </c>
      <c r="S4" s="71">
        <f t="shared" si="1"/>
        <v>1914.6530706832771</v>
      </c>
      <c r="T4" s="71">
        <f t="shared" si="1"/>
        <v>2036.4023439365328</v>
      </c>
      <c r="U4" s="71">
        <f t="shared" si="1"/>
        <v>2109.5489828708878</v>
      </c>
      <c r="V4" s="71">
        <f t="shared" si="1"/>
        <v>1720.3443318354321</v>
      </c>
      <c r="W4" s="71">
        <f t="shared" si="1"/>
        <v>2052.3418532557921</v>
      </c>
      <c r="DA4" s="186" t="s">
        <v>969</v>
      </c>
    </row>
    <row r="5" spans="1:105" ht="11.45" customHeight="1" x14ac:dyDescent="0.25">
      <c r="A5" s="72" t="s">
        <v>145</v>
      </c>
      <c r="B5" s="73">
        <v>687.2599847795509</v>
      </c>
      <c r="C5" s="73">
        <v>701.94913091111471</v>
      </c>
      <c r="D5" s="73">
        <v>662.8343885195394</v>
      </c>
      <c r="E5" s="73">
        <v>655.65171692132742</v>
      </c>
      <c r="F5" s="73">
        <v>649.46548674930477</v>
      </c>
      <c r="G5" s="73">
        <v>680.76727097901778</v>
      </c>
      <c r="H5" s="73">
        <v>704.15349901855916</v>
      </c>
      <c r="I5" s="73">
        <v>736.8130735715697</v>
      </c>
      <c r="J5" s="73">
        <v>944.10949073248923</v>
      </c>
      <c r="K5" s="73">
        <v>960.37153696171242</v>
      </c>
      <c r="L5" s="73">
        <v>1010.2988348538191</v>
      </c>
      <c r="M5" s="73">
        <v>878.54584495125562</v>
      </c>
      <c r="N5" s="73">
        <v>772.88426852858345</v>
      </c>
      <c r="O5" s="73">
        <v>827.31982751600356</v>
      </c>
      <c r="P5" s="73">
        <v>877.70016508252536</v>
      </c>
      <c r="Q5" s="73">
        <v>1154.3009769456273</v>
      </c>
      <c r="R5" s="73">
        <v>1093.0219841829576</v>
      </c>
      <c r="S5" s="73">
        <v>880.87093055985883</v>
      </c>
      <c r="T5" s="73">
        <v>870.39869479321726</v>
      </c>
      <c r="U5" s="73">
        <v>1117.5851789423164</v>
      </c>
      <c r="V5" s="73">
        <v>1656.6070258972582</v>
      </c>
      <c r="W5" s="73">
        <v>1873.5341751538451</v>
      </c>
      <c r="DA5" s="187" t="s">
        <v>970</v>
      </c>
    </row>
    <row r="6" spans="1:105" ht="11.45" customHeight="1" x14ac:dyDescent="0.25">
      <c r="A6" s="72" t="s">
        <v>146</v>
      </c>
      <c r="B6" s="73">
        <v>1156.4700608890553</v>
      </c>
      <c r="C6" s="73">
        <v>1315.9003807947638</v>
      </c>
      <c r="D6" s="73">
        <v>1369.6144684309547</v>
      </c>
      <c r="E6" s="73">
        <v>1401.5900631285958</v>
      </c>
      <c r="F6" s="73">
        <v>1477.716492704873</v>
      </c>
      <c r="G6" s="73">
        <v>1599.7332711050808</v>
      </c>
      <c r="H6" s="73">
        <v>1530.5808281271291</v>
      </c>
      <c r="I6" s="73">
        <v>1436.3183597886436</v>
      </c>
      <c r="J6" s="73">
        <v>1301.8493234195851</v>
      </c>
      <c r="K6" s="73">
        <v>1473.3752676873169</v>
      </c>
      <c r="L6" s="73">
        <v>1340.064471567086</v>
      </c>
      <c r="M6" s="73">
        <v>1417.0633055806211</v>
      </c>
      <c r="N6" s="73">
        <v>1423.208135086393</v>
      </c>
      <c r="O6" s="73">
        <v>1165.6583601092861</v>
      </c>
      <c r="P6" s="73">
        <v>1361.9955491661603</v>
      </c>
      <c r="Q6" s="73">
        <v>1006.6692332481723</v>
      </c>
      <c r="R6" s="73">
        <v>1123.2591940381619</v>
      </c>
      <c r="S6" s="73">
        <v>1033.5665513962226</v>
      </c>
      <c r="T6" s="73">
        <v>1165.4785615143423</v>
      </c>
      <c r="U6" s="73">
        <v>981.50646419926352</v>
      </c>
      <c r="V6" s="73">
        <v>58.035586104160252</v>
      </c>
      <c r="W6" s="73">
        <v>151.6745937662192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1.3531005545604968</v>
      </c>
      <c r="R8" s="73">
        <v>0</v>
      </c>
      <c r="S8" s="73">
        <v>0.21558872719563493</v>
      </c>
      <c r="T8" s="73">
        <v>0.5250876289734131</v>
      </c>
      <c r="U8" s="73">
        <v>10.457339729307769</v>
      </c>
      <c r="V8" s="73">
        <v>5.7017198340135202</v>
      </c>
      <c r="W8" s="73">
        <v>27.133084335727801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4172.7694384242568</v>
      </c>
      <c r="C10" s="71">
        <f t="shared" ref="C10:W10" si="2">SUM(C11:C15)</f>
        <v>4714.6001013637688</v>
      </c>
      <c r="D10" s="71">
        <f t="shared" si="2"/>
        <v>4837.8673941243105</v>
      </c>
      <c r="E10" s="71">
        <f t="shared" si="2"/>
        <v>4939.7248579552333</v>
      </c>
      <c r="F10" s="71">
        <f t="shared" si="2"/>
        <v>5088.9449337014548</v>
      </c>
      <c r="G10" s="71">
        <f t="shared" si="2"/>
        <v>5636.8301543905336</v>
      </c>
      <c r="H10" s="71">
        <f t="shared" si="2"/>
        <v>6033.1599978758077</v>
      </c>
      <c r="I10" s="71">
        <f t="shared" si="2"/>
        <v>6289.5034763560361</v>
      </c>
      <c r="J10" s="71">
        <f t="shared" si="2"/>
        <v>6539.5480646097467</v>
      </c>
      <c r="K10" s="71">
        <f t="shared" si="2"/>
        <v>6295.4257662882019</v>
      </c>
      <c r="L10" s="71">
        <f t="shared" si="2"/>
        <v>6068.5867365713566</v>
      </c>
      <c r="M10" s="71">
        <f t="shared" si="2"/>
        <v>6308.2601529934882</v>
      </c>
      <c r="N10" s="71">
        <f t="shared" si="2"/>
        <v>6202.7038130660185</v>
      </c>
      <c r="O10" s="71">
        <f t="shared" si="2"/>
        <v>5233.6292070436693</v>
      </c>
      <c r="P10" s="71">
        <f t="shared" si="2"/>
        <v>5571.768860127926</v>
      </c>
      <c r="Q10" s="71">
        <f t="shared" si="2"/>
        <v>5326.2550211518974</v>
      </c>
      <c r="R10" s="71">
        <f t="shared" si="2"/>
        <v>5306.7531296034713</v>
      </c>
      <c r="S10" s="71">
        <f t="shared" si="2"/>
        <v>4767.1301623347799</v>
      </c>
      <c r="T10" s="71">
        <f t="shared" si="2"/>
        <v>4966.3921530540083</v>
      </c>
      <c r="U10" s="71">
        <f t="shared" si="2"/>
        <v>5075.8551443862052</v>
      </c>
      <c r="V10" s="71">
        <f t="shared" si="2"/>
        <v>4657.3902339427286</v>
      </c>
      <c r="W10" s="71">
        <f t="shared" si="2"/>
        <v>5270.9658853512565</v>
      </c>
      <c r="DA10" s="186" t="s">
        <v>975</v>
      </c>
    </row>
    <row r="11" spans="1:105" ht="11.45" customHeight="1" x14ac:dyDescent="0.25">
      <c r="A11" s="72" t="s">
        <v>145</v>
      </c>
      <c r="B11" s="73">
        <v>305.88515709491156</v>
      </c>
      <c r="C11" s="73">
        <v>323.03418809146439</v>
      </c>
      <c r="D11" s="73">
        <v>310.79699583127734</v>
      </c>
      <c r="E11" s="73">
        <v>305.65524782501808</v>
      </c>
      <c r="F11" s="73">
        <v>298.48997326789208</v>
      </c>
      <c r="G11" s="73">
        <v>325.72937562459322</v>
      </c>
      <c r="H11" s="73">
        <v>371.15458352658288</v>
      </c>
      <c r="I11" s="73">
        <v>415.52286795895435</v>
      </c>
      <c r="J11" s="73">
        <v>536.87838544979775</v>
      </c>
      <c r="K11" s="73">
        <v>482.61590929796068</v>
      </c>
      <c r="L11" s="73">
        <v>504.58130272141682</v>
      </c>
      <c r="M11" s="73">
        <v>470.98124017342241</v>
      </c>
      <c r="N11" s="73">
        <v>424.64126887468353</v>
      </c>
      <c r="O11" s="73">
        <v>421.55755855450349</v>
      </c>
      <c r="P11" s="73">
        <v>420.47507137491249</v>
      </c>
      <c r="Q11" s="73">
        <v>550.58105228911063</v>
      </c>
      <c r="R11" s="73">
        <v>509.15626173277741</v>
      </c>
      <c r="S11" s="73">
        <v>424.49355783223018</v>
      </c>
      <c r="T11" s="73">
        <v>412.37095267023966</v>
      </c>
      <c r="U11" s="73">
        <v>519.51232750652275</v>
      </c>
      <c r="V11" s="73">
        <v>874.01300849655092</v>
      </c>
      <c r="W11" s="73">
        <v>936.57769071029873</v>
      </c>
      <c r="DA11" s="187" t="s">
        <v>976</v>
      </c>
    </row>
    <row r="12" spans="1:105" ht="11.45" customHeight="1" x14ac:dyDescent="0.25">
      <c r="A12" s="72" t="s">
        <v>146</v>
      </c>
      <c r="B12" s="73">
        <v>3866.884281329345</v>
      </c>
      <c r="C12" s="73">
        <v>4391.565913272304</v>
      </c>
      <c r="D12" s="73">
        <v>4527.0703982930336</v>
      </c>
      <c r="E12" s="73">
        <v>4634.0696101302156</v>
      </c>
      <c r="F12" s="73">
        <v>4790.4549604335625</v>
      </c>
      <c r="G12" s="73">
        <v>5311.10077876594</v>
      </c>
      <c r="H12" s="73">
        <v>5662.0054143492252</v>
      </c>
      <c r="I12" s="73">
        <v>5873.9806083970816</v>
      </c>
      <c r="J12" s="73">
        <v>6002.6696791599488</v>
      </c>
      <c r="K12" s="73">
        <v>5812.8098569902413</v>
      </c>
      <c r="L12" s="73">
        <v>5564.0054338499394</v>
      </c>
      <c r="M12" s="73">
        <v>5837.2789128200657</v>
      </c>
      <c r="N12" s="73">
        <v>5778.0625441913353</v>
      </c>
      <c r="O12" s="73">
        <v>4812.0716484891655</v>
      </c>
      <c r="P12" s="73">
        <v>5151.2937887530134</v>
      </c>
      <c r="Q12" s="73">
        <v>4772.3409989100383</v>
      </c>
      <c r="R12" s="73">
        <v>4797.596867870694</v>
      </c>
      <c r="S12" s="73">
        <v>4342.0998286553686</v>
      </c>
      <c r="T12" s="73">
        <v>4552.7406130342379</v>
      </c>
      <c r="U12" s="73">
        <v>4531.1810680449316</v>
      </c>
      <c r="V12" s="73">
        <v>3767.9412840592104</v>
      </c>
      <c r="W12" s="73">
        <v>4264.7031362423777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3.3329699527481873</v>
      </c>
      <c r="R14" s="73">
        <v>0</v>
      </c>
      <c r="S14" s="73">
        <v>0.53677584718097737</v>
      </c>
      <c r="T14" s="73">
        <v>1.2805873495304561</v>
      </c>
      <c r="U14" s="73">
        <v>25.161748834750703</v>
      </c>
      <c r="V14" s="73">
        <v>15.435941386966698</v>
      </c>
      <c r="W14" s="73">
        <v>69.685058398580011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15782.521385542237</v>
      </c>
      <c r="C19" s="62">
        <f>IF(C3=0,0,C3/MBunk_act!C7*100)</f>
        <v>15739.632094234094</v>
      </c>
      <c r="D19" s="62">
        <f>IF(D3=0,0,D3/MBunk_act!D7*100)</f>
        <v>15482.012062061316</v>
      </c>
      <c r="E19" s="62">
        <f>IF(E3=0,0,E3/MBunk_act!E7*100)</f>
        <v>14563.347947547132</v>
      </c>
      <c r="F19" s="62">
        <f>IF(F3=0,0,F3/MBunk_act!F7*100)</f>
        <v>13626.567489223962</v>
      </c>
      <c r="G19" s="62">
        <f>IF(G3=0,0,G3/MBunk_act!G7*100)</f>
        <v>14314.757644614023</v>
      </c>
      <c r="H19" s="62">
        <f>IF(H3=0,0,H3/MBunk_act!H7*100)</f>
        <v>15180.823072262368</v>
      </c>
      <c r="I19" s="62">
        <f>IF(I3=0,0,I3/MBunk_act!I7*100)</f>
        <v>15216.210333664461</v>
      </c>
      <c r="J19" s="62">
        <f>IF(J3=0,0,J3/MBunk_act!J7*100)</f>
        <v>17321.320342682149</v>
      </c>
      <c r="K19" s="62">
        <f>IF(K3=0,0,K3/MBunk_act!K7*100)</f>
        <v>21086.671320194306</v>
      </c>
      <c r="L19" s="62">
        <f>IF(L3=0,0,L3/MBunk_act!L7*100)</f>
        <v>20198.452334469988</v>
      </c>
      <c r="M19" s="62">
        <f>IF(M3=0,0,M3/MBunk_act!M7*100)</f>
        <v>21088.888770073023</v>
      </c>
      <c r="N19" s="62">
        <f>IF(N3=0,0,N3/MBunk_act!N7*100)</f>
        <v>21427.782720942843</v>
      </c>
      <c r="O19" s="62">
        <f>IF(O3=0,0,O3/MBunk_act!O7*100)</f>
        <v>19918.878584404847</v>
      </c>
      <c r="P19" s="62">
        <f>IF(P3=0,0,P3/MBunk_act!P7*100)</f>
        <v>21069.710036093689</v>
      </c>
      <c r="Q19" s="62">
        <f>IF(Q3=0,0,Q3/MBunk_act!Q7*100)</f>
        <v>21169.919561932576</v>
      </c>
      <c r="R19" s="62">
        <f>IF(R3=0,0,R3/MBunk_act!R7*100)</f>
        <v>21171.07540502855</v>
      </c>
      <c r="S19" s="62">
        <f>IF(S3=0,0,S3/MBunk_act!S7*100)</f>
        <v>18181.800262929166</v>
      </c>
      <c r="T19" s="62">
        <f>IF(T3=0,0,T3/MBunk_act!T7*100)</f>
        <v>17266.399256851259</v>
      </c>
      <c r="U19" s="62">
        <f>IF(U3=0,0,U3/MBunk_act!U7*100)</f>
        <v>16027.870837877677</v>
      </c>
      <c r="V19" s="62">
        <f>IF(V3=0,0,V3/MBunk_act!V7*100)</f>
        <v>16073.441106263101</v>
      </c>
      <c r="W19" s="62">
        <f>IF(W3=0,0,W3/MBunk_act!W7*100)</f>
        <v>17499.5754652045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13911.194542728192</v>
      </c>
      <c r="C20" s="63">
        <f>IF(C4=0,0,C4/MBunk_act!C8*100)</f>
        <v>13995.001176665655</v>
      </c>
      <c r="D20" s="63">
        <f>IF(D4=0,0,D4/MBunk_act!D8*100)</f>
        <v>13888.947515544698</v>
      </c>
      <c r="E20" s="63">
        <f>IF(E4=0,0,E4/MBunk_act!E8*100)</f>
        <v>13293.470403792424</v>
      </c>
      <c r="F20" s="63">
        <f>IF(F4=0,0,F4/MBunk_act!F8*100)</f>
        <v>12449.156274310155</v>
      </c>
      <c r="G20" s="63">
        <f>IF(G4=0,0,G4/MBunk_act!G8*100)</f>
        <v>13075.016301964853</v>
      </c>
      <c r="H20" s="63">
        <f>IF(H4=0,0,H4/MBunk_act!H8*100)</f>
        <v>13899.747007875769</v>
      </c>
      <c r="I20" s="63">
        <f>IF(I4=0,0,I4/MBunk_act!I8*100)</f>
        <v>14077.407020464858</v>
      </c>
      <c r="J20" s="63">
        <f>IF(J4=0,0,J4/MBunk_act!J8*100)</f>
        <v>16035.936680108074</v>
      </c>
      <c r="K20" s="63">
        <f>IF(K4=0,0,K4/MBunk_act!K8*100)</f>
        <v>19244.050820088465</v>
      </c>
      <c r="L20" s="63">
        <f>IF(L4=0,0,L4/MBunk_act!L8*100)</f>
        <v>18003.410976713356</v>
      </c>
      <c r="M20" s="63">
        <f>IF(M4=0,0,M4/MBunk_act!M8*100)</f>
        <v>18041.064954034031</v>
      </c>
      <c r="N20" s="63">
        <f>IF(N4=0,0,N4/MBunk_act!N8*100)</f>
        <v>17793.221356468432</v>
      </c>
      <c r="O20" s="63">
        <f>IF(O4=0,0,O4/MBunk_act!O8*100)</f>
        <v>16385.599618591106</v>
      </c>
      <c r="P20" s="63">
        <f>IF(P4=0,0,P4/MBunk_act!P8*100)</f>
        <v>17213.638083651858</v>
      </c>
      <c r="Q20" s="63">
        <f>IF(Q4=0,0,Q4/MBunk_act!Q8*100)</f>
        <v>17025.966707073225</v>
      </c>
      <c r="R20" s="63">
        <f>IF(R4=0,0,R4/MBunk_act!R8*100)</f>
        <v>17028.566238489846</v>
      </c>
      <c r="S20" s="63">
        <f>IF(S4=0,0,S4/MBunk_act!S8*100)</f>
        <v>14719.838185314575</v>
      </c>
      <c r="T20" s="63">
        <f>IF(T4=0,0,T4/MBunk_act!T8*100)</f>
        <v>13318.978868582255</v>
      </c>
      <c r="U20" s="63">
        <f>IF(U4=0,0,U4/MBunk_act!U8*100)</f>
        <v>12281.50895324727</v>
      </c>
      <c r="V20" s="63">
        <f>IF(V4=0,0,V4/MBunk_act!V8*100)</f>
        <v>11639.093952295301</v>
      </c>
      <c r="W20" s="63">
        <f>IF(W4=0,0,W4/MBunk_act!W8*100)</f>
        <v>12435.209856205734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16779.86943962899</v>
      </c>
      <c r="C21" s="64">
        <f>IF(C10=0,0,C10/MBunk_act!C9*100)</f>
        <v>16626.751207662175</v>
      </c>
      <c r="D21" s="64">
        <f>IF(D10=0,0,D10/MBunk_act!D9*100)</f>
        <v>16265.812427395469</v>
      </c>
      <c r="E21" s="64">
        <f>IF(E10=0,0,E10/MBunk_act!E9*100)</f>
        <v>15166.738123038738</v>
      </c>
      <c r="F21" s="64">
        <f>IF(F10=0,0,F10/MBunk_act!F9*100)</f>
        <v>14187.446758030057</v>
      </c>
      <c r="G21" s="64">
        <f>IF(G10=0,0,G10/MBunk_act!G9*100)</f>
        <v>14885.783501556383</v>
      </c>
      <c r="H21" s="64">
        <f>IF(H10=0,0,H10/MBunk_act!H9*100)</f>
        <v>15717.39717290212</v>
      </c>
      <c r="I21" s="64">
        <f>IF(I10=0,0,I10/MBunk_act!I9*100)</f>
        <v>15653.746526861378</v>
      </c>
      <c r="J21" s="64">
        <f>IF(J10=0,0,J10/MBunk_act!J9*100)</f>
        <v>17811.659851492095</v>
      </c>
      <c r="K21" s="64">
        <f>IF(K10=0,0,K10/MBunk_act!K9*100)</f>
        <v>21897.219165724728</v>
      </c>
      <c r="L21" s="64">
        <f>IF(L10=0,0,L10/MBunk_act!L9*100)</f>
        <v>21199.515017402871</v>
      </c>
      <c r="M21" s="64">
        <f>IF(M10=0,0,M10/MBunk_act!M9*100)</f>
        <v>22470.306536389933</v>
      </c>
      <c r="N21" s="64">
        <f>IF(N10=0,0,N10/MBunk_act!N9*100)</f>
        <v>23098.283562773777</v>
      </c>
      <c r="O21" s="64">
        <f>IF(O10=0,0,O10/MBunk_act!O9*100)</f>
        <v>21700.810645493799</v>
      </c>
      <c r="P21" s="64">
        <f>IF(P10=0,0,P10/MBunk_act!P9*100)</f>
        <v>23154.718878240841</v>
      </c>
      <c r="Q21" s="64">
        <f>IF(Q10=0,0,Q10/MBunk_act!Q9*100)</f>
        <v>23491.077175087106</v>
      </c>
      <c r="R21" s="64">
        <f>IF(R10=0,0,R10/MBunk_act!R9*100)</f>
        <v>23565.23528521265</v>
      </c>
      <c r="S21" s="64">
        <f>IF(S10=0,0,S10/MBunk_act!S9*100)</f>
        <v>20078.427821306537</v>
      </c>
      <c r="T21" s="64">
        <f>IF(T10=0,0,T10/MBunk_act!T9*100)</f>
        <v>19654.965655220345</v>
      </c>
      <c r="U21" s="64">
        <f>IF(U10=0,0,U10/MBunk_act!U9*100)</f>
        <v>18354.829978061465</v>
      </c>
      <c r="V21" s="64">
        <f>IF(V10=0,0,V10/MBunk_act!V9*100)</f>
        <v>18705.901966404046</v>
      </c>
      <c r="W21" s="64">
        <f>IF(W10=0,0,W10/MBunk_act!W9*100)</f>
        <v>20797.516676596311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9.8546899235685999</v>
      </c>
      <c r="C23" s="62">
        <f>IF(C3=0,0,C3/MBunk_act!C3*1000)</f>
        <v>9.1771535994290776</v>
      </c>
      <c r="D23" s="62">
        <f>IF(D3=0,0,D3/MBunk_act!D3*1000)</f>
        <v>8.8559939852178857</v>
      </c>
      <c r="E23" s="62">
        <f>IF(E3=0,0,E3/MBunk_act!E3*1000)</f>
        <v>8.525540747105504</v>
      </c>
      <c r="F23" s="62">
        <f>IF(F3=0,0,F3/MBunk_act!F3*1000)</f>
        <v>7.8381908577947517</v>
      </c>
      <c r="G23" s="62">
        <f>IF(G3=0,0,G3/MBunk_act!G3*1000)</f>
        <v>7.7725241886444136</v>
      </c>
      <c r="H23" s="62">
        <f>IF(H3=0,0,H3/MBunk_act!H3*1000)</f>
        <v>7.5494962559315981</v>
      </c>
      <c r="I23" s="62">
        <f>IF(I3=0,0,I3/MBunk_act!I3*1000)</f>
        <v>7.1178989127606425</v>
      </c>
      <c r="J23" s="62">
        <f>IF(J3=0,0,J3/MBunk_act!J3*1000)</f>
        <v>7.7300037552347867</v>
      </c>
      <c r="K23" s="62">
        <f>IF(K3=0,0,K3/MBunk_act!K3*1000)</f>
        <v>9.3590646593318993</v>
      </c>
      <c r="L23" s="62">
        <f>IF(L3=0,0,L3/MBunk_act!L3*1000)</f>
        <v>8.7879592387299272</v>
      </c>
      <c r="M23" s="62">
        <f>IF(M3=0,0,M3/MBunk_act!M3*1000)</f>
        <v>8.0918917212622397</v>
      </c>
      <c r="N23" s="62">
        <f>IF(N3=0,0,N3/MBunk_act!N3*1000)</f>
        <v>7.5713201811185051</v>
      </c>
      <c r="O23" s="62">
        <f>IF(O3=0,0,O3/MBunk_act!O3*1000)</f>
        <v>7.0897187781326592</v>
      </c>
      <c r="P23" s="62">
        <f>IF(P3=0,0,P3/MBunk_act!P3*1000)</f>
        <v>7.4926807604938359</v>
      </c>
      <c r="Q23" s="62">
        <f>IF(Q3=0,0,Q3/MBunk_act!Q3*1000)</f>
        <v>7.553745185799781</v>
      </c>
      <c r="R23" s="62">
        <f>IF(R3=0,0,R3/MBunk_act!R3*1000)</f>
        <v>7.5669075990861199</v>
      </c>
      <c r="S23" s="62">
        <f>IF(S3=0,0,S3/MBunk_act!S3*1000)</f>
        <v>6.3731573116349098</v>
      </c>
      <c r="T23" s="62">
        <f>IF(T3=0,0,T3/MBunk_act!T3*1000)</f>
        <v>6.2230561009423653</v>
      </c>
      <c r="U23" s="62">
        <f>IF(U3=0,0,U3/MBunk_act!U3*1000)</f>
        <v>5.8172821665788197</v>
      </c>
      <c r="V23" s="62">
        <f>IF(V3=0,0,V3/MBunk_act!V3*1000)</f>
        <v>5.6056648254124575</v>
      </c>
      <c r="W23" s="62">
        <f>IF(W3=0,0,W3/MBunk_act!W3*1000)</f>
        <v>6.2203073800940505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22.692331289957448</v>
      </c>
      <c r="C24" s="63">
        <f>IF(C4=0,0,C4/MBunk_act!C4*1000)</f>
        <v>21.673828392389172</v>
      </c>
      <c r="D24" s="63">
        <f>IF(D4=0,0,D4/MBunk_act!D4*1000)</f>
        <v>21.046740147243948</v>
      </c>
      <c r="E24" s="63">
        <f>IF(E4=0,0,E4/MBunk_act!E4*1000)</f>
        <v>20.219317917748505</v>
      </c>
      <c r="F24" s="63">
        <f>IF(F4=0,0,F4/MBunk_act!F4*1000)</f>
        <v>18.690637227534413</v>
      </c>
      <c r="G24" s="63">
        <f>IF(G4=0,0,G4/MBunk_act!G4*1000)</f>
        <v>18.962678884264722</v>
      </c>
      <c r="H24" s="63">
        <f>IF(H4=0,0,H4/MBunk_act!H4*1000)</f>
        <v>19.169017219922395</v>
      </c>
      <c r="I24" s="63">
        <f>IF(I4=0,0,I4/MBunk_act!I4*1000)</f>
        <v>18.74351596289527</v>
      </c>
      <c r="J24" s="63">
        <f>IF(J4=0,0,J4/MBunk_act!J4*1000)</f>
        <v>20.513313193196925</v>
      </c>
      <c r="K24" s="63">
        <f>IF(K4=0,0,K4/MBunk_act!K4*1000)</f>
        <v>23.689004078144581</v>
      </c>
      <c r="L24" s="63">
        <f>IF(L4=0,0,L4/MBunk_act!L4*1000)</f>
        <v>22.456599545782307</v>
      </c>
      <c r="M24" s="63">
        <f>IF(M4=0,0,M4/MBunk_act!M4*1000)</f>
        <v>21.525449626106791</v>
      </c>
      <c r="N24" s="63">
        <f>IF(N4=0,0,N4/MBunk_act!N4*1000)</f>
        <v>20.626327807022658</v>
      </c>
      <c r="O24" s="63">
        <f>IF(O4=0,0,O4/MBunk_act!O4*1000)</f>
        <v>18.710471814539172</v>
      </c>
      <c r="P24" s="63">
        <f>IF(P4=0,0,P4/MBunk_act!P4*1000)</f>
        <v>19.270560462980509</v>
      </c>
      <c r="Q24" s="63">
        <f>IF(Q4=0,0,Q4/MBunk_act!Q4*1000)</f>
        <v>19.331535672908373</v>
      </c>
      <c r="R24" s="63">
        <f>IF(R4=0,0,R4/MBunk_act!R4*1000)</f>
        <v>19.017344326293859</v>
      </c>
      <c r="S24" s="63">
        <f>IF(S4=0,0,S4/MBunk_act!S4*1000)</f>
        <v>16.373301741480248</v>
      </c>
      <c r="T24" s="63">
        <f>IF(T4=0,0,T4/MBunk_act!T4*1000)</f>
        <v>16.068612397274386</v>
      </c>
      <c r="U24" s="63">
        <f>IF(U4=0,0,U4/MBunk_act!U4*1000)</f>
        <v>15.000833281568399</v>
      </c>
      <c r="V24" s="63">
        <f>IF(V4=0,0,V4/MBunk_act!V4*1000)</f>
        <v>12.422924076369313</v>
      </c>
      <c r="W24" s="63">
        <f>IF(W4=0,0,W4/MBunk_act!W4*1000)</f>
        <v>14.064537233051222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7.8839731813622995</v>
      </c>
      <c r="C25" s="64">
        <f>IF(C10=0,0,C10/MBunk_act!C5*1000)</f>
        <v>7.360708186608921</v>
      </c>
      <c r="D25" s="64">
        <f>IF(D10=0,0,D10/MBunk_act!D5*1000)</f>
        <v>7.1227528410685892</v>
      </c>
      <c r="E25" s="64">
        <f>IF(E10=0,0,E10/MBunk_act!E5*1000)</f>
        <v>6.8706518820540552</v>
      </c>
      <c r="F25" s="64">
        <f>IF(F10=0,0,F10/MBunk_act!F5*1000)</f>
        <v>6.3073576019786479</v>
      </c>
      <c r="G25" s="64">
        <f>IF(G10=0,0,G10/MBunk_act!G5*1000)</f>
        <v>6.2745224766129901</v>
      </c>
      <c r="H25" s="64">
        <f>IF(H10=0,0,H10/MBunk_act!H5*1000)</f>
        <v>6.1652323834609382</v>
      </c>
      <c r="I25" s="64">
        <f>IF(I10=0,0,I10/MBunk_act!I5*1000)</f>
        <v>5.8617005732249288</v>
      </c>
      <c r="J25" s="64">
        <f>IF(J10=0,0,J10/MBunk_act!J5*1000)</f>
        <v>6.3672601900816446</v>
      </c>
      <c r="K25" s="64">
        <f>IF(K10=0,0,K10/MBunk_act!K5*1000)</f>
        <v>7.5852185583325831</v>
      </c>
      <c r="L25" s="64">
        <f>IF(L10=0,0,L10/MBunk_act!L5*1000)</f>
        <v>7.1115094612958627</v>
      </c>
      <c r="M25" s="64">
        <f>IF(M10=0,0,M10/MBunk_act!M5*1000)</f>
        <v>6.5942931373620253</v>
      </c>
      <c r="N25" s="64">
        <f>IF(N10=0,0,N10/MBunk_act!N5*1000)</f>
        <v>6.1852582966976817</v>
      </c>
      <c r="O25" s="64">
        <f>IF(O10=0,0,O10/MBunk_act!O5*1000)</f>
        <v>5.7336535618888069</v>
      </c>
      <c r="P25" s="64">
        <f>IF(P10=0,0,P10/MBunk_act!P5*1000)</f>
        <v>6.0149352404372847</v>
      </c>
      <c r="Q25" s="64">
        <f>IF(Q10=0,0,Q10/MBunk_act!Q5*1000)</f>
        <v>6.0558781283153049</v>
      </c>
      <c r="R25" s="64">
        <f>IF(R10=0,0,R10/MBunk_act!R5*1000)</f>
        <v>6.0464659252351085</v>
      </c>
      <c r="S25" s="64">
        <f>IF(S10=0,0,S10/MBunk_act!S5*1000)</f>
        <v>5.1177557967949285</v>
      </c>
      <c r="T25" s="64">
        <f>IF(T10=0,0,T10/MBunk_act!T5*1000)</f>
        <v>4.9735210929339928</v>
      </c>
      <c r="U25" s="64">
        <f>IF(U10=0,0,U10/MBunk_act!U5*1000)</f>
        <v>4.6373749241668527</v>
      </c>
      <c r="V25" s="64">
        <f>IF(V10=0,0,V10/MBunk_act!V5*1000)</f>
        <v>4.6608913157565128</v>
      </c>
      <c r="W25" s="64">
        <f>IF(W10=0,0,W10/MBunk_act!W5*1000)</f>
        <v>5.1104996969196641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0.30644564177945649</v>
      </c>
      <c r="C28" s="77">
        <f t="shared" si="3"/>
        <v>0.29971995747114755</v>
      </c>
      <c r="D28" s="77">
        <f t="shared" si="3"/>
        <v>0.29583046582936184</v>
      </c>
      <c r="E28" s="77">
        <f t="shared" si="3"/>
        <v>0.29401909234148432</v>
      </c>
      <c r="F28" s="77">
        <f t="shared" si="3"/>
        <v>0.29478167513602599</v>
      </c>
      <c r="G28" s="77">
        <f t="shared" si="3"/>
        <v>0.28803906638629384</v>
      </c>
      <c r="H28" s="77">
        <f t="shared" si="3"/>
        <v>0.27029062531467202</v>
      </c>
      <c r="I28" s="77">
        <f t="shared" si="3"/>
        <v>0.2567913488581629</v>
      </c>
      <c r="J28" s="77">
        <f t="shared" si="3"/>
        <v>0.25564362365721655</v>
      </c>
      <c r="K28" s="77">
        <f t="shared" si="3"/>
        <v>0.27880612794297449</v>
      </c>
      <c r="L28" s="77">
        <f t="shared" si="3"/>
        <v>0.27917534780685543</v>
      </c>
      <c r="M28" s="77">
        <f t="shared" si="3"/>
        <v>0.26681125311739329</v>
      </c>
      <c r="N28" s="77">
        <f t="shared" si="3"/>
        <v>0.26147704349026579</v>
      </c>
      <c r="O28" s="77">
        <f t="shared" si="3"/>
        <v>0.27578337645621953</v>
      </c>
      <c r="P28" s="77">
        <f t="shared" si="3"/>
        <v>0.28671905158418043</v>
      </c>
      <c r="Q28" s="77">
        <f t="shared" si="3"/>
        <v>0.28874950823939127</v>
      </c>
      <c r="R28" s="77">
        <f t="shared" si="3"/>
        <v>0.29459937141533432</v>
      </c>
      <c r="S28" s="77">
        <f t="shared" si="3"/>
        <v>0.28654821683259818</v>
      </c>
      <c r="T28" s="77">
        <f t="shared" si="3"/>
        <v>0.29079852976003778</v>
      </c>
      <c r="U28" s="77">
        <f t="shared" si="3"/>
        <v>0.29358807737320303</v>
      </c>
      <c r="V28" s="77">
        <f t="shared" si="3"/>
        <v>0.26974222807366544</v>
      </c>
      <c r="W28" s="77">
        <f t="shared" si="3"/>
        <v>0.28024793256143621</v>
      </c>
      <c r="DA28" s="184"/>
    </row>
    <row r="29" spans="1:105" ht="11.45" customHeight="1" x14ac:dyDescent="0.25">
      <c r="A29" s="57" t="s">
        <v>171</v>
      </c>
      <c r="B29" s="78">
        <f>IF(B10=0,0,B10/B$3)</f>
        <v>0.69355435822054357</v>
      </c>
      <c r="C29" s="78">
        <f t="shared" ref="C29:W29" si="4">IF(C10=0,0,C10/C$3)</f>
        <v>0.70028004252885245</v>
      </c>
      <c r="D29" s="78">
        <f t="shared" si="4"/>
        <v>0.70416953417063821</v>
      </c>
      <c r="E29" s="78">
        <f t="shared" si="4"/>
        <v>0.70598090765851562</v>
      </c>
      <c r="F29" s="78">
        <f t="shared" si="4"/>
        <v>0.70521832486397396</v>
      </c>
      <c r="G29" s="78">
        <f t="shared" si="4"/>
        <v>0.71196093361370627</v>
      </c>
      <c r="H29" s="78">
        <f t="shared" si="4"/>
        <v>0.72970937468532793</v>
      </c>
      <c r="I29" s="78">
        <f t="shared" si="4"/>
        <v>0.7432086511418371</v>
      </c>
      <c r="J29" s="78">
        <f t="shared" si="4"/>
        <v>0.7443563763427834</v>
      </c>
      <c r="K29" s="78">
        <f t="shared" si="4"/>
        <v>0.72119387205702545</v>
      </c>
      <c r="L29" s="78">
        <f t="shared" si="4"/>
        <v>0.72082465219314451</v>
      </c>
      <c r="M29" s="78">
        <f t="shared" si="4"/>
        <v>0.7331887468826066</v>
      </c>
      <c r="N29" s="78">
        <f t="shared" si="4"/>
        <v>0.7385229565097341</v>
      </c>
      <c r="O29" s="78">
        <f t="shared" si="4"/>
        <v>0.72421662354378036</v>
      </c>
      <c r="P29" s="78">
        <f t="shared" si="4"/>
        <v>0.71328094841581957</v>
      </c>
      <c r="Q29" s="78">
        <f t="shared" si="4"/>
        <v>0.71125049176060873</v>
      </c>
      <c r="R29" s="78">
        <f t="shared" si="4"/>
        <v>0.70540062858466568</v>
      </c>
      <c r="S29" s="78">
        <f t="shared" si="4"/>
        <v>0.71345178316740177</v>
      </c>
      <c r="T29" s="78">
        <f t="shared" si="4"/>
        <v>0.70920147023996216</v>
      </c>
      <c r="U29" s="78">
        <f t="shared" si="4"/>
        <v>0.70641192262679697</v>
      </c>
      <c r="V29" s="78">
        <f t="shared" si="4"/>
        <v>0.73025777192633456</v>
      </c>
      <c r="W29" s="78">
        <f t="shared" si="4"/>
        <v>0.71975206743856379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19355.958993240001</v>
      </c>
      <c r="C3" s="62">
        <f t="shared" ref="C3:W3" si="1">SUM(C4:C5)</f>
        <v>21670.667130599999</v>
      </c>
      <c r="D3" s="62">
        <f t="shared" si="1"/>
        <v>22127.662020960001</v>
      </c>
      <c r="E3" s="62">
        <f t="shared" si="1"/>
        <v>22540.610042999993</v>
      </c>
      <c r="F3" s="62">
        <f t="shared" si="1"/>
        <v>23251.343281560003</v>
      </c>
      <c r="G3" s="62">
        <f t="shared" si="1"/>
        <v>25516.058633639997</v>
      </c>
      <c r="H3" s="62">
        <f t="shared" si="1"/>
        <v>26642.252313000012</v>
      </c>
      <c r="I3" s="62">
        <f t="shared" si="1"/>
        <v>27262.353237120002</v>
      </c>
      <c r="J3" s="62">
        <f t="shared" si="1"/>
        <v>28263.568353479994</v>
      </c>
      <c r="K3" s="62">
        <f t="shared" si="1"/>
        <v>28086.262648560005</v>
      </c>
      <c r="L3" s="62">
        <f t="shared" si="1"/>
        <v>27071.027725679996</v>
      </c>
      <c r="M3" s="62">
        <f t="shared" si="1"/>
        <v>27693.119879999998</v>
      </c>
      <c r="N3" s="62">
        <f t="shared" si="1"/>
        <v>27049.564682639997</v>
      </c>
      <c r="O3" s="62">
        <f t="shared" si="1"/>
        <v>23243.894281439992</v>
      </c>
      <c r="P3" s="62">
        <f t="shared" si="1"/>
        <v>25133.0207094</v>
      </c>
      <c r="Q3" s="62">
        <f t="shared" si="1"/>
        <v>24027.62814828</v>
      </c>
      <c r="R3" s="62">
        <f t="shared" si="1"/>
        <v>24157.654594920001</v>
      </c>
      <c r="S3" s="62">
        <f t="shared" si="1"/>
        <v>21471.848639639997</v>
      </c>
      <c r="T3" s="62">
        <f t="shared" si="1"/>
        <v>22514.29482132</v>
      </c>
      <c r="U3" s="62">
        <f t="shared" si="1"/>
        <v>23026.946615279998</v>
      </c>
      <c r="V3" s="62">
        <f t="shared" si="1"/>
        <v>20299.087568160001</v>
      </c>
      <c r="W3" s="62">
        <f t="shared" si="1"/>
        <v>23257.189309680001</v>
      </c>
      <c r="DA3" s="172" t="s">
        <v>985</v>
      </c>
    </row>
    <row r="4" spans="1:105" ht="11.45" customHeight="1" x14ac:dyDescent="0.25">
      <c r="A4" s="55" t="s">
        <v>170</v>
      </c>
      <c r="B4" s="63">
        <v>5878.9330221937098</v>
      </c>
      <c r="C4" s="63">
        <v>6440.9228332441235</v>
      </c>
      <c r="D4" s="63">
        <v>6494.3566789300512</v>
      </c>
      <c r="E4" s="63">
        <v>6575.8840548091775</v>
      </c>
      <c r="F4" s="63">
        <v>6803.0720450939752</v>
      </c>
      <c r="G4" s="63">
        <v>7295.7124130621951</v>
      </c>
      <c r="H4" s="63">
        <v>7144.1326873789712</v>
      </c>
      <c r="I4" s="63">
        <v>6939.9585083112461</v>
      </c>
      <c r="J4" s="63">
        <v>7147.4215787921485</v>
      </c>
      <c r="K4" s="63">
        <v>7753.669902280757</v>
      </c>
      <c r="L4" s="63">
        <v>7476.5766180412766</v>
      </c>
      <c r="M4" s="63">
        <v>7317.3423361477408</v>
      </c>
      <c r="N4" s="63">
        <v>7009.4441712817907</v>
      </c>
      <c r="O4" s="63">
        <v>6343.7198060744504</v>
      </c>
      <c r="P4" s="63">
        <v>7136.3776646378974</v>
      </c>
      <c r="Q4" s="63">
        <v>6846.4986125018177</v>
      </c>
      <c r="R4" s="63">
        <v>7031.0268259881186</v>
      </c>
      <c r="S4" s="63">
        <v>6082.6953115603119</v>
      </c>
      <c r="T4" s="63">
        <v>6478.4048437179608</v>
      </c>
      <c r="U4" s="63">
        <v>6672.4327735055731</v>
      </c>
      <c r="V4" s="63">
        <v>5340.9500965842235</v>
      </c>
      <c r="W4" s="63">
        <v>6367.7318352611373</v>
      </c>
      <c r="DA4" s="181" t="s">
        <v>986</v>
      </c>
    </row>
    <row r="5" spans="1:105" ht="11.45" customHeight="1" x14ac:dyDescent="0.25">
      <c r="A5" s="57" t="s">
        <v>171</v>
      </c>
      <c r="B5" s="64">
        <v>13477.025971046291</v>
      </c>
      <c r="C5" s="64">
        <v>15229.744297355877</v>
      </c>
      <c r="D5" s="64">
        <v>15633.305342029949</v>
      </c>
      <c r="E5" s="64">
        <v>15964.725988190814</v>
      </c>
      <c r="F5" s="64">
        <v>16448.271236466029</v>
      </c>
      <c r="G5" s="64">
        <v>18220.346220577801</v>
      </c>
      <c r="H5" s="64">
        <v>19498.119625621039</v>
      </c>
      <c r="I5" s="64">
        <v>20322.394728808755</v>
      </c>
      <c r="J5" s="64">
        <v>21116.146774687844</v>
      </c>
      <c r="K5" s="64">
        <v>20332.592746279246</v>
      </c>
      <c r="L5" s="64">
        <v>19594.451107638721</v>
      </c>
      <c r="M5" s="64">
        <v>20375.777543852259</v>
      </c>
      <c r="N5" s="64">
        <v>20040.120511358207</v>
      </c>
      <c r="O5" s="64">
        <v>16900.174475365544</v>
      </c>
      <c r="P5" s="64">
        <v>17996.643044762102</v>
      </c>
      <c r="Q5" s="64">
        <v>17181.129535778182</v>
      </c>
      <c r="R5" s="64">
        <v>17126.627768931881</v>
      </c>
      <c r="S5" s="64">
        <v>15389.153328079687</v>
      </c>
      <c r="T5" s="64">
        <v>16035.889977602037</v>
      </c>
      <c r="U5" s="64">
        <v>16354.513841774426</v>
      </c>
      <c r="V5" s="64">
        <v>14958.137471575779</v>
      </c>
      <c r="W5" s="64">
        <v>16889.457474418865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3.2171462898676526</v>
      </c>
      <c r="C9" s="79">
        <f>IF(C3=0,0,C3/MBunk_ene!C3)</f>
        <v>3.2188383688057489</v>
      </c>
      <c r="D9" s="79">
        <f>IF(D3=0,0,D3/MBunk_ene!D3)</f>
        <v>3.2207632388826801</v>
      </c>
      <c r="E9" s="79">
        <f>IF(E3=0,0,E3/MBunk_ene!E3)</f>
        <v>3.2214831382169269</v>
      </c>
      <c r="F9" s="79">
        <f>IF(F3=0,0,F3/MBunk_ene!F3)</f>
        <v>3.2221361349910245</v>
      </c>
      <c r="G9" s="79">
        <f>IF(G3=0,0,G3/MBunk_ene!G3)</f>
        <v>3.2228107694177273</v>
      </c>
      <c r="H9" s="79">
        <f>IF(H3=0,0,H3/MBunk_ene!H3)</f>
        <v>3.2223745570104083</v>
      </c>
      <c r="I9" s="79">
        <f>IF(I3=0,0,I3/MBunk_ene!I3)</f>
        <v>3.2214970311219657</v>
      </c>
      <c r="J9" s="79">
        <f>IF(J3=0,0,J3/MBunk_ene!J3)</f>
        <v>3.2170674661702954</v>
      </c>
      <c r="K9" s="79">
        <f>IF(K3=0,0,K3/MBunk_ene!K3)</f>
        <v>3.2175171724832161</v>
      </c>
      <c r="L9" s="79">
        <f>IF(L3=0,0,L3/MBunk_ene!L3)</f>
        <v>3.2154873930168155</v>
      </c>
      <c r="M9" s="79">
        <f>IF(M3=0,0,M3/MBunk_ene!M3)</f>
        <v>3.2186820723384266</v>
      </c>
      <c r="N9" s="79">
        <f>IF(N3=0,0,N3/MBunk_ene!N3)</f>
        <v>3.2206478148518931</v>
      </c>
      <c r="O9" s="79">
        <f>IF(O3=0,0,O3/MBunk_ene!O3)</f>
        <v>3.2164324159337787</v>
      </c>
      <c r="P9" s="79">
        <f>IF(P3=0,0,P3/MBunk_ene!P3)</f>
        <v>3.217453074272659</v>
      </c>
      <c r="Q9" s="79">
        <f>IF(Q3=0,0,Q3/MBunk_ene!Q3)</f>
        <v>3.2085700493945279</v>
      </c>
      <c r="R9" s="79">
        <f>IF(R3=0,0,R3/MBunk_ene!R3)</f>
        <v>3.2111583712696885</v>
      </c>
      <c r="S9" s="79">
        <f>IF(S3=0,0,S3/MBunk_ene!S3)</f>
        <v>3.2134907540156008</v>
      </c>
      <c r="T9" s="79">
        <f>IF(T3=0,0,T3/MBunk_ene!T3)</f>
        <v>3.2150443413690839</v>
      </c>
      <c r="U9" s="79">
        <f>IF(U3=0,0,U3/MBunk_ene!U3)</f>
        <v>3.2046835790251018</v>
      </c>
      <c r="V9" s="79">
        <f>IF(V3=0,0,V3/MBunk_ene!V3)</f>
        <v>3.1828053298237675</v>
      </c>
      <c r="W9" s="79">
        <f>IF(W3=0,0,W3/MBunk_ene!W3)</f>
        <v>3.1757765943758773</v>
      </c>
      <c r="DA9" s="172"/>
    </row>
    <row r="10" spans="1:105" ht="11.45" customHeight="1" x14ac:dyDescent="0.25">
      <c r="A10" s="55" t="s">
        <v>170</v>
      </c>
      <c r="B10" s="80">
        <f>IF(B4=0,0,B4/MBunk_ene!B4)</f>
        <v>3.1886083518597683</v>
      </c>
      <c r="C10" s="80">
        <f>IF(C4=0,0,C4/MBunk_ene!C4)</f>
        <v>3.1919738295047604</v>
      </c>
      <c r="D10" s="80">
        <f>IF(D4=0,0,D4/MBunk_ene!D4)</f>
        <v>3.1953358416478168</v>
      </c>
      <c r="E10" s="80">
        <f>IF(E4=0,0,E4/MBunk_ene!E4)</f>
        <v>3.196456594737056</v>
      </c>
      <c r="F10" s="80">
        <f>IF(F4=0,0,F4/MBunk_ene!F4)</f>
        <v>3.1981617514640672</v>
      </c>
      <c r="G10" s="80">
        <f>IF(G4=0,0,G4/MBunk_ene!G4)</f>
        <v>3.1991715320509448</v>
      </c>
      <c r="H10" s="80">
        <f>IF(H4=0,0,H4/MBunk_ene!H4)</f>
        <v>3.196859958071081</v>
      </c>
      <c r="I10" s="80">
        <f>IF(I4=0,0,I4/MBunk_ene!I4)</f>
        <v>3.1935291173715652</v>
      </c>
      <c r="J10" s="80">
        <f>IF(J4=0,0,J4/MBunk_ene!J4)</f>
        <v>3.1823475718946086</v>
      </c>
      <c r="K10" s="80">
        <f>IF(K4=0,0,K4/MBunk_ene!K4)</f>
        <v>3.1858983389189959</v>
      </c>
      <c r="L10" s="80">
        <f>IF(L4=0,0,L4/MBunk_ene!L4)</f>
        <v>3.1810301827024712</v>
      </c>
      <c r="M10" s="80">
        <f>IF(M4=0,0,M4/MBunk_ene!M4)</f>
        <v>3.1875384075953708</v>
      </c>
      <c r="N10" s="80">
        <f>IF(N4=0,0,N4/MBunk_ene!N4)</f>
        <v>3.19178016359584</v>
      </c>
      <c r="O10" s="80">
        <f>IF(O4=0,0,O4/MBunk_ene!O4)</f>
        <v>3.1830352411599834</v>
      </c>
      <c r="P10" s="80">
        <f>IF(P4=0,0,P4/MBunk_ene!P4)</f>
        <v>3.1863157210316944</v>
      </c>
      <c r="Q10" s="80">
        <f>IF(Q4=0,0,Q4/MBunk_ene!Q4)</f>
        <v>3.1662696223407534</v>
      </c>
      <c r="R10" s="80">
        <f>IF(R4=0,0,R4/MBunk_ene!R4)</f>
        <v>3.172443503595296</v>
      </c>
      <c r="S10" s="80">
        <f>IF(S4=0,0,S4/MBunk_ene!S4)</f>
        <v>3.1769177428000557</v>
      </c>
      <c r="T10" s="80">
        <f>IF(T4=0,0,T4/MBunk_ene!T4)</f>
        <v>3.1812990507537293</v>
      </c>
      <c r="U10" s="80">
        <f>IF(U4=0,0,U4/MBunk_ene!U4)</f>
        <v>3.1629665050133378</v>
      </c>
      <c r="V10" s="80">
        <f>IF(V4=0,0,V4/MBunk_ene!V4)</f>
        <v>3.1045820291603916</v>
      </c>
      <c r="W10" s="80">
        <f>IF(W4=0,0,W4/MBunk_ene!W4)</f>
        <v>3.102666266421211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3.2297557221698683</v>
      </c>
      <c r="C11" s="81">
        <f>IF(C5=0,0,C5/MBunk_ene!C10)</f>
        <v>3.2303363954347781</v>
      </c>
      <c r="D11" s="81">
        <f>IF(D5=0,0,D5/MBunk_ene!D10)</f>
        <v>3.2314456078347495</v>
      </c>
      <c r="E11" s="81">
        <f>IF(E5=0,0,E5/MBunk_ene!E10)</f>
        <v>3.2319059152617071</v>
      </c>
      <c r="F11" s="81">
        <f>IF(F5=0,0,F5/MBunk_ene!F10)</f>
        <v>3.2321574414251608</v>
      </c>
      <c r="G11" s="81">
        <f>IF(G5=0,0,G5/MBunk_ene!G10)</f>
        <v>3.2323745299272417</v>
      </c>
      <c r="H11" s="81">
        <f>IF(H5=0,0,H5/MBunk_ene!H10)</f>
        <v>3.2318253837932454</v>
      </c>
      <c r="I11" s="81">
        <f>IF(I5=0,0,I5/MBunk_ene!I10)</f>
        <v>3.2311604254940307</v>
      </c>
      <c r="J11" s="81">
        <f>IF(J5=0,0,J5/MBunk_ene!J10)</f>
        <v>3.2289917538740451</v>
      </c>
      <c r="K11" s="81">
        <f>IF(K5=0,0,K5/MBunk_ene!K10)</f>
        <v>3.2297406880976363</v>
      </c>
      <c r="L11" s="81">
        <f>IF(L5=0,0,L5/MBunk_ene!L10)</f>
        <v>3.2288326686600572</v>
      </c>
      <c r="M11" s="81">
        <f>IF(M5=0,0,M5/MBunk_ene!M10)</f>
        <v>3.2300154162448811</v>
      </c>
      <c r="N11" s="81">
        <f>IF(N5=0,0,N5/MBunk_ene!N10)</f>
        <v>3.2308685236821431</v>
      </c>
      <c r="O11" s="81">
        <f>IF(O5=0,0,O5/MBunk_ene!O10)</f>
        <v>3.2291501378470753</v>
      </c>
      <c r="P11" s="81">
        <f>IF(P5=0,0,P5/MBunk_ene!P10)</f>
        <v>3.2299694220174282</v>
      </c>
      <c r="Q11" s="81">
        <f>IF(Q5=0,0,Q5/MBunk_ene!Q10)</f>
        <v>3.2257429408745164</v>
      </c>
      <c r="R11" s="81">
        <f>IF(R5=0,0,R5/MBunk_ene!R10)</f>
        <v>3.2273270209974152</v>
      </c>
      <c r="S11" s="81">
        <f>IF(S5=0,0,S5/MBunk_ene!S10)</f>
        <v>3.2281798071447239</v>
      </c>
      <c r="T11" s="81">
        <f>IF(T5=0,0,T5/MBunk_ene!T10)</f>
        <v>3.2288811441804905</v>
      </c>
      <c r="U11" s="81">
        <f>IF(U5=0,0,U5/MBunk_ene!U10)</f>
        <v>3.2220213888219784</v>
      </c>
      <c r="V11" s="81">
        <f>IF(V5=0,0,V5/MBunk_ene!V10)</f>
        <v>3.2116994110912023</v>
      </c>
      <c r="W11" s="81">
        <f>IF(W5=0,0,W5/MBunk_ene!W10)</f>
        <v>3.2042433667341701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50774.680120254088</v>
      </c>
      <c r="C13" s="62">
        <f>IF(C3=0,0,C3/MBunk_act!C7*100)</f>
        <v>50663.331695807086</v>
      </c>
      <c r="D13" s="62">
        <f>IF(D3=0,0,D3/MBunk_act!D7*100)</f>
        <v>49863.895313425332</v>
      </c>
      <c r="E13" s="62">
        <f>IF(E3=0,0,E3/MBunk_act!E7*100)</f>
        <v>46915.579849009177</v>
      </c>
      <c r="F13" s="62">
        <f>IF(F3=0,0,F3/MBunk_act!F7*100)</f>
        <v>43906.65550292244</v>
      </c>
      <c r="G13" s="62">
        <f>IF(G3=0,0,G3/MBunk_act!G7*100)</f>
        <v>46133.755098666807</v>
      </c>
      <c r="H13" s="62">
        <f>IF(H3=0,0,H3/MBunk_act!H7*100)</f>
        <v>48918.298022534836</v>
      </c>
      <c r="I13" s="62">
        <f>IF(I3=0,0,I3/MBunk_act!I7*100)</f>
        <v>49018.976414827433</v>
      </c>
      <c r="J13" s="62">
        <f>IF(J3=0,0,J3/MBunk_act!J7*100)</f>
        <v>55723.856145556456</v>
      </c>
      <c r="K13" s="62">
        <f>IF(K3=0,0,K3/MBunk_act!K7*100)</f>
        <v>67846.727083234495</v>
      </c>
      <c r="L13" s="62">
        <f>IF(L3=0,0,L3/MBunk_act!L7*100)</f>
        <v>64947.868839939307</v>
      </c>
      <c r="M13" s="62">
        <f>IF(M3=0,0,M3/MBunk_act!M7*100)</f>
        <v>67878.428209773207</v>
      </c>
      <c r="N13" s="62">
        <f>IF(N3=0,0,N3/MBunk_act!N7*100)</f>
        <v>69011.341597325722</v>
      </c>
      <c r="O13" s="62">
        <f>IF(O3=0,0,O3/MBunk_act!O7*100)</f>
        <v>64067.726767928878</v>
      </c>
      <c r="P13" s="62">
        <f>IF(P3=0,0,P3/MBunk_act!P7*100)</f>
        <v>67790.803329663147</v>
      </c>
      <c r="Q13" s="62">
        <f>IF(Q3=0,0,Q3/MBunk_act!Q7*100)</f>
        <v>67925.169854508174</v>
      </c>
      <c r="R13" s="62">
        <f>IF(R3=0,0,R3/MBunk_act!R7*100)</f>
        <v>67983.676015639227</v>
      </c>
      <c r="S13" s="62">
        <f>IF(S3=0,0,S3/MBunk_act!S7*100)</f>
        <v>58427.047036281292</v>
      </c>
      <c r="T13" s="62">
        <f>IF(T3=0,0,T3/MBunk_act!T7*100)</f>
        <v>55512.239226558995</v>
      </c>
      <c r="U13" s="62">
        <f>IF(U3=0,0,U3/MBunk_act!U7*100)</f>
        <v>51364.254480881893</v>
      </c>
      <c r="V13" s="62">
        <f>IF(V3=0,0,V3/MBunk_act!V7*100)</f>
        <v>51158.634021622631</v>
      </c>
      <c r="W13" s="62">
        <f>IF(W3=0,0,W3/MBunk_act!W7*100)</f>
        <v>55574.742173910796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44357.35110328914</v>
      </c>
      <c r="C14" s="63">
        <f>IF(C4=0,0,C4/MBunk_act!C8*100)</f>
        <v>44671.677499805097</v>
      </c>
      <c r="D14" s="63">
        <f>IF(D4=0,0,D4/MBunk_act!D8*100)</f>
        <v>44379.851799185373</v>
      </c>
      <c r="E14" s="63">
        <f>IF(E4=0,0,E4/MBunk_act!E8*100)</f>
        <v>42492.001139144159</v>
      </c>
      <c r="F14" s="63">
        <f>IF(F4=0,0,F4/MBunk_act!F8*100)</f>
        <v>39814.415434497649</v>
      </c>
      <c r="G14" s="63">
        <f>IF(G4=0,0,G4/MBunk_act!G8*100)</f>
        <v>41829.219934347981</v>
      </c>
      <c r="H14" s="63">
        <f>IF(H4=0,0,H4/MBunk_act!H8*100)</f>
        <v>44435.544636796367</v>
      </c>
      <c r="I14" s="63">
        <f>IF(I4=0,0,I4/MBunk_act!I8*100)</f>
        <v>44956.609216945413</v>
      </c>
      <c r="J14" s="63">
        <f>IF(J4=0,0,J4/MBunk_act!J8*100)</f>
        <v>51031.924156997615</v>
      </c>
      <c r="K14" s="63">
        <f>IF(K4=0,0,K4/MBunk_act!K8*100)</f>
        <v>61309.589541792571</v>
      </c>
      <c r="L14" s="63">
        <f>IF(L4=0,0,L4/MBunk_act!L8*100)</f>
        <v>57269.393708522162</v>
      </c>
      <c r="M14" s="63">
        <f>IF(M4=0,0,M4/MBunk_act!M8*100)</f>
        <v>57506.587454906286</v>
      </c>
      <c r="N14" s="63">
        <f>IF(N4=0,0,N4/MBunk_act!N8*100)</f>
        <v>56792.050972045807</v>
      </c>
      <c r="O14" s="63">
        <f>IF(O4=0,0,O4/MBunk_act!O8*100)</f>
        <v>52155.941033513067</v>
      </c>
      <c r="P14" s="63">
        <f>IF(P4=0,0,P4/MBunk_act!P8*100)</f>
        <v>54848.085642089813</v>
      </c>
      <c r="Q14" s="63">
        <f>IF(Q4=0,0,Q4/MBunk_act!Q8*100)</f>
        <v>53908.801175590976</v>
      </c>
      <c r="R14" s="63">
        <f>IF(R4=0,0,R4/MBunk_act!R8*100)</f>
        <v>54022.164338839299</v>
      </c>
      <c r="S14" s="63">
        <f>IF(S4=0,0,S4/MBunk_act!S8*100)</f>
        <v>46763.715102071648</v>
      </c>
      <c r="T14" s="63">
        <f>IF(T4=0,0,T4/MBunk_act!T8*100)</f>
        <v>42371.654831629705</v>
      </c>
      <c r="U14" s="63">
        <f>IF(U4=0,0,U4/MBunk_act!U8*100)</f>
        <v>38846.001450142532</v>
      </c>
      <c r="V14" s="63">
        <f>IF(V4=0,0,V4/MBunk_act!V8*100)</f>
        <v>36134.521920005391</v>
      </c>
      <c r="W14" s="63">
        <f>IF(W4=0,0,W4/MBunk_act!W8*100)</f>
        <v>38582.306136718093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54194.879339905026</v>
      </c>
      <c r="C15" s="64">
        <f>IF(C5=0,0,C5/MBunk_act!C9*100)</f>
        <v>53709.999563950281</v>
      </c>
      <c r="D15" s="64">
        <f>IF(D5=0,0,D5/MBunk_act!D9*100)</f>
        <v>52562.088126370974</v>
      </c>
      <c r="E15" s="64">
        <f>IF(E5=0,0,E5/MBunk_act!E9*100)</f>
        <v>49017.470655074132</v>
      </c>
      <c r="F15" s="64">
        <f>IF(F5=0,0,F5/MBunk_act!F9*100)</f>
        <v>45856.061613790123</v>
      </c>
      <c r="G15" s="64">
        <f>IF(G5=0,0,G5/MBunk_act!G9*100)</f>
        <v>48116.427448442002</v>
      </c>
      <c r="H15" s="64">
        <f>IF(H5=0,0,H5/MBunk_act!H9*100)</f>
        <v>50795.883150545269</v>
      </c>
      <c r="I15" s="64">
        <f>IF(I5=0,0,I5/MBunk_act!I9*100)</f>
        <v>50579.766288309111</v>
      </c>
      <c r="J15" s="64">
        <f>IF(J5=0,0,J5/MBunk_act!J9*100)</f>
        <v>57513.702783277382</v>
      </c>
      <c r="K15" s="64">
        <f>IF(K5=0,0,K5/MBunk_act!K9*100)</f>
        <v>70722.339695732517</v>
      </c>
      <c r="L15" s="64">
        <f>IF(L5=0,0,L5/MBunk_act!L9*100)</f>
        <v>68449.686647939874</v>
      </c>
      <c r="M15" s="64">
        <f>IF(M5=0,0,M5/MBunk_act!M9*100)</f>
        <v>72579.436520287607</v>
      </c>
      <c r="N15" s="64">
        <f>IF(N5=0,0,N5/MBunk_act!N9*100)</f>
        <v>74627.517314050434</v>
      </c>
      <c r="O15" s="64">
        <f>IF(O5=0,0,O5/MBunk_act!O9*100)</f>
        <v>70075.175687289578</v>
      </c>
      <c r="P15" s="64">
        <f>IF(P5=0,0,P5/MBunk_act!P9*100)</f>
        <v>74789.033952127604</v>
      </c>
      <c r="Q15" s="64">
        <f>IF(Q5=0,0,Q5/MBunk_act!Q9*100)</f>
        <v>75776.176371075708</v>
      </c>
      <c r="R15" s="64">
        <f>IF(R5=0,0,R5/MBunk_act!R9*100)</f>
        <v>76052.72059212852</v>
      </c>
      <c r="S15" s="64">
        <f>IF(S5=0,0,S5/MBunk_act!S9*100)</f>
        <v>64816.775251954597</v>
      </c>
      <c r="T15" s="64">
        <f>IF(T5=0,0,T5/MBunk_act!T9*100)</f>
        <v>63463.547993656117</v>
      </c>
      <c r="U15" s="64">
        <f>IF(U5=0,0,U5/MBunk_act!U9*100)</f>
        <v>59139.654777504897</v>
      </c>
      <c r="V15" s="64">
        <f>IF(V5=0,0,V5/MBunk_act!V9*100)</f>
        <v>60077.734329429644</v>
      </c>
      <c r="W15" s="64">
        <f>IF(W5=0,0,W5/MBunk_act!W9*100)</f>
        <v>66640.304855527007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31.70397912540486</v>
      </c>
      <c r="C17" s="62">
        <f>IF(C3=0,0,C3/MBunk_act!C3*1000)</f>
        <v>29.539774122266103</v>
      </c>
      <c r="D17" s="62">
        <f>IF(D3=0,0,D3/MBunk_act!D3*1000)</f>
        <v>28.523059871355894</v>
      </c>
      <c r="E17" s="62">
        <f>IF(E3=0,0,E3/MBunk_act!E3*1000)</f>
        <v>27.464885760981726</v>
      </c>
      <c r="F17" s="62">
        <f>IF(F3=0,0,F3/MBunk_act!F3*1000)</f>
        <v>25.255717995856763</v>
      </c>
      <c r="G17" s="62">
        <f>IF(G3=0,0,G3/MBunk_act!G3*1000)</f>
        <v>25.049374660723</v>
      </c>
      <c r="H17" s="62">
        <f>IF(H3=0,0,H3/MBunk_act!H3*1000)</f>
        <v>24.32730465335932</v>
      </c>
      <c r="I17" s="62">
        <f>IF(I3=0,0,I3/MBunk_act!I3*1000)</f>
        <v>22.930290215284678</v>
      </c>
      <c r="J17" s="62">
        <f>IF(J3=0,0,J3/MBunk_act!J3*1000)</f>
        <v>24.867943594340044</v>
      </c>
      <c r="K17" s="62">
        <f>IF(K3=0,0,K3/MBunk_act!K3*1000)</f>
        <v>30.112951259781166</v>
      </c>
      <c r="L17" s="62">
        <f>IF(L3=0,0,L3/MBunk_act!L3*1000)</f>
        <v>28.257572142481735</v>
      </c>
      <c r="M17" s="62">
        <f>IF(M3=0,0,M3/MBunk_act!M3*1000)</f>
        <v>26.045226814530505</v>
      </c>
      <c r="N17" s="62">
        <f>IF(N3=0,0,N3/MBunk_act!N3*1000)</f>
        <v>24.384555796863356</v>
      </c>
      <c r="O17" s="62">
        <f>IF(O3=0,0,O3/MBunk_act!O3*1000)</f>
        <v>22.803601297840309</v>
      </c>
      <c r="P17" s="62">
        <f>IF(P3=0,0,P3/MBunk_act!P3*1000)</f>
        <v>24.107348747394497</v>
      </c>
      <c r="Q17" s="62">
        <f>IF(Q3=0,0,Q3/MBunk_act!Q3*1000)</f>
        <v>24.236720563915277</v>
      </c>
      <c r="R17" s="62">
        <f>IF(R3=0,0,R3/MBunk_act!R3*1000)</f>
        <v>24.298538681429612</v>
      </c>
      <c r="S17" s="62">
        <f>IF(S3=0,0,S3/MBunk_act!S3*1000)</f>
        <v>20.480082094825708</v>
      </c>
      <c r="T17" s="62">
        <f>IF(T3=0,0,T3/MBunk_act!T3*1000)</f>
        <v>20.007401303357103</v>
      </c>
      <c r="U17" s="62">
        <f>IF(U3=0,0,U3/MBunk_act!U3*1000)</f>
        <v>18.642548633790707</v>
      </c>
      <c r="V17" s="62">
        <f>IF(V3=0,0,V3/MBunk_act!V3*1000)</f>
        <v>17.841739883528387</v>
      </c>
      <c r="W17" s="62">
        <f>IF(W3=0,0,W3/MBunk_act!W3*1000)</f>
        <v>19.754306587526219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72.35695707432707</v>
      </c>
      <c r="C18" s="63">
        <f>IF(C4=0,0,C4/MBunk_act!C4*1000)</f>
        <v>69.182293013683463</v>
      </c>
      <c r="D18" s="63">
        <f>IF(D4=0,0,D4/MBunk_act!D4*1000)</f>
        <v>67.251403142336642</v>
      </c>
      <c r="E18" s="63">
        <f>IF(E4=0,0,E4/MBunk_act!E4*1000)</f>
        <v>64.630172099272329</v>
      </c>
      <c r="F18" s="63">
        <f>IF(F4=0,0,F4/MBunk_act!F4*1000)</f>
        <v>59.775681091590968</v>
      </c>
      <c r="G18" s="63">
        <f>IF(G4=0,0,G4/MBunk_act!G4*1000)</f>
        <v>60.66486245796326</v>
      </c>
      <c r="H18" s="63">
        <f>IF(H4=0,0,H4/MBunk_act!H4*1000)</f>
        <v>61.280663585944943</v>
      </c>
      <c r="I18" s="63">
        <f>IF(I4=0,0,I4/MBunk_act!I4*1000)</f>
        <v>59.857963989424775</v>
      </c>
      <c r="J18" s="63">
        <f>IF(J4=0,0,J4/MBunk_act!J4*1000)</f>
        <v>65.280492431883872</v>
      </c>
      <c r="K18" s="63">
        <f>IF(K4=0,0,K4/MBunk_act!K4*1000)</f>
        <v>75.470758743206147</v>
      </c>
      <c r="L18" s="63">
        <f>IF(L4=0,0,L4/MBunk_act!L4*1000)</f>
        <v>71.435120955996126</v>
      </c>
      <c r="M18" s="63">
        <f>IF(M4=0,0,M4/MBunk_act!M4*1000)</f>
        <v>68.613197423974796</v>
      </c>
      <c r="N18" s="63">
        <f>IF(N4=0,0,N4/MBunk_act!N4*1000)</f>
        <v>65.834703942280186</v>
      </c>
      <c r="O18" s="63">
        <f>IF(O4=0,0,O4/MBunk_act!O4*1000)</f>
        <v>59.556091164408762</v>
      </c>
      <c r="P18" s="63">
        <f>IF(P4=0,0,P4/MBunk_act!P4*1000)</f>
        <v>61.402089756286593</v>
      </c>
      <c r="Q18" s="63">
        <f>IF(Q4=0,0,Q4/MBunk_act!Q4*1000)</f>
        <v>61.208854154326389</v>
      </c>
      <c r="R18" s="63">
        <f>IF(R4=0,0,R4/MBunk_act!R4*1000)</f>
        <v>60.33145046358581</v>
      </c>
      <c r="S18" s="63">
        <f>IF(S4=0,0,S4/MBunk_act!S4*1000)</f>
        <v>52.01663281072765</v>
      </c>
      <c r="T18" s="63">
        <f>IF(T4=0,0,T4/MBunk_act!T4*1000)</f>
        <v>51.119061366378602</v>
      </c>
      <c r="U18" s="63">
        <f>IF(U4=0,0,U4/MBunk_act!U4*1000)</f>
        <v>47.447133216890151</v>
      </c>
      <c r="V18" s="63">
        <f>IF(V4=0,0,V4/MBunk_act!V4*1000)</f>
        <v>38.567986837120124</v>
      </c>
      <c r="W18" s="63">
        <f>IF(W4=0,0,W4/MBunk_act!W4*1000)</f>
        <v>43.637565225813148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25.463307495938661</v>
      </c>
      <c r="C19" s="64">
        <f>IF(C5=0,0,C5/MBunk_act!C5*1000)</f>
        <v>23.777563551377526</v>
      </c>
      <c r="D19" s="64">
        <f>IF(D5=0,0,D5/MBunk_act!D5*1000)</f>
        <v>23.016788383963579</v>
      </c>
      <c r="E19" s="64">
        <f>IF(E5=0,0,E5/MBunk_act!E5*1000)</f>
        <v>22.205300459314479</v>
      </c>
      <c r="F19" s="64">
        <f>IF(F5=0,0,F5/MBunk_act!F5*1000)</f>
        <v>20.386372808964847</v>
      </c>
      <c r="G19" s="64">
        <f>IF(G5=0,0,G5/MBunk_act!G5*1000)</f>
        <v>20.281606640859824</v>
      </c>
      <c r="H19" s="64">
        <f>IF(H5=0,0,H5/MBunk_act!H5*1000)</f>
        <v>19.924954513853191</v>
      </c>
      <c r="I19" s="64">
        <f>IF(I5=0,0,I5/MBunk_act!I5*1000)</f>
        <v>18.940094918300066</v>
      </c>
      <c r="J19" s="64">
        <f>IF(J5=0,0,J5/MBunk_act!J5*1000)</f>
        <v>20.559830648544114</v>
      </c>
      <c r="K19" s="64">
        <f>IF(K5=0,0,K5/MBunk_act!K5*1000)</f>
        <v>24.498289005960036</v>
      </c>
      <c r="L19" s="64">
        <f>IF(L5=0,0,L5/MBunk_act!L5*1000)</f>
        <v>22.961874072117165</v>
      </c>
      <c r="M19" s="64">
        <f>IF(M5=0,0,M5/MBunk_act!M5*1000)</f>
        <v>21.299668492917167</v>
      </c>
      <c r="N19" s="64">
        <f>IF(N5=0,0,N5/MBunk_act!N5*1000)</f>
        <v>19.983756341644366</v>
      </c>
      <c r="O19" s="64">
        <f>IF(O5=0,0,O5/MBunk_act!O5*1000)</f>
        <v>18.514828189740616</v>
      </c>
      <c r="P19" s="64">
        <f>IF(P5=0,0,P5/MBunk_act!P5*1000)</f>
        <v>19.428056902027475</v>
      </c>
      <c r="Q19" s="64">
        <f>IF(Q5=0,0,Q5/MBunk_act!Q5*1000)</f>
        <v>19.534706123209475</v>
      </c>
      <c r="R19" s="64">
        <f>IF(R5=0,0,R5/MBunk_act!R5*1000)</f>
        <v>19.513922862051402</v>
      </c>
      <c r="S19" s="64">
        <f>IF(S5=0,0,S5/MBunk_act!S5*1000)</f>
        <v>16.521035921111245</v>
      </c>
      <c r="T19" s="64">
        <f>IF(T5=0,0,T5/MBunk_act!T5*1000)</f>
        <v>16.058908477158514</v>
      </c>
      <c r="U19" s="64">
        <f>IF(U5=0,0,U5/MBunk_act!U5*1000)</f>
        <v>14.941721193652301</v>
      </c>
      <c r="V19" s="64">
        <f>IF(V5=0,0,V5/MBunk_act!V5*1000)</f>
        <v>14.969381893975291</v>
      </c>
      <c r="W19" s="64">
        <f>IF(W5=0,0,W5/MBunk_act!W5*1000)</f>
        <v>16.375284754551821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0.30372729267751114</v>
      </c>
      <c r="C22" s="77">
        <f t="shared" si="2"/>
        <v>0.29721848406545998</v>
      </c>
      <c r="D22" s="77">
        <f t="shared" si="2"/>
        <v>0.29349493284823303</v>
      </c>
      <c r="E22" s="77">
        <f t="shared" si="2"/>
        <v>0.29173496379488295</v>
      </c>
      <c r="F22" s="77">
        <f t="shared" si="2"/>
        <v>0.29258834479852625</v>
      </c>
      <c r="G22" s="77">
        <f t="shared" si="2"/>
        <v>0.28592630695101301</v>
      </c>
      <c r="H22" s="77">
        <f t="shared" si="2"/>
        <v>0.26815047779924417</v>
      </c>
      <c r="I22" s="77">
        <f t="shared" si="2"/>
        <v>0.25456197592150281</v>
      </c>
      <c r="J22" s="77">
        <f t="shared" si="2"/>
        <v>0.25288461419317254</v>
      </c>
      <c r="K22" s="77">
        <f t="shared" si="2"/>
        <v>0.27606627479424684</v>
      </c>
      <c r="L22" s="77">
        <f t="shared" si="2"/>
        <v>0.27618370066345432</v>
      </c>
      <c r="M22" s="77">
        <f t="shared" si="2"/>
        <v>0.26422961254836203</v>
      </c>
      <c r="N22" s="77">
        <f t="shared" si="2"/>
        <v>0.25913334478836719</v>
      </c>
      <c r="O22" s="77">
        <f t="shared" si="2"/>
        <v>0.27291983560344468</v>
      </c>
      <c r="P22" s="77">
        <f t="shared" si="2"/>
        <v>0.28394428776198882</v>
      </c>
      <c r="Q22" s="77">
        <f t="shared" si="2"/>
        <v>0.28494275715649109</v>
      </c>
      <c r="R22" s="77">
        <f t="shared" si="2"/>
        <v>0.29104757659158847</v>
      </c>
      <c r="S22" s="77">
        <f t="shared" si="2"/>
        <v>0.28328698723829565</v>
      </c>
      <c r="T22" s="77">
        <f t="shared" si="2"/>
        <v>0.28774629163971016</v>
      </c>
      <c r="U22" s="77">
        <f t="shared" si="2"/>
        <v>0.28976628490891382</v>
      </c>
      <c r="V22" s="77">
        <f t="shared" si="2"/>
        <v>0.2631128162115885</v>
      </c>
      <c r="W22" s="77">
        <f t="shared" si="2"/>
        <v>0.27379627651785027</v>
      </c>
      <c r="DA22" s="184"/>
    </row>
    <row r="23" spans="1:105" ht="11.45" customHeight="1" x14ac:dyDescent="0.25">
      <c r="A23" s="57" t="s">
        <v>171</v>
      </c>
      <c r="B23" s="78">
        <f t="shared" si="2"/>
        <v>0.6962727073224888</v>
      </c>
      <c r="C23" s="78">
        <f t="shared" si="2"/>
        <v>0.70278151593454008</v>
      </c>
      <c r="D23" s="78">
        <f t="shared" si="2"/>
        <v>0.70650506715176697</v>
      </c>
      <c r="E23" s="78">
        <f t="shared" si="2"/>
        <v>0.70826503620511694</v>
      </c>
      <c r="F23" s="78">
        <f t="shared" si="2"/>
        <v>0.70741165520147387</v>
      </c>
      <c r="G23" s="78">
        <f t="shared" si="2"/>
        <v>0.71407369304898693</v>
      </c>
      <c r="H23" s="78">
        <f t="shared" si="2"/>
        <v>0.73184952220075572</v>
      </c>
      <c r="I23" s="78">
        <f t="shared" si="2"/>
        <v>0.74543802407849713</v>
      </c>
      <c r="J23" s="78">
        <f t="shared" si="2"/>
        <v>0.74711538580682746</v>
      </c>
      <c r="K23" s="78">
        <f t="shared" si="2"/>
        <v>0.72393372520575305</v>
      </c>
      <c r="L23" s="78">
        <f t="shared" si="2"/>
        <v>0.72381629933654568</v>
      </c>
      <c r="M23" s="78">
        <f t="shared" si="2"/>
        <v>0.73577038745163803</v>
      </c>
      <c r="N23" s="78">
        <f t="shared" si="2"/>
        <v>0.74086665521163286</v>
      </c>
      <c r="O23" s="78">
        <f t="shared" si="2"/>
        <v>0.72708016439655543</v>
      </c>
      <c r="P23" s="78">
        <f t="shared" si="2"/>
        <v>0.71605571223801123</v>
      </c>
      <c r="Q23" s="78">
        <f t="shared" si="2"/>
        <v>0.71505724284350891</v>
      </c>
      <c r="R23" s="78">
        <f t="shared" si="2"/>
        <v>0.70895242340841147</v>
      </c>
      <c r="S23" s="78">
        <f t="shared" si="2"/>
        <v>0.7167130127617044</v>
      </c>
      <c r="T23" s="78">
        <f t="shared" si="2"/>
        <v>0.71225370836028978</v>
      </c>
      <c r="U23" s="78">
        <f t="shared" si="2"/>
        <v>0.71023371509108624</v>
      </c>
      <c r="V23" s="78">
        <f t="shared" si="2"/>
        <v>0.73688718378841156</v>
      </c>
      <c r="W23" s="78">
        <f t="shared" si="2"/>
        <v>0.72620372348214979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2024-05-20T16:49:46Z</dcterms:created>
  <dcterms:modified xsi:type="dcterms:W3CDTF">2024-05-20T16:49:46Z</dcterms:modified>
</cp:coreProperties>
</file>