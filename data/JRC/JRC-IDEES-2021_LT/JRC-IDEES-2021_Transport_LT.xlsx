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N30" i="3"/>
  <c r="M30" i="3"/>
  <c r="K30" i="3"/>
  <c r="J30" i="3"/>
  <c r="I30" i="3"/>
  <c r="H30" i="3"/>
  <c r="G30" i="3"/>
  <c r="C30" i="3"/>
  <c r="B30" i="3"/>
  <c r="B24" i="1"/>
  <c r="B26" i="1"/>
  <c r="B25" i="1"/>
  <c r="P18" i="20" l="1"/>
  <c r="C18" i="20"/>
  <c r="Q14" i="18"/>
  <c r="E3" i="20"/>
  <c r="E22" i="20" s="1"/>
  <c r="C242" i="3"/>
  <c r="S242" i="3"/>
  <c r="W14" i="18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2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3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D21" i="20"/>
  <c r="I21" i="18"/>
  <c r="N3" i="18"/>
  <c r="N17" i="18" s="1"/>
  <c r="U14" i="18"/>
  <c r="P14" i="18"/>
  <c r="J14" i="20"/>
  <c r="O3" i="20"/>
  <c r="O23" i="20" s="1"/>
  <c r="O3" i="18"/>
  <c r="O18" i="18" s="1"/>
  <c r="N3" i="20"/>
  <c r="N13" i="20" s="1"/>
  <c r="F20" i="19"/>
  <c r="Q11" i="20"/>
  <c r="R21" i="18"/>
  <c r="R23" i="18"/>
  <c r="Q14" i="20"/>
  <c r="Q3" i="20"/>
  <c r="Q22" i="20" s="1"/>
  <c r="C19" i="20"/>
  <c r="E14" i="18"/>
  <c r="M14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G25" i="19"/>
  <c r="I18" i="20"/>
  <c r="J19" i="20"/>
  <c r="H3" i="18"/>
  <c r="H18" i="18" s="1"/>
  <c r="I3" i="18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T23" i="18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U24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I19" i="18"/>
  <c r="E22" i="18"/>
  <c r="U15" i="18"/>
  <c r="Q24" i="19"/>
  <c r="H20" i="19"/>
  <c r="R21" i="19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V22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R3" i="20"/>
  <c r="M22" i="18" l="1"/>
  <c r="T22" i="18"/>
  <c r="M23" i="18"/>
  <c r="Q10" i="20"/>
  <c r="T24" i="19"/>
  <c r="G23" i="20"/>
  <c r="H25" i="19"/>
  <c r="O21" i="19"/>
  <c r="I213" i="3"/>
  <c r="Q21" i="19"/>
  <c r="J21" i="19"/>
  <c r="P24" i="19"/>
  <c r="F24" i="19"/>
  <c r="H11" i="20"/>
  <c r="U18" i="18"/>
  <c r="K23" i="18"/>
  <c r="E13" i="20"/>
  <c r="U19" i="18"/>
  <c r="O11" i="20"/>
  <c r="L20" i="19"/>
  <c r="F22" i="20"/>
  <c r="E23" i="20"/>
  <c r="W17" i="20"/>
  <c r="W23" i="20"/>
  <c r="F89" i="3"/>
  <c r="F181" i="3" s="1"/>
  <c r="M22" i="20"/>
  <c r="M23" i="20"/>
  <c r="L21" i="20"/>
  <c r="E21" i="20"/>
  <c r="W10" i="20"/>
  <c r="S10" i="20"/>
  <c r="M24" i="19"/>
  <c r="T20" i="19"/>
  <c r="N10" i="20"/>
  <c r="J11" i="20"/>
  <c r="K20" i="19"/>
  <c r="L10" i="20"/>
  <c r="W24" i="19"/>
  <c r="W3" i="19"/>
  <c r="W28" i="19" s="1"/>
  <c r="N20" i="19"/>
  <c r="G24" i="19"/>
  <c r="N24" i="19"/>
  <c r="Q25" i="19"/>
  <c r="E17" i="20"/>
  <c r="R242" i="3"/>
  <c r="E13" i="18"/>
  <c r="U29" i="3"/>
  <c r="U123" i="3" s="1"/>
  <c r="S23" i="18"/>
  <c r="G18" i="18"/>
  <c r="N23" i="18"/>
  <c r="S22" i="18"/>
  <c r="R212" i="3"/>
  <c r="E17" i="18"/>
  <c r="E18" i="18"/>
  <c r="L23" i="18"/>
  <c r="N22" i="18"/>
  <c r="N241" i="3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E181" i="3"/>
  <c r="E182" i="3"/>
  <c r="F151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M182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N123" i="3"/>
  <c r="N121" i="3"/>
  <c r="E122" i="3"/>
  <c r="O122" i="3"/>
  <c r="F153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F21" i="19"/>
  <c r="F11" i="20"/>
  <c r="F25" i="19"/>
  <c r="W23" i="18"/>
  <c r="P27" i="19"/>
  <c r="K21" i="20"/>
  <c r="K17" i="20"/>
  <c r="K13" i="20"/>
  <c r="T25" i="19"/>
  <c r="T21" i="19"/>
  <c r="H28" i="19"/>
  <c r="Q22" i="18"/>
  <c r="K25" i="19"/>
  <c r="K21" i="19"/>
  <c r="K3" i="19"/>
  <c r="P9" i="20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27" i="19"/>
  <c r="M23" i="19"/>
  <c r="M19" i="19"/>
  <c r="I21" i="20"/>
  <c r="I17" i="20"/>
  <c r="I13" i="20"/>
  <c r="M21" i="19"/>
  <c r="M29" i="19"/>
  <c r="M25" i="19"/>
  <c r="M9" i="20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G27" i="19" l="1"/>
  <c r="Q122" i="3"/>
  <c r="G28" i="19"/>
  <c r="F183" i="3"/>
  <c r="U122" i="3"/>
  <c r="W9" i="20"/>
  <c r="U121" i="3"/>
  <c r="W27" i="19"/>
  <c r="W19" i="19"/>
  <c r="W23" i="19"/>
  <c r="N29" i="19"/>
  <c r="Q121" i="3"/>
  <c r="P121" i="3"/>
  <c r="E23" i="19"/>
  <c r="T123" i="3"/>
  <c r="L121" i="3"/>
  <c r="Q241" i="3"/>
  <c r="U182" i="3"/>
  <c r="P122" i="3"/>
  <c r="K183" i="3"/>
  <c r="F182" i="3"/>
  <c r="E28" i="19"/>
  <c r="Q9" i="20"/>
  <c r="N19" i="19"/>
  <c r="Q23" i="19"/>
  <c r="N27" i="19"/>
  <c r="E27" i="19"/>
  <c r="W29" i="19"/>
  <c r="N9" i="20"/>
  <c r="F241" i="3"/>
  <c r="T241" i="3"/>
  <c r="D12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Q10" i="5"/>
  <c r="P10" i="5"/>
  <c r="N10" i="5"/>
  <c r="M10" i="5"/>
  <c r="I10" i="5"/>
  <c r="H10" i="5"/>
  <c r="F10" i="5"/>
  <c r="E10" i="5"/>
  <c r="B10" i="5" l="1"/>
  <c r="J10" i="5"/>
  <c r="R10" i="5"/>
  <c r="C10" i="5"/>
  <c r="K10" i="5"/>
  <c r="S10" i="5"/>
  <c r="D10" i="5"/>
  <c r="L10" i="5"/>
  <c r="T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2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N87" i="4"/>
  <c r="N85" i="4" s="1"/>
  <c r="N84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Q75" i="7" l="1"/>
  <c r="F84" i="4"/>
  <c r="W45" i="9"/>
  <c r="Q84" i="4"/>
  <c r="W59" i="9"/>
  <c r="W56" i="9"/>
  <c r="W61" i="9"/>
  <c r="H60" i="7"/>
  <c r="H59" i="7" s="1"/>
  <c r="W57" i="9"/>
  <c r="R60" i="7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0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25" i="6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8" i="4"/>
  <c r="C4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7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77" i="6" s="1"/>
  <c r="I132" i="6"/>
  <c r="R40" i="6"/>
  <c r="R132" i="6"/>
  <c r="E133" i="6"/>
  <c r="E40" i="6"/>
  <c r="E33" i="6" s="1"/>
  <c r="N133" i="6"/>
  <c r="N40" i="6"/>
  <c r="N77" i="6" s="1"/>
  <c r="V133" i="6"/>
  <c r="J139" i="5"/>
  <c r="S139" i="5"/>
  <c r="F110" i="6"/>
  <c r="O110" i="6"/>
  <c r="C111" i="6"/>
  <c r="M17" i="4"/>
  <c r="M208" i="4" s="1"/>
  <c r="Q18" i="4"/>
  <c r="Q102" i="5" s="1"/>
  <c r="D21" i="4"/>
  <c r="D105" i="5" s="1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251" i="4"/>
  <c r="P170" i="4"/>
  <c r="P57" i="6"/>
  <c r="P199" i="7" s="1"/>
  <c r="F177" i="4"/>
  <c r="F258" i="4"/>
  <c r="R177" i="4"/>
  <c r="R258" i="4"/>
  <c r="R70" i="5"/>
  <c r="O46" i="4"/>
  <c r="O265" i="4" s="1"/>
  <c r="O71" i="6"/>
  <c r="P190" i="4"/>
  <c r="P83" i="5"/>
  <c r="P138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P70" i="5"/>
  <c r="G46" i="4"/>
  <c r="G271" i="4" s="1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63" i="5"/>
  <c r="J98" i="5"/>
  <c r="N273" i="4"/>
  <c r="N269" i="4"/>
  <c r="N267" i="4"/>
  <c r="N272" i="4"/>
  <c r="N270" i="4"/>
  <c r="N268" i="4"/>
  <c r="N266" i="4"/>
  <c r="N264" i="4"/>
  <c r="I184" i="4"/>
  <c r="U184" i="4"/>
  <c r="I83" i="5"/>
  <c r="S26" i="4"/>
  <c r="O219" i="4"/>
  <c r="O106" i="6"/>
  <c r="O112" i="5"/>
  <c r="F58" i="4"/>
  <c r="F13" i="7"/>
  <c r="V73" i="4"/>
  <c r="V19" i="7" s="1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50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271" i="4"/>
  <c r="N83" i="5"/>
  <c r="E190" i="4"/>
  <c r="U46" i="4"/>
  <c r="U265" i="4" s="1"/>
  <c r="U83" i="5"/>
  <c r="D73" i="4"/>
  <c r="D26" i="7"/>
  <c r="M73" i="4"/>
  <c r="M26" i="7"/>
  <c r="J127" i="4"/>
  <c r="J46" i="7" s="1"/>
  <c r="J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T184" i="4"/>
  <c r="O77" i="6"/>
  <c r="O83" i="5"/>
  <c r="I58" i="4"/>
  <c r="I4" i="7" s="1"/>
  <c r="I13" i="7"/>
  <c r="R58" i="4"/>
  <c r="R13" i="7"/>
  <c r="R73" i="4"/>
  <c r="R19" i="7" s="1"/>
  <c r="R20" i="7"/>
  <c r="G112" i="4"/>
  <c r="M47" i="7"/>
  <c r="E252" i="4"/>
  <c r="R253" i="4"/>
  <c r="O109" i="5"/>
  <c r="V83" i="6"/>
  <c r="Q215" i="4"/>
  <c r="Q102" i="6"/>
  <c r="Q108" i="5"/>
  <c r="L4" i="6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E58" i="4"/>
  <c r="E168" i="4" s="1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R59" i="7" l="1"/>
  <c r="G184" i="4"/>
  <c r="G132" i="7"/>
  <c r="I88" i="6"/>
  <c r="J251" i="4"/>
  <c r="E47" i="6"/>
  <c r="V257" i="4"/>
  <c r="M216" i="4"/>
  <c r="C111" i="5"/>
  <c r="J254" i="4"/>
  <c r="B88" i="6"/>
  <c r="R272" i="4"/>
  <c r="J213" i="7"/>
  <c r="U73" i="4"/>
  <c r="Q106" i="6"/>
  <c r="U132" i="7"/>
  <c r="Q219" i="4"/>
  <c r="O47" i="6"/>
  <c r="D99" i="6"/>
  <c r="U213" i="7"/>
  <c r="V138" i="7"/>
  <c r="I59" i="7"/>
  <c r="U59" i="7"/>
  <c r="Q117" i="5"/>
  <c r="O271" i="4"/>
  <c r="Q209" i="4"/>
  <c r="R127" i="4"/>
  <c r="R46" i="7" s="1"/>
  <c r="N250" i="4"/>
  <c r="U256" i="4"/>
  <c r="O20" i="7"/>
  <c r="S218" i="4"/>
  <c r="V251" i="4"/>
  <c r="U170" i="4"/>
  <c r="O184" i="4"/>
  <c r="V262" i="4"/>
  <c r="N18" i="5"/>
  <c r="U263" i="4"/>
  <c r="E209" i="4"/>
  <c r="R266" i="4"/>
  <c r="I138" i="7"/>
  <c r="M58" i="4"/>
  <c r="M4" i="7" s="1"/>
  <c r="R268" i="4"/>
  <c r="S101" i="5"/>
  <c r="U63" i="5"/>
  <c r="U118" i="7" s="1"/>
  <c r="S112" i="4"/>
  <c r="S31" i="7" s="1"/>
  <c r="S95" i="6"/>
  <c r="H199" i="7"/>
  <c r="B63" i="5"/>
  <c r="S111" i="5"/>
  <c r="O132" i="7"/>
  <c r="V252" i="4"/>
  <c r="H118" i="7"/>
  <c r="H58" i="4"/>
  <c r="H4" i="7" s="1"/>
  <c r="O213" i="7"/>
  <c r="V250" i="4"/>
  <c r="M199" i="7"/>
  <c r="T213" i="7"/>
  <c r="M13" i="4"/>
  <c r="M91" i="6" s="1"/>
  <c r="K184" i="4"/>
  <c r="B57" i="6"/>
  <c r="B199" i="7" s="1"/>
  <c r="P71" i="6"/>
  <c r="P213" i="7" s="1"/>
  <c r="O6" i="4"/>
  <c r="O143" i="4" s="1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M110" i="5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204" i="4" s="1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V143" i="4" s="1"/>
  <c r="U6" i="4"/>
  <c r="G213" i="7"/>
  <c r="Q96" i="6"/>
  <c r="O73" i="4"/>
  <c r="O19" i="7" s="1"/>
  <c r="R30" i="4"/>
  <c r="Q20" i="4"/>
  <c r="Q98" i="6" s="1"/>
  <c r="K13" i="4"/>
  <c r="K204" i="4" s="1"/>
  <c r="H206" i="7"/>
  <c r="J18" i="5"/>
  <c r="J61" i="5" s="1"/>
  <c r="F77" i="5"/>
  <c r="F132" i="7" s="1"/>
  <c r="S6" i="4"/>
  <c r="I20" i="4"/>
  <c r="I157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150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C61" i="5" s="1"/>
  <c r="N132" i="7"/>
  <c r="F102" i="5"/>
  <c r="I215" i="4"/>
  <c r="J259" i="4"/>
  <c r="R267" i="4"/>
  <c r="J132" i="7"/>
  <c r="P177" i="4"/>
  <c r="H170" i="4"/>
  <c r="J58" i="4"/>
  <c r="J168" i="4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E76" i="5" s="1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19" i="7"/>
  <c r="D163" i="4"/>
  <c r="D217" i="4"/>
  <c r="D104" i="6"/>
  <c r="D110" i="5"/>
  <c r="T31" i="7"/>
  <c r="P20" i="4"/>
  <c r="P157" i="4" s="1"/>
  <c r="P215" i="4"/>
  <c r="P102" i="6"/>
  <c r="P108" i="5"/>
  <c r="S84" i="6"/>
  <c r="O57" i="4"/>
  <c r="O3" i="7" s="1"/>
  <c r="O4" i="7"/>
  <c r="F204" i="4"/>
  <c r="J163" i="4"/>
  <c r="J217" i="4"/>
  <c r="J104" i="6"/>
  <c r="J110" i="5"/>
  <c r="B177" i="4"/>
  <c r="B64" i="6"/>
  <c r="B206" i="7" s="1"/>
  <c r="B70" i="5"/>
  <c r="B125" i="7" s="1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E269" i="4"/>
  <c r="E267" i="4"/>
  <c r="E270" i="4"/>
  <c r="E268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O163" i="4"/>
  <c r="O217" i="4"/>
  <c r="O104" i="6"/>
  <c r="O110" i="5"/>
  <c r="U143" i="4"/>
  <c r="U197" i="4"/>
  <c r="U84" i="6"/>
  <c r="U90" i="5"/>
  <c r="K143" i="4"/>
  <c r="K197" i="4"/>
  <c r="K84" i="6"/>
  <c r="K90" i="5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4" i="4" s="1"/>
  <c r="D225" i="4" s="1"/>
  <c r="D198" i="4"/>
  <c r="D85" i="6"/>
  <c r="D91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97" i="5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T31" i="4"/>
  <c r="T251" i="4" s="1"/>
  <c r="T170" i="4"/>
  <c r="T57" i="6"/>
  <c r="T199" i="7" s="1"/>
  <c r="T63" i="5"/>
  <c r="T118" i="7" s="1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S242" i="4"/>
  <c r="V265" i="4"/>
  <c r="H262" i="4"/>
  <c r="H255" i="4"/>
  <c r="H254" i="4"/>
  <c r="H252" i="4"/>
  <c r="H257" i="4"/>
  <c r="R168" i="4"/>
  <c r="C6" i="4"/>
  <c r="T20" i="4"/>
  <c r="R4" i="4"/>
  <c r="R143" i="4"/>
  <c r="P13" i="4"/>
  <c r="V19" i="4"/>
  <c r="V157" i="4"/>
  <c r="U4" i="4"/>
  <c r="H13" i="4"/>
  <c r="U19" i="4"/>
  <c r="U244" i="4" s="1"/>
  <c r="U157" i="4"/>
  <c r="N19" i="4"/>
  <c r="N244" i="4" s="1"/>
  <c r="N157" i="4"/>
  <c r="Q4" i="4"/>
  <c r="O19" i="4"/>
  <c r="O157" i="4"/>
  <c r="T6" i="4"/>
  <c r="C46" i="4"/>
  <c r="C271" i="4" s="1"/>
  <c r="R19" i="4"/>
  <c r="R244" i="4" s="1"/>
  <c r="F19" i="4"/>
  <c r="F238" i="4" s="1"/>
  <c r="E19" i="4"/>
  <c r="E238" i="4" s="1"/>
  <c r="U57" i="4" l="1"/>
  <c r="U3" i="7" s="1"/>
  <c r="S91" i="6"/>
  <c r="B143" i="4"/>
  <c r="S4" i="4"/>
  <c r="S223" i="4" s="1"/>
  <c r="K97" i="5"/>
  <c r="K91" i="6"/>
  <c r="S90" i="5"/>
  <c r="Q76" i="5"/>
  <c r="R91" i="6"/>
  <c r="S197" i="4"/>
  <c r="H168" i="4"/>
  <c r="R204" i="4"/>
  <c r="S143" i="4"/>
  <c r="H57" i="4"/>
  <c r="H3" i="7" s="1"/>
  <c r="M76" i="5"/>
  <c r="N57" i="4"/>
  <c r="N3" i="7" s="1"/>
  <c r="B17" i="5"/>
  <c r="B144" i="5" s="1"/>
  <c r="E272" i="4"/>
  <c r="H261" i="4"/>
  <c r="B204" i="4"/>
  <c r="O90" i="5"/>
  <c r="H19" i="4"/>
  <c r="H242" i="4" s="1"/>
  <c r="E273" i="4"/>
  <c r="J97" i="5"/>
  <c r="G98" i="6"/>
  <c r="O84" i="6"/>
  <c r="I104" i="5"/>
  <c r="C57" i="4"/>
  <c r="C3" i="7" s="1"/>
  <c r="I19" i="4"/>
  <c r="I244" i="4" s="1"/>
  <c r="H249" i="4"/>
  <c r="E271" i="4"/>
  <c r="O197" i="4"/>
  <c r="I98" i="6"/>
  <c r="E264" i="4"/>
  <c r="E70" i="6"/>
  <c r="J91" i="6"/>
  <c r="H61" i="5"/>
  <c r="H259" i="4"/>
  <c r="E266" i="4"/>
  <c r="E30" i="4"/>
  <c r="J204" i="4"/>
  <c r="H253" i="4"/>
  <c r="I211" i="4"/>
  <c r="B4" i="4"/>
  <c r="B231" i="4" s="1"/>
  <c r="H263" i="4"/>
  <c r="O183" i="4"/>
  <c r="I90" i="5"/>
  <c r="H250" i="4"/>
  <c r="H260" i="4"/>
  <c r="H251" i="4"/>
  <c r="J4" i="7"/>
  <c r="K4" i="4"/>
  <c r="K223" i="4" s="1"/>
  <c r="M104" i="6"/>
  <c r="M217" i="4"/>
  <c r="S231" i="4"/>
  <c r="J57" i="4"/>
  <c r="J3" i="7" s="1"/>
  <c r="M204" i="4"/>
  <c r="V84" i="6"/>
  <c r="S150" i="4"/>
  <c r="K150" i="4"/>
  <c r="B90" i="5"/>
  <c r="V90" i="5"/>
  <c r="V4" i="4"/>
  <c r="V231" i="4" s="1"/>
  <c r="M150" i="4"/>
  <c r="V197" i="4"/>
  <c r="B84" i="6"/>
  <c r="F4" i="4"/>
  <c r="F231" i="4" s="1"/>
  <c r="M57" i="4"/>
  <c r="M3" i="7" s="1"/>
  <c r="M4" i="4"/>
  <c r="M231" i="4" s="1"/>
  <c r="C111" i="4"/>
  <c r="C30" i="7" s="1"/>
  <c r="D57" i="4"/>
  <c r="D3" i="7" s="1"/>
  <c r="I84" i="6"/>
  <c r="B110" i="5"/>
  <c r="I197" i="4"/>
  <c r="B104" i="6"/>
  <c r="B217" i="4"/>
  <c r="S17" i="5"/>
  <c r="S148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62" i="5"/>
  <c r="S163" i="5"/>
  <c r="S157" i="5"/>
  <c r="S150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1" i="6"/>
  <c r="H149" i="6"/>
  <c r="H146" i="6"/>
  <c r="H145" i="6"/>
  <c r="H154" i="6"/>
  <c r="H148" i="6"/>
  <c r="H140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1" i="5"/>
  <c r="J146" i="5"/>
  <c r="J148" i="5"/>
  <c r="J159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62" i="5"/>
  <c r="B155" i="5"/>
  <c r="B163" i="5"/>
  <c r="B152" i="5"/>
  <c r="B156" i="5"/>
  <c r="B143" i="5"/>
  <c r="B161" i="5"/>
  <c r="B154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37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41" i="4"/>
  <c r="I243" i="4"/>
  <c r="I242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232" i="4"/>
  <c r="M228" i="4"/>
  <c r="M229" i="4"/>
  <c r="F226" i="4"/>
  <c r="C150" i="4"/>
  <c r="C204" i="4"/>
  <c r="C91" i="6"/>
  <c r="C97" i="5"/>
  <c r="Q231" i="4"/>
  <c r="D271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88" i="5"/>
  <c r="B235" i="4"/>
  <c r="B236" i="4"/>
  <c r="B225" i="4"/>
  <c r="B228" i="4"/>
  <c r="B234" i="4"/>
  <c r="B232" i="4"/>
  <c r="D156" i="4"/>
  <c r="D210" i="4"/>
  <c r="D237" i="4"/>
  <c r="D241" i="4"/>
  <c r="D239" i="4"/>
  <c r="D242" i="4"/>
  <c r="C211" i="4"/>
  <c r="C98" i="6"/>
  <c r="C104" i="5"/>
  <c r="C238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95" i="4"/>
  <c r="K82" i="6"/>
  <c r="K232" i="4"/>
  <c r="K228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54" i="6"/>
  <c r="K235" i="4"/>
  <c r="O167" i="4"/>
  <c r="I224" i="4"/>
  <c r="N238" i="4"/>
  <c r="U238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E167" i="4" l="1"/>
  <c r="N167" i="4"/>
  <c r="J167" i="4"/>
  <c r="S154" i="5"/>
  <c r="B166" i="5"/>
  <c r="B165" i="5"/>
  <c r="B153" i="5"/>
  <c r="B146" i="5"/>
  <c r="B160" i="5"/>
  <c r="B147" i="5"/>
  <c r="B141" i="5"/>
  <c r="B164" i="5"/>
  <c r="B145" i="5"/>
  <c r="B151" i="5"/>
  <c r="B159" i="5"/>
  <c r="B142" i="5"/>
  <c r="B157" i="5"/>
  <c r="M236" i="4"/>
  <c r="I246" i="4"/>
  <c r="K88" i="5"/>
  <c r="P246" i="4"/>
  <c r="D97" i="6"/>
  <c r="B227" i="4"/>
  <c r="B195" i="4"/>
  <c r="M224" i="4"/>
  <c r="M225" i="4"/>
  <c r="M234" i="4"/>
  <c r="I210" i="4"/>
  <c r="I238" i="4"/>
  <c r="M167" i="4"/>
  <c r="M233" i="4"/>
  <c r="K226" i="4"/>
  <c r="K141" i="4"/>
  <c r="K240" i="4"/>
  <c r="M239" i="4"/>
  <c r="K233" i="4"/>
  <c r="D246" i="4"/>
  <c r="B223" i="4"/>
  <c r="M230" i="4"/>
  <c r="M222" i="4"/>
  <c r="I245" i="4"/>
  <c r="S149" i="5"/>
  <c r="M226" i="4"/>
  <c r="B224" i="4"/>
  <c r="K245" i="4"/>
  <c r="M156" i="4"/>
  <c r="D245" i="4"/>
  <c r="B233" i="4"/>
  <c r="M235" i="4"/>
  <c r="M88" i="5"/>
  <c r="I239" i="4"/>
  <c r="S165" i="5"/>
  <c r="K236" i="4"/>
  <c r="Q167" i="4"/>
  <c r="D240" i="4"/>
  <c r="B222" i="4"/>
  <c r="M227" i="4"/>
  <c r="M82" i="6"/>
  <c r="I237" i="4"/>
  <c r="S153" i="5"/>
  <c r="M195" i="4"/>
  <c r="P103" i="5"/>
  <c r="I103" i="5"/>
  <c r="K222" i="4"/>
  <c r="D103" i="5"/>
  <c r="B226" i="4"/>
  <c r="B82" i="6"/>
  <c r="M223" i="4"/>
  <c r="M141" i="4"/>
  <c r="I240" i="4"/>
  <c r="I97" i="6"/>
  <c r="U54" i="6"/>
  <c r="S147" i="5"/>
  <c r="S143" i="5"/>
  <c r="S142" i="5"/>
  <c r="S160" i="5"/>
  <c r="S141" i="5"/>
  <c r="S145" i="5"/>
  <c r="S151" i="5"/>
  <c r="S166" i="5"/>
  <c r="S155" i="5"/>
  <c r="S158" i="5"/>
  <c r="S152" i="5"/>
  <c r="S159" i="5"/>
  <c r="S164" i="5"/>
  <c r="S146" i="5"/>
  <c r="G244" i="4"/>
  <c r="G241" i="4"/>
  <c r="G103" i="5"/>
  <c r="G245" i="4"/>
  <c r="G97" i="6"/>
  <c r="G242" i="4"/>
  <c r="G238" i="4"/>
  <c r="G210" i="4"/>
  <c r="G246" i="4"/>
  <c r="G156" i="4"/>
  <c r="S156" i="5"/>
  <c r="G239" i="4"/>
  <c r="G243" i="4"/>
  <c r="S144" i="5"/>
  <c r="S161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37" i="5" l="1"/>
  <c r="L111" i="6"/>
  <c r="L131" i="6"/>
  <c r="L18" i="5"/>
  <c r="L17" i="5" s="1"/>
  <c r="L144" i="5" s="1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G26" i="8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O14" i="8"/>
  <c r="O26" i="10" s="1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P10" i="16"/>
  <c r="P4" i="16"/>
  <c r="S4" i="16"/>
  <c r="S3" i="16" s="1"/>
  <c r="K10" i="16"/>
  <c r="G4" i="16"/>
  <c r="Q3" i="16" l="1"/>
  <c r="K3" i="16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O80" i="8" s="1"/>
  <c r="N58" i="8"/>
  <c r="N80" i="8" s="1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K79" i="8" s="1"/>
  <c r="V55" i="8"/>
  <c r="V77" i="8" s="1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S76" i="8" s="1"/>
  <c r="R54" i="8"/>
  <c r="R76" i="8" s="1"/>
  <c r="Q54" i="8"/>
  <c r="Q76" i="8" s="1"/>
  <c r="P54" i="8"/>
  <c r="P76" i="8" s="1"/>
  <c r="O54" i="8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K80" i="8"/>
  <c r="K77" i="8"/>
  <c r="O76" i="8"/>
  <c r="L75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3" i="1"/>
  <c r="B4" i="1"/>
  <c r="B18" i="1"/>
  <c r="B22" i="1"/>
  <c r="B7" i="1"/>
  <c r="B8" i="1"/>
  <c r="B20" i="1"/>
  <c r="B6" i="1"/>
  <c r="B15" i="1"/>
  <c r="B9" i="1"/>
  <c r="B17" i="1"/>
  <c r="B12" i="1"/>
  <c r="B16" i="1"/>
  <c r="B21" i="1"/>
  <c r="B11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I220" i="3" s="1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D234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P77" i="3" l="1"/>
  <c r="D77" i="3"/>
  <c r="V131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8" i="3" l="1"/>
  <c r="I149" i="3"/>
  <c r="I146" i="3"/>
  <c r="I150" i="3"/>
  <c r="C234" i="3"/>
  <c r="I140" i="3"/>
  <c r="I199" i="3"/>
  <c r="I143" i="3"/>
  <c r="I142" i="3"/>
  <c r="I144" i="3"/>
  <c r="I141" i="3"/>
  <c r="I145" i="3"/>
  <c r="I13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17" i="12"/>
  <c r="B67" i="12" s="1"/>
  <c r="S47" i="3"/>
  <c r="S147" i="3" s="1"/>
  <c r="R144" i="3"/>
  <c r="R139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<sst xmlns="http://schemas.openxmlformats.org/spreadsheetml/2006/main" count="2655" uniqueCount="1167">
  <si>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</si>
  <si>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</si>
  <si>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</si>
  <si>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</si>
  <si>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</si>
  <si>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</si>
  <si>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</si>
  <si>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</si>
  <si>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</si>
  <si>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</si>
  <si>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</si>
  <si>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</si>
  <si>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</si>
  <si>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</si>
  <si>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</si>
  <si>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</si>
  <si>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</si>
  <si>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</si>
  <si>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</si>
  <si>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</si>
  <si>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</si>
  <si>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</si>
  <si>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</si>
  <si>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</si>
  <si>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</si>
  <si>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</si>
  <si>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</si>
  <si>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</si>
  <si>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</si>
  <si>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</si>
  <si>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</si>
  <si>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</si>
  <si>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</si>
  <si>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</si>
  <si>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</si>
  <si>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</si>
  <si>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</si>
  <si>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</si>
  <si>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</si>
  <si>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</si>
  <si>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</si>
  <si>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</si>
  <si>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</si>
  <si>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</si>
  <si>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</si>
  <si>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</si>
  <si>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</si>
  <si>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</si>
  <si>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</si>
  <si>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</si>
  <si>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</si>
  <si>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</si>
  <si>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</si>
  <si>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</si>
  <si>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</si>
  <si>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</si>
  <si>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</si>
  <si>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</si>
  <si>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</si>
  <si>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</si>
  <si>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</si>
  <si>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</si>
  <si>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</si>
  <si>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</si>
  <si>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</si>
  <si>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</si>
  <si>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</si>
  <si>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</si>
  <si>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</si>
  <si>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</si>
  <si>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</si>
  <si>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</si>
  <si>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</si>
  <si>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</si>
  <si>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</si>
  <si>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</si>
  <si>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</si>
  <si>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</si>
  <si>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</si>
  <si>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</si>
  <si>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</si>
  <si>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</si>
  <si>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</si>
  <si>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</si>
  <si>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</si>
  <si>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</si>
  <si>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</si>
  <si>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</si>
  <si>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</si>
  <si>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</si>
  <si>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</si>
  <si>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</si>
  <si>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</si>
  <si>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</si>
  <si>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</si>
  <si>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</si>
  <si>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</si>
  <si>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</si>
  <si>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</si>
  <si>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</si>
  <si>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</si>
  <si>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</si>
  <si>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</si>
  <si>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</si>
  <si>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</si>
  <si>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</si>
  <si>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</si>
  <si>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</si>
  <si>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</si>
  <si>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</si>
  <si>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</si>
  <si>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</si>
  <si>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</si>
  <si>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</si>
  <si>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</si>
  <si>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</si>
  <si>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</si>
  <si>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</si>
  <si>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</si>
  <si>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</si>
  <si>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</si>
  <si>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</si>
  <si>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</si>
  <si>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</si>
  <si>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</si>
  <si>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</si>
  <si>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</si>
  <si>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</si>
  <si>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</si>
  <si>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</si>
  <si>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</si>
  <si>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</si>
  <si>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</si>
  <si>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</si>
  <si>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</si>
  <si>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</si>
  <si>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</si>
  <si>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</si>
  <si>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</si>
  <si>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</si>
  <si>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</si>
  <si>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</si>
  <si>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</si>
  <si>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</si>
  <si>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</si>
  <si>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</si>
  <si>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</si>
  <si>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</si>
  <si>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</si>
  <si>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</si>
  <si>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</si>
  <si>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</si>
  <si>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</si>
  <si>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</si>
  <si>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</si>
  <si>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</si>
  <si>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</si>
  <si>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</si>
  <si>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</si>
  <si>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</si>
  <si>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</si>
  <si>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</si>
  <si>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</si>
  <si>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</si>
  <si>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</si>
  <si>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</si>
  <si>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</si>
  <si>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</si>
  <si>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</si>
  <si>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</si>
  <si>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</si>
  <si>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</si>
  <si>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</si>
  <si>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</si>
  <si>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</si>
  <si>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</si>
  <si>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</si>
  <si>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</si>
  <si>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</si>
  <si>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</si>
  <si>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</si>
  <si>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</si>
  <si>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</si>
  <si>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</si>
  <si>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</si>
  <si>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</si>
  <si>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LT</t>
  </si>
  <si>
    <t>Lithuania</t>
  </si>
  <si>
    <t>Aviation - LT - Lithuania</t>
  </si>
  <si>
    <t>Activity.Mpkm.LT.Tr.Avia.Passenger</t>
  </si>
  <si>
    <t>Activity.Mpkm.LT.Tr.Avia.Passenger.Domestic</t>
  </si>
  <si>
    <t>Activity.Mpkm.LT.Tr.Avia.Passenger.IntraEEAwUK</t>
  </si>
  <si>
    <t>Activity.Mpkm.LT.Tr.Avia.Passenger.ExtraEEAwUK</t>
  </si>
  <si>
    <t>Activity.Mtkm.LT.Tr.Avia.Freight</t>
  </si>
  <si>
    <t>Activity.Mtkm.LT.Tr.Avia.Freight.Domestic</t>
  </si>
  <si>
    <t>Activity.Mtkm.LT.Tr.Avia.Freight.IntraEEAwUK</t>
  </si>
  <si>
    <t>Activity.Mtkm.LT.Tr.Avia.Freight.ExtraEEAwUK</t>
  </si>
  <si>
    <t>VehicleKm.Mkm.LT.Tr.Avia</t>
  </si>
  <si>
    <t>VehicleKm.Mkm.LT.Tr.Avia.Passenger</t>
  </si>
  <si>
    <t>VehicleKm.Mkm.LT.Tr.Avia.Passenger.Domestic</t>
  </si>
  <si>
    <t>VehicleKm.Mkm.LT.Tr.Avia.Passenger.IntraEEAwUK</t>
  </si>
  <si>
    <t>VehicleKm.Mkm.LT.Tr.Avia.Passenger.ExtraEEAwUK</t>
  </si>
  <si>
    <t>VehicleKm.Mkm.LT.Tr.Avia.Freight</t>
  </si>
  <si>
    <t>VehicleKm.Mkm.LT.Tr.Avia.Freight.Domestic</t>
  </si>
  <si>
    <t>VehicleKm.Mkm.LT.Tr.Avia.Freight.IntraEEAwUK</t>
  </si>
  <si>
    <t>VehicleKm.Mkm.LT.Tr.Avia.Freight.ExtraEEAwUK</t>
  </si>
  <si>
    <t>Flights.number.LT.Tr.Avia</t>
  </si>
  <si>
    <t>Flights.number.LT.Tr.Avia.Passenger</t>
  </si>
  <si>
    <t>Flights.number.LT.Tr.Avia.Passenger.Domestic</t>
  </si>
  <si>
    <t>Flights.number.LT.Tr.Avia.Passenger.IntraEEAwUK</t>
  </si>
  <si>
    <t>Flights.number.LT.Tr.Avia.Passenger.ExtraEEAwUK</t>
  </si>
  <si>
    <t>Flights.number.LT.Tr.Avia.Freight</t>
  </si>
  <si>
    <t>Flights.number.LT.Tr.Avia.Freight.Domestic</t>
  </si>
  <si>
    <t>Flights.number.LT.Tr.Avia.Freight.IntraEEAwUK</t>
  </si>
  <si>
    <t>Flights.number.LT.Tr.Avia.Freight.ExtraEEAwUK</t>
  </si>
  <si>
    <t>VolCarried.passenger.LT.Tr.Avia.Passenger</t>
  </si>
  <si>
    <t>VolCarried.passenger.LT.Tr.Avia.Passenger.Domestic</t>
  </si>
  <si>
    <t>VolCarried.passenger.LT.Tr.Avia.Passenger.IntraEEAwUK</t>
  </si>
  <si>
    <t>VolCarried.passenger.LT.Tr.Avia.Passenger.ExtraEEAwUK</t>
  </si>
  <si>
    <t>VolCarried.t.LT.Tr.Avia.Freight</t>
  </si>
  <si>
    <t>VolCarried.t.LT.Tr.Avia.Freight.Domestic</t>
  </si>
  <si>
    <t>VolCarried.t.LT.Tr.Avia.Freight.IntraEEAwUK</t>
  </si>
  <si>
    <t>VolCarried.t.LT.Tr.Avia.Freight.ExtraEEAwUK</t>
  </si>
  <si>
    <t>Stock.number.LT.Tr.Avia</t>
  </si>
  <si>
    <t>Stock.number.LT.Tr.Avia.Passenger</t>
  </si>
  <si>
    <t>Stock.number.LT.Tr.Avia.Passenger.Domestic</t>
  </si>
  <si>
    <t>Stock.number.LT.Tr.Avia.Passenger.IntraEEAwUK</t>
  </si>
  <si>
    <t>Stock.number.LT.Tr.Avia.Passenger.ExtraEEAwUK</t>
  </si>
  <si>
    <t>Stock.number.LT.Tr.Avia.Freight</t>
  </si>
  <si>
    <t>Stock.number.LT.Tr.Avia.Freight.Domestic</t>
  </si>
  <si>
    <t>Stock.number.LT.Tr.Avia.Freight.IntraEEAwUK</t>
  </si>
  <si>
    <t>Stock.number.LT.Tr.Avia.Freight.ExtraEEAwUK</t>
  </si>
  <si>
    <t>StockNew.number.LT.Tr.Avia</t>
  </si>
  <si>
    <t>StockNew.number.LT.Tr.Avia.Passenger</t>
  </si>
  <si>
    <t>StockNew.number.LT.Tr.Avia.Passenger.Domestic</t>
  </si>
  <si>
    <t>StockNew.number.LT.Tr.Avia.Passenger.IntraEEAwUK</t>
  </si>
  <si>
    <t>StockNew.number.LT.Tr.Avia.Passenger.ExtraEEAwUK</t>
  </si>
  <si>
    <t>StockNew.number.LT.Tr.Avia.Freight</t>
  </si>
  <si>
    <t>StockNew.number.LT.Tr.Avia.Freight.Domestic</t>
  </si>
  <si>
    <t>StockNew.number.LT.Tr.Avia.Freight.IntraEEAwUK</t>
  </si>
  <si>
    <t>StockNew.number.LT.Tr.Avia.Freight.ExtraEEAwUK</t>
  </si>
  <si>
    <t>Load.passenger_per_movement.LT.Tr.Avia.Passenger</t>
  </si>
  <si>
    <t>Load.passenger_per_movement.LT.Tr.Avia.Passenger.Domestic</t>
  </si>
  <si>
    <t>Load.passenger_per_movement.LT.Tr.Avia.Passenger.IntraEEAwUK</t>
  </si>
  <si>
    <t>Load.passenger_per_movement.LT.Tr.Avia.Passenger.ExtraEEAwUK</t>
  </si>
  <si>
    <t>Load.t_per_movement.LT.Tr.Avia.Freight</t>
  </si>
  <si>
    <t>Load.t_per_movement.LT.Tr.Avia.Freight.Domestic</t>
  </si>
  <si>
    <t>Load.t_per_movement.LT.Tr.Avia.Freight.IntraEEAwUK</t>
  </si>
  <si>
    <t>Load.t_per_movement.LT.Tr.Avia.Freight.ExtraEEAwUK</t>
  </si>
  <si>
    <t>VehicleKm_per_flight.km.LT.Tr.Avia</t>
  </si>
  <si>
    <t>VehicleKm_per_flight.km.LT.Tr.Avia.Passenger</t>
  </si>
  <si>
    <t>VehicleKm_per_flight.km.LT.Tr.Avia.Passenger.Domestic</t>
  </si>
  <si>
    <t>VehicleKm_per_flight.km.LT.Tr.Avia.Passenger.IntraEEAwUK</t>
  </si>
  <si>
    <t>VehicleKm_per_flight.km.LT.Tr.Avia.Passenger.ExtraEEAwUK</t>
  </si>
  <si>
    <t>VehicleKm_per_flight.km.LT.Tr.Avia.Freight</t>
  </si>
  <si>
    <t>VehicleKm_per_flight.km.LT.Tr.Avia.Freight.Domestic</t>
  </si>
  <si>
    <t>VehicleKm_per_flight.km.LT.Tr.Avia.Freight.IntraEEAwUK</t>
  </si>
  <si>
    <t>VehicleKm_per_flight.km.LT.Tr.Avia.Freight.ExtraEEAwUK</t>
  </si>
  <si>
    <t>Activity_per_flight.pkm.LT.Tr.Avia.Passenger</t>
  </si>
  <si>
    <t>Activity_per_flight.pkm.LT.Tr.Avia.Passenger.Domestic</t>
  </si>
  <si>
    <t>Activity_per_flight.pkm.LT.Tr.Avia.Passenger.IntraEEAwUK</t>
  </si>
  <si>
    <t>Activity_per_flight.pkm.LT.Tr.Avia.Passenger.ExtraEEAwUK</t>
  </si>
  <si>
    <t>Activity_per_flight.tkm.LT.Tr.Avia.Freight</t>
  </si>
  <si>
    <t>Activity_per_flight.tkm.LT.Tr.Avia.Freight.Domestic</t>
  </si>
  <si>
    <t>Activity_per_flight.tkm.LT.Tr.Avia.Freight.IntraEEAwUK</t>
  </si>
  <si>
    <t>Activity_per_flight.tkm.LT.Tr.Avia.Freight.ExtraEEAwUK</t>
  </si>
  <si>
    <t>Flights_per_vehicle.number.LT.Tr.Avia</t>
  </si>
  <si>
    <t>Flights_per_vehicle.number.LT.Tr.Avia.Passenger</t>
  </si>
  <si>
    <t>Flights_per_vehicle.number.LT.Tr.Avia.Passenger.Domestic</t>
  </si>
  <si>
    <t>Flights_per_vehicle.number.LT.Tr.Avia.Passenger.IntraEEAwUK</t>
  </si>
  <si>
    <t>Flights_per_vehicle.number.LT.Tr.Avia.Passenger.ExtraEEAwUK</t>
  </si>
  <si>
    <t>Flights_per_vehicle.number.LT.Tr.Avia.Freight</t>
  </si>
  <si>
    <t>Flights_per_vehicle.number.LT.Tr.Avia.Freight.Domestic</t>
  </si>
  <si>
    <t>Flights_per_vehicle.number.LT.Tr.Avia.Freight.IntraEEAwUK</t>
  </si>
  <si>
    <t>Flights_per_vehicle.number.LT.Tr.Avia.Freight.ExtraEEAwUK</t>
  </si>
  <si>
    <t>Aviation / energy consumption - LT - Lithuania</t>
  </si>
  <si>
    <t>FEC.ktoe.LT.Tr.Avia</t>
  </si>
  <si>
    <t>FEC.ktoe.LT.Tr.Avia.Domestic</t>
  </si>
  <si>
    <t>FEC.ktoe.LT.Tr.Avia.International</t>
  </si>
  <si>
    <t>FEC.ktoe.LT.Tr.Avia.Passenger</t>
  </si>
  <si>
    <t>FEC.ktoe.LT.Tr.Avia.Passenger.Domestic</t>
  </si>
  <si>
    <t>FEC.ktoe.LT.Tr.Avia.Passenger.IntraEEAwUK</t>
  </si>
  <si>
    <t>FEC.ktoe.LT.Tr.Avia.Passenger.ExtraEEAwUK</t>
  </si>
  <si>
    <t>FEC.ktoe.LT.Tr.Avia.Freight</t>
  </si>
  <si>
    <t>FEC.ktoe.LT.Tr.Avia.Freight.Domestic</t>
  </si>
  <si>
    <t>FEC.ktoe.LT.Tr.Avia.Freight.IntraEEAwUK</t>
  </si>
  <si>
    <t>FEC.ktoe.LT.Tr.Avia.Freight.ExtraEEAwUK</t>
  </si>
  <si>
    <t>Eff.kgoe_per_100km.LT.Tr.Avia</t>
  </si>
  <si>
    <t>Eff.kgoe_per_100km.LT.Tr.Avia.Passenger</t>
  </si>
  <si>
    <t>Eff.kgoe_per_100km.LT.Tr.Avia.Passenger.Domestic</t>
  </si>
  <si>
    <t>Eff.kgoe_per_100km.LT.Tr.Avia.Passenger.IntraEEAwUK</t>
  </si>
  <si>
    <t>Eff.kgoe_per_100km.LT.Tr.Avia.Passenger.ExtraEEAwUK</t>
  </si>
  <si>
    <t>Eff.kgoe_per_100km.LT.Tr.Avia.Freight</t>
  </si>
  <si>
    <t>Eff.kgoe_per_100km.LT.Tr.Avia.Freight.Domestic</t>
  </si>
  <si>
    <t>Eff.kgoe_per_100km.LT.Tr.Avia.Freight.IntraEEAwUK</t>
  </si>
  <si>
    <t>Eff.kgoe_per_100km.LT.Tr.Avia.Freight.ExtraEEAwUK</t>
  </si>
  <si>
    <t>Eff.kgoe_per_kpkm.LT.Tr.Avia.Passenger</t>
  </si>
  <si>
    <t>Eff.kgoe_per_kpkm.LT.Tr.Avia.Passenger.Domestic</t>
  </si>
  <si>
    <t>Eff.kgoe_per_kpkm.LT.Tr.Avia.Passenger.IntraEEAwUK</t>
  </si>
  <si>
    <t>Eff.kgoe_per_kpkm.LT.Tr.Avia.Passenger.ExtraEEAwUK</t>
  </si>
  <si>
    <t>Eff.kgoe_per_ktkm.LT.Tr.Avia.Freight</t>
  </si>
  <si>
    <t>Eff.kgoe_per_ktkm.LT.Tr.Avia.Freight.Domestic</t>
  </si>
  <si>
    <t>Eff.kgoe_per_ktkm.LT.Tr.Avia.Freight.IntraEEAwUK</t>
  </si>
  <si>
    <t>Eff.kgoe_per_ktkm.LT.Tr.Avia.Freight.ExtraEEAwUK</t>
  </si>
  <si>
    <t>FEC_per_flight.kgoe.LT.Tr.Avia</t>
  </si>
  <si>
    <t>FEC_per_flight.kgoe.LT.Tr.Avia.Passenger</t>
  </si>
  <si>
    <t>FEC_per_flight.kgoe.LT.Tr.Avia.Passenger.Domestic</t>
  </si>
  <si>
    <t>FEC_per_flight.kgoe.LT.Tr.Avia.Passenger.IntraEEAwUK</t>
  </si>
  <si>
    <t>FEC_per_flight.kgoe.LT.Tr.Avia.Passenger.ExtraEEAwUK</t>
  </si>
  <si>
    <t>FEC_per_flight.kgoe.LT.Tr.Avia.Freight</t>
  </si>
  <si>
    <t>FEC_per_flight.kgoe.LT.Tr.Avia.Freight.Domestic</t>
  </si>
  <si>
    <t>FEC_per_flight.kgoe.LT.Tr.Avia.Freight.IntraEEAwUK</t>
  </si>
  <si>
    <t>FEC_per_flight.kgoe.LT.Tr.Avia.Freight.ExtraEEAwUK</t>
  </si>
  <si>
    <t>Eff_theor.kgoe_per_100km.LT.Tr.Avia</t>
  </si>
  <si>
    <t>Eff_theor.kgoe_per_100km.LT.Tr.Avia.Passenger</t>
  </si>
  <si>
    <t>Eff_theor.kgoe_per_100km.LT.Tr.Avia.Passenger.Domestic</t>
  </si>
  <si>
    <t>Eff_theor.kgoe_per_100km.LT.Tr.Avia.Passenger.IntraEEAwUK</t>
  </si>
  <si>
    <t>Eff_theor.kgoe_per_100km.LT.Tr.Avia.Passenger.ExtraEEAwUK</t>
  </si>
  <si>
    <t>Eff_theor.kgoe_per_100km.LT.Tr.Avia.Freight</t>
  </si>
  <si>
    <t>Eff_theor.kgoe_per_100km.LT.Tr.Avia.Freight.Domestic</t>
  </si>
  <si>
    <t>Eff_theor.kgoe_per_100km.LT.Tr.Avia.Freight.IntraEEAwUK</t>
  </si>
  <si>
    <t>Eff_theor.kgoe_per_100km.LT.Tr.Avia.Freight.ExtraEEAwUK</t>
  </si>
  <si>
    <t>Aviation / CO2 emissions - LT - Lithuania</t>
  </si>
  <si>
    <t>EMI.ktCO2.LT.Tr.Avia</t>
  </si>
  <si>
    <t>EMI.ktCO2.LT.Tr.Avia.Domestic</t>
  </si>
  <si>
    <t>EMI.ktCO2.LT.Tr.Avia.International</t>
  </si>
  <si>
    <t>EMI.ktCO2.LT.Tr.Avia.Passenger</t>
  </si>
  <si>
    <t>EMI.ktCO2.LT.Tr.Avia.Passenger.Domestic</t>
  </si>
  <si>
    <t>EMI.ktCO2.LT.Tr.Avia.Passenger.IntraEEAwUK</t>
  </si>
  <si>
    <t>EMI.ktCO2.LT.Tr.Avia.Passenger.ExtraEEAwUK</t>
  </si>
  <si>
    <t>EMI.ktCO2.LT.Tr.Avia.Freight</t>
  </si>
  <si>
    <t>EMI.ktCO2.LT.Tr.Avia.Freight.Domestic</t>
  </si>
  <si>
    <t>EMI.ktCO2.LT.Tr.Avia.Freight.IntraEEAwUK</t>
  </si>
  <si>
    <t>EMI.ktCO2.LT.Tr.Avia.Freight.ExtraEEAwUK</t>
  </si>
  <si>
    <t>EMIint.gCO2_per_km.LT.Tr.Avia</t>
  </si>
  <si>
    <t>EMIint.gCO2_per_km.LT.Tr.Avia.Passenger</t>
  </si>
  <si>
    <t>EMIint.gCO2_per_km.LT.Tr.Avia.Passenger.Domestic</t>
  </si>
  <si>
    <t>EMIint.gCO2_per_km.LT.Tr.Avia.Passenger.IntraEEAwUK</t>
  </si>
  <si>
    <t>EMIint.gCO2_per_km.LT.Tr.Avia.Passenger.ExtraEEAwUK</t>
  </si>
  <si>
    <t>EMIint.gCO2_per_km.LT.Tr.Avia.Freight</t>
  </si>
  <si>
    <t>EMIint.gCO2_per_km.LT.Tr.Avia.Freight.Domestic</t>
  </si>
  <si>
    <t>EMIint.gCO2_per_km.LT.Tr.Avia.Freight.IntraEEAwUK</t>
  </si>
  <si>
    <t>EMIint.gCO2_per_km.LT.Tr.Avia.Freight.ExtraEEAwUK</t>
  </si>
  <si>
    <t>EMIint.gCO2_per_pkm.LT.Tr.Avia.Passenger</t>
  </si>
  <si>
    <t>EMIint.gCO2_per_pkm.LT.Tr.Avia.Passenger.Domestic</t>
  </si>
  <si>
    <t>EMIint.gCO2_per_pkm.LT.Tr.Avia.Passenger.IntraEEAwUK</t>
  </si>
  <si>
    <t>EMIint.gCO2_per_pkm.LT.Tr.Avia.Passenger.ExtraEEAwUK</t>
  </si>
  <si>
    <t>EMIint.gCO2_per_tkm.LT.Tr.Avia.Freight</t>
  </si>
  <si>
    <t>EMIint.gCO2_per_tkm.LT.Tr.Avia.Freight.Domestic</t>
  </si>
  <si>
    <t>EMIint.gCO2_per_tkm.LT.Tr.Avia.Freight.IntraEEAwUK</t>
  </si>
  <si>
    <t>EMIint.gCO2_per_tkm.LT.Tr.Avia.Freight.ExtraEEAwUK</t>
  </si>
  <si>
    <t>EMI_per_flight.kgCO2.LT.Tr.Avia</t>
  </si>
  <si>
    <t>EMI_per_flight.kgCO2.LT.Tr.Avia.Passenger</t>
  </si>
  <si>
    <t>EMI_per_flight.kgCO2.LT.Tr.Avia.Passenger.Domestic</t>
  </si>
  <si>
    <t>EMI_per_flight.kgCO2.LT.Tr.Avia.Passenger.IntraEEAwUK</t>
  </si>
  <si>
    <t>EMI_per_flight.kgCO2.LT.Tr.Avia.Passenger.ExtraEEAwUK</t>
  </si>
  <si>
    <t>EMI_per_flight.kgCO2.LT.Tr.Avia.Freight</t>
  </si>
  <si>
    <t>EMI_per_flight.kgCO2.LT.Tr.Avia.Freight.Domestic</t>
  </si>
  <si>
    <t>EMI_per_flight.kgCO2.LT.Tr.Avia.Freight.IntraEEAwUK</t>
  </si>
  <si>
    <t>EMI_per_flight.kgCO2.LT.Tr.Avia.Freight.ExtraEEAwUK</t>
  </si>
  <si>
    <t>Aviation / passenger transport specific data - LT - Lithuania</t>
  </si>
  <si>
    <t>TrCap.seats.LT.Tr.Avia.Passenger</t>
  </si>
  <si>
    <t>TrCap.seats.LT.Tr.Avia.Passenger.Domestic</t>
  </si>
  <si>
    <t>TrCap.seats.LT.Tr.Avia.Passenger.IntraEEAwUK</t>
  </si>
  <si>
    <t>TrCap.seats.LT.Tr.Avia.Passenger.ExtraEEAwUK</t>
  </si>
  <si>
    <t>TrCap_per_flight.seats.LT.Tr.Avia.Passenger</t>
  </si>
  <si>
    <t>TrCap_per_flight.seats.LT.Tr.Avia.Passenger.Domestic</t>
  </si>
  <si>
    <t>TrCap_per_flight.seats.LT.Tr.Avia.Passenger.IntraEEAwUK</t>
  </si>
  <si>
    <t>TrCap_per_flight.seats.LT.Tr.Avia.Passenger.ExtraEEAwUK</t>
  </si>
  <si>
    <t>Transport overview - LT - Lithuania</t>
  </si>
  <si>
    <t>Activity.Mpkm.LT.Tr</t>
  </si>
  <si>
    <t>Activity.Mpkm.LT.Tr.Road.Passenger</t>
  </si>
  <si>
    <t>Activity.Mpkm.LT.Tr.Road.Passenger.P2W</t>
  </si>
  <si>
    <t>Activity.Mpkm.LT.Tr.Road.Passenger.Car</t>
  </si>
  <si>
    <t>Activity.Mpkm.LT.Tr.Road.Passenger.Bus</t>
  </si>
  <si>
    <t>Activity.Mpkm.LT.Tr.Rail.Passenger</t>
  </si>
  <si>
    <t>Activity.Mpkm.LT.Tr.Rail.Passenger.MTU</t>
  </si>
  <si>
    <t>Activity.Mpkm.LT.Tr.Rail.Passenger.CPT</t>
  </si>
  <si>
    <t>Activity.Mpkm.LT.Tr.Rail.Passenger.HST</t>
  </si>
  <si>
    <t>Activity.Mtkm.LT.Tr</t>
  </si>
  <si>
    <t>Activity.Mtkm.LT.Tr.Road.Freight</t>
  </si>
  <si>
    <t>Activity.Mtkm.LT.Tr.Road.Freight.LCV</t>
  </si>
  <si>
    <t>Activity.Mtkm.LT.Tr.Road.Freight.HGV</t>
  </si>
  <si>
    <t>Activity.Mtkm.LT.Tr.Rail.Freight</t>
  </si>
  <si>
    <t>Activity.Mtkm.LT.Tr.DNavi.Freight</t>
  </si>
  <si>
    <t>Activity.Mtkm.LT.Tr.DNavi.Freight.DCS</t>
  </si>
  <si>
    <t>Activity.Mtkm.LT.Tr.DNavi.Freight.IWW</t>
  </si>
  <si>
    <t>Activity.Mtkm.LT.MBunk.Freight</t>
  </si>
  <si>
    <t>Activity.Mtkm.LT.MBunk.Freight.IntraEEA</t>
  </si>
  <si>
    <t>Activity.Mtkm.LT.MBunk.Freight.ExtraEEA</t>
  </si>
  <si>
    <t>FEC.ktoe.LT.Tr.Road.Passenger</t>
  </si>
  <si>
    <t>FEC.ktoe.LT.Tr.Road.Passenger.P2W</t>
  </si>
  <si>
    <t>FEC.ktoe.LT.Tr.Road.Passenger.Car</t>
  </si>
  <si>
    <t>FEC.ktoe.LT.Tr.Road.Passenger.Bus</t>
  </si>
  <si>
    <t>FEC.ktoe.LT.Tr.Rail.Passenger</t>
  </si>
  <si>
    <t>FEC.ktoe.LT.Tr.Rail.Passenger.MTU</t>
  </si>
  <si>
    <t>FEC.ktoe.LT.Tr.Rail.Passenger.CPT</t>
  </si>
  <si>
    <t>FEC.ktoe.LT.Tr.Rail.Passenger.HST</t>
  </si>
  <si>
    <t>FEC.ktoe.LT.Tr.Road.Freight</t>
  </si>
  <si>
    <t>FEC.ktoe.LT.Tr.Road.Freight.LCV</t>
  </si>
  <si>
    <t>FEC.ktoe.LT.Tr.Road.Freight.HGV</t>
  </si>
  <si>
    <t>FEC.ktoe.LT.Tr.Rail.Freight</t>
  </si>
  <si>
    <t>EMI.ktCO2.LT.Tr.Road.Passenger</t>
  </si>
  <si>
    <t>EMI.ktCO2.LT.Tr.Road.Passenger.P2W</t>
  </si>
  <si>
    <t>EMI.ktCO2.LT.Tr.Road.Passenger.Car</t>
  </si>
  <si>
    <t>EMI.ktCO2.LT.Tr.Road.Passenger.Bus</t>
  </si>
  <si>
    <t>EMI.ktCO2.LT.Tr.Rail.Passenger</t>
  </si>
  <si>
    <t>EMI.ktCO2.LT.Tr.Rail.Passenger.MTU</t>
  </si>
  <si>
    <t>EMI.ktCO2.LT.Tr.Rail.Passenger.CPT</t>
  </si>
  <si>
    <t>EMI.ktCO2.LT.Tr.Rail.Passenger.HST</t>
  </si>
  <si>
    <t>EMI.ktCO2.LT.Tr.Road.Freight</t>
  </si>
  <si>
    <t>EMI.ktCO2.LT.Tr.Road.Freight.LCV</t>
  </si>
  <si>
    <t>EMI.ktCO2.LT.Tr.Road.Freight.HGV</t>
  </si>
  <si>
    <t>EMI.ktCO2.LT.Tr.Rail.Freight</t>
  </si>
  <si>
    <t>Eff.kgoe_per_kpkm.LT.Tr</t>
  </si>
  <si>
    <t>Eff.kgoe_per_kpkm.LT.Tr.Road.Passenger</t>
  </si>
  <si>
    <t>Eff.kgoe_per_kpkm.LT.Tr.Road.Passenger.P2W</t>
  </si>
  <si>
    <t>Eff.kgoe_per_kpkm.LT.Tr.Road.Passenger.Car</t>
  </si>
  <si>
    <t>Eff.kgoe_per_kpkm.LT.Tr.Road.Passenger.Bus</t>
  </si>
  <si>
    <t>Eff.kgoe_per_kpkm.LT.Tr.Rail.Passenger</t>
  </si>
  <si>
    <t>Eff.kgoe_per_kpkm.LT.Tr.Rail.Passenger.MTU</t>
  </si>
  <si>
    <t>Eff.kgoe_per_kpkm.LT.Tr.Rail.Passenger.CPT</t>
  </si>
  <si>
    <t>Eff.kgoe_per_kpkm.LT.Tr.Rail.Passenger.HST</t>
  </si>
  <si>
    <t>Eff.kgoe_per_ktkm.LT.Tr</t>
  </si>
  <si>
    <t>Eff.kgoe_per_ktkm.LT.Tr.Road.Freight</t>
  </si>
  <si>
    <t>Eff.kgoe_per_ktkm.LT.Tr.Road.Freight.LCV</t>
  </si>
  <si>
    <t>Eff.kgoe_per_ktkm.LT.Tr.Road.Freight.HGV</t>
  </si>
  <si>
    <t>Eff.kgoe_per_ktkm.LT.Tr.Rail.Freight</t>
  </si>
  <si>
    <t>Eff.kgoe_per_ktkm.LT.Tr.DNavi.Freight</t>
  </si>
  <si>
    <t>Eff.kgoe_per_ktkm.LT.Tr.DNavi.Freight.DCS</t>
  </si>
  <si>
    <t>Eff.kgoe_per_ktkm.LT.Tr.DNavi.Freight.IWW</t>
  </si>
  <si>
    <t>Eff.kgoe_per_ktkm.LT.MBunk.Freight</t>
  </si>
  <si>
    <t>Eff.kgoe_per_ktkm.LT.MBunk.Freight.IntraEEA</t>
  </si>
  <si>
    <t>Eff.kgoe_per_ktkm.LT.MBunk.Freight.ExtraEEA</t>
  </si>
  <si>
    <t>EMIint.gCO2_per_pkm.LT.Tr</t>
  </si>
  <si>
    <t>EMIint.gCO2_per_pkm.LT.Tr.Road.Passenger</t>
  </si>
  <si>
    <t>EMIint.gCO2_per_pkm.LT.Tr.Road.Passenger.P2W</t>
  </si>
  <si>
    <t>EMIint.gCO2_per_pkm.LT.Tr.Road.Passenger.Car</t>
  </si>
  <si>
    <t>EMIint.gCO2_per_pkm.LT.Tr.Road.Passenger.Bus</t>
  </si>
  <si>
    <t>EMIint.gCO2_per_pkm.LT.Tr.Rail.Passenger</t>
  </si>
  <si>
    <t>EMIint.gCO2_per_pkm.LT.Tr.Rail.Passenger.MTU</t>
  </si>
  <si>
    <t>EMIint.gCO2_per_pkm.LT.Tr.Rail.Passenger.CPT</t>
  </si>
  <si>
    <t>EMIint.gCO2_per_pkm.LT.Tr.Rail.Passenger.HST</t>
  </si>
  <si>
    <t>EMIint.gCO2_per_tkm.LT.Tr</t>
  </si>
  <si>
    <t>EMIint.gCO2_per_tkm.LT.Tr.Road.Freight</t>
  </si>
  <si>
    <t>EMIint.gCO2_per_tkm.LT.Tr.Road.Freight.LCV</t>
  </si>
  <si>
    <t>EMIint.gCO2_per_tkm.LT.Tr.Road.Freight.HGV</t>
  </si>
  <si>
    <t>EMIint.gCO2_per_tkm.LT.Tr.Rail.Freight</t>
  </si>
  <si>
    <t>EMIint.gCO2_per_tkm.LT.Tr.DNavi.Freight</t>
  </si>
  <si>
    <t>EMIint.gCO2_per_tkm.LT.Tr.DNavi.Freight.DCS</t>
  </si>
  <si>
    <t>EMIint.gCO2_per_tkm.LT.Tr.DNavi.Freight.IWW</t>
  </si>
  <si>
    <t>EMIint.gCO2_per_tkm.LT.MBunk.Freight</t>
  </si>
  <si>
    <t>EMIint.gCO2_per_tkm.LT.MBunk.Freight.IntraEEA</t>
  </si>
  <si>
    <t>EMIint.gCO2_per_tkm.LT.MBunk.Freight.ExtraEEA</t>
  </si>
  <si>
    <t>Road transport - LT - Lithuania</t>
  </si>
  <si>
    <t>Activity.Mpkm.LT.Tr.Road.Passenger.Car.ICE.Gasoline</t>
  </si>
  <si>
    <t>Activity.Mpkm.LT.Tr.Road.Passenger.Car.ICE.Diesel</t>
  </si>
  <si>
    <t>Activity.Mpkm.LT.Tr.Road.Passenger.Car.ICE.LPG</t>
  </si>
  <si>
    <t>Activity.Mpkm.LT.Tr.Road.Passenger.Car.ICE.NGas</t>
  </si>
  <si>
    <t>Activity.Mpkm.LT.Tr.Road.Passenger.Car.PHEV</t>
  </si>
  <si>
    <t>Activity.Mpkm.LT.Tr.Road.Passenger.Car.BEV</t>
  </si>
  <si>
    <t>Activity.Mpkm.LT.Tr.Road.Passenger.Bus.ICE.Gasoline</t>
  </si>
  <si>
    <t>Activity.Mpkm.LT.Tr.Road.Passenger.Bus.ICE.Diesel</t>
  </si>
  <si>
    <t>Activity.Mpkm.LT.Tr.Road.Passenger.Bus.ICE.LPG</t>
  </si>
  <si>
    <t>Activity.Mpkm.LT.Tr.Road.Passenger.Bus.ICE.NGas</t>
  </si>
  <si>
    <t>Activity.Mpkm.LT.Tr.Road.Passenger.Bus.ICE.BEV</t>
  </si>
  <si>
    <t>Activity.Mtkm.LT.Tr.Road.Freight.LCV.ICE.Gasoline</t>
  </si>
  <si>
    <t>Activity.Mtkm.LT.Tr.Road.Freight.LCV.ICE.Diesel</t>
  </si>
  <si>
    <t>Activity.Mtkm.LT.Tr.Road.Freight.LCV.ICE.LPG</t>
  </si>
  <si>
    <t>Activity.Mtkm.LT.Tr.Road.Freight.LCV.ICE.NGas</t>
  </si>
  <si>
    <t>Activity.Mtkm.LT.Tr.Road.Freight.LCV.ICE.BEV</t>
  </si>
  <si>
    <t>Activity.Mtkm.LT.Tr.Road.Freight.HGV.Domestic</t>
  </si>
  <si>
    <t>Activity.Mtkm.LT.Tr.Road.Freight.HGV.International</t>
  </si>
  <si>
    <t>VehicleKm.Mkm.LT.Tr.Road</t>
  </si>
  <si>
    <t>VehicleKm.Mkm.LT.Tr.Road.Passenger</t>
  </si>
  <si>
    <t>VehicleKm.Mkm.LT.Tr.Road.Passenger.P2W</t>
  </si>
  <si>
    <t>VehicleKm.Mkm.LT.Tr.Road.Passenger.Car</t>
  </si>
  <si>
    <t>VehicleKm.Mkm.LT.Tr.Road.Passenger.Car.ICE.Gasoline</t>
  </si>
  <si>
    <t>VehicleKm.Mkm.LT.Tr.Road.Passenger.Car.ICE.Diesel</t>
  </si>
  <si>
    <t>VehicleKm.Mkm.LT.Tr.Road.Passenger.Car.ICE.LPG</t>
  </si>
  <si>
    <t>VehicleKm.Mkm.LT.Tr.Road.Passenger.Car.ICE.NGas</t>
  </si>
  <si>
    <t>VehicleKm.Mkm.LT.Tr.Road.Passenger.Car.PHEV</t>
  </si>
  <si>
    <t>VehicleKm.Mkm.LT.Tr.Road.Passenger.Car.BEV</t>
  </si>
  <si>
    <t>VehicleKm.Mkm.LT.Tr.Road.Passenger.Bus</t>
  </si>
  <si>
    <t>VehicleKm.Mkm.LT.Tr.Road.Passenger.Bus.ICE.Gasoline</t>
  </si>
  <si>
    <t>VehicleKm.Mkm.LT.Tr.Road.Passenger.Bus.ICE.Diesel</t>
  </si>
  <si>
    <t>VehicleKm.Mkm.LT.Tr.Road.Passenger.Bus.ICE.LPG</t>
  </si>
  <si>
    <t>VehicleKm.Mkm.LT.Tr.Road.Passenger.Bus.ICE.NGas</t>
  </si>
  <si>
    <t>VehicleKm.Mkm.LT.Tr.Road.Passenger.Bus.ICE.BEV</t>
  </si>
  <si>
    <t>VehicleKm.Mkm.LT.Tr.Road.Freight</t>
  </si>
  <si>
    <t>VehicleKm.Mkm.LT.Tr.Road.Freight.LCV</t>
  </si>
  <si>
    <t>VehicleKm.Mkm.LT.Tr.Road.Freight.LCV.ICE.Gasoline</t>
  </si>
  <si>
    <t>VehicleKm.Mkm.LT.Tr.Road.Freight.LCV.ICE.Diesel</t>
  </si>
  <si>
    <t>VehicleKm.Mkm.LT.Tr.Road.Freight.LCV.ICE.LPG</t>
  </si>
  <si>
    <t>VehicleKm.Mkm.LT.Tr.Road.Freight.LCV.ICE.NGas</t>
  </si>
  <si>
    <t>VehicleKm.Mkm.LT.Tr.Road.Freight.LCV.ICE.BEV</t>
  </si>
  <si>
    <t>VehicleKm.Mkm.LT.Tr.Road.Freight.HGV</t>
  </si>
  <si>
    <t>VehicleKm.Mkm.LT.Tr.Road.Freight.HGV.Domestic</t>
  </si>
  <si>
    <t>VehicleKm.Mkm.LT.Tr.Road.Freight.HGV.International</t>
  </si>
  <si>
    <t>Stock.number.LT.Tr.Road</t>
  </si>
  <si>
    <t>Stock.number.LT.Tr.Road.Passenger</t>
  </si>
  <si>
    <t>Stock.number.LT.Tr.Road.Passenger.P2W</t>
  </si>
  <si>
    <t>Stock.number.LT.Tr.Road.Passenger.Car</t>
  </si>
  <si>
    <t>Stock.number.LT.Tr.Road.Passenger.Car.ICE.Gasoline</t>
  </si>
  <si>
    <t>Stock.number.LT.Tr.Road.Passenger.Car.ICE.Diesel</t>
  </si>
  <si>
    <t>Stock.number.LT.Tr.Road.Passenger.Car.ICE.LPG</t>
  </si>
  <si>
    <t>Stock.number.LT.Tr.Road.Passenger.Car.ICE.NGas</t>
  </si>
  <si>
    <t>Stock.number.LT.Tr.Road.Passenger.Car.PHEV</t>
  </si>
  <si>
    <t>Stock.number.LT.Tr.Road.Passenger.Car.BEV</t>
  </si>
  <si>
    <t>Stock.number.LT.Tr.Road.Passenger.Bus</t>
  </si>
  <si>
    <t>Stock.number.LT.Tr.Road.Passenger.Bus.ICE.Gasoline</t>
  </si>
  <si>
    <t>Stock.number.LT.Tr.Road.Passenger.Bus.ICE.Diesel</t>
  </si>
  <si>
    <t>Stock.number.LT.Tr.Road.Passenger.Bus.ICE.LPG</t>
  </si>
  <si>
    <t>Stock.number.LT.Tr.Road.Passenger.Bus.ICE.NGas</t>
  </si>
  <si>
    <t>Stock.number.LT.Tr.Road.Passenger.Bus.ICE.BEV</t>
  </si>
  <si>
    <t>Stock.number.LT.Tr.Road.Freight</t>
  </si>
  <si>
    <t>Stock.number.LT.Tr.Road.Freight.LCV</t>
  </si>
  <si>
    <t>Stock.number.LT.Tr.Road.Freight.LCV.ICE.Gasoline</t>
  </si>
  <si>
    <t>Stock.number.LT.Tr.Road.Freight.LCV.ICE.Diesel</t>
  </si>
  <si>
    <t>Stock.number.LT.Tr.Road.Freight.LCV.ICE.LPG</t>
  </si>
  <si>
    <t>Stock.number.LT.Tr.Road.Freight.LCV.ICE.NGas</t>
  </si>
  <si>
    <t>Stock.number.LT.Tr.Road.Freight.LCV.ICE.BEV</t>
  </si>
  <si>
    <t>Stock.number.LT.Tr.Road.Freight.HGV</t>
  </si>
  <si>
    <t>Stock.number.LT.Tr.Road.Freight.HGV.Domestic</t>
  </si>
  <si>
    <t>Stock.number.LT.Tr.Road.Freight.HGV.International</t>
  </si>
  <si>
    <t>StockNew.number.LT.Tr.Road</t>
  </si>
  <si>
    <t>StockNew.number.LT.Tr.Road.Passenger</t>
  </si>
  <si>
    <t>StockNew.number.LT.Tr.Road.Passenger.P2W</t>
  </si>
  <si>
    <t>StockNew.number.LT.Tr.Road.Passenger.Car</t>
  </si>
  <si>
    <t>StockNew.number.LT.Tr.Road.Passenger.Car.ICE.Gasoline</t>
  </si>
  <si>
    <t>StockNew.number.LT.Tr.Road.Passenger.Car.ICE.Diesel</t>
  </si>
  <si>
    <t>StockNew.number.LT.Tr.Road.Passenger.Car.ICE.LPG</t>
  </si>
  <si>
    <t>StockNew.number.LT.Tr.Road.Passenger.Car.ICE.NGas</t>
  </si>
  <si>
    <t>StockNew.number.LT.Tr.Road.Passenger.Car.PHEV</t>
  </si>
  <si>
    <t>StockNew.number.LT.Tr.Road.Passenger.Car.BEV</t>
  </si>
  <si>
    <t>StockNew.number.LT.Tr.Road.Passenger.Bus</t>
  </si>
  <si>
    <t>StockNew.number.LT.Tr.Road.Passenger.Bus.ICE.Gasoline</t>
  </si>
  <si>
    <t>StockNew.number.LT.Tr.Road.Passenger.Bus.ICE.Diesel</t>
  </si>
  <si>
    <t>StockNew.number.LT.Tr.Road.Passenger.Bus.ICE.LPG</t>
  </si>
  <si>
    <t>StockNew.number.LT.Tr.Road.Passenger.Bus.ICE.NGas</t>
  </si>
  <si>
    <t>StockNew.number.LT.Tr.Road.Passenger.Bus.ICE.BEV</t>
  </si>
  <si>
    <t>StockNew.number.LT.Tr.Road.Freight</t>
  </si>
  <si>
    <t>StockNew.number.LT.Tr.Road.Freight.LCV</t>
  </si>
  <si>
    <t>StockNew.number.LT.Tr.Road.Freight.LCV.ICE.Gasoline</t>
  </si>
  <si>
    <t>StockNew.number.LT.Tr.Road.Freight.LCV.ICE.Diesel</t>
  </si>
  <si>
    <t>StockNew.number.LT.Tr.Road.Freight.LCV.ICE.LPG</t>
  </si>
  <si>
    <t>StockNew.number.LT.Tr.Road.Freight.LCV.ICE.NGas</t>
  </si>
  <si>
    <t>StockNew.number.LT.Tr.Road.Freight.LCV.ICE.BEV</t>
  </si>
  <si>
    <t>StockNew.number.LT.Tr.Road.Freight.HGV</t>
  </si>
  <si>
    <t>StockNew.number.LT.Tr.Road.Freight.HGV.Domestic</t>
  </si>
  <si>
    <t>StockNew.number.LT.Tr.Road.Freight.HGV.International</t>
  </si>
  <si>
    <t>Load.passenger_per_movement.LT.Tr.Road.Passenger</t>
  </si>
  <si>
    <t>Load.passenger_per_movement.LT.Tr.Road.Passenger.P2W</t>
  </si>
  <si>
    <t>Load.passenger_per_movement.LT.Tr.Road.Passenger.Car</t>
  </si>
  <si>
    <t>Load.passenger_per_movement.LT.Tr.Road.Passenger.Car.ICE.Gasoline</t>
  </si>
  <si>
    <t>Load.passenger_per_movement.LT.Tr.Road.Passenger.Car.ICE.Diesel</t>
  </si>
  <si>
    <t>Load.passenger_per_movement.LT.Tr.Road.Passenger.Car.ICE.LPG</t>
  </si>
  <si>
    <t>Load.passenger_per_movement.LT.Tr.Road.Passenger.Car.ICE.NGas</t>
  </si>
  <si>
    <t>Load.passenger_per_movement.LT.Tr.Road.Passenger.Car.PHEV</t>
  </si>
  <si>
    <t>Load.passenger_per_movement.LT.Tr.Road.Passenger.Car.BEV</t>
  </si>
  <si>
    <t>Load.passenger_per_movement.LT.Tr.Road.Passenger.Bus</t>
  </si>
  <si>
    <t>Load.passenger_per_movement.LT.Tr.Road.Passenger.Bus.ICE.Gasoline</t>
  </si>
  <si>
    <t>Load.passenger_per_movement.LT.Tr.Road.Passenger.Bus.ICE.Diesel</t>
  </si>
  <si>
    <t>Load.passenger_per_movement.LT.Tr.Road.Passenger.Bus.ICE.LPG</t>
  </si>
  <si>
    <t>Load.passenger_per_movement.LT.Tr.Road.Passenger.Bus.ICE.NGas</t>
  </si>
  <si>
    <t>Load.passenger_per_movement.LT.Tr.Road.Passenger.Bus.ICE.BEV</t>
  </si>
  <si>
    <t>Load.t_per_movement.LT.Tr.Road.Freight</t>
  </si>
  <si>
    <t>Load.t_per_movement.LT.Tr.Road.Freight.LCV</t>
  </si>
  <si>
    <t>Load.t_per_movement.LT.Tr.Road.Freight.LCV.ICE.Gasoline</t>
  </si>
  <si>
    <t>Load.t_per_movement.LT.Tr.Road.Freight.LCV.ICE.Diesel</t>
  </si>
  <si>
    <t>Load.t_per_movement.LT.Tr.Road.Freight.LCV.ICE.LPG</t>
  </si>
  <si>
    <t>Load.t_per_movement.LT.Tr.Road.Freight.LCV.ICE.NGas</t>
  </si>
  <si>
    <t>Load.t_per_movement.LT.Tr.Road.Freight.LCV.ICE.BEV</t>
  </si>
  <si>
    <t>Load.t_per_movement.LT.Tr.Road.Freight.HGV</t>
  </si>
  <si>
    <t>Load.t_per_movement.LT.Tr.Road.Freight.HGV.Domestic</t>
  </si>
  <si>
    <t>Load.t_per_movement.LT.Tr.Road.Freight.HGV.International</t>
  </si>
  <si>
    <t>VehicleKm_per_vehicle.km.LT.Tr.Road</t>
  </si>
  <si>
    <t>VehicleKm_per_vehicle.km.LT.Tr.Road.Passenger</t>
  </si>
  <si>
    <t>VehicleKm_per_vehicle.km.LT.Tr.Road.Passenger.P2W</t>
  </si>
  <si>
    <t>VehicleKm_per_vehicle.km.LT.Tr.Road.Passenger.Car</t>
  </si>
  <si>
    <t>VehicleKm_per_vehicle.km.LT.Tr.Road.Passenger.Car.ICE.Gasoline</t>
  </si>
  <si>
    <t>VehicleKm_per_vehicle.km.LT.Tr.Road.Passenger.Car.ICE.Diesel</t>
  </si>
  <si>
    <t>VehicleKm_per_vehicle.km.LT.Tr.Road.Passenger.Car.ICE.LPG</t>
  </si>
  <si>
    <t>VehicleKm_per_vehicle.km.LT.Tr.Road.Passenger.Car.ICE.NGas</t>
  </si>
  <si>
    <t>VehicleKm_per_vehicle.km.LT.Tr.Road.Passenger.Car.PHEV</t>
  </si>
  <si>
    <t>VehicleKm_per_vehicle.km.LT.Tr.Road.Passenger.Car.BEV</t>
  </si>
  <si>
    <t>VehicleKm_per_vehicle.km.LT.Tr.Road.Passenger.Bus</t>
  </si>
  <si>
    <t>VehicleKm_per_vehicle.km.LT.Tr.Road.Passenger.Bus.ICE.Gasoline</t>
  </si>
  <si>
    <t>VehicleKm_per_vehicle.km.LT.Tr.Road.Passenger.Bus.ICE.Diesel</t>
  </si>
  <si>
    <t>VehicleKm_per_vehicle.km.LT.Tr.Road.Passenger.Bus.ICE.LPG</t>
  </si>
  <si>
    <t>VehicleKm_per_vehicle.km.LT.Tr.Road.Passenger.Bus.ICE.NGas</t>
  </si>
  <si>
    <t>VehicleKm_per_vehicle.km.LT.Tr.Road.Passenger.Bus.ICE.BEV</t>
  </si>
  <si>
    <t>VehicleKm_per_vehicle.km.LT.Tr.Road.Freight</t>
  </si>
  <si>
    <t>VehicleKm_per_vehicle.km.LT.Tr.Road.Freight.LCV</t>
  </si>
  <si>
    <t>VehicleKm_per_vehicle.km.LT.Tr.Road.Freight.LCV.ICE.Gasoline</t>
  </si>
  <si>
    <t>VehicleKm_per_vehicle.km.LT.Tr.Road.Freight.LCV.ICE.Diesel</t>
  </si>
  <si>
    <t>VehicleKm_per_vehicle.km.LT.Tr.Road.Freight.LCV.ICE.LPG</t>
  </si>
  <si>
    <t>VehicleKm_per_vehicle.km.LT.Tr.Road.Freight.LCV.ICE.NGas</t>
  </si>
  <si>
    <t>VehicleKm_per_vehicle.km.LT.Tr.Road.Freight.LCV.ICE.BEV</t>
  </si>
  <si>
    <t>VehicleKm_per_vehicle.km.LT.Tr.Road.Freight.HGV</t>
  </si>
  <si>
    <t>VehicleKm_per_vehicle.km.LT.Tr.Road.Freight.HGV.Domestic</t>
  </si>
  <si>
    <t>VehicleKm_per_vehicle.km.LT.Tr.Road.Freight.HGV.International</t>
  </si>
  <si>
    <t>Activity_per_vehicle.pkm.LT.Tr.Road.Passenger</t>
  </si>
  <si>
    <t>Activity_per_vehicle.pkm.LT.Tr.Road.Passenger.P2W</t>
  </si>
  <si>
    <t>Activity_per_vehicle.pkm.LT.Tr.Road.Passenger.Car</t>
  </si>
  <si>
    <t>Activity_per_vehicle.pkm.LT.Tr.Road.Passenger.Car.ICE.Gasoline</t>
  </si>
  <si>
    <t>Activity_per_vehicle.pkm.LT.Tr.Road.Passenger.Car.ICE.Diesel</t>
  </si>
  <si>
    <t>Activity_per_vehicle.pkm.LT.Tr.Road.Passenger.Car.ICE.LPG</t>
  </si>
  <si>
    <t>Activity_per_vehicle.pkm.LT.Tr.Road.Passenger.Car.ICE.NGas</t>
  </si>
  <si>
    <t>Activity_per_vehicle.pkm.LT.Tr.Road.Passenger.Car.PHEV</t>
  </si>
  <si>
    <t>Activity_per_vehicle.pkm.LT.Tr.Road.Passenger.Car.BEV</t>
  </si>
  <si>
    <t>Activity_per_vehicle.pkm.LT.Tr.Road.Passenger.Bus</t>
  </si>
  <si>
    <t>Activity_per_vehicle.pkm.LT.Tr.Road.Passenger.Bus.ICE.Gasoline</t>
  </si>
  <si>
    <t>Activity_per_vehicle.pkm.LT.Tr.Road.Passenger.Bus.ICE.Diesel</t>
  </si>
  <si>
    <t>Activity_per_vehicle.pkm.LT.Tr.Road.Passenger.Bus.ICE.LPG</t>
  </si>
  <si>
    <t>Activity_per_vehicle.pkm.LT.Tr.Road.Passenger.Bus.ICE.NGas</t>
  </si>
  <si>
    <t>Activity_per_vehicle.pkm.LT.Tr.Road.Passenger.Bus.ICE.BEV</t>
  </si>
  <si>
    <t>Activity_per_vehicle.tkm.LT.Tr.Road.Freight</t>
  </si>
  <si>
    <t>Activity_per_vehicle.tkm.LT.Tr.Road.Freight.LCV</t>
  </si>
  <si>
    <t>Activity_per_vehicle.tkm.LT.Tr.Road.Freight.LCV.ICE.Gasoline</t>
  </si>
  <si>
    <t>Activity_per_vehicle.tkm.LT.Tr.Road.Freight.LCV.ICE.Diesel</t>
  </si>
  <si>
    <t>Activity_per_vehicle.tkm.LT.Tr.Road.Freight.LCV.ICE.LPG</t>
  </si>
  <si>
    <t>Activity_per_vehicle.tkm.LT.Tr.Road.Freight.LCV.ICE.NGas</t>
  </si>
  <si>
    <t>Activity_per_vehicle.tkm.LT.Tr.Road.Freight.LCV.ICE.BEV</t>
  </si>
  <si>
    <t>Activity_per_vehicle.tkm.LT.Tr.Road.Freight.HGV</t>
  </si>
  <si>
    <t>Activity_per_vehicle.tkm.LT.Tr.Road.Freight.HGV.Domestic</t>
  </si>
  <si>
    <t>Activity_per_vehicle.tkm.LT.Tr.Road.Freight.HGV.International</t>
  </si>
  <si>
    <t>Road transport / energy consumption - LT - Lithuania</t>
  </si>
  <si>
    <t>FEC.ktoe.LT.ES.Tr.Road</t>
  </si>
  <si>
    <t>FEC.ktoe.LT.ES.Tr.Road.LPG</t>
  </si>
  <si>
    <t>FEC.ktoe.LT.ES.Tr.Road.Gasoline</t>
  </si>
  <si>
    <t>FEC.ktoe.LT.ES.Tr.Road.Diesel</t>
  </si>
  <si>
    <t>FEC.ktoe.LT.ES.Tr.Road.NG</t>
  </si>
  <si>
    <t>FEC.ktoe.LT.ES.Tr.Road.Biogas</t>
  </si>
  <si>
    <t>FEC.ktoe.LT.ES.Tr.Road.Biogasoline</t>
  </si>
  <si>
    <t>FEC.ktoe.LT.ES.Tr.Road.Biodiesel</t>
  </si>
  <si>
    <t>FEC.ktoe.LT.ES.Tr.Road.OthLiqBio</t>
  </si>
  <si>
    <t>FEC.ktoe.LT.ES.Tr.Road.Elec</t>
  </si>
  <si>
    <t>FEC.ktoe.LT.Tr.Road</t>
  </si>
  <si>
    <t>FEC.ktoe.LT.Tr.Road.Passenger.P2W.Biogasoline</t>
  </si>
  <si>
    <t>FEC.ktoe.LT.Tr.Road.Passenger.Car.ICE.Gasoline</t>
  </si>
  <si>
    <t>FEC.ktoe.LT.Tr.Road.Passenger.Car.ICE.Gasoline.Biogasoline</t>
  </si>
  <si>
    <t>FEC.ktoe.LT.Tr.Road.Passenger.Car.ICE.Diesel</t>
  </si>
  <si>
    <t>FEC.ktoe.LT.Tr.Road.Passenger.Car.ICE.Diesel.BioDiesel_OthLiqBio</t>
  </si>
  <si>
    <t>FEC.ktoe.LT.Tr.Road.Passenger.Car.ICE.LPG</t>
  </si>
  <si>
    <t>FEC.ktoe.LT.Tr.Road.Passenger.Car.ICE.NGas</t>
  </si>
  <si>
    <t>FEC.ktoe.LT.Tr.Road.Passenger.Car.ICE.NGas.Biogas</t>
  </si>
  <si>
    <t>FEC.ktoe.LT.Tr.Road.Passenger.Car.PHEV</t>
  </si>
  <si>
    <t>FEC.ktoe.LT.Tr.Road.Passenger.Car.PHEV.Biogasoline</t>
  </si>
  <si>
    <t>FEC.ktoe.LT.Tr.Road.Passenger.Car.PHEV.Elec</t>
  </si>
  <si>
    <t>FEC.ktoe.LT.Tr.Road.Passenger.Car.BEV</t>
  </si>
  <si>
    <t>FEC.ktoe.LT.Tr.Road.Passenger.Bus.ICE.Gasoline</t>
  </si>
  <si>
    <t>FEC.ktoe.LT.Tr.Road.Passenger.Bus.ICE.Gasoline.Biogasoline</t>
  </si>
  <si>
    <t>FEC.ktoe.LT.Tr.Road.Passenger.Bus.ICE.Diesel</t>
  </si>
  <si>
    <t>FEC.ktoe.LT.Tr.Road.Passenger.Bus.ICE.Diesel.BioDiesel_OthLiqBio</t>
  </si>
  <si>
    <t>FEC.ktoe.LT.Tr.Road.Passenger.Bus.ICE.LPG</t>
  </si>
  <si>
    <t>FEC.ktoe.LT.Tr.Road.Passenger.Bus.ICE.NGas</t>
  </si>
  <si>
    <t>FEC.ktoe.LT.Tr.Road.Passenger.Bus.ICE.NGas.Biogas</t>
  </si>
  <si>
    <t>FEC.ktoe.LT.Tr.Road.Passenger.Bus.ICE.BEV</t>
  </si>
  <si>
    <t>FEC.ktoe.LT.Tr.Road.Freight.LCV.ICE.Gasoline</t>
  </si>
  <si>
    <t>FEC.ktoe.LT.Tr.Road.Freight.LCV.ICE.Gasoline.Biogasoline</t>
  </si>
  <si>
    <t>FEC.ktoe.LT.Tr.Road.Freight.LCV.ICE.Diesel</t>
  </si>
  <si>
    <t>FEC.ktoe.LT.Tr.Road.Freight.LCV.ICE.Diesel.BioDiesel_OthLiqBio</t>
  </si>
  <si>
    <t>FEC.ktoe.LT.Tr.Road.Freight.LCV.ICE.LPG</t>
  </si>
  <si>
    <t>FEC.ktoe.LT.Tr.Road.Freight.LCV.ICE.NGas</t>
  </si>
  <si>
    <t>FEC.ktoe.LT.Tr.Road.Freight.LCV.ICE.NGas.Biogas</t>
  </si>
  <si>
    <t>FEC.ktoe.LT.Tr.Road.Freight.LCV.ICE.BEV</t>
  </si>
  <si>
    <t>FEC.ktoe.LT.Tr.Road.Freight.HGV.Domestic</t>
  </si>
  <si>
    <t>FEC.ktoe.LT.Tr.Road.Freight.HGV.Domestic.BioDiesel_OthLiqBio</t>
  </si>
  <si>
    <t>FEC.ktoe.LT.Tr.Road.Freight.HGV.International</t>
  </si>
  <si>
    <t>FEC.ktoe.LT.Tr.Road.Freight.HGV.International.BioDiesel_OthLiqBio</t>
  </si>
  <si>
    <t>Eff.kgoe_per_100km.LT.Tr.Road</t>
  </si>
  <si>
    <t>Eff.kgoe_per_100km.LT.Tr.Road.Passenger</t>
  </si>
  <si>
    <t>Eff.kgoe_per_100km.LT.Tr.Road.Passenger.P2W</t>
  </si>
  <si>
    <t>Eff.kgoe_per_100km.LT.Tr.Road.Passenger.Car</t>
  </si>
  <si>
    <t>Eff.kgoe_per_100km.LT.Tr.Road.Passenger.Car.ICE.Gasoline</t>
  </si>
  <si>
    <t>Eff.kgoe_per_100km.LT.Tr.Road.Passenger.Car.ICE.Diesel</t>
  </si>
  <si>
    <t>Eff.kgoe_per_100km.LT.Tr.Road.Passenger.Car.ICE.LPG</t>
  </si>
  <si>
    <t>Eff.kgoe_per_100km.LT.Tr.Road.Passenger.Car.ICE.NGas</t>
  </si>
  <si>
    <t>Eff.kgoe_per_100km.LT.Tr.Road.Passenger.Car.PHEV</t>
  </si>
  <si>
    <t>Eff.kgoe_per_100km.LT.Tr.Road.Passenger.Car.BEV</t>
  </si>
  <si>
    <t>Eff.kgoe_per_100km.LT.Tr.Road.Passenger.Bus</t>
  </si>
  <si>
    <t>Eff.kgoe_per_100km.LT.Tr.Road.Passenger.Bus.ICE.Gasoline</t>
  </si>
  <si>
    <t>Eff.kgoe_per_100km.LT.Tr.Road.Passenger.Bus.ICE.Diesel</t>
  </si>
  <si>
    <t>Eff.kgoe_per_100km.LT.Tr.Road.Passenger.Bus.ICE.LPG</t>
  </si>
  <si>
    <t>Eff.kgoe_per_100km.LT.Tr.Road.Passenger.Bus.ICE.NGas</t>
  </si>
  <si>
    <t>Eff.kgoe_per_100km.LT.Tr.Road.Passenger.Bus.ICE.BEV</t>
  </si>
  <si>
    <t>Eff.kgoe_per_100km.LT.Tr.Road.Freight</t>
  </si>
  <si>
    <t>Eff.kgoe_per_100km.LT.Tr.Road.Freight.LCV</t>
  </si>
  <si>
    <t>Eff.kgoe_per_100km.LT.Tr.Road.Freight.LCV.ICE.Gasoline</t>
  </si>
  <si>
    <t>Eff.kgoe_per_100km.LT.Tr.Road.Freight.LCV.ICE.Diesel</t>
  </si>
  <si>
    <t>Eff.kgoe_per_100km.LT.Tr.Road.Freight.LCV.ICE.LPG</t>
  </si>
  <si>
    <t>Eff.kgoe_per_100km.LT.Tr.Road.Freight.LCV.ICE.NGas</t>
  </si>
  <si>
    <t>Eff.kgoe_per_100km.LT.Tr.Road.Freight.LCV.ICE.BEV</t>
  </si>
  <si>
    <t>Eff.kgoe_per_100km.LT.Tr.Road.Freight.HGV</t>
  </si>
  <si>
    <t>Eff.kgoe_per_100km.LT.Tr.Road.Freight.HGV.Domestic</t>
  </si>
  <si>
    <t>Eff.kgoe_per_100km.LT.Tr.Road.Freight.HGV.International</t>
  </si>
  <si>
    <t>Eff.kgoe_per_kpkm.LT.Tr.Road.Passenger.Car.ICE.Gasoline</t>
  </si>
  <si>
    <t>Eff.kgoe_per_kpkm.LT.Tr.Road.Passenger.Car.ICE.Diesel</t>
  </si>
  <si>
    <t>Eff.kgoe_per_kpkm.LT.Tr.Road.Passenger.Car.ICE.LPG</t>
  </si>
  <si>
    <t>Eff.kgoe_per_kpkm.LT.Tr.Road.Passenger.Car.ICE.NGas</t>
  </si>
  <si>
    <t>Eff.kgoe_per_kpkm.LT.Tr.Road.Passenger.Car.PHEV</t>
  </si>
  <si>
    <t>Eff.kgoe_per_kpkm.LT.Tr.Road.Passenger.Car.BEV</t>
  </si>
  <si>
    <t>Eff.kgoe_per_kpkm.LT.Tr.Road.Passenger.Bus.ICE.Gasoline</t>
  </si>
  <si>
    <t>Eff.kgoe_per_kpkm.LT.Tr.Road.Passenger.Bus.ICE.Diesel</t>
  </si>
  <si>
    <t>Eff.kgoe_per_kpkm.LT.Tr.Road.Passenger.Bus.ICE.LPG</t>
  </si>
  <si>
    <t>Eff.kgoe_per_kpkm.LT.Tr.Road.Passenger.Bus.ICE.NGas</t>
  </si>
  <si>
    <t>Eff.kgoe_per_kpkm.LT.Tr.Road.Passenger.Bus.ICE.BEV</t>
  </si>
  <si>
    <t>Eff.kgoe_per_ktkm.LT.Tr.Road.Freight.LCV.ICE.Gasoline</t>
  </si>
  <si>
    <t>Eff.kgoe_per_ktkm.LT.Tr.Road.Freight.LCV.ICE.Diesel</t>
  </si>
  <si>
    <t>Eff.kgoe_per_ktkm.LT.Tr.Road.Freight.LCV.ICE.LPG</t>
  </si>
  <si>
    <t>Eff.kgoe_per_ktkm.LT.Tr.Road.Freight.LCV.ICE.NGas</t>
  </si>
  <si>
    <t>Eff.kgoe_per_ktkm.LT.Tr.Road.Freight.LCV.ICE.BEV</t>
  </si>
  <si>
    <t>Eff.kgoe_per_ktkm.LT.Tr.Road.Freight.HGV.Domestic</t>
  </si>
  <si>
    <t>Eff.kgoe_per_ktkm.LT.Tr.Road.Freight.HGV.International</t>
  </si>
  <si>
    <t>FEC_per_vehicle.kgoe.LT.Tr.Road.Passenger.P2W</t>
  </si>
  <si>
    <t>FEC_per_vehicle.kgoe.LT.Tr.Road.Passenger.Car</t>
  </si>
  <si>
    <t>FEC_per_vehicle.kgoe.LT.Tr.Road.Passenger.Car.ICE.Gasoline</t>
  </si>
  <si>
    <t>FEC_per_vehicle.kgoe.LT.Tr.Road.Passenger.Car.ICE.Diesel</t>
  </si>
  <si>
    <t>FEC_per_vehicle.kgoe.LT.Tr.Road.Passenger.Car.ICE.LPG</t>
  </si>
  <si>
    <t>FEC_per_vehicle.kgoe.LT.Tr.Road.Passenger.Car.ICE.NGas</t>
  </si>
  <si>
    <t>FEC_per_vehicle.kgoe.LT.Tr.Road.Passenger.Car.PHEV</t>
  </si>
  <si>
    <t>FEC_per_vehicle.kgoe.LT.Tr.Road.Passenger.Car.BEV</t>
  </si>
  <si>
    <t>FEC_per_vehicle.kgoe.LT.Tr.Road.Passenger.Bus</t>
  </si>
  <si>
    <t>FEC_per_vehicle.kgoe.LT.Tr.Road.Passenger.Bus.ICE.Gasoline</t>
  </si>
  <si>
    <t>FEC_per_vehicle.kgoe.LT.Tr.Road.Passenger.Bus.ICE.Diesel</t>
  </si>
  <si>
    <t>FEC_per_vehicle.kgoe.LT.Tr.Road.Passenger.Bus.ICE.LPG</t>
  </si>
  <si>
    <t>FEC_per_vehicle.kgoe.LT.Tr.Road.Passenger.Bus.ICE.NGas</t>
  </si>
  <si>
    <t>FEC_per_vehicle.kgoe.LT.Tr.Road.Passenger.Bus.ICE.BEV</t>
  </si>
  <si>
    <t>FEC_per_vehicle.kgoe.LT.Tr.Road.Freight.LCV</t>
  </si>
  <si>
    <t>FEC_per_vehicle.kgoe.LT.Tr.Road.Freight.LCV.ICE.Gasoline</t>
  </si>
  <si>
    <t>FEC_per_vehicle.kgoe.LT.Tr.Road.Freight.LCV.ICE.Diesel</t>
  </si>
  <si>
    <t>FEC_per_vehicle.kgoe.LT.Tr.Road.Freight.LCV.ICE.LPG</t>
  </si>
  <si>
    <t>FEC_per_vehicle.kgoe.LT.Tr.Road.Freight.LCV.ICE.NGas</t>
  </si>
  <si>
    <t>FEC_per_vehicle.kgoe.LT.Tr.Road.Freight.LCV.ICE.BEV</t>
  </si>
  <si>
    <t>FEC_per_vehicle.kgoe.LT.Tr.Road.Freight.HGV</t>
  </si>
  <si>
    <t>FEC_per_vehicle.kgoe.LT.Tr.Road.Freight.HGV.Domestic</t>
  </si>
  <si>
    <t>FEC_per_vehicle.kgoe.LT.Tr.Road.Freight.HGV.International</t>
  </si>
  <si>
    <t>Road transport / CO2 emissions - LT - Lithuania</t>
  </si>
  <si>
    <t>EMI.ktCO2.LT.ES.Tr.Road</t>
  </si>
  <si>
    <t>EMI.ktCO2.LT.ES.Tr.Road.LPG</t>
  </si>
  <si>
    <t>EMI.ktCO2.LT.ES.Tr.Road.Gasoline</t>
  </si>
  <si>
    <t>EMI.ktCO2.LT.ES.Tr.Road.Diesel</t>
  </si>
  <si>
    <t>EMI.ktCO2.LT.ES.Tr.Road.NG</t>
  </si>
  <si>
    <t>EMI.ktCO2.LT.ES.Tr.Road.Biogas</t>
  </si>
  <si>
    <t>EMI.ktCO2.LT.ES.Tr.Road.Biogasoline</t>
  </si>
  <si>
    <t>EMI.ktCO2.LT.ES.Tr.Road.Biodiesel</t>
  </si>
  <si>
    <t>EMI.ktCO2.LT.ES.Tr.Road.OthLiqBio</t>
  </si>
  <si>
    <t>EMI.ktCO2.LT.ES.Tr.Road.Elec</t>
  </si>
  <si>
    <t>EMI.ktCO2.LT.Tr.Road</t>
  </si>
  <si>
    <t>EMI.ktCO2.LT.Tr.Road.Passenger.Car.ICE.Gasoline</t>
  </si>
  <si>
    <t>EMI.ktCO2.LT.Tr.Road.Passenger.Car.ICE.Diesel</t>
  </si>
  <si>
    <t>EMI.ktCO2.LT.Tr.Road.Passenger.Car.ICE.LPG</t>
  </si>
  <si>
    <t>EMI.ktCO2.LT.Tr.Road.Passenger.Car.ICE.NGas</t>
  </si>
  <si>
    <t>EMI.ktCO2.LT.Tr.Road.Passenger.Car.PHEV</t>
  </si>
  <si>
    <t>EMI.ktCO2.LT.Tr.Road.Passenger.Car.BEV</t>
  </si>
  <si>
    <t>EMI.ktCO2.LT.Tr.Road.Passenger.Bus.ICE.Gasoline</t>
  </si>
  <si>
    <t>EMI.ktCO2.LT.Tr.Road.Passenger.Bus.ICE.Diesel</t>
  </si>
  <si>
    <t>EMI.ktCO2.LT.Tr.Road.Passenger.Bus.ICE.LPG</t>
  </si>
  <si>
    <t>EMI.ktCO2.LT.Tr.Road.Passenger.Bus.ICE.NGas</t>
  </si>
  <si>
    <t>EMI.ktCO2.LT.Tr.Road.Passenger.Bus.ICE.BEV</t>
  </si>
  <si>
    <t>EMI.ktCO2.LT.Tr.Road.Freight.LCV.ICE.Gasoline</t>
  </si>
  <si>
    <t>EMI.ktCO2.LT.Tr.Road.Freight.LCV.ICE.Diesel</t>
  </si>
  <si>
    <t>EMI.ktCO2.LT.Tr.Road.Freight.LCV.ICE.LPG</t>
  </si>
  <si>
    <t>EMI.ktCO2.LT.Tr.Road.Freight.LCV.ICE.NGas</t>
  </si>
  <si>
    <t>EMI.ktCO2.LT.Tr.Road.Freight.LCV.ICE.BEV</t>
  </si>
  <si>
    <t>EMI.ktCO2.LT.Tr.Road.Freight.HGV.Domestic</t>
  </si>
  <si>
    <t>EMI.ktCO2.LT.Tr.Road.Freight.HGV.International</t>
  </si>
  <si>
    <t>EMIint.gCO2_per_km.LT.Tr.Road</t>
  </si>
  <si>
    <t>EMIint.gCO2_per_km.LT.Tr.Road.Passenger</t>
  </si>
  <si>
    <t>EMIint.gCO2_per_km.LT.Tr.Road.Passenger.P2W</t>
  </si>
  <si>
    <t>EMIint.gCO2_per_km.LT.Tr.Road.Passenger.Car</t>
  </si>
  <si>
    <t>EMIint.gCO2_per_km.LT.Tr.Road.Passenger.Car.ICE.Gasoline</t>
  </si>
  <si>
    <t>EMIint.gCO2_per_km.LT.Tr.Road.Passenger.Car.ICE.Diesel</t>
  </si>
  <si>
    <t>EMIint.gCO2_per_km.LT.Tr.Road.Passenger.Car.ICE.LPG</t>
  </si>
  <si>
    <t>EMIint.gCO2_per_km.LT.Tr.Road.Passenger.Car.ICE.NGas</t>
  </si>
  <si>
    <t>EMIint.gCO2_per_km.LT.Tr.Road.Passenger.Car.PHEV</t>
  </si>
  <si>
    <t>EMIint.gCO2_per_km.LT.Tr.Road.Passenger.Car.BEV</t>
  </si>
  <si>
    <t>EMIint.gCO2_per_km.LT.Tr.Road.Passenger.Bus</t>
  </si>
  <si>
    <t>EMIint.gCO2_per_km.LT.Tr.Road.Passenger.Bus.ICE.Gasoline</t>
  </si>
  <si>
    <t>EMIint.gCO2_per_km.LT.Tr.Road.Passenger.Bus.ICE.Diesel</t>
  </si>
  <si>
    <t>EMIint.gCO2_per_km.LT.Tr.Road.Passenger.Bus.ICE.LPG</t>
  </si>
  <si>
    <t>EMIint.gCO2_per_km.LT.Tr.Road.Passenger.Bus.ICE.NGas</t>
  </si>
  <si>
    <t>EMIint.gCO2_per_km.LT.Tr.Road.Passenger.Bus.ICE.BEV</t>
  </si>
  <si>
    <t>EMIint.gCO2_per_km.LT.Tr.Road.Freight</t>
  </si>
  <si>
    <t>EMIint.gCO2_per_km.LT.Tr.Road.Freight.LCV</t>
  </si>
  <si>
    <t>EMIint.gCO2_per_km.LT.Tr.Road.Freight.LCV.ICE.Gasoline</t>
  </si>
  <si>
    <t>EMIint.gCO2_per_km.LT.Tr.Road.Freight.LCV.ICE.Diesel</t>
  </si>
  <si>
    <t>EMIint.gCO2_per_km.LT.Tr.Road.Freight.LCV.ICE.LPG</t>
  </si>
  <si>
    <t>EMIint.gCO2_per_km.LT.Tr.Road.Freight.LCV.ICE.NGas</t>
  </si>
  <si>
    <t>EMIint.gCO2_per_km.LT.Tr.Road.Freight.LCV.ICE.BEV</t>
  </si>
  <si>
    <t>EMIint.gCO2_per_km.LT.Tr.Road.Freight.HGV</t>
  </si>
  <si>
    <t>EMIint.gCO2_per_km.LT.Tr.Road.Freight.HGV.Domestic</t>
  </si>
  <si>
    <t>EMIint.gCO2_per_km.LT.Tr.Road.Freight.HGV.International</t>
  </si>
  <si>
    <t>EMIint.gCO2_per_pkm.LT.Tr.Road.Passenger.Car.ICE.Gasoline</t>
  </si>
  <si>
    <t>EMIint.gCO2_per_pkm.LT.Tr.Road.Passenger.Car.ICE.Diesel</t>
  </si>
  <si>
    <t>EMIint.gCO2_per_pkm.LT.Tr.Road.Passenger.Car.ICE.LPG</t>
  </si>
  <si>
    <t>EMIint.gCO2_per_pkm.LT.Tr.Road.Passenger.Car.ICE.NGas</t>
  </si>
  <si>
    <t>EMIint.gCO2_per_pkm.LT.Tr.Road.Passenger.Car.PHEV</t>
  </si>
  <si>
    <t>EMIint.gCO2_per_pkm.LT.Tr.Road.Passenger.Car.BEV</t>
  </si>
  <si>
    <t>EMIint.gCO2_per_pkm.LT.Tr.Road.Passenger.Bus.ICE.Gasoline</t>
  </si>
  <si>
    <t>EMIint.gCO2_per_pkm.LT.Tr.Road.Passenger.Bus.ICE.Diesel</t>
  </si>
  <si>
    <t>EMIint.gCO2_per_pkm.LT.Tr.Road.Passenger.Bus.ICE.LPG</t>
  </si>
  <si>
    <t>EMIint.gCO2_per_pkm.LT.Tr.Road.Passenger.Bus.ICE.NGas</t>
  </si>
  <si>
    <t>EMIint.gCO2_per_pkm.LT.Tr.Road.Passenger.Bus.ICE.BEV</t>
  </si>
  <si>
    <t>EMIint.gCO2_per_tkm.LT.Tr.Road.Freight.LCV.ICE.Gasoline</t>
  </si>
  <si>
    <t>EMIint.gCO2_per_tkm.LT.Tr.Road.Freight.LCV.ICE.Diesel</t>
  </si>
  <si>
    <t>EMIint.gCO2_per_tkm.LT.Tr.Road.Freight.LCV.ICE.LPG</t>
  </si>
  <si>
    <t>EMIint.gCO2_per_tkm.LT.Tr.Road.Freight.LCV.ICE.NGas</t>
  </si>
  <si>
    <t>EMIint.gCO2_per_tkm.LT.Tr.Road.Freight.LCV.ICE.BEV</t>
  </si>
  <si>
    <t>EMIint.gCO2_per_tkm.LT.Tr.Road.Freight.HGV.Domestic</t>
  </si>
  <si>
    <t>EMIint.gCO2_per_tkm.LT.Tr.Road.Freight.HGV.International</t>
  </si>
  <si>
    <t>EMI_per_vehicle.kgCO2.LT.Tr.Road.Passenger.P2W</t>
  </si>
  <si>
    <t>EMI_per_vehicle.kgCO2.LT.Tr.Road.Passenger.Car</t>
  </si>
  <si>
    <t>EMI_per_vehicle.kgCO2.LT.Tr.Road.Passenger.Car.ICE.Gasoline</t>
  </si>
  <si>
    <t>EMI_per_vehicle.kgCO2.LT.Tr.Road.Passenger.Car.ICE.Diesel</t>
  </si>
  <si>
    <t>EMI_per_vehicle.kgCO2.LT.Tr.Road.Passenger.Car.ICE.LPG</t>
  </si>
  <si>
    <t>EMI_per_vehicle.kgCO2.LT.Tr.Road.Passenger.Car.ICE.NGas</t>
  </si>
  <si>
    <t>EMI_per_vehicle.kgCO2.LT.Tr.Road.Passenger.Car.PHEV</t>
  </si>
  <si>
    <t>EMI_per_vehicle.kgCO2.LT.Tr.Road.Passenger.Car.BEV</t>
  </si>
  <si>
    <t>EMI_per_vehicle.kgCO2.LT.Tr.Road.Passenger.Bus</t>
  </si>
  <si>
    <t>EMI_per_vehicle.kgCO2.LT.Tr.Road.Passenger.Bus.ICE.Gasoline</t>
  </si>
  <si>
    <t>EMI_per_vehicle.kgCO2.LT.Tr.Road.Passenger.Bus.ICE.Diesel</t>
  </si>
  <si>
    <t>EMI_per_vehicle.kgCO2.LT.Tr.Road.Passenger.Bus.ICE.LPG</t>
  </si>
  <si>
    <t>EMI_per_vehicle.kgCO2.LT.Tr.Road.Passenger.Bus.ICE.NGas</t>
  </si>
  <si>
    <t>EMI_per_vehicle.kgCO2.LT.Tr.Road.Passenger.Bus.ICE.BEV</t>
  </si>
  <si>
    <t>EMI_per_vehicle.kgCO2.LT.Tr.Road.Freight.LCV</t>
  </si>
  <si>
    <t>EMI_per_vehicle.kgCO2.LT.Tr.Road.Freight.LCV.ICE.Gasoline</t>
  </si>
  <si>
    <t>EMI_per_vehicle.kgCO2.LT.Tr.Road.Freight.LCV.ICE.Diesel</t>
  </si>
  <si>
    <t>EMI_per_vehicle.kgCO2.LT.Tr.Road.Freight.LCV.ICE.LPG</t>
  </si>
  <si>
    <t>EMI_per_vehicle.kgCO2.LT.Tr.Road.Freight.LCV.ICE.NGas</t>
  </si>
  <si>
    <t>EMI_per_vehicle.kgCO2.LT.Tr.Road.Freight.LCV.ICE.BEV</t>
  </si>
  <si>
    <t>EMI_per_vehicle.kgCO2.LT.Tr.Road.Freight.HGV</t>
  </si>
  <si>
    <t>EMI_per_vehicle.kgCO2.LT.Tr.Road.Freight.HGV.Domestic</t>
  </si>
  <si>
    <t>EMI_per_vehicle.kgCO2.LT.Tr.Road.Freight.HGV.International</t>
  </si>
  <si>
    <t>Road transport / technologies - LT - Lithuania</t>
  </si>
  <si>
    <t>StockVin.number.LT.Tr.Road</t>
  </si>
  <si>
    <t>StockVin.number.LT.Tr.Road.Passenger</t>
  </si>
  <si>
    <t>StockVin.number.LT.Tr.Road.Passenger.P2W</t>
  </si>
  <si>
    <t>StockVin.number.LT.Tr.Road.Passenger.Car</t>
  </si>
  <si>
    <t>StockVin.number.LT.Tr.Road.Passenger.Car.ICE.Gasoline</t>
  </si>
  <si>
    <t>StockVin.number.LT.Tr.Road.Passenger.Car.ICE.Diesel</t>
  </si>
  <si>
    <t>StockVin.number.LT.Tr.Road.Passenger.Car.ICE.LPG</t>
  </si>
  <si>
    <t>StockVin.number.LT.Tr.Road.Passenger.Car.ICE.NGas</t>
  </si>
  <si>
    <t>StockVin.number.LT.Tr.Road.Passenger.Car.PHEV</t>
  </si>
  <si>
    <t>StockVin.number.LT.Tr.Road.Passenger.Car.BEV</t>
  </si>
  <si>
    <t>StockVin.number.LT.Tr.Road.Passenger.Bus</t>
  </si>
  <si>
    <t>StockVin.number.LT.Tr.Road.Passenger.Bus.ICE.Gasoline</t>
  </si>
  <si>
    <t>StockVin.number.LT.Tr.Road.Passenger.Bus.ICE.Diesel</t>
  </si>
  <si>
    <t>StockVin.number.LT.Tr.Road.Passenger.Bus.ICE.LPG</t>
  </si>
  <si>
    <t>StockVin.number.LT.Tr.Road.Passenger.Bus.ICE.NGas</t>
  </si>
  <si>
    <t>StockVin.number.LT.Tr.Road.Passenger.Bus.ICE.BEV</t>
  </si>
  <si>
    <t>StockVin.number.LT.Tr.Road.Freight</t>
  </si>
  <si>
    <t>StockVin.number.LT.Tr.Road.Freight.LCV</t>
  </si>
  <si>
    <t>StockVin.number.LT.Tr.Road.Freight.LCV.ICE.Gasoline</t>
  </si>
  <si>
    <t>StockVin.number.LT.Tr.Road.Freight.LCV.ICE.Diesel</t>
  </si>
  <si>
    <t>StockVin.number.LT.Tr.Road.Freight.LCV.ICE.LPG</t>
  </si>
  <si>
    <t>StockVin.number.LT.Tr.Road.Freight.LCV.ICE.NGas</t>
  </si>
  <si>
    <t>StockVin.number.LT.Tr.Road.Freight.LCV.ICE.BEV</t>
  </si>
  <si>
    <t>StockVin.number.LT.Tr.Road.Freight.HGV</t>
  </si>
  <si>
    <t>StockVin.number.LT.Tr.Road.Freight.HGV.Domestic</t>
  </si>
  <si>
    <t>StockVin.number.LT.Tr.Road.Freight.HGV.International</t>
  </si>
  <si>
    <t>Eff_test_stock.kgoe_per_100km.LT.Tr.Road.Passenger.P2W</t>
  </si>
  <si>
    <t>Eff_test_stock.kgoe_per_100km.LT.Tr.Road.Passenger.Car</t>
  </si>
  <si>
    <t>Eff_test_stock.kgoe_per_100km.LT.Tr.Road.Passenger.Car.ICE.Gasoline</t>
  </si>
  <si>
    <t>Eff_test_stock.kgoe_per_100km.LT.Tr.Road.Passenger.Car.ICE.Diesel</t>
  </si>
  <si>
    <t>Eff_test_stock.kgoe_per_100km.LT.Tr.Road.Passenger.Car.ICE.LPG</t>
  </si>
  <si>
    <t>Eff_test_stock.kgoe_per_100km.LT.Tr.Road.Passenger.Car.ICE.NGas</t>
  </si>
  <si>
    <t>Eff_test_stock.kgoe_per_100km.LT.Tr.Road.Passenger.Car.PHEV</t>
  </si>
  <si>
    <t>Eff_test_stock.kgoe_per_100km.LT.Tr.Road.Passenger.Car.BEV</t>
  </si>
  <si>
    <t>Eff_test_stock.kgoe_per_100km.LT.Tr.Road.Passenger.Bus</t>
  </si>
  <si>
    <t>Eff_test_stock.kgoe_per_100km.LT.Tr.Road.Passenger.Bus.ICE.Gasoline</t>
  </si>
  <si>
    <t>Eff_test_stock.kgoe_per_100km.LT.Tr.Road.Passenger.Bus.ICE.Diesel</t>
  </si>
  <si>
    <t>Eff_test_stock.kgoe_per_100km.LT.Tr.Road.Passenger.Bus.ICE.LPG</t>
  </si>
  <si>
    <t>Eff_test_stock.kgoe_per_100km.LT.Tr.Road.Passenger.Bus.ICE.NGas</t>
  </si>
  <si>
    <t>Eff_test_stock.kgoe_per_100km.LT.Tr.Road.Passenger.Bus.ICE.BEV</t>
  </si>
  <si>
    <t>Eff_test_stock.kgoe_per_100km.LT.Tr.Road.Freight.LCV</t>
  </si>
  <si>
    <t>Eff_test_stock.kgoe_per_100km.LT.Tr.Road.Freight.LCV.ICE.Gasoline</t>
  </si>
  <si>
    <t>Eff_test_stock.kgoe_per_100km.LT.Tr.Road.Freight.LCV.ICE.Diesel</t>
  </si>
  <si>
    <t>Eff_test_stock.kgoe_per_100km.LT.Tr.Road.Freight.LCV.ICE.LPG</t>
  </si>
  <si>
    <t>Eff_test_stock.kgoe_per_100km.LT.Tr.Road.Freight.LCV.ICE.NGas</t>
  </si>
  <si>
    <t>Eff_test_stock.kgoe_per_100km.LT.Tr.Road.Freight.LCV.ICE.BEV</t>
  </si>
  <si>
    <t>Eff_test_stock.kgoe_per_100km.LT.Tr.Road.Freight.HGV</t>
  </si>
  <si>
    <t>Eff_test_stock.kgoe_per_100km.LT.Tr.Road.Freight.HGV.Domestic</t>
  </si>
  <si>
    <t>Eff_test_stock.kgoe_per_100km.LT.Tr.Road.Freight.HGV.International</t>
  </si>
  <si>
    <t>Eff_test_new.kgoe_per_100km.LT.Tr.Road.Passenger.P2W</t>
  </si>
  <si>
    <t>Eff_test_new.kgoe_per_100km.LT.Tr.Road.Passenger.Car</t>
  </si>
  <si>
    <t>Eff_test_new.kgoe_per_100km.LT.Tr.Road.Passenger.Car.ICE.Gasoline</t>
  </si>
  <si>
    <t>Eff_test_new.kgoe_per_100km.LT.Tr.Road.Passenger.Car.ICE.Diesel</t>
  </si>
  <si>
    <t>Eff_test_new.kgoe_per_100km.LT.Tr.Road.Passenger.Car.ICE.LPG</t>
  </si>
  <si>
    <t>Eff_test_new.kgoe_per_100km.LT.Tr.Road.Passenger.Car.ICE.NGas</t>
  </si>
  <si>
    <t>Eff_test_new.kgoe_per_100km.LT.Tr.Road.Passenger.Car.PHEV</t>
  </si>
  <si>
    <t>Eff_test_new.kgoe_per_100km.LT.Tr.Road.Passenger.Car.BEV</t>
  </si>
  <si>
    <t>Eff_test_new.kgoe_per_100km.LT.Tr.Road.Passenger.Bus</t>
  </si>
  <si>
    <t>Eff_test_new.kgoe_per_100km.LT.Tr.Road.Passenger.Bus.ICE.Gasoline</t>
  </si>
  <si>
    <t>Eff_test_new.kgoe_per_100km.LT.Tr.Road.Passenger.Bus.ICE.Diesel</t>
  </si>
  <si>
    <t>Eff_test_new.kgoe_per_100km.LT.Tr.Road.Passenger.Bus.ICE.LPG</t>
  </si>
  <si>
    <t>Eff_test_new.kgoe_per_100km.LT.Tr.Road.Passenger.Bus.ICE.NGas</t>
  </si>
  <si>
    <t>Eff_test_new.kgoe_per_100km.LT.Tr.Road.Passenger.Bus.ICE.BEV</t>
  </si>
  <si>
    <t>Eff_test_new.kgoe_per_100km.LT.Tr.Road.Freight.LCV</t>
  </si>
  <si>
    <t>Eff_test_new.kgoe_per_100km.LT.Tr.Road.Freight.LCV.ICE.Gasoline</t>
  </si>
  <si>
    <t>Eff_test_new.kgoe_per_100km.LT.Tr.Road.Freight.LCV.ICE.Diesel</t>
  </si>
  <si>
    <t>Eff_test_new.kgoe_per_100km.LT.Tr.Road.Freight.LCV.ICE.LPG</t>
  </si>
  <si>
    <t>Eff_test_new.kgoe_per_100km.LT.Tr.Road.Freight.LCV.ICE.NGas</t>
  </si>
  <si>
    <t>Eff_test_new.kgoe_per_100km.LT.Tr.Road.Freight.LCV.ICE.BEV</t>
  </si>
  <si>
    <t>Eff_test_new.kgoe_per_100km.LT.Tr.Road.Freight.HGV</t>
  </si>
  <si>
    <t>Eff_test_new.kgoe_per_100km.LT.Tr.Road.Freight.HGV.Domestic</t>
  </si>
  <si>
    <t>Eff_test_new.kgoe_per_100km.LT.Tr.Road.Freight.HGV.International</t>
  </si>
  <si>
    <t>EMIint_test_stock.gCO2_per_km.LT.Tr.Road.Passenger.P2W</t>
  </si>
  <si>
    <t>EMIint_test_stock.gCO2_per_km.LT.Tr.Road.Passenger.Car</t>
  </si>
  <si>
    <t>EMIint_test_stock.gCO2_per_km.LT.Tr.Road.Passenger.Car.ICE.Gasoline</t>
  </si>
  <si>
    <t>EMIint_test_stock.gCO2_per_km.LT.Tr.Road.Passenger.Car.ICE.Diesel</t>
  </si>
  <si>
    <t>EMIint_test_stock.gCO2_per_km.LT.Tr.Road.Passenger.Car.ICE.LPG</t>
  </si>
  <si>
    <t>EMIint_test_stock.gCO2_per_km.LT.Tr.Road.Passenger.Car.ICE.NGas</t>
  </si>
  <si>
    <t>EMIint_test_stock.gCO2_per_km.LT.Tr.Road.Passenger.Car.PHEV</t>
  </si>
  <si>
    <t>EMIint_test_stock.gCO2_per_km.LT.Tr.Road.Passenger.Car.BEV</t>
  </si>
  <si>
    <t>EMIint_test_stock.gCO2_per_km.LT.Tr.Road.Passenger.Bus</t>
  </si>
  <si>
    <t>EMIint_test_stock.gCO2_per_km.LT.Tr.Road.Passenger.Bus.ICE.Gasoline</t>
  </si>
  <si>
    <t>EMIint_test_stock.gCO2_per_km.LT.Tr.Road.Passenger.Bus.ICE.Diesel</t>
  </si>
  <si>
    <t>EMIint_test_stock.gCO2_per_km.LT.Tr.Road.Passenger.Bus.ICE.LPG</t>
  </si>
  <si>
    <t>EMIint_test_stock.gCO2_per_km.LT.Tr.Road.Passenger.Bus.ICE.NGas</t>
  </si>
  <si>
    <t>EMIint_test_stock.gCO2_per_km.LT.Tr.Road.Passenger.Bus.ICE.BEV</t>
  </si>
  <si>
    <t>EMIint_test_stock.gCO2_per_km.LT.Tr.Road.Freight.LCV</t>
  </si>
  <si>
    <t>EMIint_test_stock.gCO2_per_km.LT.Tr.Road.Freight.LCV.ICE.Gasoline</t>
  </si>
  <si>
    <t>EMIint_test_stock.gCO2_per_km.LT.Tr.Road.Freight.LCV.ICE.Diesel</t>
  </si>
  <si>
    <t>EMIint_test_stock.gCO2_per_km.LT.Tr.Road.Freight.LCV.ICE.LPG</t>
  </si>
  <si>
    <t>EMIint_test_stock.gCO2_per_km.LT.Tr.Road.Freight.LCV.ICE.NGas</t>
  </si>
  <si>
    <t>EMIint_test_stock.gCO2_per_km.LT.Tr.Road.Freight.LCV.ICE.BEV</t>
  </si>
  <si>
    <t>EMIint_test_stock.gCO2_per_km.LT.Tr.Road.Freight.HGV</t>
  </si>
  <si>
    <t>EMIint_test_stock.gCO2_per_km.LT.Tr.Road.Freight.HGV.Domestic</t>
  </si>
  <si>
    <t>EMIint_test_stock.gCO2_per_km.LT.Tr.Road.Freight.HGV.International</t>
  </si>
  <si>
    <t>EMIint_test_new.gCO2_per_km.LT.Tr.Road.Passenger.P2W</t>
  </si>
  <si>
    <t>EMIint_test_new.gCO2_per_km.LT.Tr.Road.Passenger.Car</t>
  </si>
  <si>
    <t>EMIint_test_new.gCO2_per_km.LT.Tr.Road.Passenger.Car.ICE.Gasoline</t>
  </si>
  <si>
    <t>EMIint_test_new.gCO2_per_km.LT.Tr.Road.Passenger.Car.ICE.Diesel</t>
  </si>
  <si>
    <t>EMIint_test_new.gCO2_per_km.LT.Tr.Road.Passenger.Car.ICE.LPG</t>
  </si>
  <si>
    <t>EMIint_test_new.gCO2_per_km.LT.Tr.Road.Passenger.Car.ICE.NGas</t>
  </si>
  <si>
    <t>EMIint_test_new.gCO2_per_km.LT.Tr.Road.Passenger.Car.PHEV</t>
  </si>
  <si>
    <t>EMIint_test_new.gCO2_per_km.LT.Tr.Road.Passenger.Car.BEV</t>
  </si>
  <si>
    <t>EMIint_test_new.gCO2_per_km.LT.Tr.Road.Passenger.Bus</t>
  </si>
  <si>
    <t>EMIint_test_new.gCO2_per_km.LT.Tr.Road.Passenger.Bus.ICE.Gasoline</t>
  </si>
  <si>
    <t>EMIint_test_new.gCO2_per_km.LT.Tr.Road.Passenger.Bus.ICE.Diesel</t>
  </si>
  <si>
    <t>EMIint_test_new.gCO2_per_km.LT.Tr.Road.Passenger.Bus.ICE.LPG</t>
  </si>
  <si>
    <t>EMIint_test_new.gCO2_per_km.LT.Tr.Road.Passenger.Bus.ICE.NGas</t>
  </si>
  <si>
    <t>EMIint_test_new.gCO2_per_km.LT.Tr.Road.Passenger.Bus.ICE.BEV</t>
  </si>
  <si>
    <t>EMIint_test_new.gCO2_per_km.LT.Tr.Road.Freight.LCV</t>
  </si>
  <si>
    <t>EMIint_test_new.gCO2_per_km.LT.Tr.Road.Freight.LCV.ICE.Gasoline</t>
  </si>
  <si>
    <t>EMIint_test_new.gCO2_per_km.LT.Tr.Road.Freight.LCV.ICE.Diesel</t>
  </si>
  <si>
    <t>EMIint_test_new.gCO2_per_km.LT.Tr.Road.Freight.LCV.ICE.LPG</t>
  </si>
  <si>
    <t>EMIint_test_new.gCO2_per_km.LT.Tr.Road.Freight.LCV.ICE.NGas</t>
  </si>
  <si>
    <t>EMIint_test_new.gCO2_per_km.LT.Tr.Road.Freight.LCV.ICE.BEV</t>
  </si>
  <si>
    <t>EMIint_test_new.gCO2_per_km.LT.Tr.Road.Freight.HGV</t>
  </si>
  <si>
    <t>EMIint_test_new.gCO2_per_km.LT.Tr.Road.Freight.HGV.Domestic</t>
  </si>
  <si>
    <t>EMIint_test_new.gCO2_per_km.LT.Tr.Road.Freight.HGV.International</t>
  </si>
  <si>
    <t>FEC.ktoe.LT.MBunk</t>
  </si>
  <si>
    <t>FEC.ktoe.LT.MBunk.IntraEEA</t>
  </si>
  <si>
    <t>FEC.ktoe.LT.MBunk.ExtraEEA</t>
  </si>
  <si>
    <t>EMI.ktCO2.LT.MBunk</t>
  </si>
  <si>
    <t>EMI.ktCO2.LT.MBunk.IntraEEA</t>
  </si>
  <si>
    <t>EMI.ktCO2.LT.MBunk.ExtraEEA</t>
  </si>
  <si>
    <t>International maritime bunkers - LT - Lithuania</t>
  </si>
  <si>
    <t>VehicleKm.Mkm.LT.MBunk.Freight</t>
  </si>
  <si>
    <t>VehicleKm.Mkm.LT.MBunk.Freight.IntraEEA</t>
  </si>
  <si>
    <t>VehicleKm.Mkm.LT.MBunk.Freight.ExtraEEA</t>
  </si>
  <si>
    <t>Load.t_per_movement.LT.MBunk.Freight</t>
  </si>
  <si>
    <t>Load.t_per_movement.LT.MBunk.Freight.IntraEEA</t>
  </si>
  <si>
    <t>Load.t_per_movement.LT.MBunk.Freight.ExtraEEA</t>
  </si>
  <si>
    <t>International maritime bunkers / energy consumption - LT - Lithuania</t>
  </si>
  <si>
    <t>FEC.ktoe.LT.ES.MBunk</t>
  </si>
  <si>
    <t>FEC.ktoe.LT.ES.MBunk.IntraEEA</t>
  </si>
  <si>
    <t>FEC.ktoe.LT.ES.MBunk.IntraEEA.Diesel</t>
  </si>
  <si>
    <t>FEC.ktoe.LT.ES.MBunk.IntraEEA.RFO_Other</t>
  </si>
  <si>
    <t>FEC.ktoe.LT.ES.MBunk.IntraEEA.LiqBio</t>
  </si>
  <si>
    <t>FEC.ktoe.LT.ES.MBunk.IntraEEA.NG</t>
  </si>
  <si>
    <t>FEC.ktoe.LT.ES.MBunk.IntraEEA.Biogas</t>
  </si>
  <si>
    <t>FEC.ktoe.LT.ES.MBunk.ExtraEEA</t>
  </si>
  <si>
    <t>FEC.ktoe.LT.ES.MBunk.ExtraEEA.Diesel</t>
  </si>
  <si>
    <t>FEC.ktoe.LT.ES.MBunk.ExtraEEA.RFO_Other</t>
  </si>
  <si>
    <t>FEC.ktoe.LT.ES.MBunk.ExtraEEA.LiqBio</t>
  </si>
  <si>
    <t>FEC.ktoe.LT.ES.MBunk.ExtraEEA.NG</t>
  </si>
  <si>
    <t>FEC.ktoe.LT.ES.MBunk.ExtraEEA.Biogas</t>
  </si>
  <si>
    <t>Eff.kgoe_per_100km.LT.MBunk.Freight</t>
  </si>
  <si>
    <t>Eff.kgoe_per_100km.LT.MBunk.Freight.IntraEEA</t>
  </si>
  <si>
    <t>Eff.kgoe_per_100km.LT.MBunk.Freight.ExtraEEA</t>
  </si>
  <si>
    <t>International maritime bunkers / CO2 emissions - LT - Lithuania</t>
  </si>
  <si>
    <t>EMI.ktCO2.LT.ES.MBunk</t>
  </si>
  <si>
    <t>EMI.ktCO2.LT.ES.MBunk.IntraEEA</t>
  </si>
  <si>
    <t>EMI.ktCO2.LT.ES.MBunk.ExtraEEA</t>
  </si>
  <si>
    <t>EMIint.gCO2_per_km.LT.MBunk.Freight</t>
  </si>
  <si>
    <t>EMIint.gCO2_per_km.LT.MBunk.Freight.IntraEEA</t>
  </si>
  <si>
    <t>EMIint.gCO2_per_km.LT.MBunk.Freight.ExtraEEA</t>
  </si>
  <si>
    <t>FEC.ktoe.LT.Tr.DNavi</t>
  </si>
  <si>
    <t>FEC.ktoe.LT.Tr.Dnavi.DCS</t>
  </si>
  <si>
    <t>FEC.ktoe.LT.Tr.Dnavi.IWW</t>
  </si>
  <si>
    <t>EMI.ktCO2.LT.Tr.DNavi</t>
  </si>
  <si>
    <t>EMI.ktCO2.LT.Tr.Dnavi.DCS</t>
  </si>
  <si>
    <t>EMI.ktCO2.LT.Tr.Dnavi.IWW</t>
  </si>
  <si>
    <t>Domestic navigation - LT - Lithuania</t>
  </si>
  <si>
    <t>VehicleKm.Mkm.LT.Tr.DNavi.Freight</t>
  </si>
  <si>
    <t>VehicleKm.Mkm.LT.Tr.DNavi.Freight.DCS</t>
  </si>
  <si>
    <t>VehicleKm.Mkm.LT.Tr.DNavi.Freight.IWW</t>
  </si>
  <si>
    <t>Load.t_per_movement.LT.Tr.DNavi.Freight</t>
  </si>
  <si>
    <t>Load.t_per_movement.LT.Tr.DNavi.Freight.DCS</t>
  </si>
  <si>
    <t>Load.t_per_movement.LT.Tr.DNavi.Freight.IWW</t>
  </si>
  <si>
    <t>Domestic navigation / energy consumption - LT - Lithuania</t>
  </si>
  <si>
    <t>FEC.ktoe.LT.ES.Tr.DNavi</t>
  </si>
  <si>
    <t>FEC.ktoe.LT.ES.Tr.DNavi.DCS</t>
  </si>
  <si>
    <t>FEC.ktoe.LT.ES.Tr.DNavi.DCS.Diesel</t>
  </si>
  <si>
    <t>FEC.ktoe.LT.ES.Tr.DNavi.DCS.RFO_Other</t>
  </si>
  <si>
    <t>FEC.ktoe.LT.ES.Tr.DNavi.DCS.LiqBio</t>
  </si>
  <si>
    <t>FEC.ktoe.LT.ES.Tr.DNavi.DCS.NG</t>
  </si>
  <si>
    <t>FEC.ktoe.LT.ES.Tr.DNavi.DCS.Biogas</t>
  </si>
  <si>
    <t>FEC.ktoe.LT.ES.Tr.DNavi.IWW</t>
  </si>
  <si>
    <t>FEC.ktoe.LT.ES.Tr.DNavi.IWW.Diesel</t>
  </si>
  <si>
    <t>FEC.ktoe.LT.ES.Tr.DNavi.IWW.RFO_Other</t>
  </si>
  <si>
    <t>FEC.ktoe.LT.ES.Tr.DNavi.IWW.LiqBio</t>
  </si>
  <si>
    <t>FEC.ktoe.LT.ES.Tr.DNavi.IWW.NG</t>
  </si>
  <si>
    <t>FEC.ktoe.LT.ES.Tr.DNavi.IWW.Biogas</t>
  </si>
  <si>
    <t>Eff.kgoe_per_100km.LT.Tr.DNavi.Freight</t>
  </si>
  <si>
    <t>Eff.kgoe_per_100km.LT.Tr.DNavi.Freight.DCS</t>
  </si>
  <si>
    <t>Eff.kgoe_per_100km.LT.Tr.DNavi.Freight.IWW</t>
  </si>
  <si>
    <t>Domestic navigation / CO2 emissions - LT - Lithuania</t>
  </si>
  <si>
    <t>EMI.ktCO2.LT.ES.Tr.DNavi</t>
  </si>
  <si>
    <t>EMI.ktCO2.LT.ES.Tr.DNavi.DCS</t>
  </si>
  <si>
    <t>EMI.ktCO2.LT.ES.Tr.DNavi.IWW</t>
  </si>
  <si>
    <t>EMIint.gCO2_per_km.LT.Tr.DNavi.Freight</t>
  </si>
  <si>
    <t>EMIint.gCO2_per_km.LT.Tr.DNavi.Freight.DCS</t>
  </si>
  <si>
    <t>EMIint.gCO2_per_km.LT.Tr.DNavi.Freight.IWW</t>
  </si>
  <si>
    <t>Rail, metro and tram - LT - Lithuania</t>
  </si>
  <si>
    <t>Activity.Mpkm.LT.Tr.Rail.Passenger.CPT.Diesel</t>
  </si>
  <si>
    <t>Activity.Mpkm.LT.Tr.Rail.Passenger.CPT.Elc</t>
  </si>
  <si>
    <t>Activity.Mtkm.LT.Tr.Rail.Freight.Diesel</t>
  </si>
  <si>
    <t>Activity.Mtkm.LT.Tr.Rail.Freight.Elc</t>
  </si>
  <si>
    <t>VehicleKm.Mkm.LT.Tr.Rail</t>
  </si>
  <si>
    <t>VehicleKm.Mkm.LT.Tr.Rail.Passenger</t>
  </si>
  <si>
    <t>VehicleKm.Mkm.LT.Tr.Rail.Passenger.MTU</t>
  </si>
  <si>
    <t>VehicleKm.Mkm.LT.Tr.Rail.Passenger.CPT</t>
  </si>
  <si>
    <t>VehicleKm.Mkm.LT.Tr.Rail.Passenger.CPT.Diesel</t>
  </si>
  <si>
    <t>VehicleKm.Mkm.LT.Tr.Rail.Passenger.CPT.Elc</t>
  </si>
  <si>
    <t>VehicleKm.Mkm.LT.Tr.Rail.Passenger.HST</t>
  </si>
  <si>
    <t>VehicleKm.Mkm.LT.Tr.Rail.Freight</t>
  </si>
  <si>
    <t>VehicleKm.Mkm.LT.Tr.Rail.Freight.Diesel</t>
  </si>
  <si>
    <t>VehicleKm.Mkm.LT.Tr.Rail.Freight.Elc</t>
  </si>
  <si>
    <t>Stock.number.LT.Tr.Rail</t>
  </si>
  <si>
    <t>Stock.number.LT.Tr.Rail.Passenger</t>
  </si>
  <si>
    <t>Stock.number.LT.Tr.Rail.Passenger.MTU</t>
  </si>
  <si>
    <t>Stock.number.LT.Tr.Rail.Passenger.CPT</t>
  </si>
  <si>
    <t>Stock.number.LT.Tr.Rail.Passenger.CPT.Diesel</t>
  </si>
  <si>
    <t>Stock.number.LT.Tr.Rail.Passenger.CPT.Elc</t>
  </si>
  <si>
    <t>Stock.number.LT.Tr.Rail.Passenger.HST</t>
  </si>
  <si>
    <t>Stock.number.LT.Tr.Rail.Freight</t>
  </si>
  <si>
    <t>Stock.number.LT.Tr.Rail.Freight.Diesel</t>
  </si>
  <si>
    <t>Stock.number.LT.Tr.Rail.Freight.Elc</t>
  </si>
  <si>
    <t>StockNew.number.LT.Tr.Rail</t>
  </si>
  <si>
    <t>StockNew.number.LT.Tr.Rail.Passenger</t>
  </si>
  <si>
    <t>StockNew.number.LT.Tr.Rail.Passenger.MTU</t>
  </si>
  <si>
    <t>StockNew.number.LT.Tr.Rail.Passenger.CPT</t>
  </si>
  <si>
    <t>StockNew.number.LT.Tr.Rail.Passenger.CPT.Diesel</t>
  </si>
  <si>
    <t>StockNew.number.LT.Tr.Rail.Passenger.CPT.Elc</t>
  </si>
  <si>
    <t>StockNew.number.LT.Tr.Rail.Passenger.HST</t>
  </si>
  <si>
    <t>StockNew.number.LT.Tr.Rail.Freight</t>
  </si>
  <si>
    <t>StockNew.number.LT.Tr.Rail.Freight.Diesel</t>
  </si>
  <si>
    <t>StockNew.number.LT.Tr.Rail.Freight.Elc</t>
  </si>
  <si>
    <t>Load.passenger_per_movement.LT.Tr.Rail.Passenger</t>
  </si>
  <si>
    <t>Load.passenger_per_movement.LT.Tr.Rail.Passenger.MTU</t>
  </si>
  <si>
    <t>Load.passenger_per_movement.LT.Tr.Rail.Passenger.CPT</t>
  </si>
  <si>
    <t>Load.passenger_per_movement.LT.Tr.Rail.Passenger.CPT.Diesel</t>
  </si>
  <si>
    <t>Load.passenger_per_movement.LT.Tr.Rail.Passenger.CPT.Elc</t>
  </si>
  <si>
    <t>Load.passenger_per_movement.LT.Tr.Rail.Passenger.HST</t>
  </si>
  <si>
    <t>Load.t_per_movement.LT.Tr.Rail.Freight</t>
  </si>
  <si>
    <t>Load.t_per_movement.LT.Tr.Rail.Freight.Diesel</t>
  </si>
  <si>
    <t>Load.t_per_movement.LT.Tr.Rail.Freight.Elc</t>
  </si>
  <si>
    <t>TrCap.seats.LT.Tr.Rail.Passenger</t>
  </si>
  <si>
    <t>TrCap.seats.LT.Tr.Rail.Passenger.MTU</t>
  </si>
  <si>
    <t>TrCap.seats.LT.Tr.Rail.Passenger.CPT</t>
  </si>
  <si>
    <t>TrCap.seats.LT.Tr.Rail.Passenger.CPT.Diesel</t>
  </si>
  <si>
    <t>TrCap.seats.LT.Tr.Rail.Passenger.CPT.Elc</t>
  </si>
  <si>
    <t>TrCap.seats.LT.Tr.Rail.Passenger.HST</t>
  </si>
  <si>
    <t>TrCap.t.LT.Tr.Rail.Freight</t>
  </si>
  <si>
    <t>TrCap.t.LT.Tr.Rail.Freight.Diesel</t>
  </si>
  <si>
    <t>TrCap.t.LT.Tr.Rail.Freight.Elc</t>
  </si>
  <si>
    <t>VehicleKm_per_vehicle.km.LT.Tr.Rail</t>
  </si>
  <si>
    <t>VehicleKm_per_vehicle.km.LT.Tr.Rail.Passenger</t>
  </si>
  <si>
    <t>VehicleKm_per_vehicle.km.LT.Tr.Rail.Passenger.MTU</t>
  </si>
  <si>
    <t>VehicleKm_per_vehicle.km.LT.Tr.Rail.Passenger.CPT</t>
  </si>
  <si>
    <t>VehicleKm_per_vehicle.km.LT.Tr.Rail.Passenger.CPT.Diesel</t>
  </si>
  <si>
    <t>VehicleKm_per_vehicle.km.LT.Tr.Rail.Passenger.CPT.Elc</t>
  </si>
  <si>
    <t>VehicleKm_per_vehicle.km.LT.Tr.Rail.Passenger.HST</t>
  </si>
  <si>
    <t>VehicleKm_per_vehicle.km.LT.Tr.Rail.Freight</t>
  </si>
  <si>
    <t>VehicleKm_per_vehicle.km.LT.Tr.Rail.Freight.Diesel</t>
  </si>
  <si>
    <t>VehicleKm_per_vehicle.km.LT.Tr.Rail.Freight.Elc</t>
  </si>
  <si>
    <t>Activity_per_vehicle.pkm.LT.Tr.Rail.Passenger</t>
  </si>
  <si>
    <t>Activity_per_vehicle.pkm.LT.Tr.Rail.Passenger.MTU</t>
  </si>
  <si>
    <t>Activity_per_vehicle.pkm.LT.Tr.Rail.Passenger.CPT</t>
  </si>
  <si>
    <t>Activity_per_vehicle.pkm.LT.Tr.Rail.Passenger.CPT.Diesel</t>
  </si>
  <si>
    <t>Activity_per_vehicle.pkm.LT.Tr.Rail.Passenger.CPT.Elc</t>
  </si>
  <si>
    <t>Activity_per_vehicle.pkm.LT.Tr.Rail.Passenger.HST</t>
  </si>
  <si>
    <t>Activity_per_vehicle.tkm.LT.Tr.Rail.Freight</t>
  </si>
  <si>
    <t>Activity_per_vehicle.tkm.LT.Tr.Rail.Freight.Diesel</t>
  </si>
  <si>
    <t>Activity_per_vehicle.tkm.LT.Tr.Rail.Freight.Elc</t>
  </si>
  <si>
    <t>Rail, metro and tram / energy consumption - LT - Lithuania</t>
  </si>
  <si>
    <t>FEC.ktoe.LT.ES.Tr.Rail</t>
  </si>
  <si>
    <t>FEC.ktoe.LT.ES.Tr.Rail.Diesel</t>
  </si>
  <si>
    <t>FEC.ktoe.LT.ES.Tr.Rail.LiqBio</t>
  </si>
  <si>
    <t>FEC.ktoe.LT.ES.Tr.Rail.Elec</t>
  </si>
  <si>
    <t>FEC.ktoe.LT.Tr.Rail</t>
  </si>
  <si>
    <t>FEC.ktoe.LT.Tr.Rail.Passenger.CPT.Diesel</t>
  </si>
  <si>
    <t>FEC.ktoe.LT.Tr.Rail.Passenger.CPT.Elc</t>
  </si>
  <si>
    <t>FEC.ktoe.LT.Tr.Rail.Freight.Diesel</t>
  </si>
  <si>
    <t>FEC.ktoe.LT.Tr.Rail.Freight.Elc</t>
  </si>
  <si>
    <t>Eff.kgoe_per_100km.LT.Tr.Rail</t>
  </si>
  <si>
    <t>Eff.kgoe_per_100km.LT.Tr.Rail.Passenger</t>
  </si>
  <si>
    <t>Eff.kgoe_per_100km.LT.Tr.Rail.Passenger.MTU</t>
  </si>
  <si>
    <t>Eff.kgoe_per_100km.LT.Tr.Rail.Passenger.CPT</t>
  </si>
  <si>
    <t>Eff.kgoe_per_100km.LT.Tr.Rail.Passenger.CPT.Diesel</t>
  </si>
  <si>
    <t>Eff.kgoe_per_100km.LT.Tr.Rail.Passenger.CPT.Elc</t>
  </si>
  <si>
    <t>Eff.kgoe_per_100km.LT.Tr.Rail.Passenger.HST</t>
  </si>
  <si>
    <t>Eff.kgoe_per_100km.LT.Tr.Rail.Freight</t>
  </si>
  <si>
    <t>Eff.kgoe_per_100km.LT.Tr.Rail.Freight.Diesel</t>
  </si>
  <si>
    <t>Eff.kgoe_per_100km.LT.Tr.Rail.Freight.Elc</t>
  </si>
  <si>
    <t>Eff.kgoe_per_kpkm.LT.Tr.Rail.Passenger.CPT.Diesel</t>
  </si>
  <si>
    <t>Eff.kgoe_per_kpkm.LT.Tr.Rail.Passenger.CPT.Elc</t>
  </si>
  <si>
    <t>Eff.kgoe_per_ktkm.LT.Tr.Rail.Freight.Diesel</t>
  </si>
  <si>
    <t>Eff.kgoe_per_ktkm.LT.Tr.Rail.Freight.Elc</t>
  </si>
  <si>
    <t>FEC_per_vehicle.kgoe.LT.Tr.Rail</t>
  </si>
  <si>
    <t>FEC_per_vehicle.kgoe.LT.Tr.Rail.Passenger</t>
  </si>
  <si>
    <t>FEC_per_vehicle.kgoe.LT.Tr.Rail.Passenger.MTU</t>
  </si>
  <si>
    <t>FEC_per_vehicle.kgoe.LT.Tr.Rail.Passenger.CPT</t>
  </si>
  <si>
    <t>FEC_per_vehicle.kgoe.LT.Tr.Rail.Passenger.CPT.Diesel</t>
  </si>
  <si>
    <t>FEC_per_vehicle.kgoe.LT.Tr.Rail.Passenger.CPT.Elc</t>
  </si>
  <si>
    <t>FEC_per_vehicle.kgoe.LT.Tr.Rail.Passenger.HST</t>
  </si>
  <si>
    <t>FEC_per_vehicle.kgoe.LT.Tr.Rail.Freight</t>
  </si>
  <si>
    <t>FEC_per_vehicle.kgoe.LT.Tr.Rail.Freight.Diesel</t>
  </si>
  <si>
    <t>FEC_per_vehicle.kgoe.LT.Tr.Rail.Freight.Elc</t>
  </si>
  <si>
    <t>Rail, metro and tram / CO2 emissions - LT - Lithuania</t>
  </si>
  <si>
    <t>EMI.ktCO2.LT.ES.Tr.Rail</t>
  </si>
  <si>
    <t>EMI.ktCO2.LT.ES.Tr.Rail.Diesel</t>
  </si>
  <si>
    <t>EMI.ktCO2.LT.ES.Tr.Rail.Elec</t>
  </si>
  <si>
    <t>EMI.ktCO2.LT.Tr.Rail</t>
  </si>
  <si>
    <t>EMI.ktCO2.LT.Tr.Rail.Passenger.CPT.Diesel</t>
  </si>
  <si>
    <t>EMI.ktCO2.LT.Tr.Rail.Passenger.CPT.Elc</t>
  </si>
  <si>
    <t>EMI.ktCO2.LT.Tr.Rail.Freight.Diesel</t>
  </si>
  <si>
    <t>EMI.ktCO2.LT.Tr.Rail.Freight.Elc</t>
  </si>
  <si>
    <t>EMIint.gCO2_per_km.LT.Tr.Rail</t>
  </si>
  <si>
    <t>EMIint.gCO2_per_km.LT.Tr.Rail.Passenger</t>
  </si>
  <si>
    <t>EMIint.gCO2_per_km.LT.Tr.Rail.Passenger.MTU</t>
  </si>
  <si>
    <t>EMIint.gCO2_per_km.LT.Tr.Rail.Passenger.CPT</t>
  </si>
  <si>
    <t>EMIint.gCO2_per_km.LT.Tr.Rail.Passenger.CPT.Diesel</t>
  </si>
  <si>
    <t>EMIint.gCO2_per_km.LT.Tr.Rail.Passenger.CPT.Elc</t>
  </si>
  <si>
    <t>EMIint.gCO2_per_km.LT.Tr.Rail.Passenger.HST</t>
  </si>
  <si>
    <t>EMIint.gCO2_per_km.LT.Tr.Rail.Freight</t>
  </si>
  <si>
    <t>EMIint.gCO2_per_km.LT.Tr.Rail.Freight.Diesel</t>
  </si>
  <si>
    <t>EMIint.gCO2_per_km.LT.Tr.Rail.Freight.Elc</t>
  </si>
  <si>
    <t>EMIint.gCO2_per_pkm.LT.Tr.Rail.Passenger.CPT.Diesel</t>
  </si>
  <si>
    <t>EMIint.gCO2_per_pkm.LT.Tr.Rail.Passenger.CPT.Elc</t>
  </si>
  <si>
    <t>EMIint.gCO2_per_tkm.LT.Tr.Rail.Freight.Diesel</t>
  </si>
  <si>
    <t>EMIint.gCO2_per_tkm.LT.Tr.Rail.Freight.Elc</t>
  </si>
  <si>
    <t>EMI_per_vehicle.tCO2.LT.Tr.Rail</t>
  </si>
  <si>
    <t>EMI_per_vehicle.tCO2.LT.Tr.Rail.Passenger</t>
  </si>
  <si>
    <t>EMI_per_vehicle.tCO2.LT.Tr.Rail.Passenger.MTU</t>
  </si>
  <si>
    <t>EMI_per_vehicle.tCO2.LT.Tr.Rail.Passenger.CPT</t>
  </si>
  <si>
    <t>EMI_per_vehicle.tCO2.LT.Tr.Rail.Passenger.CPT.Diesel</t>
  </si>
  <si>
    <t>EMI_per_vehicle.tCO2.LT.Tr.Rail.Passenger.CPT.Elc</t>
  </si>
  <si>
    <t>EMI_per_vehicle.tCO2.LT.Tr.Rail.Passenger.HST</t>
  </si>
  <si>
    <t>EMI_per_vehicle.tCO2.LT.Tr.Rail.Freight</t>
  </si>
  <si>
    <t>EMI_per_vehicle.tCO2.LT.Tr.Rail.Freight.Diesel</t>
  </si>
  <si>
    <t>EMI_per_vehicle.tCO2.LT.Tr.Rail.Freight.Elc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</si>
</sst>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45432.786608796298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30045.697699560034</v>
      </c>
      <c r="C4" s="28">
        <f t="shared" si="0"/>
        <v>30261.333322267943</v>
      </c>
      <c r="D4" s="28">
        <f t="shared" si="0"/>
        <v>30338.485487139722</v>
      </c>
      <c r="E4" s="28">
        <f t="shared" si="0"/>
        <v>33368.581804071633</v>
      </c>
      <c r="F4" s="28">
        <f t="shared" si="0"/>
        <v>36018.844213294411</v>
      </c>
      <c r="G4" s="28">
        <f t="shared" si="0"/>
        <v>40130.617441030779</v>
      </c>
      <c r="H4" s="28">
        <f t="shared" si="0"/>
        <v>45059.497453526354</v>
      </c>
      <c r="I4" s="28">
        <f t="shared" si="0"/>
        <v>44927.747491297509</v>
      </c>
      <c r="J4" s="28">
        <f t="shared" si="0"/>
        <v>43630.422613710274</v>
      </c>
      <c r="K4" s="28">
        <f t="shared" si="0"/>
        <v>40353.974054026803</v>
      </c>
      <c r="L4" s="28">
        <f t="shared" si="0"/>
        <v>37130.345573691367</v>
      </c>
      <c r="M4" s="28">
        <f t="shared" si="0"/>
        <v>34801.249610133134</v>
      </c>
      <c r="N4" s="28">
        <f t="shared" si="0"/>
        <v>39511.15356844286</v>
      </c>
      <c r="O4" s="28">
        <f t="shared" si="0"/>
        <v>39017.56922678199</v>
      </c>
      <c r="P4" s="28">
        <f t="shared" si="0"/>
        <v>30365.986354259559</v>
      </c>
      <c r="Q4" s="28">
        <f t="shared" si="0"/>
        <v>30943.466536715136</v>
      </c>
      <c r="R4" s="28">
        <f t="shared" ref="R4:V4" si="1">R5+R9+R13</f>
        <v>32196.844751549568</v>
      </c>
      <c r="S4" s="28">
        <f t="shared" si="1"/>
        <v>38187.824867295902</v>
      </c>
      <c r="T4" s="28">
        <f t="shared" si="1"/>
        <v>37909.673883922878</v>
      </c>
      <c r="U4" s="28">
        <f t="shared" si="1"/>
        <v>39419.892579855841</v>
      </c>
      <c r="V4" s="28">
        <f t="shared" si="1"/>
        <v>31713.607402220823</v>
      </c>
      <c r="W4" s="28">
        <f t="shared" ref="W4" si="2">W5+W9+W13</f>
        <v>34573.565801580102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28819.644401633152</v>
      </c>
      <c r="C5" s="137">
        <f t="shared" si="3"/>
        <v>28898.475243934754</v>
      </c>
      <c r="D5" s="137">
        <f t="shared" si="3"/>
        <v>29080.636237266208</v>
      </c>
      <c r="E5" s="137">
        <f t="shared" si="3"/>
        <v>32056.874709931191</v>
      </c>
      <c r="F5" s="137">
        <f t="shared" si="3"/>
        <v>34621.787937396017</v>
      </c>
      <c r="G5" s="137">
        <f t="shared" si="3"/>
        <v>38555.105980960579</v>
      </c>
      <c r="H5" s="137">
        <f t="shared" si="3"/>
        <v>43243.282519118598</v>
      </c>
      <c r="I5" s="137">
        <f t="shared" si="3"/>
        <v>42824.458653500405</v>
      </c>
      <c r="J5" s="137">
        <f t="shared" si="3"/>
        <v>41511.693324925152</v>
      </c>
      <c r="K5" s="137">
        <f t="shared" si="3"/>
        <v>38936.47963904772</v>
      </c>
      <c r="L5" s="137">
        <f t="shared" si="3"/>
        <v>35367.833639474149</v>
      </c>
      <c r="M5" s="137">
        <f t="shared" si="3"/>
        <v>32761.02988012596</v>
      </c>
      <c r="N5" s="137">
        <f t="shared" si="3"/>
        <v>37029.603847710649</v>
      </c>
      <c r="O5" s="137">
        <f t="shared" si="3"/>
        <v>36275.123298868086</v>
      </c>
      <c r="P5" s="137">
        <f t="shared" si="3"/>
        <v>27409.213566373073</v>
      </c>
      <c r="Q5" s="137">
        <f t="shared" si="3"/>
        <v>27710.849068679407</v>
      </c>
      <c r="R5" s="137">
        <f t="shared" ref="R5:V5" si="4">R6+R7+R8</f>
        <v>28593.061689863331</v>
      </c>
      <c r="S5" s="137">
        <f t="shared" si="4"/>
        <v>34202.825552398353</v>
      </c>
      <c r="T5" s="137">
        <f t="shared" si="4"/>
        <v>33057.013900125618</v>
      </c>
      <c r="U5" s="137">
        <f t="shared" si="4"/>
        <v>34407.952895953305</v>
      </c>
      <c r="V5" s="137">
        <f t="shared" si="4"/>
        <v>30164.827410190625</v>
      </c>
      <c r="W5" s="137">
        <f t="shared" ref="W5" si="5">W6+W7+W8</f>
        <v>32419.092914723667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64.64440163315011</v>
      </c>
      <c r="C6" s="102">
        <f>TrRoad_act!C$5</f>
        <v>65.475243934753223</v>
      </c>
      <c r="D6" s="102">
        <f>TrRoad_act!D$5</f>
        <v>67.636237266206194</v>
      </c>
      <c r="E6" s="102">
        <f>TrRoad_act!E$5</f>
        <v>69.874709931191873</v>
      </c>
      <c r="F6" s="102">
        <f>TrRoad_act!F$5</f>
        <v>72.787937396019785</v>
      </c>
      <c r="G6" s="102">
        <f>TrRoad_act!G$5</f>
        <v>71.105980960578876</v>
      </c>
      <c r="H6" s="102">
        <f>TrRoad_act!H$5</f>
        <v>75.282519118601513</v>
      </c>
      <c r="I6" s="102">
        <f>TrRoad_act!I$5</f>
        <v>85.358653500406049</v>
      </c>
      <c r="J6" s="102">
        <f>TrRoad_act!J$5</f>
        <v>99.493324925154084</v>
      </c>
      <c r="K6" s="102">
        <f>TrRoad_act!K$5</f>
        <v>106.77963904772632</v>
      </c>
      <c r="L6" s="102">
        <f>TrRoad_act!L$5</f>
        <v>105.23363947414653</v>
      </c>
      <c r="M6" s="102">
        <f>TrRoad_act!M$5</f>
        <v>105.0298801259604</v>
      </c>
      <c r="N6" s="102">
        <f>TrRoad_act!N$5</f>
        <v>103.60384771064822</v>
      </c>
      <c r="O6" s="102">
        <f>TrRoad_act!O$5</f>
        <v>103.12329886808226</v>
      </c>
      <c r="P6" s="102">
        <f>TrRoad_act!P$5</f>
        <v>99.913566373071106</v>
      </c>
      <c r="Q6" s="102">
        <f>TrRoad_act!Q$5</f>
        <v>100.30606867940423</v>
      </c>
      <c r="R6" s="102">
        <f>TrRoad_act!R$5</f>
        <v>107.76168986333286</v>
      </c>
      <c r="S6" s="102">
        <f>TrRoad_act!S$5</f>
        <v>102.82555239835889</v>
      </c>
      <c r="T6" s="102">
        <f>TrRoad_act!T$5</f>
        <v>99.013900125615663</v>
      </c>
      <c r="U6" s="102">
        <f>TrRoad_act!U$5</f>
        <v>106.07985940739611</v>
      </c>
      <c r="V6" s="102">
        <f>TrRoad_act!V$5</f>
        <v>96.614896430805942</v>
      </c>
      <c r="W6" s="102">
        <f>TrRoad_act!W$5</f>
        <v>102.19708643796912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26000</v>
      </c>
      <c r="C7" s="102">
        <f>TrRoad_act!C$6</f>
        <v>26000</v>
      </c>
      <c r="D7" s="102">
        <f>TrRoad_act!D$6</f>
        <v>26000</v>
      </c>
      <c r="E7" s="102">
        <f>TrRoad_act!E$6</f>
        <v>29000</v>
      </c>
      <c r="F7" s="102">
        <f>TrRoad_act!F$6</f>
        <v>31000</v>
      </c>
      <c r="G7" s="102">
        <f>TrRoad_act!G$6</f>
        <v>34793</v>
      </c>
      <c r="H7" s="102">
        <f>TrRoad_act!H$6</f>
        <v>39472</v>
      </c>
      <c r="I7" s="102">
        <f>TrRoad_act!I$6</f>
        <v>39119</v>
      </c>
      <c r="J7" s="102">
        <f>TrRoad_act!J$6</f>
        <v>37991</v>
      </c>
      <c r="K7" s="102">
        <f>TrRoad_act!K$6</f>
        <v>36055</v>
      </c>
      <c r="L7" s="102">
        <f>TrRoad_act!L$6</f>
        <v>32569</v>
      </c>
      <c r="M7" s="102">
        <f>TrRoad_act!M$6</f>
        <v>29908</v>
      </c>
      <c r="N7" s="102">
        <f>TrRoad_act!N$6</f>
        <v>34191</v>
      </c>
      <c r="O7" s="102">
        <f>TrRoad_act!O$6</f>
        <v>33325</v>
      </c>
      <c r="P7" s="102">
        <f>TrRoad_act!P$6</f>
        <v>24336.000000000004</v>
      </c>
      <c r="Q7" s="102">
        <f>TrRoad_act!Q$6</f>
        <v>24865</v>
      </c>
      <c r="R7" s="102">
        <f>TrRoad_act!R$6</f>
        <v>25854</v>
      </c>
      <c r="S7" s="102">
        <f>TrRoad_act!S$6</f>
        <v>31361</v>
      </c>
      <c r="T7" s="102">
        <f>TrRoad_act!T$6</f>
        <v>30119</v>
      </c>
      <c r="U7" s="102">
        <f>TrRoad_act!U$6</f>
        <v>31400.873036545909</v>
      </c>
      <c r="V7" s="102">
        <f>TrRoad_act!V$6</f>
        <v>28535.21251375982</v>
      </c>
      <c r="W7" s="102">
        <f>TrRoad_act!W$6</f>
        <v>30866.895828285698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2755</v>
      </c>
      <c r="C8" s="102">
        <f>TrRoad_act!C$13</f>
        <v>2833</v>
      </c>
      <c r="D8" s="102">
        <f>TrRoad_act!D$13</f>
        <v>3013</v>
      </c>
      <c r="E8" s="102">
        <f>TrRoad_act!E$13</f>
        <v>2987</v>
      </c>
      <c r="F8" s="102">
        <f>TrRoad_act!F$13</f>
        <v>3549</v>
      </c>
      <c r="G8" s="102">
        <f>TrRoad_act!G$13</f>
        <v>3690.9999999999995</v>
      </c>
      <c r="H8" s="102">
        <f>TrRoad_act!H$13</f>
        <v>3695.9999999999995</v>
      </c>
      <c r="I8" s="102">
        <f>TrRoad_act!I$13</f>
        <v>3620.1</v>
      </c>
      <c r="J8" s="102">
        <f>TrRoad_act!J$13</f>
        <v>3421.2000000000003</v>
      </c>
      <c r="K8" s="102">
        <f>TrRoad_act!K$13</f>
        <v>2774.6999999999994</v>
      </c>
      <c r="L8" s="102">
        <f>TrRoad_act!L$13</f>
        <v>2693.5999999999995</v>
      </c>
      <c r="M8" s="102">
        <f>TrRoad_act!M$13</f>
        <v>2747.9999999999995</v>
      </c>
      <c r="N8" s="102">
        <f>TrRoad_act!N$13</f>
        <v>2735</v>
      </c>
      <c r="O8" s="102">
        <f>TrRoad_act!O$13</f>
        <v>2847</v>
      </c>
      <c r="P8" s="102">
        <f>TrRoad_act!P$13</f>
        <v>2973.2999999999997</v>
      </c>
      <c r="Q8" s="102">
        <f>TrRoad_act!Q$13</f>
        <v>2745.5430000000001</v>
      </c>
      <c r="R8" s="102">
        <f>TrRoad_act!R$13</f>
        <v>2631.3000000000006</v>
      </c>
      <c r="S8" s="102">
        <f>TrRoad_act!S$13</f>
        <v>2739</v>
      </c>
      <c r="T8" s="102">
        <f>TrRoad_act!T$13</f>
        <v>2839</v>
      </c>
      <c r="U8" s="102">
        <f>TrRoad_act!U$13</f>
        <v>2901</v>
      </c>
      <c r="V8" s="102">
        <f>TrRoad_act!V$13</f>
        <v>1533</v>
      </c>
      <c r="W8" s="102">
        <f>TrRoad_act!W$13</f>
        <v>1450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611</v>
      </c>
      <c r="C9" s="110">
        <f t="shared" si="6"/>
        <v>533</v>
      </c>
      <c r="D9" s="110">
        <f t="shared" si="6"/>
        <v>498</v>
      </c>
      <c r="E9" s="110">
        <f t="shared" si="6"/>
        <v>432</v>
      </c>
      <c r="F9" s="110">
        <f t="shared" si="6"/>
        <v>444</v>
      </c>
      <c r="G9" s="110">
        <f t="shared" si="6"/>
        <v>280</v>
      </c>
      <c r="H9" s="110">
        <f t="shared" si="6"/>
        <v>268</v>
      </c>
      <c r="I9" s="110">
        <f t="shared" si="6"/>
        <v>246</v>
      </c>
      <c r="J9" s="110">
        <f t="shared" si="6"/>
        <v>258</v>
      </c>
      <c r="K9" s="110">
        <f t="shared" si="6"/>
        <v>231</v>
      </c>
      <c r="L9" s="110">
        <f t="shared" si="6"/>
        <v>244</v>
      </c>
      <c r="M9" s="110">
        <f t="shared" si="6"/>
        <v>269</v>
      </c>
      <c r="N9" s="110">
        <f t="shared" si="6"/>
        <v>278</v>
      </c>
      <c r="O9" s="110">
        <f t="shared" si="6"/>
        <v>278</v>
      </c>
      <c r="P9" s="110">
        <f t="shared" si="6"/>
        <v>270</v>
      </c>
      <c r="Q9" s="110">
        <f t="shared" si="6"/>
        <v>262</v>
      </c>
      <c r="R9" s="110">
        <f t="shared" ref="R9:V9" si="7">R10+R11+R12</f>
        <v>280</v>
      </c>
      <c r="S9" s="110">
        <f t="shared" si="7"/>
        <v>315</v>
      </c>
      <c r="T9" s="110">
        <f t="shared" si="7"/>
        <v>354</v>
      </c>
      <c r="U9" s="110">
        <f t="shared" si="7"/>
        <v>359</v>
      </c>
      <c r="V9" s="110">
        <f t="shared" si="7"/>
        <v>237</v>
      </c>
      <c r="W9" s="110">
        <f t="shared" ref="W9" si="8">W10+W11+W12</f>
        <v>287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0</v>
      </c>
      <c r="U10" s="102">
        <f>TrRail_act!U$5</f>
        <v>0</v>
      </c>
      <c r="V10" s="102">
        <f>TrRail_act!V$5</f>
        <v>0</v>
      </c>
      <c r="W10" s="102">
        <f>TrRail_act!W$5</f>
        <v>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611</v>
      </c>
      <c r="C11" s="102">
        <f>TrRail_act!C$6</f>
        <v>533</v>
      </c>
      <c r="D11" s="102">
        <f>TrRail_act!D$6</f>
        <v>498</v>
      </c>
      <c r="E11" s="102">
        <f>TrRail_act!E$6</f>
        <v>432</v>
      </c>
      <c r="F11" s="102">
        <f>TrRail_act!F$6</f>
        <v>444</v>
      </c>
      <c r="G11" s="102">
        <f>TrRail_act!G$6</f>
        <v>280</v>
      </c>
      <c r="H11" s="102">
        <f>TrRail_act!H$6</f>
        <v>268</v>
      </c>
      <c r="I11" s="102">
        <f>TrRail_act!I$6</f>
        <v>246</v>
      </c>
      <c r="J11" s="102">
        <f>TrRail_act!J$6</f>
        <v>258</v>
      </c>
      <c r="K11" s="102">
        <f>TrRail_act!K$6</f>
        <v>231</v>
      </c>
      <c r="L11" s="102">
        <f>TrRail_act!L$6</f>
        <v>244</v>
      </c>
      <c r="M11" s="102">
        <f>TrRail_act!M$6</f>
        <v>269</v>
      </c>
      <c r="N11" s="102">
        <f>TrRail_act!N$6</f>
        <v>278</v>
      </c>
      <c r="O11" s="102">
        <f>TrRail_act!O$6</f>
        <v>278</v>
      </c>
      <c r="P11" s="102">
        <f>TrRail_act!P$6</f>
        <v>270</v>
      </c>
      <c r="Q11" s="102">
        <f>TrRail_act!Q$6</f>
        <v>262</v>
      </c>
      <c r="R11" s="102">
        <f>TrRail_act!R$6</f>
        <v>280</v>
      </c>
      <c r="S11" s="102">
        <f>TrRail_act!S$6</f>
        <v>315</v>
      </c>
      <c r="T11" s="102">
        <f>TrRail_act!T$6</f>
        <v>354</v>
      </c>
      <c r="U11" s="102">
        <f>TrRail_act!U$6</f>
        <v>359</v>
      </c>
      <c r="V11" s="102">
        <f>TrRail_act!V$6</f>
        <v>237</v>
      </c>
      <c r="W11" s="102">
        <f>TrRail_act!W$6</f>
        <v>287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615.0532979268836</v>
      </c>
      <c r="C13" s="110">
        <f t="shared" ref="C13:V13" si="10">C14+C15+C16</f>
        <v>829.85807833318836</v>
      </c>
      <c r="D13" s="110">
        <f t="shared" si="10"/>
        <v>759.84924987351246</v>
      </c>
      <c r="E13" s="110">
        <f t="shared" si="10"/>
        <v>879.70709414044006</v>
      </c>
      <c r="F13" s="110">
        <f t="shared" si="10"/>
        <v>953.05627589839401</v>
      </c>
      <c r="G13" s="110">
        <f t="shared" si="10"/>
        <v>1295.5114600702027</v>
      </c>
      <c r="H13" s="110">
        <f t="shared" si="10"/>
        <v>1548.2149344077536</v>
      </c>
      <c r="I13" s="110">
        <f t="shared" si="10"/>
        <v>1857.2888377971035</v>
      </c>
      <c r="J13" s="110">
        <f t="shared" si="10"/>
        <v>1860.7292887851215</v>
      </c>
      <c r="K13" s="110">
        <f t="shared" si="10"/>
        <v>1186.4944149790813</v>
      </c>
      <c r="L13" s="110">
        <f t="shared" si="10"/>
        <v>1518.5119342172181</v>
      </c>
      <c r="M13" s="110">
        <f t="shared" si="10"/>
        <v>1771.21973000717</v>
      </c>
      <c r="N13" s="110">
        <f t="shared" si="10"/>
        <v>2203.5497207322082</v>
      </c>
      <c r="O13" s="110">
        <f t="shared" si="10"/>
        <v>2464.445927913906</v>
      </c>
      <c r="P13" s="110">
        <f t="shared" si="10"/>
        <v>2686.7727878864853</v>
      </c>
      <c r="Q13" s="110">
        <f t="shared" si="10"/>
        <v>2970.617468035729</v>
      </c>
      <c r="R13" s="110">
        <f t="shared" si="10"/>
        <v>3323.7830616862361</v>
      </c>
      <c r="S13" s="110">
        <f t="shared" si="10"/>
        <v>3669.9993148975486</v>
      </c>
      <c r="T13" s="110">
        <f t="shared" si="10"/>
        <v>4498.6599837972572</v>
      </c>
      <c r="U13" s="110">
        <f t="shared" si="10"/>
        <v>4652.9396839025339</v>
      </c>
      <c r="V13" s="110">
        <f t="shared" si="10"/>
        <v>1311.7799920301995</v>
      </c>
      <c r="W13" s="110">
        <f t="shared" ref="W13" si="11">W14+W15+W16</f>
        <v>1867.4728868564309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456.02273027670674</v>
      </c>
      <c r="C15" s="102">
        <f>TrAvia_act!C$6</f>
        <v>619.70128229649833</v>
      </c>
      <c r="D15" s="102">
        <f>TrAvia_act!D$6</f>
        <v>571.41454979278637</v>
      </c>
      <c r="E15" s="102">
        <f>TrAvia_act!E$6</f>
        <v>665.52309047254914</v>
      </c>
      <c r="F15" s="102">
        <f>TrAvia_act!F$6</f>
        <v>722.192460897714</v>
      </c>
      <c r="G15" s="102">
        <f>TrAvia_act!G$6</f>
        <v>1023.1962932256773</v>
      </c>
      <c r="H15" s="102">
        <f>TrAvia_act!H$6</f>
        <v>1229.0209713569643</v>
      </c>
      <c r="I15" s="102">
        <f>TrAvia_act!I$6</f>
        <v>1413.2255532725258</v>
      </c>
      <c r="J15" s="102">
        <f>TrAvia_act!J$6</f>
        <v>1512.5717559683535</v>
      </c>
      <c r="K15" s="102">
        <f>TrAvia_act!K$6</f>
        <v>938.50419030242188</v>
      </c>
      <c r="L15" s="102">
        <f>TrAvia_act!L$6</f>
        <v>1298.1516268171292</v>
      </c>
      <c r="M15" s="102">
        <f>TrAvia_act!M$6</f>
        <v>1604.4816588561682</v>
      </c>
      <c r="N15" s="102">
        <f>TrAvia_act!N$6</f>
        <v>1984.3885869494779</v>
      </c>
      <c r="O15" s="102">
        <f>TrAvia_act!O$6</f>
        <v>2146.9051777606269</v>
      </c>
      <c r="P15" s="102">
        <f>TrAvia_act!P$6</f>
        <v>2268.6665688060011</v>
      </c>
      <c r="Q15" s="102">
        <f>TrAvia_act!Q$6</f>
        <v>2518.7505913215191</v>
      </c>
      <c r="R15" s="102">
        <f>TrAvia_act!R$6</f>
        <v>2832.0597244138885</v>
      </c>
      <c r="S15" s="102">
        <f>TrAvia_act!S$6</f>
        <v>3023.0483645771697</v>
      </c>
      <c r="T15" s="102">
        <f>TrAvia_act!T$6</f>
        <v>3517.9397110616987</v>
      </c>
      <c r="U15" s="102">
        <f>TrAvia_act!U$6</f>
        <v>3472.7670621605475</v>
      </c>
      <c r="V15" s="102">
        <f>TrAvia_act!V$6</f>
        <v>1056.3511195431427</v>
      </c>
      <c r="W15" s="102">
        <f>TrAvia_act!W$6</f>
        <v>1350.6868818205169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159.03056765017689</v>
      </c>
      <c r="C16" s="102">
        <f>TrAvia_act!C$7</f>
        <v>210.15679603669005</v>
      </c>
      <c r="D16" s="102">
        <f>TrAvia_act!D$7</f>
        <v>188.43470008072615</v>
      </c>
      <c r="E16" s="102">
        <f>TrAvia_act!E$7</f>
        <v>214.18400366789095</v>
      </c>
      <c r="F16" s="102">
        <f>TrAvia_act!F$7</f>
        <v>230.86381500068001</v>
      </c>
      <c r="G16" s="102">
        <f>TrAvia_act!G$7</f>
        <v>272.31516684452544</v>
      </c>
      <c r="H16" s="102">
        <f>TrAvia_act!H$7</f>
        <v>319.19396305078931</v>
      </c>
      <c r="I16" s="102">
        <f>TrAvia_act!I$7</f>
        <v>444.06328452457785</v>
      </c>
      <c r="J16" s="102">
        <f>TrAvia_act!J$7</f>
        <v>348.15753281676808</v>
      </c>
      <c r="K16" s="102">
        <f>TrAvia_act!K$7</f>
        <v>247.99022467665949</v>
      </c>
      <c r="L16" s="102">
        <f>TrAvia_act!L$7</f>
        <v>220.36030740008894</v>
      </c>
      <c r="M16" s="102">
        <f>TrAvia_act!M$7</f>
        <v>166.73807115100175</v>
      </c>
      <c r="N16" s="102">
        <f>TrAvia_act!N$7</f>
        <v>219.16113378273013</v>
      </c>
      <c r="O16" s="102">
        <f>TrAvia_act!O$7</f>
        <v>317.54075015327919</v>
      </c>
      <c r="P16" s="102">
        <f>TrAvia_act!P$7</f>
        <v>418.10621908048392</v>
      </c>
      <c r="Q16" s="102">
        <f>TrAvia_act!Q$7</f>
        <v>451.86687671420975</v>
      </c>
      <c r="R16" s="102">
        <f>TrAvia_act!R$7</f>
        <v>491.72333727234752</v>
      </c>
      <c r="S16" s="102">
        <f>TrAvia_act!S$7</f>
        <v>646.95095032037887</v>
      </c>
      <c r="T16" s="102">
        <f>TrAvia_act!T$7</f>
        <v>980.7202727355583</v>
      </c>
      <c r="U16" s="102">
        <f>TrAvia_act!U$7</f>
        <v>1180.1726217419862</v>
      </c>
      <c r="V16" s="102">
        <f>TrAvia_act!V$7</f>
        <v>255.42887248705688</v>
      </c>
      <c r="W16" s="102">
        <f>TrAvia_act!W$7</f>
        <v>516.78600503591406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12322.496917812865</v>
      </c>
      <c r="C17" s="28">
        <f t="shared" si="12"/>
        <v>11178.403698070897</v>
      </c>
      <c r="D17" s="28">
        <f t="shared" si="12"/>
        <v>13308.383688682483</v>
      </c>
      <c r="E17" s="28">
        <f t="shared" si="12"/>
        <v>15469.088669747816</v>
      </c>
      <c r="F17" s="28">
        <f t="shared" si="12"/>
        <v>16175.593541357206</v>
      </c>
      <c r="G17" s="28">
        <f t="shared" si="12"/>
        <v>17026.988839811627</v>
      </c>
      <c r="H17" s="28">
        <f t="shared" si="12"/>
        <v>18206.574057328366</v>
      </c>
      <c r="I17" s="28">
        <f t="shared" si="12"/>
        <v>20475.698964172905</v>
      </c>
      <c r="J17" s="28">
        <f t="shared" si="12"/>
        <v>20451.511564658445</v>
      </c>
      <c r="K17" s="28">
        <f t="shared" si="12"/>
        <v>17140.195618376387</v>
      </c>
      <c r="L17" s="28">
        <f t="shared" si="12"/>
        <v>18696.194868244165</v>
      </c>
      <c r="M17" s="28">
        <f t="shared" si="12"/>
        <v>20749.367422641379</v>
      </c>
      <c r="N17" s="28">
        <f t="shared" si="12"/>
        <v>20443.226875116325</v>
      </c>
      <c r="O17" s="28">
        <f t="shared" si="12"/>
        <v>20315.481776737324</v>
      </c>
      <c r="P17" s="28">
        <f t="shared" si="12"/>
        <v>21314.80669246678</v>
      </c>
      <c r="Q17" s="28">
        <f t="shared" si="12"/>
        <v>21619.811215605314</v>
      </c>
      <c r="R17" s="28">
        <f t="shared" ref="R17:V17" si="13">R18+R21+R22+R26</f>
        <v>21497.835081740152</v>
      </c>
      <c r="S17" s="28">
        <f t="shared" si="13"/>
        <v>23437.71277301056</v>
      </c>
      <c r="T17" s="28">
        <f t="shared" si="13"/>
        <v>25168.276828148733</v>
      </c>
      <c r="U17" s="28">
        <f t="shared" si="13"/>
        <v>24326.364459663364</v>
      </c>
      <c r="V17" s="28">
        <f t="shared" si="13"/>
        <v>24813.516542496342</v>
      </c>
      <c r="W17" s="28">
        <f t="shared" ref="W17" si="14">W18+W21+W22+W26</f>
        <v>23587.8260652557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3170.3548082863053</v>
      </c>
      <c r="C18" s="137">
        <f t="shared" si="15"/>
        <v>3269.2417180521697</v>
      </c>
      <c r="D18" s="137">
        <f t="shared" si="15"/>
        <v>3373.6543292066658</v>
      </c>
      <c r="E18" s="137">
        <f t="shared" si="15"/>
        <v>3846.2192960540337</v>
      </c>
      <c r="F18" s="137">
        <f t="shared" si="15"/>
        <v>4400.3986231162826</v>
      </c>
      <c r="G18" s="137">
        <f t="shared" si="15"/>
        <v>4406.0478887695526</v>
      </c>
      <c r="H18" s="137">
        <f t="shared" si="15"/>
        <v>5147.8973988135158</v>
      </c>
      <c r="I18" s="137">
        <f t="shared" si="15"/>
        <v>5936.3397112028906</v>
      </c>
      <c r="J18" s="137">
        <f t="shared" si="15"/>
        <v>5537.0768902938498</v>
      </c>
      <c r="K18" s="137">
        <f t="shared" si="15"/>
        <v>5096.6760924487089</v>
      </c>
      <c r="L18" s="137">
        <f t="shared" si="15"/>
        <v>5108.3795051096658</v>
      </c>
      <c r="M18" s="137">
        <f t="shared" si="15"/>
        <v>5487.1598401323517</v>
      </c>
      <c r="N18" s="137">
        <f t="shared" si="15"/>
        <v>6089.5021847706385</v>
      </c>
      <c r="O18" s="137">
        <f t="shared" si="15"/>
        <v>6801.2451011483836</v>
      </c>
      <c r="P18" s="137">
        <f t="shared" si="15"/>
        <v>6834.2687812403055</v>
      </c>
      <c r="Q18" s="137">
        <f t="shared" si="15"/>
        <v>7402.3734282668138</v>
      </c>
      <c r="R18" s="137">
        <f t="shared" ref="R18:V18" si="16">R19+R20</f>
        <v>7562.7306973300083</v>
      </c>
      <c r="S18" s="137">
        <f t="shared" si="16"/>
        <v>7832.0220489533949</v>
      </c>
      <c r="T18" s="137">
        <f t="shared" si="16"/>
        <v>8111.7022927630833</v>
      </c>
      <c r="U18" s="137">
        <f t="shared" si="16"/>
        <v>7955.5144688818709</v>
      </c>
      <c r="V18" s="137">
        <f t="shared" si="16"/>
        <v>8811.9077392861982</v>
      </c>
      <c r="W18" s="137">
        <f t="shared" ref="W18" si="17">W19+W20</f>
        <v>8875.6304080298869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38.337756679881863</v>
      </c>
      <c r="C19" s="102">
        <f>TrRoad_act!C$20</f>
        <v>39.448320290456635</v>
      </c>
      <c r="D19" s="102">
        <f>TrRoad_act!D$20</f>
        <v>42.938658074051723</v>
      </c>
      <c r="E19" s="102">
        <f>TrRoad_act!E$20</f>
        <v>46.26175304061438</v>
      </c>
      <c r="F19" s="102">
        <f>TrRoad_act!F$20</f>
        <v>49.39151381327828</v>
      </c>
      <c r="G19" s="102">
        <f>TrRoad_act!G$20</f>
        <v>54.69468099296143</v>
      </c>
      <c r="H19" s="102">
        <f>TrRoad_act!H$20</f>
        <v>68.986936777904731</v>
      </c>
      <c r="I19" s="102">
        <f>TrRoad_act!I$20</f>
        <v>79.208725875274013</v>
      </c>
      <c r="J19" s="102">
        <f>TrRoad_act!J$20</f>
        <v>84.093585720661522</v>
      </c>
      <c r="K19" s="102">
        <f>TrRoad_act!K$20</f>
        <v>93.732499524195319</v>
      </c>
      <c r="L19" s="102">
        <f>TrRoad_act!L$20</f>
        <v>85.539263052798077</v>
      </c>
      <c r="M19" s="102">
        <f>TrRoad_act!M$20</f>
        <v>94.836648083696161</v>
      </c>
      <c r="N19" s="102">
        <f>TrRoad_act!N$20</f>
        <v>105.321447861628</v>
      </c>
      <c r="O19" s="102">
        <f>TrRoad_act!O$20</f>
        <v>110.20783978327152</v>
      </c>
      <c r="P19" s="102">
        <f>TrRoad_act!P$20</f>
        <v>120.39165751863615</v>
      </c>
      <c r="Q19" s="102">
        <f>TrRoad_act!Q$20</f>
        <v>125.05303659512465</v>
      </c>
      <c r="R19" s="102">
        <f>TrRoad_act!R$20</f>
        <v>131.49279998554701</v>
      </c>
      <c r="S19" s="102">
        <f>TrRoad_act!S$20</f>
        <v>131.40947181039618</v>
      </c>
      <c r="T19" s="102">
        <f>TrRoad_act!T$20</f>
        <v>133.70229276308334</v>
      </c>
      <c r="U19" s="102">
        <f>TrRoad_act!U$20</f>
        <v>139.51446888187118</v>
      </c>
      <c r="V19" s="102">
        <f>TrRoad_act!V$20</f>
        <v>144.90773928619848</v>
      </c>
      <c r="W19" s="102">
        <f>TrRoad_act!W$20</f>
        <v>150.63040802988644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3132.0170516064236</v>
      </c>
      <c r="C20" s="102">
        <f>TrRoad_act!C$26</f>
        <v>3229.7933977617131</v>
      </c>
      <c r="D20" s="102">
        <f>TrRoad_act!D$26</f>
        <v>3330.7156711326143</v>
      </c>
      <c r="E20" s="102">
        <f>TrRoad_act!E$26</f>
        <v>3799.9575430134196</v>
      </c>
      <c r="F20" s="102">
        <f>TrRoad_act!F$26</f>
        <v>4351.0071093030047</v>
      </c>
      <c r="G20" s="102">
        <f>TrRoad_act!G$26</f>
        <v>4351.3532077765913</v>
      </c>
      <c r="H20" s="102">
        <f>TrRoad_act!H$26</f>
        <v>5078.9104620356111</v>
      </c>
      <c r="I20" s="102">
        <f>TrRoad_act!I$26</f>
        <v>5857.1309853276171</v>
      </c>
      <c r="J20" s="102">
        <f>TrRoad_act!J$26</f>
        <v>5452.9833045731884</v>
      </c>
      <c r="K20" s="102">
        <f>TrRoad_act!K$26</f>
        <v>5002.9435929245137</v>
      </c>
      <c r="L20" s="102">
        <f>TrRoad_act!L$26</f>
        <v>5022.8402420568682</v>
      </c>
      <c r="M20" s="102">
        <f>TrRoad_act!M$26</f>
        <v>5392.323192048656</v>
      </c>
      <c r="N20" s="102">
        <f>TrRoad_act!N$26</f>
        <v>5984.1807369090102</v>
      </c>
      <c r="O20" s="102">
        <f>TrRoad_act!O$26</f>
        <v>6691.0372613651125</v>
      </c>
      <c r="P20" s="102">
        <f>TrRoad_act!P$26</f>
        <v>6713.8771237216697</v>
      </c>
      <c r="Q20" s="102">
        <f>TrRoad_act!Q$26</f>
        <v>7277.3203916716893</v>
      </c>
      <c r="R20" s="102">
        <f>TrRoad_act!R$26</f>
        <v>7431.2378973444611</v>
      </c>
      <c r="S20" s="102">
        <f>TrRoad_act!S$26</f>
        <v>7700.6125771429988</v>
      </c>
      <c r="T20" s="102">
        <f>TrRoad_act!T$26</f>
        <v>7978</v>
      </c>
      <c r="U20" s="102">
        <f>TrRoad_act!U$26</f>
        <v>7816</v>
      </c>
      <c r="V20" s="102">
        <f>TrRoad_act!V$26</f>
        <v>8667</v>
      </c>
      <c r="W20" s="102">
        <f>TrRoad_act!W$26</f>
        <v>8725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8918.0000000000018</v>
      </c>
      <c r="C21" s="110">
        <f>TrRail_act!C$10</f>
        <v>7741</v>
      </c>
      <c r="D21" s="110">
        <f>TrRail_act!D$10</f>
        <v>9766.9999999999982</v>
      </c>
      <c r="E21" s="110">
        <f>TrRail_act!E$10</f>
        <v>11457</v>
      </c>
      <c r="F21" s="110">
        <f>TrRail_act!F$10</f>
        <v>11637</v>
      </c>
      <c r="G21" s="110">
        <f>TrRail_act!G$10</f>
        <v>12456.999999999998</v>
      </c>
      <c r="H21" s="110">
        <f>TrRail_act!H$10</f>
        <v>12896</v>
      </c>
      <c r="I21" s="110">
        <f>TrRail_act!I$10</f>
        <v>14373</v>
      </c>
      <c r="J21" s="110">
        <f>TrRail_act!J$10</f>
        <v>14748.000000000002</v>
      </c>
      <c r="K21" s="110">
        <f>TrRail_act!K$10</f>
        <v>11887.999999999998</v>
      </c>
      <c r="L21" s="110">
        <f>TrRail_act!L$10</f>
        <v>13431</v>
      </c>
      <c r="M21" s="110">
        <f>TrRail_act!M$10</f>
        <v>15088</v>
      </c>
      <c r="N21" s="110">
        <f>TrRail_act!N$10</f>
        <v>14172</v>
      </c>
      <c r="O21" s="110">
        <f>TrRail_act!O$10</f>
        <v>13344</v>
      </c>
      <c r="P21" s="110">
        <f>TrRail_act!P$10</f>
        <v>14307</v>
      </c>
      <c r="Q21" s="110">
        <f>TrRail_act!Q$10</f>
        <v>14035.999999999998</v>
      </c>
      <c r="R21" s="110">
        <f>TrRail_act!R$10</f>
        <v>13790</v>
      </c>
      <c r="S21" s="110">
        <f>TrRail_act!S$10</f>
        <v>15414</v>
      </c>
      <c r="T21" s="110">
        <f>TrRail_act!T$10</f>
        <v>16885</v>
      </c>
      <c r="U21" s="110">
        <f>TrRail_act!U$10</f>
        <v>16181.000000000002</v>
      </c>
      <c r="V21" s="110">
        <f>TrRail_act!V$10</f>
        <v>15865</v>
      </c>
      <c r="W21" s="110">
        <f>TrRail_act!W$10</f>
        <v>14566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4.8915095265583552</v>
      </c>
      <c r="C22" s="110">
        <f t="shared" ref="C22:V22" si="19">C23+C24+C25</f>
        <v>5.2573800187271358</v>
      </c>
      <c r="D22" s="110">
        <f t="shared" si="19"/>
        <v>4.8453594758194827</v>
      </c>
      <c r="E22" s="110">
        <f t="shared" si="19"/>
        <v>2.8351736937811518</v>
      </c>
      <c r="F22" s="110">
        <f t="shared" si="19"/>
        <v>2.9029182409241985</v>
      </c>
      <c r="G22" s="110">
        <f t="shared" si="19"/>
        <v>3.5955510420781644</v>
      </c>
      <c r="H22" s="110">
        <f t="shared" si="19"/>
        <v>5.0065585148501368</v>
      </c>
      <c r="I22" s="110">
        <f t="shared" si="19"/>
        <v>6.3962529700150821</v>
      </c>
      <c r="J22" s="110">
        <f t="shared" si="19"/>
        <v>4.4566743645937752</v>
      </c>
      <c r="K22" s="110">
        <f t="shared" si="19"/>
        <v>2.5415259276831637</v>
      </c>
      <c r="L22" s="110">
        <f t="shared" si="19"/>
        <v>3.8373631344978443</v>
      </c>
      <c r="M22" s="110">
        <f t="shared" si="19"/>
        <v>4.2525825090264666</v>
      </c>
      <c r="N22" s="110">
        <f t="shared" si="19"/>
        <v>19.514690345688159</v>
      </c>
      <c r="O22" s="110">
        <f t="shared" si="19"/>
        <v>13.545675588943013</v>
      </c>
      <c r="P22" s="110">
        <f t="shared" si="19"/>
        <v>12.072911226473661</v>
      </c>
      <c r="Q22" s="110">
        <f t="shared" si="19"/>
        <v>12.838787338502474</v>
      </c>
      <c r="R22" s="110">
        <f t="shared" si="19"/>
        <v>11.5113844101416</v>
      </c>
      <c r="S22" s="110">
        <f t="shared" si="19"/>
        <v>10.811724057163744</v>
      </c>
      <c r="T22" s="110">
        <f t="shared" si="19"/>
        <v>13.516535385651503</v>
      </c>
      <c r="U22" s="110">
        <f t="shared" si="19"/>
        <v>15.609990781491064</v>
      </c>
      <c r="V22" s="110">
        <f t="shared" si="19"/>
        <v>15.538803210143399</v>
      </c>
      <c r="W22" s="110">
        <f t="shared" ref="W22" si="20">W23+W24+W25</f>
        <v>15.59165722581389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4.394064078177677</v>
      </c>
      <c r="C24" s="102">
        <f>TrAvia_act!C$10</f>
        <v>4.7362716753251544</v>
      </c>
      <c r="D24" s="102">
        <f>TrAvia_act!D$10</f>
        <v>4.3532133551550594</v>
      </c>
      <c r="E24" s="102">
        <f>TrAvia_act!E$10</f>
        <v>2.3879242481851741</v>
      </c>
      <c r="F24" s="102">
        <f>TrAvia_act!F$10</f>
        <v>2.360247486903186</v>
      </c>
      <c r="G24" s="102">
        <f>TrAvia_act!G$10</f>
        <v>2.8867794133541027</v>
      </c>
      <c r="H24" s="102">
        <f>TrAvia_act!H$10</f>
        <v>3.2669817112356854</v>
      </c>
      <c r="I24" s="102">
        <f>TrAvia_act!I$10</f>
        <v>3.5977818901563809</v>
      </c>
      <c r="J24" s="102">
        <f>TrAvia_act!J$10</f>
        <v>3.26537742025535</v>
      </c>
      <c r="K24" s="102">
        <f>TrAvia_act!K$10</f>
        <v>2.355271995973196</v>
      </c>
      <c r="L24" s="102">
        <f>TrAvia_act!L$10</f>
        <v>3.5464006288910253</v>
      </c>
      <c r="M24" s="102">
        <f>TrAvia_act!M$10</f>
        <v>3.7667904607404039</v>
      </c>
      <c r="N24" s="102">
        <f>TrAvia_act!N$10</f>
        <v>4.0136650094423532</v>
      </c>
      <c r="O24" s="102">
        <f>TrAvia_act!O$10</f>
        <v>6.5833106002985717</v>
      </c>
      <c r="P24" s="102">
        <f>TrAvia_act!P$10</f>
        <v>7.9209184298673962</v>
      </c>
      <c r="Q24" s="102">
        <f>TrAvia_act!Q$10</f>
        <v>8.6302810991955283</v>
      </c>
      <c r="R24" s="102">
        <f>TrAvia_act!R$10</f>
        <v>8.4344378508338984</v>
      </c>
      <c r="S24" s="102">
        <f>TrAvia_act!S$10</f>
        <v>9.1423006299175746</v>
      </c>
      <c r="T24" s="102">
        <f>TrAvia_act!T$10</f>
        <v>10.244564675957003</v>
      </c>
      <c r="U24" s="102">
        <f>TrAvia_act!U$10</f>
        <v>10.648692494548609</v>
      </c>
      <c r="V24" s="102">
        <f>TrAvia_act!V$10</f>
        <v>9.4794508608889831</v>
      </c>
      <c r="W24" s="102">
        <f>TrAvia_act!W$10</f>
        <v>10.052053161099147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0.49744544838067839</v>
      </c>
      <c r="C25" s="102">
        <f>TrAvia_act!C$11</f>
        <v>0.52110834340198164</v>
      </c>
      <c r="D25" s="102">
        <f>TrAvia_act!D$11</f>
        <v>0.49214612066442354</v>
      </c>
      <c r="E25" s="102">
        <f>TrAvia_act!E$11</f>
        <v>0.44724944559597779</v>
      </c>
      <c r="F25" s="102">
        <f>TrAvia_act!F$11</f>
        <v>0.54267075402101272</v>
      </c>
      <c r="G25" s="102">
        <f>TrAvia_act!G$11</f>
        <v>0.70877162872406185</v>
      </c>
      <c r="H25" s="102">
        <f>TrAvia_act!H$11</f>
        <v>1.7395768036144512</v>
      </c>
      <c r="I25" s="102">
        <f>TrAvia_act!I$11</f>
        <v>2.7984710798587007</v>
      </c>
      <c r="J25" s="102">
        <f>TrAvia_act!J$11</f>
        <v>1.1912969443384247</v>
      </c>
      <c r="K25" s="102">
        <f>TrAvia_act!K$11</f>
        <v>0.18625393170996746</v>
      </c>
      <c r="L25" s="102">
        <f>TrAvia_act!L$11</f>
        <v>0.29096250560681897</v>
      </c>
      <c r="M25" s="102">
        <f>TrAvia_act!M$11</f>
        <v>0.48579204828606259</v>
      </c>
      <c r="N25" s="102">
        <f>TrAvia_act!N$11</f>
        <v>15.501025336245807</v>
      </c>
      <c r="O25" s="102">
        <f>TrAvia_act!O$11</f>
        <v>6.962364988644441</v>
      </c>
      <c r="P25" s="102">
        <f>TrAvia_act!P$11</f>
        <v>4.1519927966062635</v>
      </c>
      <c r="Q25" s="102">
        <f>TrAvia_act!Q$11</f>
        <v>4.2085062393069457</v>
      </c>
      <c r="R25" s="102">
        <f>TrAvia_act!R$11</f>
        <v>3.0769465593077014</v>
      </c>
      <c r="S25" s="102">
        <f>TrAvia_act!S$11</f>
        <v>1.6694234272461701</v>
      </c>
      <c r="T25" s="102">
        <f>TrAvia_act!T$11</f>
        <v>3.2719707096944997</v>
      </c>
      <c r="U25" s="102">
        <f>TrAvia_act!U$11</f>
        <v>4.9612982869424549</v>
      </c>
      <c r="V25" s="102">
        <f>TrAvia_act!V$11</f>
        <v>6.0593523492544152</v>
      </c>
      <c r="W25" s="102">
        <f>TrAvia_act!W$11</f>
        <v>5.5396040647147435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229.25059999999999</v>
      </c>
      <c r="C26" s="110">
        <f t="shared" si="21"/>
        <v>162.90459999999999</v>
      </c>
      <c r="D26" s="110">
        <f t="shared" si="21"/>
        <v>162.88399999999999</v>
      </c>
      <c r="E26" s="110">
        <f t="shared" si="21"/>
        <v>163.0342</v>
      </c>
      <c r="F26" s="110">
        <f t="shared" si="21"/>
        <v>135.292</v>
      </c>
      <c r="G26" s="110">
        <f t="shared" si="21"/>
        <v>160.34539999999998</v>
      </c>
      <c r="H26" s="110">
        <f t="shared" si="21"/>
        <v>157.67009999999999</v>
      </c>
      <c r="I26" s="110">
        <f t="shared" si="21"/>
        <v>159.96299999999999</v>
      </c>
      <c r="J26" s="110">
        <f t="shared" si="21"/>
        <v>161.97800000000001</v>
      </c>
      <c r="K26" s="110">
        <f t="shared" si="21"/>
        <v>152.97800000000001</v>
      </c>
      <c r="L26" s="110">
        <f t="shared" si="21"/>
        <v>152.97800000000001</v>
      </c>
      <c r="M26" s="110">
        <f t="shared" si="21"/>
        <v>169.95500000000001</v>
      </c>
      <c r="N26" s="110">
        <f t="shared" si="21"/>
        <v>162.21</v>
      </c>
      <c r="O26" s="110">
        <f t="shared" si="21"/>
        <v>156.691</v>
      </c>
      <c r="P26" s="110">
        <f t="shared" si="21"/>
        <v>161.465</v>
      </c>
      <c r="Q26" s="110">
        <f t="shared" si="21"/>
        <v>168.59899999999999</v>
      </c>
      <c r="R26" s="110">
        <f t="shared" ref="R26:V26" si="22">R27+R28</f>
        <v>133.59299999999999</v>
      </c>
      <c r="S26" s="110">
        <f t="shared" si="22"/>
        <v>180.87899999999999</v>
      </c>
      <c r="T26" s="110">
        <f t="shared" si="22"/>
        <v>158.05799999999999</v>
      </c>
      <c r="U26" s="110">
        <f t="shared" si="22"/>
        <v>174.24</v>
      </c>
      <c r="V26" s="110">
        <f t="shared" si="22"/>
        <v>121.07000000000001</v>
      </c>
      <c r="W26" s="110">
        <f t="shared" ref="W26" si="23">W27+W28</f>
        <v>130.60399999999998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227.767</v>
      </c>
      <c r="C27" s="102">
        <f>TrNavi_act!C4</f>
        <v>162.369</v>
      </c>
      <c r="D27" s="102">
        <f>TrNavi_act!D4</f>
        <v>162.369</v>
      </c>
      <c r="E27" s="102">
        <f>TrNavi_act!E4</f>
        <v>162.369</v>
      </c>
      <c r="F27" s="102">
        <f>TrNavi_act!F4</f>
        <v>134.67099999999999</v>
      </c>
      <c r="G27" s="102">
        <f>TrNavi_act!G4</f>
        <v>159.02099999999999</v>
      </c>
      <c r="H27" s="102">
        <f>TrNavi_act!H4</f>
        <v>155.875</v>
      </c>
      <c r="I27" s="102">
        <f>TrNavi_act!I4</f>
        <v>149.96299999999999</v>
      </c>
      <c r="J27" s="102">
        <f>TrNavi_act!J4</f>
        <v>149.97800000000001</v>
      </c>
      <c r="K27" s="102">
        <f>TrNavi_act!K4</f>
        <v>149.97800000000001</v>
      </c>
      <c r="L27" s="102">
        <f>TrNavi_act!L4</f>
        <v>149.97800000000001</v>
      </c>
      <c r="M27" s="102">
        <f>TrNavi_act!M4</f>
        <v>166.95500000000001</v>
      </c>
      <c r="N27" s="102">
        <f>TrNavi_act!N4</f>
        <v>161.21</v>
      </c>
      <c r="O27" s="102">
        <f>TrNavi_act!O4</f>
        <v>156.691</v>
      </c>
      <c r="P27" s="102">
        <f>TrNavi_act!P4</f>
        <v>161.465</v>
      </c>
      <c r="Q27" s="102">
        <f>TrNavi_act!Q4</f>
        <v>168.59899999999999</v>
      </c>
      <c r="R27" s="102">
        <f>TrNavi_act!R4</f>
        <v>133.59299999999999</v>
      </c>
      <c r="S27" s="102">
        <f>TrNavi_act!S4</f>
        <v>180.87899999999999</v>
      </c>
      <c r="T27" s="102">
        <f>TrNavi_act!T4</f>
        <v>158.05799999999999</v>
      </c>
      <c r="U27" s="102">
        <f>TrNavi_act!U4</f>
        <v>174.24</v>
      </c>
      <c r="V27" s="102">
        <f>TrNavi_act!V4</f>
        <v>121.06</v>
      </c>
      <c r="W27" s="102">
        <f>TrNavi_act!W4</f>
        <v>127.604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1.4835999999999998</v>
      </c>
      <c r="C28" s="169">
        <f>TrNavi_act!C5</f>
        <v>0.53560000000000008</v>
      </c>
      <c r="D28" s="169">
        <f>TrNavi_act!D5</f>
        <v>0.51500000000000001</v>
      </c>
      <c r="E28" s="169">
        <f>TrNavi_act!E5</f>
        <v>0.6651999999999999</v>
      </c>
      <c r="F28" s="169">
        <f>TrNavi_act!F5</f>
        <v>0.621</v>
      </c>
      <c r="G28" s="169">
        <f>TrNavi_act!G5</f>
        <v>1.3244</v>
      </c>
      <c r="H28" s="169">
        <f>TrNavi_act!H5</f>
        <v>1.7950999999999999</v>
      </c>
      <c r="I28" s="169">
        <f>TrNavi_act!I5</f>
        <v>10</v>
      </c>
      <c r="J28" s="169">
        <f>TrNavi_act!J5</f>
        <v>12</v>
      </c>
      <c r="K28" s="169">
        <f>TrNavi_act!K5</f>
        <v>3</v>
      </c>
      <c r="L28" s="169">
        <f>TrNavi_act!L5</f>
        <v>3</v>
      </c>
      <c r="M28" s="169">
        <f>TrNavi_act!M5</f>
        <v>3</v>
      </c>
      <c r="N28" s="169">
        <f>TrNavi_act!N5</f>
        <v>1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0.01</v>
      </c>
      <c r="W28" s="169">
        <f>TrNavi_act!W5</f>
        <v>3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36996.781946999996</v>
      </c>
      <c r="C29" s="28">
        <f t="shared" si="24"/>
        <v>39455.121976000002</v>
      </c>
      <c r="D29" s="28">
        <f t="shared" si="24"/>
        <v>43451.863495999998</v>
      </c>
      <c r="E29" s="28">
        <f t="shared" si="24"/>
        <v>43412.033990999997</v>
      </c>
      <c r="F29" s="28">
        <f t="shared" si="24"/>
        <v>44965.029962000001</v>
      </c>
      <c r="G29" s="28">
        <f t="shared" si="24"/>
        <v>52914.668848000001</v>
      </c>
      <c r="H29" s="28">
        <f t="shared" si="24"/>
        <v>59414.611768000002</v>
      </c>
      <c r="I29" s="28">
        <f t="shared" si="24"/>
        <v>68018.431718000007</v>
      </c>
      <c r="J29" s="28">
        <f t="shared" si="24"/>
        <v>90089.391537000003</v>
      </c>
      <c r="K29" s="28">
        <f t="shared" si="24"/>
        <v>92230.708299999984</v>
      </c>
      <c r="L29" s="28">
        <f t="shared" si="24"/>
        <v>99054.170441000009</v>
      </c>
      <c r="M29" s="28">
        <f t="shared" si="24"/>
        <v>116685.56220700001</v>
      </c>
      <c r="N29" s="28">
        <f t="shared" si="24"/>
        <v>105168.19001000001</v>
      </c>
      <c r="O29" s="28">
        <f t="shared" si="24"/>
        <v>106837.258619</v>
      </c>
      <c r="P29" s="28">
        <f t="shared" si="24"/>
        <v>125752.423891</v>
      </c>
      <c r="Q29" s="28">
        <f t="shared" si="24"/>
        <v>138879.33434499998</v>
      </c>
      <c r="R29" s="28">
        <f t="shared" si="24"/>
        <v>149161.40673600003</v>
      </c>
      <c r="S29" s="28">
        <f t="shared" si="24"/>
        <v>164296.47818100001</v>
      </c>
      <c r="T29" s="28">
        <f t="shared" si="24"/>
        <v>167295.296738</v>
      </c>
      <c r="U29" s="28">
        <f t="shared" si="24"/>
        <v>162561.87449400002</v>
      </c>
      <c r="V29" s="28">
        <f t="shared" si="24"/>
        <v>165668.989275</v>
      </c>
      <c r="W29" s="28">
        <f t="shared" si="24"/>
        <v>166074.94283799999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14706.173085</v>
      </c>
      <c r="C30" s="102">
        <f>MBunk_act!C$4</f>
        <v>15479.542592</v>
      </c>
      <c r="D30" s="102">
        <f>MBunk_act!D$4</f>
        <v>17041.777635999999</v>
      </c>
      <c r="E30" s="102">
        <f>MBunk_act!E$4</f>
        <v>17058.988451999998</v>
      </c>
      <c r="F30" s="102">
        <f>MBunk_act!F$4</f>
        <v>17664.083149000002</v>
      </c>
      <c r="G30" s="102">
        <f>MBunk_act!G$4</f>
        <v>19895.224925999999</v>
      </c>
      <c r="H30" s="102">
        <f>MBunk_act!H$4</f>
        <v>14148.462991</v>
      </c>
      <c r="I30" s="102">
        <f>MBunk_act!I$4</f>
        <v>12259.310439000001</v>
      </c>
      <c r="J30" s="102">
        <f>MBunk_act!J$4</f>
        <v>13843.452320999999</v>
      </c>
      <c r="K30" s="102">
        <f>MBunk_act!K$4</f>
        <v>11973.543959999999</v>
      </c>
      <c r="L30" s="102">
        <f>MBunk_act!L$4</f>
        <v>13021.322437999999</v>
      </c>
      <c r="M30" s="102">
        <f>MBunk_act!M$4</f>
        <v>16591.168522</v>
      </c>
      <c r="N30" s="102">
        <f>MBunk_act!N$4</f>
        <v>15928.674920000001</v>
      </c>
      <c r="O30" s="102">
        <f>MBunk_act!O$4</f>
        <v>14227.734057000001</v>
      </c>
      <c r="P30" s="102">
        <f>MBunk_act!P$4</f>
        <v>15198.145814</v>
      </c>
      <c r="Q30" s="102">
        <f>MBunk_act!Q$4</f>
        <v>15175.972366</v>
      </c>
      <c r="R30" s="102">
        <f>MBunk_act!R$4</f>
        <v>14519.295994</v>
      </c>
      <c r="S30" s="102">
        <f>MBunk_act!S$4</f>
        <v>16076.966982</v>
      </c>
      <c r="T30" s="102">
        <f>MBunk_act!T$4</f>
        <v>16724.659147999999</v>
      </c>
      <c r="U30" s="102">
        <f>MBunk_act!U$4</f>
        <v>16589.261826999998</v>
      </c>
      <c r="V30" s="102">
        <f>MBunk_act!V$4</f>
        <v>16650.371919000001</v>
      </c>
      <c r="W30" s="102">
        <f>MBunk_act!W$4</f>
        <v>14184.922113999999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22290.608861999997</v>
      </c>
      <c r="C31" s="86">
        <f>MBunk_act!C$5</f>
        <v>23975.579384000001</v>
      </c>
      <c r="D31" s="86">
        <f>MBunk_act!D$5</f>
        <v>26410.085859999999</v>
      </c>
      <c r="E31" s="86">
        <f>MBunk_act!E$5</f>
        <v>26353.045538999999</v>
      </c>
      <c r="F31" s="86">
        <f>MBunk_act!F$5</f>
        <v>27300.946812999999</v>
      </c>
      <c r="G31" s="86">
        <f>MBunk_act!G$5</f>
        <v>33019.443921999999</v>
      </c>
      <c r="H31" s="86">
        <f>MBunk_act!H$5</f>
        <v>45266.148777000002</v>
      </c>
      <c r="I31" s="86">
        <f>MBunk_act!I$5</f>
        <v>55759.121278999999</v>
      </c>
      <c r="J31" s="86">
        <f>MBunk_act!J$5</f>
        <v>76245.939215999999</v>
      </c>
      <c r="K31" s="86">
        <f>MBunk_act!K$5</f>
        <v>80257.164339999988</v>
      </c>
      <c r="L31" s="86">
        <f>MBunk_act!L$5</f>
        <v>86032.848003000006</v>
      </c>
      <c r="M31" s="86">
        <f>MBunk_act!M$5</f>
        <v>100094.393685</v>
      </c>
      <c r="N31" s="86">
        <f>MBunk_act!N$5</f>
        <v>89239.515090000001</v>
      </c>
      <c r="O31" s="86">
        <f>MBunk_act!O$5</f>
        <v>92609.524562000006</v>
      </c>
      <c r="P31" s="86">
        <f>MBunk_act!P$5</f>
        <v>110554.278077</v>
      </c>
      <c r="Q31" s="86">
        <f>MBunk_act!Q$5</f>
        <v>123703.36197899999</v>
      </c>
      <c r="R31" s="86">
        <f>MBunk_act!R$5</f>
        <v>134642.11074200002</v>
      </c>
      <c r="S31" s="86">
        <f>MBunk_act!S$5</f>
        <v>148219.511199</v>
      </c>
      <c r="T31" s="86">
        <f>MBunk_act!T$5</f>
        <v>150570.63759</v>
      </c>
      <c r="U31" s="86">
        <f>MBunk_act!U$5</f>
        <v>145972.61266700001</v>
      </c>
      <c r="V31" s="86">
        <f>MBunk_act!V$5</f>
        <v>149018.617356</v>
      </c>
      <c r="W31" s="86">
        <f>MBunk_act!W$5</f>
        <v>151890.020724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767.05844885838076</v>
      </c>
      <c r="C34" s="28">
        <f t="shared" si="25"/>
        <v>800.54578716336323</v>
      </c>
      <c r="D34" s="28">
        <f t="shared" si="25"/>
        <v>829.25079949209498</v>
      </c>
      <c r="E34" s="28">
        <f t="shared" si="25"/>
        <v>895.2121603622204</v>
      </c>
      <c r="F34" s="28">
        <f t="shared" si="25"/>
        <v>967.25773780049497</v>
      </c>
      <c r="G34" s="28">
        <f t="shared" si="25"/>
        <v>1069.1168999523122</v>
      </c>
      <c r="H34" s="28">
        <f t="shared" si="25"/>
        <v>1181.6413197147958</v>
      </c>
      <c r="I34" s="28">
        <f t="shared" si="25"/>
        <v>1321.9565769649305</v>
      </c>
      <c r="J34" s="28">
        <f t="shared" si="25"/>
        <v>1306.5182733639208</v>
      </c>
      <c r="K34" s="28">
        <f t="shared" si="25"/>
        <v>1166.5210874147469</v>
      </c>
      <c r="L34" s="28">
        <f t="shared" si="25"/>
        <v>1160.1610151365498</v>
      </c>
      <c r="M34" s="28">
        <f t="shared" si="25"/>
        <v>1097.8808089913439</v>
      </c>
      <c r="N34" s="28">
        <f t="shared" si="25"/>
        <v>1210.8504057111008</v>
      </c>
      <c r="O34" s="28">
        <f t="shared" si="25"/>
        <v>1192.7111928850195</v>
      </c>
      <c r="P34" s="28">
        <f t="shared" si="25"/>
        <v>1182.9183642447417</v>
      </c>
      <c r="Q34" s="28">
        <f t="shared" si="25"/>
        <v>1247.6641430946186</v>
      </c>
      <c r="R34" s="28">
        <f t="shared" ref="R34:V34" si="26">R35+R39+R43</f>
        <v>1400.2101387272367</v>
      </c>
      <c r="S34" s="28">
        <f t="shared" si="26"/>
        <v>1477.8765299660458</v>
      </c>
      <c r="T34" s="28">
        <f t="shared" si="26"/>
        <v>1585.2820571126647</v>
      </c>
      <c r="U34" s="28">
        <f t="shared" si="26"/>
        <v>1635.0128153503747</v>
      </c>
      <c r="V34" s="28">
        <f t="shared" si="26"/>
        <v>1505.7565305575449</v>
      </c>
      <c r="W34" s="28">
        <f t="shared" ref="W34" si="27">W35+W39+W43</f>
        <v>1511.725322345728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733.60104636429628</v>
      </c>
      <c r="C35" s="137">
        <f t="shared" si="28"/>
        <v>760.84067359287576</v>
      </c>
      <c r="D35" s="137">
        <f t="shared" si="28"/>
        <v>793.17504473402323</v>
      </c>
      <c r="E35" s="137">
        <f t="shared" si="28"/>
        <v>855.98939277291777</v>
      </c>
      <c r="F35" s="137">
        <f t="shared" si="28"/>
        <v>925.74203145747379</v>
      </c>
      <c r="G35" s="137">
        <f t="shared" si="28"/>
        <v>1018.3703571469025</v>
      </c>
      <c r="H35" s="137">
        <f t="shared" si="28"/>
        <v>1125.2709235408868</v>
      </c>
      <c r="I35" s="137">
        <f t="shared" si="28"/>
        <v>1252.7364017800355</v>
      </c>
      <c r="J35" s="137">
        <f t="shared" si="28"/>
        <v>1226.7047328710933</v>
      </c>
      <c r="K35" s="137">
        <f t="shared" si="28"/>
        <v>1126.8698641229644</v>
      </c>
      <c r="L35" s="137">
        <f t="shared" si="28"/>
        <v>1107.9870745666462</v>
      </c>
      <c r="M35" s="137">
        <f t="shared" si="28"/>
        <v>1038.2921583266323</v>
      </c>
      <c r="N35" s="137">
        <f t="shared" si="28"/>
        <v>1144.4071564638045</v>
      </c>
      <c r="O35" s="137">
        <f t="shared" si="28"/>
        <v>1119.3650468096851</v>
      </c>
      <c r="P35" s="137">
        <f t="shared" si="28"/>
        <v>1102.5193115539887</v>
      </c>
      <c r="Q35" s="137">
        <f t="shared" si="28"/>
        <v>1162.9842647022992</v>
      </c>
      <c r="R35" s="137">
        <f t="shared" ref="R35:V35" si="29">R36+R37+R38</f>
        <v>1301.3300887888302</v>
      </c>
      <c r="S35" s="137">
        <f t="shared" si="29"/>
        <v>1368.5795849790582</v>
      </c>
      <c r="T35" s="137">
        <f t="shared" si="29"/>
        <v>1455.2508322647948</v>
      </c>
      <c r="U35" s="137">
        <f t="shared" si="29"/>
        <v>1507.6634406198564</v>
      </c>
      <c r="V35" s="137">
        <f t="shared" si="29"/>
        <v>1449.2411601546776</v>
      </c>
      <c r="W35" s="137">
        <f t="shared" ref="W35" si="30">W36+W37+W38</f>
        <v>1446.7553533808264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2.993306056541333</v>
      </c>
      <c r="C36" s="102">
        <f>TrRoad_ene!C$19</f>
        <v>3.0105460502969206</v>
      </c>
      <c r="D36" s="102">
        <f>TrRoad_ene!D$19</f>
        <v>3.0787562054415281</v>
      </c>
      <c r="E36" s="102">
        <f>TrRoad_ene!E$19</f>
        <v>2.9922109323602801</v>
      </c>
      <c r="F36" s="102">
        <f>TrRoad_ene!F$19</f>
        <v>3.0833898614521358</v>
      </c>
      <c r="G36" s="102">
        <f>TrRoad_ene!G$19</f>
        <v>2.9768390835107188</v>
      </c>
      <c r="H36" s="102">
        <f>TrRoad_ene!H$19</f>
        <v>3.0916604659861853</v>
      </c>
      <c r="I36" s="102">
        <f>TrRoad_ene!I$19</f>
        <v>3.4152839896710288</v>
      </c>
      <c r="J36" s="102">
        <f>TrRoad_ene!J$19</f>
        <v>3.8636442317677835</v>
      </c>
      <c r="K36" s="102">
        <f>TrRoad_ene!K$19</f>
        <v>4.0583864370752742</v>
      </c>
      <c r="L36" s="102">
        <f>TrRoad_ene!L$19</f>
        <v>3.9652973748236451</v>
      </c>
      <c r="M36" s="102">
        <f>TrRoad_ene!M$19</f>
        <v>3.9077168442519468</v>
      </c>
      <c r="N36" s="102">
        <f>TrRoad_ene!N$19</f>
        <v>3.8309585605152829</v>
      </c>
      <c r="O36" s="102">
        <f>TrRoad_ene!O$19</f>
        <v>3.7676980648291667</v>
      </c>
      <c r="P36" s="102">
        <f>TrRoad_ene!P$19</f>
        <v>3.5931963010551344</v>
      </c>
      <c r="Q36" s="102">
        <f>TrRoad_ene!Q$19</f>
        <v>3.5529810271443392</v>
      </c>
      <c r="R36" s="102">
        <f>TrRoad_ene!R$19</f>
        <v>3.9301482993831796</v>
      </c>
      <c r="S36" s="102">
        <f>TrRoad_ene!S$19</f>
        <v>3.6771219777580848</v>
      </c>
      <c r="T36" s="102">
        <f>TrRoad_ene!T$19</f>
        <v>3.4637422308224468</v>
      </c>
      <c r="U36" s="102">
        <f>TrRoad_ene!U$19</f>
        <v>3.5670314718587131</v>
      </c>
      <c r="V36" s="102">
        <f>TrRoad_ene!V$19</f>
        <v>3.1456557919984247</v>
      </c>
      <c r="W36" s="102">
        <f>TrRoad_ene!W$19</f>
        <v>2.7083697288748705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671.61013507841074</v>
      </c>
      <c r="C37" s="102">
        <f>TrRoad_ene!C$21</f>
        <v>700.96786195846425</v>
      </c>
      <c r="D37" s="102">
        <f>TrRoad_ene!D$21</f>
        <v>731.79630738296316</v>
      </c>
      <c r="E37" s="102">
        <f>TrRoad_ene!E$21</f>
        <v>794.81353685388979</v>
      </c>
      <c r="F37" s="102">
        <f>TrRoad_ene!F$21</f>
        <v>860.5752144992606</v>
      </c>
      <c r="G37" s="102">
        <f>TrRoad_ene!G$21</f>
        <v>954.95127959467527</v>
      </c>
      <c r="H37" s="102">
        <f>TrRoad_ene!H$21</f>
        <v>1063.7205417254554</v>
      </c>
      <c r="I37" s="102">
        <f>TrRoad_ene!I$21</f>
        <v>1193.8600955969248</v>
      </c>
      <c r="J37" s="102">
        <f>TrRoad_ene!J$21</f>
        <v>1170.6138390790832</v>
      </c>
      <c r="K37" s="102">
        <f>TrRoad_ene!K$21</f>
        <v>1071.1048785975665</v>
      </c>
      <c r="L37" s="102">
        <f>TrRoad_ene!L$21</f>
        <v>1053.6287057275104</v>
      </c>
      <c r="M37" s="102">
        <f>TrRoad_ene!M$21</f>
        <v>982.93808738833138</v>
      </c>
      <c r="N37" s="102">
        <f>TrRoad_ene!N$21</f>
        <v>1089.9311540083411</v>
      </c>
      <c r="O37" s="102">
        <f>TrRoad_ene!O$21</f>
        <v>1064.5687875556289</v>
      </c>
      <c r="P37" s="102">
        <f>TrRoad_ene!P$21</f>
        <v>1046.1270984832277</v>
      </c>
      <c r="Q37" s="102">
        <f>TrRoad_ene!Q$21</f>
        <v>1104.1350813500376</v>
      </c>
      <c r="R37" s="102">
        <f>TrRoad_ene!R$21</f>
        <v>1243.9250488173111</v>
      </c>
      <c r="S37" s="102">
        <f>TrRoad_ene!S$21</f>
        <v>1309.7348370343441</v>
      </c>
      <c r="T37" s="102">
        <f>TrRoad_ene!T$21</f>
        <v>1394.8609905539493</v>
      </c>
      <c r="U37" s="102">
        <f>TrRoad_ene!U$21</f>
        <v>1440.0548622097549</v>
      </c>
      <c r="V37" s="102">
        <f>TrRoad_ene!V$21</f>
        <v>1398.402216901535</v>
      </c>
      <c r="W37" s="102">
        <f>TrRoad_ene!W$21</f>
        <v>1397.9433431429911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58.997605229344238</v>
      </c>
      <c r="C38" s="102">
        <f>TrRoad_ene!C$33</f>
        <v>56.862265584114574</v>
      </c>
      <c r="D38" s="102">
        <f>TrRoad_ene!D$33</f>
        <v>58.29998114561846</v>
      </c>
      <c r="E38" s="102">
        <f>TrRoad_ene!E$33</f>
        <v>58.18364498666763</v>
      </c>
      <c r="F38" s="102">
        <f>TrRoad_ene!F$33</f>
        <v>62.083427096761007</v>
      </c>
      <c r="G38" s="102">
        <f>TrRoad_ene!G$33</f>
        <v>60.442238468716532</v>
      </c>
      <c r="H38" s="102">
        <f>TrRoad_ene!H$33</f>
        <v>58.458721349445064</v>
      </c>
      <c r="I38" s="102">
        <f>TrRoad_ene!I$33</f>
        <v>55.461022193439604</v>
      </c>
      <c r="J38" s="102">
        <f>TrRoad_ene!J$33</f>
        <v>52.22724956024237</v>
      </c>
      <c r="K38" s="102">
        <f>TrRoad_ene!K$33</f>
        <v>51.706599088322584</v>
      </c>
      <c r="L38" s="102">
        <f>TrRoad_ene!L$33</f>
        <v>50.393071464312158</v>
      </c>
      <c r="M38" s="102">
        <f>TrRoad_ene!M$33</f>
        <v>51.446354094048921</v>
      </c>
      <c r="N38" s="102">
        <f>TrRoad_ene!N$33</f>
        <v>50.645043894948273</v>
      </c>
      <c r="O38" s="102">
        <f>TrRoad_ene!O$33</f>
        <v>51.028561189227005</v>
      </c>
      <c r="P38" s="102">
        <f>TrRoad_ene!P$33</f>
        <v>52.799016769705965</v>
      </c>
      <c r="Q38" s="102">
        <f>TrRoad_ene!Q$33</f>
        <v>55.296202325117314</v>
      </c>
      <c r="R38" s="102">
        <f>TrRoad_ene!R$33</f>
        <v>53.474891672135719</v>
      </c>
      <c r="S38" s="102">
        <f>TrRoad_ene!S$33</f>
        <v>55.167625966955832</v>
      </c>
      <c r="T38" s="102">
        <f>TrRoad_ene!T$33</f>
        <v>56.926099480023197</v>
      </c>
      <c r="U38" s="102">
        <f>TrRoad_ene!U$33</f>
        <v>64.04154693824286</v>
      </c>
      <c r="V38" s="102">
        <f>TrRoad_ene!V$33</f>
        <v>47.693287461144095</v>
      </c>
      <c r="W38" s="102">
        <f>TrRoad_ene!W$33</f>
        <v>46.103640508960332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10.220261464427242</v>
      </c>
      <c r="C39" s="110">
        <f t="shared" si="31"/>
        <v>9.0368339199923771</v>
      </c>
      <c r="D39" s="110">
        <f t="shared" si="31"/>
        <v>8.5470616120297063</v>
      </c>
      <c r="E39" s="110">
        <f t="shared" si="31"/>
        <v>7.3993320517237642</v>
      </c>
      <c r="F39" s="110">
        <f t="shared" si="31"/>
        <v>7.5223030882952893</v>
      </c>
      <c r="G39" s="110">
        <f t="shared" si="31"/>
        <v>4.6841226965839917</v>
      </c>
      <c r="H39" s="110">
        <f t="shared" si="31"/>
        <v>4.2894944101994472</v>
      </c>
      <c r="I39" s="110">
        <f t="shared" si="31"/>
        <v>3.9340864378340776</v>
      </c>
      <c r="J39" s="110">
        <f t="shared" si="31"/>
        <v>4.2191452638110842</v>
      </c>
      <c r="K39" s="110">
        <f t="shared" si="31"/>
        <v>3.8783612413549409</v>
      </c>
      <c r="L39" s="110">
        <f t="shared" si="31"/>
        <v>4.1354316335133392</v>
      </c>
      <c r="M39" s="110">
        <f t="shared" si="31"/>
        <v>4.3571751915564469</v>
      </c>
      <c r="N39" s="110">
        <f t="shared" si="31"/>
        <v>4.4187076390712114</v>
      </c>
      <c r="O39" s="110">
        <f t="shared" si="31"/>
        <v>4.1760945379243131</v>
      </c>
      <c r="P39" s="110">
        <f t="shared" si="31"/>
        <v>3.9014924645906124</v>
      </c>
      <c r="Q39" s="110">
        <f t="shared" si="31"/>
        <v>3.9412075460259555</v>
      </c>
      <c r="R39" s="110">
        <f t="shared" ref="R39:V39" si="32">R40+R41+R42</f>
        <v>3.7531579158533619</v>
      </c>
      <c r="S39" s="110">
        <f t="shared" si="32"/>
        <v>4.4423636502004831</v>
      </c>
      <c r="T39" s="110">
        <f t="shared" si="32"/>
        <v>5.1550247623922916</v>
      </c>
      <c r="U39" s="110">
        <f t="shared" si="32"/>
        <v>5.1452691154578476</v>
      </c>
      <c r="V39" s="110">
        <f t="shared" si="32"/>
        <v>4.2506504439528676</v>
      </c>
      <c r="W39" s="110">
        <f t="shared" ref="W39" si="33">W40+W41+W42</f>
        <v>4.9529908225336197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</v>
      </c>
      <c r="U40" s="102">
        <f>TrRail_ene!U$12</f>
        <v>0</v>
      </c>
      <c r="V40" s="102">
        <f>TrRail_ene!V$12</f>
        <v>0</v>
      </c>
      <c r="W40" s="102">
        <f>TrRail_ene!W$12</f>
        <v>0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10.220261464427242</v>
      </c>
      <c r="C41" s="102">
        <f>TrRail_ene!C$13</f>
        <v>9.0368339199923771</v>
      </c>
      <c r="D41" s="102">
        <f>TrRail_ene!D$13</f>
        <v>8.5470616120297063</v>
      </c>
      <c r="E41" s="102">
        <f>TrRail_ene!E$13</f>
        <v>7.3993320517237642</v>
      </c>
      <c r="F41" s="102">
        <f>TrRail_ene!F$13</f>
        <v>7.5223030882952893</v>
      </c>
      <c r="G41" s="102">
        <f>TrRail_ene!G$13</f>
        <v>4.6841226965839917</v>
      </c>
      <c r="H41" s="102">
        <f>TrRail_ene!H$13</f>
        <v>4.2894944101994472</v>
      </c>
      <c r="I41" s="102">
        <f>TrRail_ene!I$13</f>
        <v>3.9340864378340776</v>
      </c>
      <c r="J41" s="102">
        <f>TrRail_ene!J$13</f>
        <v>4.2191452638110842</v>
      </c>
      <c r="K41" s="102">
        <f>TrRail_ene!K$13</f>
        <v>3.8783612413549409</v>
      </c>
      <c r="L41" s="102">
        <f>TrRail_ene!L$13</f>
        <v>4.1354316335133392</v>
      </c>
      <c r="M41" s="102">
        <f>TrRail_ene!M$13</f>
        <v>4.3571751915564469</v>
      </c>
      <c r="N41" s="102">
        <f>TrRail_ene!N$13</f>
        <v>4.4187076390712114</v>
      </c>
      <c r="O41" s="102">
        <f>TrRail_ene!O$13</f>
        <v>4.1760945379243131</v>
      </c>
      <c r="P41" s="102">
        <f>TrRail_ene!P$13</f>
        <v>3.9014924645906124</v>
      </c>
      <c r="Q41" s="102">
        <f>TrRail_ene!Q$13</f>
        <v>3.9412075460259555</v>
      </c>
      <c r="R41" s="102">
        <f>TrRail_ene!R$13</f>
        <v>3.7531579158533619</v>
      </c>
      <c r="S41" s="102">
        <f>TrRail_ene!S$13</f>
        <v>4.4423636502004831</v>
      </c>
      <c r="T41" s="102">
        <f>TrRail_ene!T$13</f>
        <v>5.1550247623922916</v>
      </c>
      <c r="U41" s="102">
        <f>TrRail_ene!U$13</f>
        <v>5.1452691154578476</v>
      </c>
      <c r="V41" s="102">
        <f>TrRail_ene!V$13</f>
        <v>4.2506504439528676</v>
      </c>
      <c r="W41" s="102">
        <f>TrRail_ene!W$13</f>
        <v>4.9529908225336197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23.237141029657224</v>
      </c>
      <c r="C43" s="110">
        <f t="shared" si="34"/>
        <v>30.66827965049503</v>
      </c>
      <c r="D43" s="110">
        <f t="shared" si="34"/>
        <v>27.528693146042055</v>
      </c>
      <c r="E43" s="110">
        <f t="shared" si="34"/>
        <v>31.823435537578867</v>
      </c>
      <c r="F43" s="110">
        <f t="shared" si="34"/>
        <v>33.993403254725827</v>
      </c>
      <c r="G43" s="110">
        <f t="shared" si="34"/>
        <v>46.062420108825656</v>
      </c>
      <c r="H43" s="110">
        <f t="shared" si="34"/>
        <v>52.080901763709484</v>
      </c>
      <c r="I43" s="110">
        <f t="shared" si="34"/>
        <v>65.286088747060802</v>
      </c>
      <c r="J43" s="110">
        <f t="shared" si="34"/>
        <v>75.594395229016612</v>
      </c>
      <c r="K43" s="110">
        <f t="shared" si="34"/>
        <v>35.772862050427676</v>
      </c>
      <c r="L43" s="110">
        <f t="shared" si="34"/>
        <v>48.038508936390457</v>
      </c>
      <c r="M43" s="110">
        <f t="shared" si="34"/>
        <v>55.231475473155037</v>
      </c>
      <c r="N43" s="110">
        <f t="shared" si="34"/>
        <v>62.024541608224972</v>
      </c>
      <c r="O43" s="110">
        <f t="shared" si="34"/>
        <v>69.170051537410316</v>
      </c>
      <c r="P43" s="110">
        <f t="shared" si="34"/>
        <v>76.497560226162378</v>
      </c>
      <c r="Q43" s="110">
        <f t="shared" si="34"/>
        <v>80.738670846293331</v>
      </c>
      <c r="R43" s="110">
        <f t="shared" ref="R43:V43" si="35">R44+R45+R46</f>
        <v>95.126892022553221</v>
      </c>
      <c r="S43" s="110">
        <f t="shared" si="35"/>
        <v>104.85458133678732</v>
      </c>
      <c r="T43" s="110">
        <f t="shared" si="35"/>
        <v>124.87620008547755</v>
      </c>
      <c r="U43" s="110">
        <f t="shared" si="35"/>
        <v>122.20410561506031</v>
      </c>
      <c r="V43" s="110">
        <f t="shared" si="35"/>
        <v>52.264719958914348</v>
      </c>
      <c r="W43" s="110">
        <f t="shared" ref="W43" si="36">W44+W45+W46</f>
        <v>60.016978142368195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19.671816625228153</v>
      </c>
      <c r="C45" s="102">
        <f>TrAvia_ene!C$8</f>
        <v>25.960141221667151</v>
      </c>
      <c r="D45" s="102">
        <f>TrAvia_ene!D$8</f>
        <v>23.301578836150117</v>
      </c>
      <c r="E45" s="102">
        <f>TrAvia_ene!E$8</f>
        <v>26.938512220991939</v>
      </c>
      <c r="F45" s="102">
        <f>TrAvia_ene!F$8</f>
        <v>28.7747192318317</v>
      </c>
      <c r="G45" s="102">
        <f>TrAvia_ene!G$8</f>
        <v>39.926307284379007</v>
      </c>
      <c r="H45" s="102">
        <f>TrAvia_ene!H$8</f>
        <v>45.551802829385664</v>
      </c>
      <c r="I45" s="102">
        <f>TrAvia_ene!I$8</f>
        <v>57.168096227259639</v>
      </c>
      <c r="J45" s="102">
        <f>TrAvia_ene!J$8</f>
        <v>66.246949339198636</v>
      </c>
      <c r="K45" s="102">
        <f>TrAvia_ene!K$8</f>
        <v>30.714105983866329</v>
      </c>
      <c r="L45" s="102">
        <f>TrAvia_ene!L$8</f>
        <v>41.861378795058172</v>
      </c>
      <c r="M45" s="102">
        <f>TrAvia_ene!M$8</f>
        <v>48.420496970898249</v>
      </c>
      <c r="N45" s="102">
        <f>TrAvia_ene!N$8</f>
        <v>55.096266398418045</v>
      </c>
      <c r="O45" s="102">
        <f>TrAvia_ene!O$8</f>
        <v>61.628399796375732</v>
      </c>
      <c r="P45" s="102">
        <f>TrAvia_ene!P$8</f>
        <v>68.204352535709432</v>
      </c>
      <c r="Q45" s="102">
        <f>TrAvia_ene!Q$8</f>
        <v>72.383761412884397</v>
      </c>
      <c r="R45" s="102">
        <f>TrAvia_ene!R$8</f>
        <v>86.200609178156355</v>
      </c>
      <c r="S45" s="102">
        <f>TrAvia_ene!S$8</f>
        <v>95.294121433995343</v>
      </c>
      <c r="T45" s="102">
        <f>TrAvia_ene!T$8</f>
        <v>113.96432345638297</v>
      </c>
      <c r="U45" s="102">
        <f>TrAvia_ene!U$8</f>
        <v>111.32958058237725</v>
      </c>
      <c r="V45" s="102">
        <f>TrAvia_ene!V$8</f>
        <v>45.720962390437315</v>
      </c>
      <c r="W45" s="102">
        <f>TrAvia_ene!W$8</f>
        <v>53.278198815157374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3.5653244044290711</v>
      </c>
      <c r="C46" s="102">
        <f>TrAvia_ene!C$9</f>
        <v>4.7081384288278798</v>
      </c>
      <c r="D46" s="102">
        <f>TrAvia_ene!D$9</f>
        <v>4.2271143098919373</v>
      </c>
      <c r="E46" s="102">
        <f>TrAvia_ene!E$9</f>
        <v>4.884923316586927</v>
      </c>
      <c r="F46" s="102">
        <f>TrAvia_ene!F$9</f>
        <v>5.2186840228941298</v>
      </c>
      <c r="G46" s="102">
        <f>TrAvia_ene!G$9</f>
        <v>6.1361128244466485</v>
      </c>
      <c r="H46" s="102">
        <f>TrAvia_ene!H$9</f>
        <v>6.5290989343238168</v>
      </c>
      <c r="I46" s="102">
        <f>TrAvia_ene!I$9</f>
        <v>8.1179925198011613</v>
      </c>
      <c r="J46" s="102">
        <f>TrAvia_ene!J$9</f>
        <v>9.3474458898179833</v>
      </c>
      <c r="K46" s="102">
        <f>TrAvia_ene!K$9</f>
        <v>5.0587560665613438</v>
      </c>
      <c r="L46" s="102">
        <f>TrAvia_ene!L$9</f>
        <v>6.1771301413322819</v>
      </c>
      <c r="M46" s="102">
        <f>TrAvia_ene!M$9</f>
        <v>6.8109785022567877</v>
      </c>
      <c r="N46" s="102">
        <f>TrAvia_ene!N$9</f>
        <v>6.9282752098069285</v>
      </c>
      <c r="O46" s="102">
        <f>TrAvia_ene!O$9</f>
        <v>7.5416517410345829</v>
      </c>
      <c r="P46" s="102">
        <f>TrAvia_ene!P$9</f>
        <v>8.293207690452947</v>
      </c>
      <c r="Q46" s="102">
        <f>TrAvia_ene!Q$9</f>
        <v>8.3549094334089382</v>
      </c>
      <c r="R46" s="102">
        <f>TrAvia_ene!R$9</f>
        <v>8.9262828443968623</v>
      </c>
      <c r="S46" s="102">
        <f>TrAvia_ene!S$9</f>
        <v>9.5604599027919797</v>
      </c>
      <c r="T46" s="102">
        <f>TrAvia_ene!T$9</f>
        <v>10.911876629094584</v>
      </c>
      <c r="U46" s="102">
        <f>TrAvia_ene!U$9</f>
        <v>10.874525032683065</v>
      </c>
      <c r="V46" s="102">
        <f>TrAvia_ene!V$9</f>
        <v>6.5437575684770337</v>
      </c>
      <c r="W46" s="102">
        <f>TrAvia_ene!W$9</f>
        <v>6.738779327210823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280.55401889742313</v>
      </c>
      <c r="C47" s="28">
        <f t="shared" si="37"/>
        <v>338.62497809888953</v>
      </c>
      <c r="D47" s="28">
        <f t="shared" si="37"/>
        <v>347.33939827230756</v>
      </c>
      <c r="E47" s="28">
        <f t="shared" si="37"/>
        <v>308.78371238068587</v>
      </c>
      <c r="F47" s="28">
        <f t="shared" si="37"/>
        <v>352.93605218919851</v>
      </c>
      <c r="G47" s="28">
        <f t="shared" si="37"/>
        <v>339.78963956858348</v>
      </c>
      <c r="H47" s="28">
        <f t="shared" si="37"/>
        <v>331.58720896356118</v>
      </c>
      <c r="I47" s="28">
        <f t="shared" si="37"/>
        <v>483.21632666227737</v>
      </c>
      <c r="J47" s="28">
        <f t="shared" si="37"/>
        <v>507.07055290541456</v>
      </c>
      <c r="K47" s="28">
        <f t="shared" si="37"/>
        <v>308.2341358730697</v>
      </c>
      <c r="L47" s="28">
        <f t="shared" si="37"/>
        <v>358.92381372181728</v>
      </c>
      <c r="M47" s="28">
        <f t="shared" si="37"/>
        <v>419.86340475655152</v>
      </c>
      <c r="N47" s="28">
        <f t="shared" si="37"/>
        <v>327.60227282828623</v>
      </c>
      <c r="O47" s="28">
        <f t="shared" si="37"/>
        <v>354.96263500905042</v>
      </c>
      <c r="P47" s="28">
        <f t="shared" si="37"/>
        <v>534.45254037589461</v>
      </c>
      <c r="Q47" s="28">
        <f t="shared" si="37"/>
        <v>564.4955808445327</v>
      </c>
      <c r="R47" s="28">
        <f t="shared" ref="R47:V47" si="38">R48+R51+R52+R56</f>
        <v>539.10916034647448</v>
      </c>
      <c r="S47" s="28">
        <f t="shared" si="38"/>
        <v>564.33321980980043</v>
      </c>
      <c r="T47" s="28">
        <f t="shared" si="38"/>
        <v>606.29092050401755</v>
      </c>
      <c r="U47" s="28">
        <f t="shared" si="38"/>
        <v>626.02175695859819</v>
      </c>
      <c r="V47" s="28">
        <f t="shared" si="38"/>
        <v>660.14971717886885</v>
      </c>
      <c r="W47" s="28">
        <f t="shared" ref="W47" si="39">W48+W51+W52+W56</f>
        <v>680.01545914648079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215.08768966321873</v>
      </c>
      <c r="C48" s="137">
        <f t="shared" si="40"/>
        <v>280.22407275278198</v>
      </c>
      <c r="D48" s="137">
        <f t="shared" si="40"/>
        <v>283.35066463828991</v>
      </c>
      <c r="E48" s="137">
        <f t="shared" si="40"/>
        <v>236.63124351255084</v>
      </c>
      <c r="F48" s="137">
        <f t="shared" si="40"/>
        <v>280.79500874718093</v>
      </c>
      <c r="G48" s="137">
        <f t="shared" si="40"/>
        <v>263.71760971707141</v>
      </c>
      <c r="H48" s="137">
        <f t="shared" si="40"/>
        <v>256.99174099301609</v>
      </c>
      <c r="I48" s="137">
        <f t="shared" si="40"/>
        <v>406.56307106471314</v>
      </c>
      <c r="J48" s="137">
        <f t="shared" si="40"/>
        <v>428.47265745671177</v>
      </c>
      <c r="K48" s="137">
        <f t="shared" si="40"/>
        <v>248.10823104791339</v>
      </c>
      <c r="L48" s="137">
        <f t="shared" si="40"/>
        <v>294.83550149722407</v>
      </c>
      <c r="M48" s="137">
        <f t="shared" si="40"/>
        <v>355.03107519770322</v>
      </c>
      <c r="N48" s="137">
        <f t="shared" si="40"/>
        <v>265.84363041608111</v>
      </c>
      <c r="O48" s="137">
        <f t="shared" si="40"/>
        <v>297.97541908954418</v>
      </c>
      <c r="P48" s="137">
        <f t="shared" si="40"/>
        <v>474.27506684136802</v>
      </c>
      <c r="Q48" s="137">
        <f t="shared" si="40"/>
        <v>508.57012819643933</v>
      </c>
      <c r="R48" s="137">
        <f t="shared" ref="R48:V48" si="41">R49+R50</f>
        <v>484.97545276123537</v>
      </c>
      <c r="S48" s="137">
        <f t="shared" si="41"/>
        <v>505.3305087348794</v>
      </c>
      <c r="T48" s="137">
        <f t="shared" si="41"/>
        <v>541.10202497355533</v>
      </c>
      <c r="U48" s="137">
        <f t="shared" si="41"/>
        <v>566.28540511989877</v>
      </c>
      <c r="V48" s="137">
        <f t="shared" si="41"/>
        <v>602.18090873392873</v>
      </c>
      <c r="W48" s="137">
        <f t="shared" ref="W48" si="42">W49+W50</f>
        <v>623.97725958171793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33.329073206796515</v>
      </c>
      <c r="C49" s="102">
        <f>TrRoad_ene!C$43</f>
        <v>33.307928499178935</v>
      </c>
      <c r="D49" s="102">
        <f>TrRoad_ene!D$43</f>
        <v>33.479870456694172</v>
      </c>
      <c r="E49" s="102">
        <f>TrRoad_ene!E$43</f>
        <v>34.253063320225095</v>
      </c>
      <c r="F49" s="102">
        <f>TrRoad_ene!F$43</f>
        <v>36.181846935089467</v>
      </c>
      <c r="G49" s="102">
        <f>TrRoad_ene!G$43</f>
        <v>37.998559783774382</v>
      </c>
      <c r="H49" s="102">
        <f>TrRoad_ene!H$43</f>
        <v>45.498344282320261</v>
      </c>
      <c r="I49" s="102">
        <f>TrRoad_ene!I$43</f>
        <v>52.943060055276831</v>
      </c>
      <c r="J49" s="102">
        <f>TrRoad_ene!J$43</f>
        <v>54.245393585408024</v>
      </c>
      <c r="K49" s="102">
        <f>TrRoad_ene!K$43</f>
        <v>56.188124188965467</v>
      </c>
      <c r="L49" s="102">
        <f>TrRoad_ene!L$43</f>
        <v>52.845944272707492</v>
      </c>
      <c r="M49" s="102">
        <f>TrRoad_ene!M$43</f>
        <v>58.114090936835076</v>
      </c>
      <c r="N49" s="102">
        <f>TrRoad_ene!N$43</f>
        <v>63.571869829566594</v>
      </c>
      <c r="O49" s="102">
        <f>TrRoad_ene!O$43</f>
        <v>66.200909321757692</v>
      </c>
      <c r="P49" s="102">
        <f>TrRoad_ene!P$43</f>
        <v>74.497723330235402</v>
      </c>
      <c r="Q49" s="102">
        <f>TrRoad_ene!Q$43</f>
        <v>78.032208134088108</v>
      </c>
      <c r="R49" s="102">
        <f>TrRoad_ene!R$43</f>
        <v>82.919897571423036</v>
      </c>
      <c r="S49" s="102">
        <f>TrRoad_ene!S$43</f>
        <v>84.828311325390516</v>
      </c>
      <c r="T49" s="102">
        <f>TrRoad_ene!T$43</f>
        <v>86.471642777888619</v>
      </c>
      <c r="U49" s="102">
        <f>TrRoad_ene!U$43</f>
        <v>90.167842642935682</v>
      </c>
      <c r="V49" s="102">
        <f>TrRoad_ene!V$43</f>
        <v>93.538662192645134</v>
      </c>
      <c r="W49" s="102">
        <f>TrRoad_ene!W$43</f>
        <v>96.73304223014658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181.7586164564222</v>
      </c>
      <c r="C50" s="102">
        <f>TrRoad_ene!C$52</f>
        <v>246.91614425360305</v>
      </c>
      <c r="D50" s="102">
        <f>TrRoad_ene!D$52</f>
        <v>249.87079418159573</v>
      </c>
      <c r="E50" s="102">
        <f>TrRoad_ene!E$52</f>
        <v>202.37818019232574</v>
      </c>
      <c r="F50" s="102">
        <f>TrRoad_ene!F$52</f>
        <v>244.61316181209145</v>
      </c>
      <c r="G50" s="102">
        <f>TrRoad_ene!G$52</f>
        <v>225.71904993329701</v>
      </c>
      <c r="H50" s="102">
        <f>TrRoad_ene!H$52</f>
        <v>211.49339671069583</v>
      </c>
      <c r="I50" s="102">
        <f>TrRoad_ene!I$52</f>
        <v>353.62001100943633</v>
      </c>
      <c r="J50" s="102">
        <f>TrRoad_ene!J$52</f>
        <v>374.22726387130376</v>
      </c>
      <c r="K50" s="102">
        <f>TrRoad_ene!K$52</f>
        <v>191.92010685894792</v>
      </c>
      <c r="L50" s="102">
        <f>TrRoad_ene!L$52</f>
        <v>241.98955722451657</v>
      </c>
      <c r="M50" s="102">
        <f>TrRoad_ene!M$52</f>
        <v>296.91698426086816</v>
      </c>
      <c r="N50" s="102">
        <f>TrRoad_ene!N$52</f>
        <v>202.27176058651452</v>
      </c>
      <c r="O50" s="102">
        <f>TrRoad_ene!O$52</f>
        <v>231.77450976778647</v>
      </c>
      <c r="P50" s="102">
        <f>TrRoad_ene!P$52</f>
        <v>399.77734351113264</v>
      </c>
      <c r="Q50" s="102">
        <f>TrRoad_ene!Q$52</f>
        <v>430.53792006235125</v>
      </c>
      <c r="R50" s="102">
        <f>TrRoad_ene!R$52</f>
        <v>402.05555518981237</v>
      </c>
      <c r="S50" s="102">
        <f>TrRoad_ene!S$52</f>
        <v>420.50219740948887</v>
      </c>
      <c r="T50" s="102">
        <f>TrRoad_ene!T$52</f>
        <v>454.63038219566675</v>
      </c>
      <c r="U50" s="102">
        <f>TrRoad_ene!U$52</f>
        <v>476.11756247696309</v>
      </c>
      <c r="V50" s="102">
        <f>TrRoad_ene!V$52</f>
        <v>508.64224654128361</v>
      </c>
      <c r="W50" s="102">
        <f>TrRoad_ene!W$52</f>
        <v>527.24421735157136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61.906393737636378</v>
      </c>
      <c r="C51" s="110">
        <f>TrRail_ene!C$17</f>
        <v>54.829632116121125</v>
      </c>
      <c r="D51" s="110">
        <f>TrRail_ene!D$17</f>
        <v>59.406506745665908</v>
      </c>
      <c r="E51" s="110">
        <f>TrRail_ene!E$17</f>
        <v>67.792671387657137</v>
      </c>
      <c r="F51" s="110">
        <f>TrRail_ene!F$17</f>
        <v>66.733930789606703</v>
      </c>
      <c r="G51" s="110">
        <f>TrRail_ene!G$17</f>
        <v>70.593865265582807</v>
      </c>
      <c r="H51" s="110">
        <f>TrRail_ene!H$17</f>
        <v>67.923145314650071</v>
      </c>
      <c r="I51" s="110">
        <f>TrRail_ene!I$17</f>
        <v>70.820857672226097</v>
      </c>
      <c r="J51" s="110">
        <f>TrRail_ene!J$17</f>
        <v>71.73648672243138</v>
      </c>
      <c r="K51" s="110">
        <f>TrRail_ene!K$17</f>
        <v>54.675207116340658</v>
      </c>
      <c r="L51" s="110">
        <f>TrRail_ene!L$17</f>
        <v>57.504207231490959</v>
      </c>
      <c r="M51" s="110">
        <f>TrRail_ene!M$17</f>
        <v>59.253916811882931</v>
      </c>
      <c r="N51" s="110">
        <f>TrRail_ene!N$17</f>
        <v>55.757302679071515</v>
      </c>
      <c r="O51" s="110">
        <f>TrRail_ene!O$17</f>
        <v>50.91539299431988</v>
      </c>
      <c r="P51" s="110">
        <f>TrRail_ene!P$17</f>
        <v>54.217080192331139</v>
      </c>
      <c r="Q51" s="110">
        <f>TrRail_ene!Q$17</f>
        <v>49.956814809949975</v>
      </c>
      <c r="R51" s="110">
        <f>TrRail_ene!R$17</f>
        <v>49.207117234619552</v>
      </c>
      <c r="S51" s="110">
        <f>TrRail_ene!S$17</f>
        <v>52.470448043694617</v>
      </c>
      <c r="T51" s="110">
        <f>TrRail_ene!T$17</f>
        <v>59.242653655492468</v>
      </c>
      <c r="U51" s="110">
        <f>TrRail_ene!U$17</f>
        <v>53.293853842409746</v>
      </c>
      <c r="V51" s="110">
        <f>TrRail_ene!V$17</f>
        <v>52.27428506765505</v>
      </c>
      <c r="W51" s="110">
        <f>TrRail_ene!W$17</f>
        <v>50.241334198962505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0.49458725925076086</v>
      </c>
      <c r="C52" s="110">
        <f t="shared" si="43"/>
        <v>0.50592499266918933</v>
      </c>
      <c r="D52" s="110">
        <f t="shared" si="43"/>
        <v>0.49512456676964522</v>
      </c>
      <c r="E52" s="110">
        <f t="shared" si="43"/>
        <v>0.27269515889576684</v>
      </c>
      <c r="F52" s="110">
        <f t="shared" si="43"/>
        <v>0.29817026204114944</v>
      </c>
      <c r="G52" s="110">
        <f t="shared" si="43"/>
        <v>0.36922219555955549</v>
      </c>
      <c r="H52" s="110">
        <f t="shared" si="43"/>
        <v>0.54162618126041173</v>
      </c>
      <c r="I52" s="110">
        <f t="shared" si="43"/>
        <v>0.68888975680848574</v>
      </c>
      <c r="J52" s="110">
        <f t="shared" si="43"/>
        <v>0.68918172713125925</v>
      </c>
      <c r="K52" s="110">
        <f t="shared" si="43"/>
        <v>0.3071895402859921</v>
      </c>
      <c r="L52" s="110">
        <f t="shared" si="43"/>
        <v>0.41187799396207525</v>
      </c>
      <c r="M52" s="110">
        <f t="shared" si="43"/>
        <v>0.43490457843566988</v>
      </c>
      <c r="N52" s="110">
        <f t="shared" si="43"/>
        <v>0.8578315646039143</v>
      </c>
      <c r="O52" s="110">
        <f t="shared" si="43"/>
        <v>0.92831475665675056</v>
      </c>
      <c r="P52" s="110">
        <f t="shared" si="43"/>
        <v>0.81688517366564861</v>
      </c>
      <c r="Q52" s="110">
        <f t="shared" si="43"/>
        <v>0.85015116574449534</v>
      </c>
      <c r="R52" s="110">
        <f t="shared" si="43"/>
        <v>0.83183540650955523</v>
      </c>
      <c r="S52" s="110">
        <f t="shared" si="43"/>
        <v>1.0043180613210165</v>
      </c>
      <c r="T52" s="110">
        <f t="shared" si="43"/>
        <v>1.1348919179618675</v>
      </c>
      <c r="U52" s="110">
        <f t="shared" si="43"/>
        <v>1.1192821751375066</v>
      </c>
      <c r="V52" s="110">
        <f t="shared" si="43"/>
        <v>1.9024339533814496</v>
      </c>
      <c r="W52" s="110">
        <f t="shared" ref="W52" si="44">W53+W54+W55</f>
        <v>1.7997888395750552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0.48557037334387243</v>
      </c>
      <c r="C54" s="102">
        <f>TrAvia_ene!C$12</f>
        <v>0.49687474702027995</v>
      </c>
      <c r="D54" s="102">
        <f>TrAvia_ene!D$12</f>
        <v>0.48609788513813174</v>
      </c>
      <c r="E54" s="102">
        <f>TrAvia_ene!E$12</f>
        <v>0.2635920506319484</v>
      </c>
      <c r="F54" s="102">
        <f>TrAvia_ene!F$12</f>
        <v>0.28680504541642843</v>
      </c>
      <c r="G54" s="102">
        <f>TrAvia_ene!G$12</f>
        <v>0.35325155721049251</v>
      </c>
      <c r="H54" s="102">
        <f>TrAvia_ene!H$12</f>
        <v>0.50383362976456869</v>
      </c>
      <c r="I54" s="102">
        <f>TrAvia_ene!I$12</f>
        <v>0.62119521704724689</v>
      </c>
      <c r="J54" s="102">
        <f>TrAvia_ene!J$12</f>
        <v>0.64441961903556144</v>
      </c>
      <c r="K54" s="102">
        <f>TrAvia_ene!K$12</f>
        <v>0.30169931147697604</v>
      </c>
      <c r="L54" s="102">
        <f>TrAvia_ene!L$12</f>
        <v>0.40126747476951791</v>
      </c>
      <c r="M54" s="102">
        <f>TrAvia_ene!M$12</f>
        <v>0.41446240974119342</v>
      </c>
      <c r="N54" s="102">
        <f>TrAvia_ene!N$12</f>
        <v>0.41557891041736666</v>
      </c>
      <c r="O54" s="102">
        <f>TrAvia_ene!O$12</f>
        <v>0.72960709219290343</v>
      </c>
      <c r="P54" s="102">
        <f>TrAvia_ene!P$12</f>
        <v>0.72668674294700875</v>
      </c>
      <c r="Q54" s="102">
        <f>TrAvia_ene!Q$12</f>
        <v>0.76877954999945786</v>
      </c>
      <c r="R54" s="102">
        <f>TrAvia_ene!R$12</f>
        <v>0.77869258849289347</v>
      </c>
      <c r="S54" s="102">
        <f>TrAvia_ene!S$12</f>
        <v>0.9765662256657206</v>
      </c>
      <c r="T54" s="102">
        <f>TrAvia_ene!T$12</f>
        <v>1.0891082015005968</v>
      </c>
      <c r="U54" s="102">
        <f>TrAvia_ene!U$12</f>
        <v>1.0664363122178926</v>
      </c>
      <c r="V54" s="102">
        <f>TrAvia_ene!V$12</f>
        <v>1.6989085070590204</v>
      </c>
      <c r="W54" s="102">
        <f>TrAvia_ene!W$12</f>
        <v>1.6907233562384063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9.0168859068884156E-3</v>
      </c>
      <c r="C55" s="102">
        <f>TrAvia_ene!C$13</f>
        <v>9.0502456489093448E-3</v>
      </c>
      <c r="D55" s="102">
        <f>TrAvia_ene!D$13</f>
        <v>9.026681631513496E-3</v>
      </c>
      <c r="E55" s="102">
        <f>TrAvia_ene!E$13</f>
        <v>9.1031082638184553E-3</v>
      </c>
      <c r="F55" s="102">
        <f>TrAvia_ene!F$13</f>
        <v>1.1365216624721029E-2</v>
      </c>
      <c r="G55" s="102">
        <f>TrAvia_ene!G$13</f>
        <v>1.5970638349062972E-2</v>
      </c>
      <c r="H55" s="102">
        <f>TrAvia_ene!H$13</f>
        <v>3.779255149584302E-2</v>
      </c>
      <c r="I55" s="102">
        <f>TrAvia_ene!I$13</f>
        <v>6.7694539761238848E-2</v>
      </c>
      <c r="J55" s="102">
        <f>TrAvia_ene!J$13</f>
        <v>4.4762108095697833E-2</v>
      </c>
      <c r="K55" s="102">
        <f>TrAvia_ene!K$13</f>
        <v>5.4902288090160839E-3</v>
      </c>
      <c r="L55" s="102">
        <f>TrAvia_ene!L$13</f>
        <v>1.0610519192557321E-2</v>
      </c>
      <c r="M55" s="102">
        <f>TrAvia_ene!M$13</f>
        <v>2.0442168694476456E-2</v>
      </c>
      <c r="N55" s="102">
        <f>TrAvia_ene!N$13</f>
        <v>0.44225265418654763</v>
      </c>
      <c r="O55" s="102">
        <f>TrAvia_ene!O$13</f>
        <v>0.19870766446384711</v>
      </c>
      <c r="P55" s="102">
        <f>TrAvia_ene!P$13</f>
        <v>9.0198430718639921E-2</v>
      </c>
      <c r="Q55" s="102">
        <f>TrAvia_ene!Q$13</f>
        <v>8.1371615745037484E-2</v>
      </c>
      <c r="R55" s="102">
        <f>TrAvia_ene!R$13</f>
        <v>5.3142818016661819E-2</v>
      </c>
      <c r="S55" s="102">
        <f>TrAvia_ene!S$13</f>
        <v>2.7751835655296028E-2</v>
      </c>
      <c r="T55" s="102">
        <f>TrAvia_ene!T$13</f>
        <v>4.5783716461270774E-2</v>
      </c>
      <c r="U55" s="102">
        <f>TrAvia_ene!U$13</f>
        <v>5.2845862919613955E-2</v>
      </c>
      <c r="V55" s="102">
        <f>TrAvia_ene!V$13</f>
        <v>0.20352544632242908</v>
      </c>
      <c r="W55" s="102">
        <f>TrAvia_ene!W$13</f>
        <v>0.10906548333664889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3.065348237317282</v>
      </c>
      <c r="C56" s="110">
        <f t="shared" si="45"/>
        <v>3.065348237317282</v>
      </c>
      <c r="D56" s="110">
        <f t="shared" si="45"/>
        <v>4.0871023215821154</v>
      </c>
      <c r="E56" s="110">
        <f t="shared" si="45"/>
        <v>4.0871023215821154</v>
      </c>
      <c r="F56" s="110">
        <f t="shared" si="45"/>
        <v>5.1089423903697329</v>
      </c>
      <c r="G56" s="110">
        <f t="shared" si="45"/>
        <v>5.1089423903697329</v>
      </c>
      <c r="H56" s="110">
        <f t="shared" si="45"/>
        <v>6.1306964746345649</v>
      </c>
      <c r="I56" s="110">
        <f t="shared" si="45"/>
        <v>5.1435081685296637</v>
      </c>
      <c r="J56" s="110">
        <f t="shared" si="45"/>
        <v>6.1722269991401557</v>
      </c>
      <c r="K56" s="110">
        <f t="shared" si="45"/>
        <v>5.1435081685296637</v>
      </c>
      <c r="L56" s="110">
        <f t="shared" si="45"/>
        <v>6.1722269991401557</v>
      </c>
      <c r="M56" s="110">
        <f t="shared" si="45"/>
        <v>5.1435081685296646</v>
      </c>
      <c r="N56" s="110">
        <f t="shared" si="45"/>
        <v>5.1435081685296646</v>
      </c>
      <c r="O56" s="110">
        <f t="shared" si="45"/>
        <v>5.1435081685296646</v>
      </c>
      <c r="P56" s="110">
        <f t="shared" si="45"/>
        <v>5.1435081685296646</v>
      </c>
      <c r="Q56" s="110">
        <f t="shared" si="45"/>
        <v>5.1184866723989666</v>
      </c>
      <c r="R56" s="110">
        <f t="shared" ref="R56:V56" si="46">R57+R58</f>
        <v>4.0947549441100586</v>
      </c>
      <c r="S56" s="110">
        <f t="shared" si="46"/>
        <v>5.5279449699054171</v>
      </c>
      <c r="T56" s="110">
        <f t="shared" si="46"/>
        <v>4.8113499570077387</v>
      </c>
      <c r="U56" s="110">
        <f t="shared" si="46"/>
        <v>5.3232158211521918</v>
      </c>
      <c r="V56" s="110">
        <f t="shared" si="46"/>
        <v>3.7920894239036969</v>
      </c>
      <c r="W56" s="110">
        <f t="shared" ref="W56" si="47">W57+W58</f>
        <v>3.9970765262252792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3.0541881771082831</v>
      </c>
      <c r="C57" s="102">
        <f>TrNavi_ene!C4</f>
        <v>3.0577353373506702</v>
      </c>
      <c r="D57" s="102">
        <f>TrNavi_ene!D4</f>
        <v>4.0732875603504874</v>
      </c>
      <c r="E57" s="102">
        <f>TrNavi_ene!E4</f>
        <v>4.0724019338442359</v>
      </c>
      <c r="F57" s="102">
        <f>TrNavi_ene!F4</f>
        <v>5.0747305102274893</v>
      </c>
      <c r="G57" s="102">
        <f>TrNavi_ene!G4</f>
        <v>5.0638991701395648</v>
      </c>
      <c r="H57" s="102">
        <f>TrNavi_ene!H4</f>
        <v>6.0337426439510189</v>
      </c>
      <c r="I57" s="102">
        <f>TrNavi_ene!I4</f>
        <v>4.7187125151487059</v>
      </c>
      <c r="J57" s="102">
        <f>TrNavi_ene!J4</f>
        <v>5.516760017885475</v>
      </c>
      <c r="K57" s="102">
        <f>TrNavi_ene!K4</f>
        <v>5.0236122114896986</v>
      </c>
      <c r="L57" s="102">
        <f>TrNavi_ene!L4</f>
        <v>6.0333025105228986</v>
      </c>
      <c r="M57" s="102">
        <f>TrNavi_ene!M4</f>
        <v>5.0555581815008761</v>
      </c>
      <c r="N57" s="102">
        <f>TrNavi_ene!N4</f>
        <v>5.111615070958992</v>
      </c>
      <c r="O57" s="102">
        <f>TrNavi_ene!O4</f>
        <v>5.1435081685296646</v>
      </c>
      <c r="P57" s="102">
        <f>TrNavi_ene!P4</f>
        <v>5.1435081685296646</v>
      </c>
      <c r="Q57" s="102">
        <f>TrNavi_ene!Q4</f>
        <v>5.1184866723989666</v>
      </c>
      <c r="R57" s="102">
        <f>TrNavi_ene!R4</f>
        <v>4.0947549441100586</v>
      </c>
      <c r="S57" s="102">
        <f>TrNavi_ene!S4</f>
        <v>5.5279449699054171</v>
      </c>
      <c r="T57" s="102">
        <f>TrNavi_ene!T4</f>
        <v>4.8113499570077387</v>
      </c>
      <c r="U57" s="102">
        <f>TrNavi_ene!U4</f>
        <v>5.3232158211521918</v>
      </c>
      <c r="V57" s="102">
        <f>TrNavi_ene!V4</f>
        <v>3.7919956249179738</v>
      </c>
      <c r="W57" s="102">
        <f>TrNavi_ene!W4</f>
        <v>3.9695334163973723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1.1160060208999149E-2</v>
      </c>
      <c r="C58" s="169">
        <f>TrNavi_ene!C10</f>
        <v>7.6128999666117718E-3</v>
      </c>
      <c r="D58" s="169">
        <f>TrNavi_ene!D10</f>
        <v>1.3814761231627875E-2</v>
      </c>
      <c r="E58" s="169">
        <f>TrNavi_ene!E10</f>
        <v>1.4700387737879168E-2</v>
      </c>
      <c r="F58" s="169">
        <f>TrNavi_ene!F10</f>
        <v>3.4211880142243356E-2</v>
      </c>
      <c r="G58" s="169">
        <f>TrNavi_ene!G10</f>
        <v>4.5043220230167852E-2</v>
      </c>
      <c r="H58" s="169">
        <f>TrNavi_ene!H10</f>
        <v>9.6953830683546044E-2</v>
      </c>
      <c r="I58" s="169">
        <f>TrNavi_ene!I10</f>
        <v>0.42479565338095798</v>
      </c>
      <c r="J58" s="169">
        <f>TrNavi_ene!J10</f>
        <v>0.65546698125468039</v>
      </c>
      <c r="K58" s="169">
        <f>TrNavi_ene!K10</f>
        <v>0.1198959570399652</v>
      </c>
      <c r="L58" s="169">
        <f>TrNavi_ene!L10</f>
        <v>0.13892448861725695</v>
      </c>
      <c r="M58" s="169">
        <f>TrNavi_ene!M10</f>
        <v>8.7949987028788396E-2</v>
      </c>
      <c r="N58" s="169">
        <f>TrNavi_ene!N10</f>
        <v>3.1893097570672796E-2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9.3798985722997691E-5</v>
      </c>
      <c r="W58" s="169">
        <f>TrNavi_ene!W10</f>
        <v>2.7543109827907041E-2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91.232416165090271</v>
      </c>
      <c r="C59" s="28">
        <f t="shared" ref="C59:W59" si="48">C60+C61</f>
        <v>98.80481513327598</v>
      </c>
      <c r="D59" s="28">
        <f t="shared" si="48"/>
        <v>108.42072226999139</v>
      </c>
      <c r="E59" s="28">
        <f t="shared" si="48"/>
        <v>108.15322441960447</v>
      </c>
      <c r="F59" s="28">
        <f t="shared" si="48"/>
        <v>112.10662080825452</v>
      </c>
      <c r="G59" s="28">
        <f t="shared" si="48"/>
        <v>141.57497850386932</v>
      </c>
      <c r="H59" s="28">
        <f t="shared" si="48"/>
        <v>136.59982803095437</v>
      </c>
      <c r="I59" s="28">
        <f t="shared" si="48"/>
        <v>117.73809114359419</v>
      </c>
      <c r="J59" s="28">
        <f t="shared" si="48"/>
        <v>89.033619948409282</v>
      </c>
      <c r="K59" s="28">
        <f t="shared" si="48"/>
        <v>125.53645743766126</v>
      </c>
      <c r="L59" s="28">
        <f t="shared" si="48"/>
        <v>139.15279449699057</v>
      </c>
      <c r="M59" s="28">
        <f t="shared" si="48"/>
        <v>140.26036113499572</v>
      </c>
      <c r="N59" s="28">
        <f t="shared" si="48"/>
        <v>120.21736887360275</v>
      </c>
      <c r="O59" s="28">
        <f t="shared" si="48"/>
        <v>86.514789337919183</v>
      </c>
      <c r="P59" s="28">
        <f t="shared" si="48"/>
        <v>11.058297506448838</v>
      </c>
      <c r="Q59" s="28">
        <f t="shared" si="48"/>
        <v>75.75434221840068</v>
      </c>
      <c r="R59" s="28">
        <f t="shared" si="48"/>
        <v>162.18675838349094</v>
      </c>
      <c r="S59" s="28">
        <f t="shared" si="48"/>
        <v>174.72287188306103</v>
      </c>
      <c r="T59" s="28">
        <f t="shared" si="48"/>
        <v>201.22321582115222</v>
      </c>
      <c r="U59" s="28">
        <f t="shared" si="48"/>
        <v>194.47506448839209</v>
      </c>
      <c r="V59" s="28">
        <f t="shared" si="48"/>
        <v>181.92871883061053</v>
      </c>
      <c r="W59" s="28">
        <f t="shared" si="48"/>
        <v>188.39776440240757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44.613724464968264</v>
      </c>
      <c r="C60" s="102">
        <f>MBunk_ene!C$4</f>
        <v>48.269585183751843</v>
      </c>
      <c r="D60" s="102">
        <f>MBunk_ene!D$4</f>
        <v>52.796249134964498</v>
      </c>
      <c r="E60" s="102">
        <f>MBunk_ene!E$4</f>
        <v>52.680600475020221</v>
      </c>
      <c r="F60" s="102">
        <f>MBunk_ene!F$4</f>
        <v>54.63335829915664</v>
      </c>
      <c r="G60" s="102">
        <f>MBunk_ene!G$4</f>
        <v>69.525289282120184</v>
      </c>
      <c r="H60" s="102">
        <f>MBunk_ene!H$4</f>
        <v>56.347854948232566</v>
      </c>
      <c r="I60" s="102">
        <f>MBunk_ene!I$4</f>
        <v>42.092847271840711</v>
      </c>
      <c r="J60" s="102">
        <f>MBunk_ene!J$4</f>
        <v>30.098631254519738</v>
      </c>
      <c r="K60" s="102">
        <f>MBunk_ene!K$4</f>
        <v>38.691980583324039</v>
      </c>
      <c r="L60" s="102">
        <f>MBunk_ene!L$4</f>
        <v>43.607079152994146</v>
      </c>
      <c r="M60" s="102">
        <f>MBunk_ene!M$4</f>
        <v>46.341381488939241</v>
      </c>
      <c r="N60" s="102">
        <f>MBunk_ene!N$4</f>
        <v>40.890878239261994</v>
      </c>
      <c r="O60" s="102">
        <f>MBunk_ene!O$4</f>
        <v>27.129446644668334</v>
      </c>
      <c r="P60" s="102">
        <f>MBunk_ene!P$4</f>
        <v>3.3041859962233713</v>
      </c>
      <c r="Q60" s="102">
        <f>MBunk_ene!Q$4</f>
        <v>21.487273878027146</v>
      </c>
      <c r="R60" s="102">
        <f>MBunk_ene!R$4</f>
        <v>42.781344584835949</v>
      </c>
      <c r="S60" s="102">
        <f>MBunk_ene!S$4</f>
        <v>46.134517299367971</v>
      </c>
      <c r="T60" s="102">
        <f>MBunk_ene!T$4</f>
        <v>53.847414888017461</v>
      </c>
      <c r="U60" s="102">
        <f>MBunk_ene!U$4</f>
        <v>53.111205703236635</v>
      </c>
      <c r="V60" s="102">
        <f>MBunk_ene!V$4</f>
        <v>43.112922096516499</v>
      </c>
      <c r="W60" s="102">
        <f>MBunk_ene!W$4</f>
        <v>41.441484129220719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46.618691700122007</v>
      </c>
      <c r="C61" s="86">
        <f>MBunk_ene!C$10</f>
        <v>50.535229949524144</v>
      </c>
      <c r="D61" s="86">
        <f>MBunk_ene!D$10</f>
        <v>55.624473135026889</v>
      </c>
      <c r="E61" s="86">
        <f>MBunk_ene!E$10</f>
        <v>55.47262394458425</v>
      </c>
      <c r="F61" s="86">
        <f>MBunk_ene!F$10</f>
        <v>57.473262509097886</v>
      </c>
      <c r="G61" s="86">
        <f>MBunk_ene!G$10</f>
        <v>72.049689221749148</v>
      </c>
      <c r="H61" s="86">
        <f>MBunk_ene!H$10</f>
        <v>80.251973082721804</v>
      </c>
      <c r="I61" s="86">
        <f>MBunk_ene!I$10</f>
        <v>75.645243871753479</v>
      </c>
      <c r="J61" s="86">
        <f>MBunk_ene!J$10</f>
        <v>58.934988693889544</v>
      </c>
      <c r="K61" s="86">
        <f>MBunk_ene!K$10</f>
        <v>86.844476854337216</v>
      </c>
      <c r="L61" s="86">
        <f>MBunk_ene!L$10</f>
        <v>95.545715343996406</v>
      </c>
      <c r="M61" s="86">
        <f>MBunk_ene!M$10</f>
        <v>93.918979646056485</v>
      </c>
      <c r="N61" s="86">
        <f>MBunk_ene!N$10</f>
        <v>79.326490634340757</v>
      </c>
      <c r="O61" s="86">
        <f>MBunk_ene!O$10</f>
        <v>59.385342693250848</v>
      </c>
      <c r="P61" s="86">
        <f>MBunk_ene!P$10</f>
        <v>7.7541115102254672</v>
      </c>
      <c r="Q61" s="86">
        <f>MBunk_ene!Q$10</f>
        <v>54.267068340373534</v>
      </c>
      <c r="R61" s="86">
        <f>MBunk_ene!R$10</f>
        <v>119.40541379865499</v>
      </c>
      <c r="S61" s="86">
        <f>MBunk_ene!S$10</f>
        <v>128.58835458369305</v>
      </c>
      <c r="T61" s="86">
        <f>MBunk_ene!T$10</f>
        <v>147.37580093313477</v>
      </c>
      <c r="U61" s="86">
        <f>MBunk_ene!U$10</f>
        <v>141.36385878515546</v>
      </c>
      <c r="V61" s="86">
        <f>MBunk_ene!V$10</f>
        <v>138.81579673409402</v>
      </c>
      <c r="W61" s="86">
        <f>MBunk_ene!W$10</f>
        <v>146.95628027318685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2242.9830798625735</v>
      </c>
      <c r="C64" s="28">
        <f t="shared" si="49"/>
        <v>2344.1973212907751</v>
      </c>
      <c r="D64" s="28">
        <f t="shared" si="49"/>
        <v>2423.8665381857122</v>
      </c>
      <c r="E64" s="28">
        <f t="shared" si="49"/>
        <v>2617.5087679806984</v>
      </c>
      <c r="F64" s="28">
        <f t="shared" si="49"/>
        <v>2824.6713134677516</v>
      </c>
      <c r="G64" s="28">
        <f t="shared" si="49"/>
        <v>3126.2471429662869</v>
      </c>
      <c r="H64" s="28">
        <f t="shared" si="49"/>
        <v>3429.1062278487016</v>
      </c>
      <c r="I64" s="28">
        <f t="shared" si="49"/>
        <v>3782.3195935552048</v>
      </c>
      <c r="J64" s="28">
        <f t="shared" si="49"/>
        <v>3728.0309474964151</v>
      </c>
      <c r="K64" s="28">
        <f t="shared" si="49"/>
        <v>3325.3406069593739</v>
      </c>
      <c r="L64" s="28">
        <f t="shared" si="49"/>
        <v>3341.7268994533838</v>
      </c>
      <c r="M64" s="28">
        <f t="shared" si="49"/>
        <v>3165.9263983879741</v>
      </c>
      <c r="N64" s="28">
        <f t="shared" si="49"/>
        <v>3484.8541315655384</v>
      </c>
      <c r="O64" s="28">
        <f t="shared" si="49"/>
        <v>3428.5016580827669</v>
      </c>
      <c r="P64" s="28">
        <f t="shared" si="49"/>
        <v>3406.4780156659558</v>
      </c>
      <c r="Q64" s="28">
        <f t="shared" si="49"/>
        <v>3592.6907113904495</v>
      </c>
      <c r="R64" s="28">
        <f t="shared" ref="R64:V64" si="50">R65+R69+R73</f>
        <v>4082.7481010848501</v>
      </c>
      <c r="S64" s="28">
        <f t="shared" si="50"/>
        <v>4291.4726296917706</v>
      </c>
      <c r="T64" s="28">
        <f t="shared" si="50"/>
        <v>4604.3887150059527</v>
      </c>
      <c r="U64" s="28">
        <f t="shared" si="50"/>
        <v>4755.4821721285552</v>
      </c>
      <c r="V64" s="28">
        <f t="shared" si="50"/>
        <v>4312.0068792133488</v>
      </c>
      <c r="W64" s="28">
        <f t="shared" ref="W64" si="51">W65+W69+W73</f>
        <v>4285.5018472134107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2143.1918891311443</v>
      </c>
      <c r="C65" s="137">
        <f t="shared" si="52"/>
        <v>2225.4408334648547</v>
      </c>
      <c r="D65" s="137">
        <f t="shared" si="52"/>
        <v>2316.0806553142857</v>
      </c>
      <c r="E65" s="137">
        <f t="shared" si="52"/>
        <v>2500.6218803416073</v>
      </c>
      <c r="F65" s="137">
        <f t="shared" si="52"/>
        <v>2701.1374043903152</v>
      </c>
      <c r="G65" s="137">
        <f t="shared" si="52"/>
        <v>2975.1869856230351</v>
      </c>
      <c r="H65" s="137">
        <f t="shared" si="52"/>
        <v>3261.152882024413</v>
      </c>
      <c r="I65" s="137">
        <f t="shared" si="52"/>
        <v>3575.7171762423495</v>
      </c>
      <c r="J65" s="137">
        <f t="shared" si="52"/>
        <v>3490.046488483692</v>
      </c>
      <c r="K65" s="137">
        <f t="shared" si="52"/>
        <v>3208.5552903902694</v>
      </c>
      <c r="L65" s="137">
        <f t="shared" si="52"/>
        <v>3187.2206532019586</v>
      </c>
      <c r="M65" s="137">
        <f t="shared" si="52"/>
        <v>2988.8123974123828</v>
      </c>
      <c r="N65" s="137">
        <f t="shared" si="52"/>
        <v>3287.8490235801914</v>
      </c>
      <c r="O65" s="137">
        <f t="shared" si="52"/>
        <v>3210.3253369510721</v>
      </c>
      <c r="P65" s="137">
        <f t="shared" si="52"/>
        <v>3167.4522116597573</v>
      </c>
      <c r="Q65" s="137">
        <f t="shared" si="52"/>
        <v>3340.6596207772491</v>
      </c>
      <c r="R65" s="137">
        <f t="shared" ref="R65:V65" si="53">R66+R67+R68</f>
        <v>3788.2313624223534</v>
      </c>
      <c r="S65" s="137">
        <f t="shared" si="53"/>
        <v>3965.5208253734027</v>
      </c>
      <c r="T65" s="137">
        <f t="shared" si="53"/>
        <v>4217.248739342941</v>
      </c>
      <c r="U65" s="137">
        <f t="shared" si="53"/>
        <v>4376.0185869894613</v>
      </c>
      <c r="V65" s="137">
        <f t="shared" si="53"/>
        <v>4145.475420120928</v>
      </c>
      <c r="W65" s="137">
        <f t="shared" ref="W65" si="54">W66+W67+W68</f>
        <v>4093.6445348240236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8.6849350416863871</v>
      </c>
      <c r="C66" s="102">
        <f>TrRoad_emi!C$19</f>
        <v>8.7349560629445229</v>
      </c>
      <c r="D66" s="102">
        <f>TrRoad_emi!D$19</f>
        <v>8.9328645812932148</v>
      </c>
      <c r="E66" s="102">
        <f>TrRoad_emi!E$19</f>
        <v>8.6817575910029721</v>
      </c>
      <c r="F66" s="102">
        <f>TrRoad_emi!F$19</f>
        <v>8.9463089136459679</v>
      </c>
      <c r="G66" s="102">
        <f>TrRoad_emi!G$19</f>
        <v>8.6212995322469546</v>
      </c>
      <c r="H66" s="102">
        <f>TrRoad_emi!H$19</f>
        <v>8.84643850817036</v>
      </c>
      <c r="I66" s="102">
        <f>TrRoad_emi!I$19</f>
        <v>9.6567962720472167</v>
      </c>
      <c r="J66" s="102">
        <f>TrRoad_emi!J$19</f>
        <v>10.827190745821589</v>
      </c>
      <c r="K66" s="102">
        <f>TrRoad_emi!K$19</f>
        <v>11.356096485797487</v>
      </c>
      <c r="L66" s="102">
        <f>TrRoad_emi!L$19</f>
        <v>11.117998142952315</v>
      </c>
      <c r="M66" s="102">
        <f>TrRoad_emi!M$19</f>
        <v>10.928039982759293</v>
      </c>
      <c r="N66" s="102">
        <f>TrRoad_emi!N$19</f>
        <v>10.726193121098868</v>
      </c>
      <c r="O66" s="102">
        <f>TrRoad_emi!O$19</f>
        <v>10.605612828942737</v>
      </c>
      <c r="P66" s="102">
        <f>TrRoad_emi!P$19</f>
        <v>10.138991902182465</v>
      </c>
      <c r="Q66" s="102">
        <f>TrRoad_emi!Q$19</f>
        <v>9.8328840816291407</v>
      </c>
      <c r="R66" s="102">
        <f>TrRoad_emi!R$19</f>
        <v>11.072015233135831</v>
      </c>
      <c r="S66" s="102">
        <f>TrRoad_emi!S$19</f>
        <v>10.269582353898469</v>
      </c>
      <c r="T66" s="102">
        <f>TrRoad_emi!T$19</f>
        <v>9.7154527565950897</v>
      </c>
      <c r="U66" s="102">
        <f>TrRoad_emi!U$19</f>
        <v>9.9500018943098318</v>
      </c>
      <c r="V66" s="102">
        <f>TrRoad_emi!V$19</f>
        <v>8.5585447624318061</v>
      </c>
      <c r="W66" s="102">
        <f>TrRoad_emi!W$19</f>
        <v>7.347143022128634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1951.4716744709622</v>
      </c>
      <c r="C67" s="102">
        <f>TrRoad_emi!C$20</f>
        <v>2040.2953156431599</v>
      </c>
      <c r="D67" s="102">
        <f>TrRoad_emi!D$20</f>
        <v>2126.2981513595137</v>
      </c>
      <c r="E67" s="102">
        <f>TrRoad_emi!E$20</f>
        <v>2311.4582090559929</v>
      </c>
      <c r="F67" s="102">
        <f>TrRoad_emi!F$20</f>
        <v>2500.4931228658479</v>
      </c>
      <c r="G67" s="102">
        <f>TrRoad_emi!G$20</f>
        <v>2781.9158004499677</v>
      </c>
      <c r="H67" s="102">
        <f>TrRoad_emi!H$20</f>
        <v>3077.8866549383529</v>
      </c>
      <c r="I67" s="102">
        <f>TrRoad_emi!I$20</f>
        <v>3405.967683532615</v>
      </c>
      <c r="J67" s="102">
        <f>TrRoad_emi!J$20</f>
        <v>3329.3854130124287</v>
      </c>
      <c r="K67" s="102">
        <f>TrRoad_emi!K$20</f>
        <v>3049.9580379589779</v>
      </c>
      <c r="L67" s="102">
        <f>TrRoad_emi!L$20</f>
        <v>3031.8624029854377</v>
      </c>
      <c r="M67" s="102">
        <f>TrRoad_emi!M$20</f>
        <v>2830.8500043400227</v>
      </c>
      <c r="N67" s="102">
        <f>TrRoad_emi!N$20</f>
        <v>3133.9113630618822</v>
      </c>
      <c r="O67" s="102">
        <f>TrRoad_emi!O$20</f>
        <v>3070.6748555042282</v>
      </c>
      <c r="P67" s="102">
        <f>TrRoad_emi!P$20</f>
        <v>3023.3941324006078</v>
      </c>
      <c r="Q67" s="102">
        <f>TrRoad_emi!Q$20</f>
        <v>3192.1760496715328</v>
      </c>
      <c r="R67" s="102">
        <f>TrRoad_emi!R$20</f>
        <v>3641.7700129946456</v>
      </c>
      <c r="S67" s="102">
        <f>TrRoad_emi!S$20</f>
        <v>3816.2722961898853</v>
      </c>
      <c r="T67" s="102">
        <f>TrRoad_emi!T$20</f>
        <v>4063.9877563481241</v>
      </c>
      <c r="U67" s="102">
        <f>TrRoad_emi!U$20</f>
        <v>4203.9365103383225</v>
      </c>
      <c r="V67" s="102">
        <f>TrRoad_emi!V$20</f>
        <v>4018.269053956376</v>
      </c>
      <c r="W67" s="102">
        <f>TrRoad_emi!W$20</f>
        <v>3976.9109803834349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183.03527961849585</v>
      </c>
      <c r="C68" s="102">
        <f>TrRoad_emi!C$27</f>
        <v>176.41056175875005</v>
      </c>
      <c r="D68" s="102">
        <f>TrRoad_emi!D$27</f>
        <v>180.84963937347877</v>
      </c>
      <c r="E68" s="102">
        <f>TrRoad_emi!E$27</f>
        <v>180.48191369461111</v>
      </c>
      <c r="F68" s="102">
        <f>TrRoad_emi!F$27</f>
        <v>191.69797261082113</v>
      </c>
      <c r="G68" s="102">
        <f>TrRoad_emi!G$27</f>
        <v>184.64988564082012</v>
      </c>
      <c r="H68" s="102">
        <f>TrRoad_emi!H$27</f>
        <v>174.41978857788996</v>
      </c>
      <c r="I68" s="102">
        <f>TrRoad_emi!I$27</f>
        <v>160.09269643768744</v>
      </c>
      <c r="J68" s="102">
        <f>TrRoad_emi!J$27</f>
        <v>149.83388472544192</v>
      </c>
      <c r="K68" s="102">
        <f>TrRoad_emi!K$27</f>
        <v>147.24115594549394</v>
      </c>
      <c r="L68" s="102">
        <f>TrRoad_emi!L$27</f>
        <v>144.24025207356874</v>
      </c>
      <c r="M68" s="102">
        <f>TrRoad_emi!M$27</f>
        <v>147.03435308960064</v>
      </c>
      <c r="N68" s="102">
        <f>TrRoad_emi!N$27</f>
        <v>143.2114673972105</v>
      </c>
      <c r="O68" s="102">
        <f>TrRoad_emi!O$27</f>
        <v>129.04486861790122</v>
      </c>
      <c r="P68" s="102">
        <f>TrRoad_emi!P$27</f>
        <v>133.9190873569668</v>
      </c>
      <c r="Q68" s="102">
        <f>TrRoad_emi!Q$27</f>
        <v>138.65068702408701</v>
      </c>
      <c r="R68" s="102">
        <f>TrRoad_emi!R$27</f>
        <v>135.38933419457194</v>
      </c>
      <c r="S68" s="102">
        <f>TrRoad_emi!S$27</f>
        <v>138.97894682961919</v>
      </c>
      <c r="T68" s="102">
        <f>TrRoad_emi!T$27</f>
        <v>143.54553023822234</v>
      </c>
      <c r="U68" s="102">
        <f>TrRoad_emi!U$27</f>
        <v>162.13207475682921</v>
      </c>
      <c r="V68" s="102">
        <f>TrRoad_emi!V$27</f>
        <v>118.64782140212023</v>
      </c>
      <c r="W68" s="102">
        <f>TrRoad_emi!W$27</f>
        <v>109.38641141846009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29.840211308154611</v>
      </c>
      <c r="C69" s="110">
        <f t="shared" si="55"/>
        <v>26.435483445862047</v>
      </c>
      <c r="D69" s="110">
        <f t="shared" si="55"/>
        <v>24.916004629919268</v>
      </c>
      <c r="E69" s="110">
        <f t="shared" si="55"/>
        <v>21.088506864710382</v>
      </c>
      <c r="F69" s="110">
        <f t="shared" si="55"/>
        <v>21.203254520425368</v>
      </c>
      <c r="G69" s="110">
        <f t="shared" si="55"/>
        <v>12.398030315388871</v>
      </c>
      <c r="H69" s="110">
        <f t="shared" si="55"/>
        <v>11.173728100697675</v>
      </c>
      <c r="I69" s="110">
        <f t="shared" si="55"/>
        <v>10.071103725561475</v>
      </c>
      <c r="J69" s="110">
        <f t="shared" si="55"/>
        <v>10.421955586378468</v>
      </c>
      <c r="K69" s="110">
        <f t="shared" si="55"/>
        <v>9.0979408283709073</v>
      </c>
      <c r="L69" s="110">
        <f t="shared" si="55"/>
        <v>9.8954808459264942</v>
      </c>
      <c r="M69" s="110">
        <f t="shared" si="55"/>
        <v>10.850182229178323</v>
      </c>
      <c r="N69" s="110">
        <f t="shared" si="55"/>
        <v>10.292059756324955</v>
      </c>
      <c r="O69" s="110">
        <f t="shared" si="55"/>
        <v>9.9530786241544558</v>
      </c>
      <c r="P69" s="110">
        <f t="shared" si="55"/>
        <v>8.7444946798279695</v>
      </c>
      <c r="Q69" s="110">
        <f t="shared" si="55"/>
        <v>8.9827269688314981</v>
      </c>
      <c r="R69" s="110">
        <f t="shared" ref="R69:V69" si="56">R70+R71+R72</f>
        <v>8.155380439598261</v>
      </c>
      <c r="S69" s="110">
        <f t="shared" si="56"/>
        <v>10.307093458088847</v>
      </c>
      <c r="T69" s="110">
        <f t="shared" si="56"/>
        <v>11.224001684658063</v>
      </c>
      <c r="U69" s="110">
        <f t="shared" si="56"/>
        <v>11.591441728306764</v>
      </c>
      <c r="V69" s="110">
        <f t="shared" si="56"/>
        <v>9.198491764677815</v>
      </c>
      <c r="W69" s="110">
        <f t="shared" ref="W69" si="57">W70+W71+W72</f>
        <v>11.187650931217288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29.840211308154611</v>
      </c>
      <c r="C71" s="102">
        <f>TrRail_emi!C$11</f>
        <v>26.435483445862047</v>
      </c>
      <c r="D71" s="102">
        <f>TrRail_emi!D$11</f>
        <v>24.916004629919268</v>
      </c>
      <c r="E71" s="102">
        <f>TrRail_emi!E$11</f>
        <v>21.088506864710382</v>
      </c>
      <c r="F71" s="102">
        <f>TrRail_emi!F$11</f>
        <v>21.203254520425368</v>
      </c>
      <c r="G71" s="102">
        <f>TrRail_emi!G$11</f>
        <v>12.398030315388871</v>
      </c>
      <c r="H71" s="102">
        <f>TrRail_emi!H$11</f>
        <v>11.173728100697675</v>
      </c>
      <c r="I71" s="102">
        <f>TrRail_emi!I$11</f>
        <v>10.071103725561475</v>
      </c>
      <c r="J71" s="102">
        <f>TrRail_emi!J$11</f>
        <v>10.421955586378468</v>
      </c>
      <c r="K71" s="102">
        <f>TrRail_emi!K$11</f>
        <v>9.0979408283709073</v>
      </c>
      <c r="L71" s="102">
        <f>TrRail_emi!L$11</f>
        <v>9.8954808459264942</v>
      </c>
      <c r="M71" s="102">
        <f>TrRail_emi!M$11</f>
        <v>10.850182229178323</v>
      </c>
      <c r="N71" s="102">
        <f>TrRail_emi!N$11</f>
        <v>10.292059756324955</v>
      </c>
      <c r="O71" s="102">
        <f>TrRail_emi!O$11</f>
        <v>9.9530786241544558</v>
      </c>
      <c r="P71" s="102">
        <f>TrRail_emi!P$11</f>
        <v>8.7444946798279695</v>
      </c>
      <c r="Q71" s="102">
        <f>TrRail_emi!Q$11</f>
        <v>8.9827269688314981</v>
      </c>
      <c r="R71" s="102">
        <f>TrRail_emi!R$11</f>
        <v>8.155380439598261</v>
      </c>
      <c r="S71" s="102">
        <f>TrRail_emi!S$11</f>
        <v>10.307093458088847</v>
      </c>
      <c r="T71" s="102">
        <f>TrRail_emi!T$11</f>
        <v>11.224001684658063</v>
      </c>
      <c r="U71" s="102">
        <f>TrRail_emi!U$11</f>
        <v>11.591441728306764</v>
      </c>
      <c r="V71" s="102">
        <f>TrRail_emi!V$11</f>
        <v>9.198491764677815</v>
      </c>
      <c r="W71" s="102">
        <f>TrRail_emi!W$11</f>
        <v>11.187650931217288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69.950979423274646</v>
      </c>
      <c r="C73" s="110">
        <f t="shared" si="58"/>
        <v>92.321004380057985</v>
      </c>
      <c r="D73" s="110">
        <f t="shared" si="58"/>
        <v>82.869878241507308</v>
      </c>
      <c r="E73" s="110">
        <f t="shared" si="58"/>
        <v>95.798380774380632</v>
      </c>
      <c r="F73" s="110">
        <f t="shared" si="58"/>
        <v>102.33065455701116</v>
      </c>
      <c r="G73" s="110">
        <f t="shared" si="58"/>
        <v>138.66212702786288</v>
      </c>
      <c r="H73" s="110">
        <f t="shared" si="58"/>
        <v>156.77961772359097</v>
      </c>
      <c r="I73" s="110">
        <f t="shared" si="58"/>
        <v>196.53131358729368</v>
      </c>
      <c r="J73" s="110">
        <f t="shared" si="58"/>
        <v>227.56250342634493</v>
      </c>
      <c r="K73" s="110">
        <f t="shared" si="58"/>
        <v>107.6873757407333</v>
      </c>
      <c r="L73" s="110">
        <f t="shared" si="58"/>
        <v>144.6107654054984</v>
      </c>
      <c r="M73" s="110">
        <f t="shared" si="58"/>
        <v>166.26381874641299</v>
      </c>
      <c r="N73" s="110">
        <f t="shared" si="58"/>
        <v>186.71304822902243</v>
      </c>
      <c r="O73" s="110">
        <f t="shared" si="58"/>
        <v>208.22324250754039</v>
      </c>
      <c r="P73" s="110">
        <f t="shared" si="58"/>
        <v>230.28130932637072</v>
      </c>
      <c r="Q73" s="110">
        <f t="shared" si="58"/>
        <v>243.04836364436872</v>
      </c>
      <c r="R73" s="110">
        <f t="shared" ref="R73:V73" si="59">R74+R75+R76</f>
        <v>286.36135822289856</v>
      </c>
      <c r="S73" s="110">
        <f t="shared" si="59"/>
        <v>315.64471086027913</v>
      </c>
      <c r="T73" s="110">
        <f t="shared" si="59"/>
        <v>375.91597397835392</v>
      </c>
      <c r="U73" s="110">
        <f t="shared" si="59"/>
        <v>367.87214341078777</v>
      </c>
      <c r="V73" s="110">
        <f t="shared" si="59"/>
        <v>157.33296732774346</v>
      </c>
      <c r="W73" s="110">
        <f t="shared" ref="W73" si="60">W74+W75+W76</f>
        <v>180.66966145816991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59.218250567637291</v>
      </c>
      <c r="C75" s="102">
        <f>TrAvia_emi!C$8</f>
        <v>78.148051952883876</v>
      </c>
      <c r="D75" s="102">
        <f>TrAvia_emi!D$8</f>
        <v>70.144957144987956</v>
      </c>
      <c r="E75" s="102">
        <f>TrAvia_emi!E$8</f>
        <v>81.093251173164489</v>
      </c>
      <c r="F75" s="102">
        <f>TrAvia_emi!F$8</f>
        <v>86.62080203099994</v>
      </c>
      <c r="G75" s="102">
        <f>TrAvia_emi!G$8</f>
        <v>120.19053014019316</v>
      </c>
      <c r="H75" s="102">
        <f>TrAvia_emi!H$8</f>
        <v>137.12501113388578</v>
      </c>
      <c r="I75" s="102">
        <f>TrAvia_emi!I$8</f>
        <v>172.09364601940504</v>
      </c>
      <c r="J75" s="102">
        <f>TrAvia_emi!J$8</f>
        <v>199.42380106772367</v>
      </c>
      <c r="K75" s="102">
        <f>TrAvia_emi!K$8</f>
        <v>92.458955813007876</v>
      </c>
      <c r="L75" s="102">
        <f>TrAvia_emi!L$8</f>
        <v>126.01569371144853</v>
      </c>
      <c r="M75" s="102">
        <f>TrAvia_emi!M$8</f>
        <v>145.76066750006717</v>
      </c>
      <c r="N75" s="102">
        <f>TrAvia_emi!N$8</f>
        <v>165.85679762480871</v>
      </c>
      <c r="O75" s="102">
        <f>TrAvia_emi!O$8</f>
        <v>185.52053888830798</v>
      </c>
      <c r="P75" s="102">
        <f>TrAvia_emi!P$8</f>
        <v>205.31618991828947</v>
      </c>
      <c r="Q75" s="102">
        <f>TrAvia_emi!Q$8</f>
        <v>217.89750291181099</v>
      </c>
      <c r="R75" s="102">
        <f>TrAvia_emi!R$8</f>
        <v>259.49048685460849</v>
      </c>
      <c r="S75" s="102">
        <f>TrAvia_emi!S$8</f>
        <v>286.86477045867332</v>
      </c>
      <c r="T75" s="102">
        <f>TrAvia_emi!T$8</f>
        <v>343.06785137252552</v>
      </c>
      <c r="U75" s="102">
        <f>TrAvia_emi!U$8</f>
        <v>335.13646065927162</v>
      </c>
      <c r="V75" s="102">
        <f>TrAvia_emi!V$8</f>
        <v>137.63423371678741</v>
      </c>
      <c r="W75" s="102">
        <f>TrAvia_emi!W$8</f>
        <v>160.38385205269736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10.732728855637358</v>
      </c>
      <c r="C76" s="102">
        <f>TrAvia_emi!C$9</f>
        <v>14.172952427174112</v>
      </c>
      <c r="D76" s="102">
        <f>TrAvia_emi!D$9</f>
        <v>12.724921096519346</v>
      </c>
      <c r="E76" s="102">
        <f>TrAvia_emi!E$9</f>
        <v>14.705129601216139</v>
      </c>
      <c r="F76" s="102">
        <f>TrAvia_emi!F$9</f>
        <v>15.709852526011217</v>
      </c>
      <c r="G76" s="102">
        <f>TrAvia_emi!G$9</f>
        <v>18.47159688766973</v>
      </c>
      <c r="H76" s="102">
        <f>TrAvia_emi!H$9</f>
        <v>19.654606589705189</v>
      </c>
      <c r="I76" s="102">
        <f>TrAvia_emi!I$9</f>
        <v>24.437667567888628</v>
      </c>
      <c r="J76" s="102">
        <f>TrAvia_emi!J$9</f>
        <v>28.13870235862127</v>
      </c>
      <c r="K76" s="102">
        <f>TrAvia_emi!K$9</f>
        <v>15.228419927725428</v>
      </c>
      <c r="L76" s="102">
        <f>TrAvia_emi!L$9</f>
        <v>18.595071694049871</v>
      </c>
      <c r="M76" s="102">
        <f>TrAvia_emi!M$9</f>
        <v>20.50315124634583</v>
      </c>
      <c r="N76" s="102">
        <f>TrAvia_emi!N$9</f>
        <v>20.856250604213727</v>
      </c>
      <c r="O76" s="102">
        <f>TrAvia_emi!O$9</f>
        <v>22.70270361923242</v>
      </c>
      <c r="P76" s="102">
        <f>TrAvia_emi!P$9</f>
        <v>24.965119408081264</v>
      </c>
      <c r="Q76" s="102">
        <f>TrAvia_emi!Q$9</f>
        <v>25.150860732557721</v>
      </c>
      <c r="R76" s="102">
        <f>TrAvia_emi!R$9</f>
        <v>26.870871368290043</v>
      </c>
      <c r="S76" s="102">
        <f>TrAvia_emi!S$9</f>
        <v>28.779940401605799</v>
      </c>
      <c r="T76" s="102">
        <f>TrAvia_emi!T$9</f>
        <v>32.848122605828415</v>
      </c>
      <c r="U76" s="102">
        <f>TrAvia_emi!U$9</f>
        <v>32.73568275151613</v>
      </c>
      <c r="V76" s="102">
        <f>TrAvia_emi!V$9</f>
        <v>19.698733610956044</v>
      </c>
      <c r="W76" s="102">
        <f>TrAvia_emi!W$9</f>
        <v>20.285809405472552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869.42469521742578</v>
      </c>
      <c r="C77" s="28">
        <f t="shared" si="61"/>
        <v>1049.6213611892254</v>
      </c>
      <c r="D77" s="28">
        <f t="shared" si="61"/>
        <v>1076.6882987742881</v>
      </c>
      <c r="E77" s="28">
        <f t="shared" si="61"/>
        <v>957.11772641930179</v>
      </c>
      <c r="F77" s="28">
        <f t="shared" si="61"/>
        <v>1092.9217866922488</v>
      </c>
      <c r="G77" s="28">
        <f t="shared" si="61"/>
        <v>1050.2551949137126</v>
      </c>
      <c r="H77" s="28">
        <f t="shared" si="61"/>
        <v>1013.1579679112982</v>
      </c>
      <c r="I77" s="28">
        <f t="shared" si="61"/>
        <v>1444.2631529647952</v>
      </c>
      <c r="J77" s="28">
        <f t="shared" si="61"/>
        <v>1510.874494623584</v>
      </c>
      <c r="K77" s="28">
        <f t="shared" si="61"/>
        <v>919.25021428062644</v>
      </c>
      <c r="L77" s="28">
        <f t="shared" si="61"/>
        <v>1078.374991786616</v>
      </c>
      <c r="M77" s="28">
        <f t="shared" si="61"/>
        <v>1261.2008370520266</v>
      </c>
      <c r="N77" s="28">
        <f t="shared" si="61"/>
        <v>967.78768015446121</v>
      </c>
      <c r="O77" s="28">
        <f t="shared" si="61"/>
        <v>1051.8133190772337</v>
      </c>
      <c r="P77" s="28">
        <f t="shared" si="61"/>
        <v>1583.3175730540468</v>
      </c>
      <c r="Q77" s="28">
        <f t="shared" si="61"/>
        <v>1677.7222399695522</v>
      </c>
      <c r="R77" s="28">
        <f t="shared" ref="R77:V77" si="62">R78+R81+R82+R86+R92</f>
        <v>1615.5757528351494</v>
      </c>
      <c r="S77" s="28">
        <f t="shared" si="62"/>
        <v>1681.5270367082276</v>
      </c>
      <c r="T77" s="28">
        <f t="shared" si="62"/>
        <v>1805.2106476340466</v>
      </c>
      <c r="U77" s="28">
        <f t="shared" si="62"/>
        <v>1870.7148945514432</v>
      </c>
      <c r="V77" s="28">
        <f t="shared" si="62"/>
        <v>1946.3880619066522</v>
      </c>
      <c r="W77" s="28">
        <f t="shared" ref="W77" si="63">W78+W81+W82+W86+W92</f>
        <v>1976.4104893865892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666.36628086885514</v>
      </c>
      <c r="C78" s="137">
        <f t="shared" si="64"/>
        <v>868.48389505514547</v>
      </c>
      <c r="D78" s="137">
        <f t="shared" si="64"/>
        <v>878.21405428571472</v>
      </c>
      <c r="E78" s="137">
        <f t="shared" si="64"/>
        <v>733.29566837839275</v>
      </c>
      <c r="F78" s="137">
        <f t="shared" si="64"/>
        <v>869.13752160968511</v>
      </c>
      <c r="G78" s="137">
        <f t="shared" si="64"/>
        <v>814.28190825696447</v>
      </c>
      <c r="H78" s="137">
        <f t="shared" si="64"/>
        <v>781.78147465558686</v>
      </c>
      <c r="I78" s="137">
        <f t="shared" si="64"/>
        <v>1206.5161050776505</v>
      </c>
      <c r="J78" s="137">
        <f t="shared" si="64"/>
        <v>1267.0943863963075</v>
      </c>
      <c r="K78" s="137">
        <f t="shared" si="64"/>
        <v>732.74277188973065</v>
      </c>
      <c r="L78" s="137">
        <f t="shared" si="64"/>
        <v>879.58414499804076</v>
      </c>
      <c r="M78" s="137">
        <f t="shared" si="64"/>
        <v>1060.103857867618</v>
      </c>
      <c r="N78" s="137">
        <f t="shared" si="64"/>
        <v>784.00827057980848</v>
      </c>
      <c r="O78" s="137">
        <f t="shared" si="64"/>
        <v>880.24881872892843</v>
      </c>
      <c r="P78" s="137">
        <f t="shared" si="64"/>
        <v>1404.4968929802453</v>
      </c>
      <c r="Q78" s="137">
        <f t="shared" si="64"/>
        <v>1509.4697005027522</v>
      </c>
      <c r="R78" s="137">
        <f t="shared" ref="R78:V78" si="65">R79+R80</f>
        <v>1452.9030920576463</v>
      </c>
      <c r="S78" s="137">
        <f t="shared" si="65"/>
        <v>1503.9720179865956</v>
      </c>
      <c r="T78" s="137">
        <f t="shared" si="65"/>
        <v>1608.4885800570587</v>
      </c>
      <c r="U78" s="137">
        <f t="shared" si="65"/>
        <v>1690.6043908505376</v>
      </c>
      <c r="V78" s="137">
        <f t="shared" si="65"/>
        <v>1773.7081411190734</v>
      </c>
      <c r="W78" s="137">
        <f t="shared" ref="W78" si="66">W79+W80</f>
        <v>1814.9315695359765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102.47493211246156</v>
      </c>
      <c r="C79" s="102">
        <f>TrRoad_emi!C$34</f>
        <v>102.44660709925525</v>
      </c>
      <c r="D79" s="102">
        <f>TrRoad_emi!D$34</f>
        <v>103.01020484580147</v>
      </c>
      <c r="E79" s="102">
        <f>TrRoad_emi!E$34</f>
        <v>105.4337974399338</v>
      </c>
      <c r="F79" s="102">
        <f>TrRoad_emi!F$34</f>
        <v>111.29884613327432</v>
      </c>
      <c r="G79" s="102">
        <f>TrRoad_emi!G$34</f>
        <v>116.65322476832137</v>
      </c>
      <c r="H79" s="102">
        <f>TrRoad_emi!H$34</f>
        <v>137.63742094843707</v>
      </c>
      <c r="I79" s="102">
        <f>TrRoad_emi!I$34</f>
        <v>156.39325998696404</v>
      </c>
      <c r="J79" s="102">
        <f>TrRoad_emi!J$34</f>
        <v>159.68134962149571</v>
      </c>
      <c r="K79" s="102">
        <f>TrRoad_emi!K$34</f>
        <v>165.3469513632314</v>
      </c>
      <c r="L79" s="102">
        <f>TrRoad_emi!L$34</f>
        <v>157.01360568210669</v>
      </c>
      <c r="M79" s="102">
        <f>TrRoad_emi!M$34</f>
        <v>172.92928139871287</v>
      </c>
      <c r="N79" s="102">
        <f>TrRoad_emi!N$34</f>
        <v>187.12209099017412</v>
      </c>
      <c r="O79" s="102">
        <f>TrRoad_emi!O$34</f>
        <v>195.26483613579438</v>
      </c>
      <c r="P79" s="102">
        <f>TrRoad_emi!P$34</f>
        <v>220.33319048632404</v>
      </c>
      <c r="Q79" s="102">
        <f>TrRoad_emi!Q$34</f>
        <v>231.26904012414985</v>
      </c>
      <c r="R79" s="102">
        <f>TrRoad_emi!R$34</f>
        <v>248.15097453194394</v>
      </c>
      <c r="S79" s="102">
        <f>TrRoad_emi!S$34</f>
        <v>252.23036697248352</v>
      </c>
      <c r="T79" s="102">
        <f>TrRoad_emi!T$34</f>
        <v>256.85073570297425</v>
      </c>
      <c r="U79" s="102">
        <f>TrRoad_emi!U$34</f>
        <v>268.86792631512571</v>
      </c>
      <c r="V79" s="102">
        <f>TrRoad_emi!V$34</f>
        <v>275.18602364052674</v>
      </c>
      <c r="W79" s="102">
        <f>TrRoad_emi!W$34</f>
        <v>281.09919563917725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563.89134875639354</v>
      </c>
      <c r="C80" s="102">
        <f>TrRoad_emi!C$40</f>
        <v>766.03728795589018</v>
      </c>
      <c r="D80" s="102">
        <f>TrRoad_emi!D$40</f>
        <v>775.20384943991326</v>
      </c>
      <c r="E80" s="102">
        <f>TrRoad_emi!E$40</f>
        <v>627.86187093845899</v>
      </c>
      <c r="F80" s="102">
        <f>TrRoad_emi!F$40</f>
        <v>757.8386754764108</v>
      </c>
      <c r="G80" s="102">
        <f>TrRoad_emi!G$40</f>
        <v>697.62868348864311</v>
      </c>
      <c r="H80" s="102">
        <f>TrRoad_emi!H$40</f>
        <v>644.14405370714985</v>
      </c>
      <c r="I80" s="102">
        <f>TrRoad_emi!I$40</f>
        <v>1050.1228450906865</v>
      </c>
      <c r="J80" s="102">
        <f>TrRoad_emi!J$40</f>
        <v>1107.4130367748119</v>
      </c>
      <c r="K80" s="102">
        <f>TrRoad_emi!K$40</f>
        <v>567.39582052649928</v>
      </c>
      <c r="L80" s="102">
        <f>TrRoad_emi!L$40</f>
        <v>722.57053931593407</v>
      </c>
      <c r="M80" s="102">
        <f>TrRoad_emi!M$40</f>
        <v>887.17457646890523</v>
      </c>
      <c r="N80" s="102">
        <f>TrRoad_emi!N$40</f>
        <v>596.88617958963437</v>
      </c>
      <c r="O80" s="102">
        <f>TrRoad_emi!O$40</f>
        <v>684.9839825931341</v>
      </c>
      <c r="P80" s="102">
        <f>TrRoad_emi!P$40</f>
        <v>1184.1637024939214</v>
      </c>
      <c r="Q80" s="102">
        <f>TrRoad_emi!Q$40</f>
        <v>1278.2006603786024</v>
      </c>
      <c r="R80" s="102">
        <f>TrRoad_emi!R$40</f>
        <v>1204.7521175257023</v>
      </c>
      <c r="S80" s="102">
        <f>TrRoad_emi!S$40</f>
        <v>1251.741651014112</v>
      </c>
      <c r="T80" s="102">
        <f>TrRoad_emi!T$40</f>
        <v>1351.6378443540843</v>
      </c>
      <c r="U80" s="102">
        <f>TrRoad_emi!U$40</f>
        <v>1421.7364645354119</v>
      </c>
      <c r="V80" s="102">
        <f>TrRoad_emi!V$40</f>
        <v>1498.5221174785468</v>
      </c>
      <c r="W80" s="102">
        <f>TrRoad_emi!W$40</f>
        <v>1533.8323738967993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192.05955977184539</v>
      </c>
      <c r="C81" s="110">
        <f>TrRail_emi!C$15</f>
        <v>170.10448147413797</v>
      </c>
      <c r="D81" s="110">
        <f>TrRail_emi!D$15</f>
        <v>184.30386337008073</v>
      </c>
      <c r="E81" s="110">
        <f>TrRail_emi!E$15</f>
        <v>210.32125821528959</v>
      </c>
      <c r="F81" s="110">
        <f>TrRail_emi!F$15</f>
        <v>207.0366014795747</v>
      </c>
      <c r="G81" s="110">
        <f>TrRail_emi!G$15</f>
        <v>219.01173476461111</v>
      </c>
      <c r="H81" s="110">
        <f>TrRail_emi!H$15</f>
        <v>210.72604297930229</v>
      </c>
      <c r="I81" s="110">
        <f>TrRail_emi!I$15</f>
        <v>219.71596027443849</v>
      </c>
      <c r="J81" s="110">
        <f>TrRail_emi!J$15</f>
        <v>222.5566250536215</v>
      </c>
      <c r="K81" s="110">
        <f>TrRail_emi!K$15</f>
        <v>169.62539045162904</v>
      </c>
      <c r="L81" s="110">
        <f>TrRail_emi!L$15</f>
        <v>178.40213359407352</v>
      </c>
      <c r="M81" s="110">
        <f>TrRail_emi!M$15</f>
        <v>183.83046549082167</v>
      </c>
      <c r="N81" s="110">
        <f>TrRail_emi!N$15</f>
        <v>165.23975488367509</v>
      </c>
      <c r="O81" s="110">
        <f>TrRail_emi!O$15</f>
        <v>152.81266945584554</v>
      </c>
      <c r="P81" s="110">
        <f>TrRail_emi!P$15</f>
        <v>160.40428668017205</v>
      </c>
      <c r="Q81" s="110">
        <f>TrRail_emi!Q$15</f>
        <v>149.81363231116853</v>
      </c>
      <c r="R81" s="110">
        <f>TrRail_emi!R$15</f>
        <v>147.46493428040174</v>
      </c>
      <c r="S81" s="110">
        <f>TrRail_emi!S$15</f>
        <v>157.38171042191118</v>
      </c>
      <c r="T81" s="110">
        <f>TrRail_emi!T$15</f>
        <v>178.3788694353419</v>
      </c>
      <c r="U81" s="110">
        <f>TrRail_emi!U$15</f>
        <v>160.22627343169327</v>
      </c>
      <c r="V81" s="110">
        <f>TrRail_emi!V$15</f>
        <v>155.18835683532222</v>
      </c>
      <c r="W81" s="110">
        <f>TrRail_emi!W$15</f>
        <v>143.66039358878274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1.4888605767253509</v>
      </c>
      <c r="C82" s="110">
        <f t="shared" si="67"/>
        <v>1.5229906599419936</v>
      </c>
      <c r="D82" s="110">
        <f t="shared" si="67"/>
        <v>1.490478038492677</v>
      </c>
      <c r="E82" s="110">
        <f t="shared" si="67"/>
        <v>0.82089674561938897</v>
      </c>
      <c r="F82" s="110">
        <f t="shared" si="67"/>
        <v>0.89758468298888339</v>
      </c>
      <c r="G82" s="110">
        <f t="shared" si="67"/>
        <v>1.111472972137129</v>
      </c>
      <c r="H82" s="110">
        <f t="shared" si="67"/>
        <v>1.6304622764090853</v>
      </c>
      <c r="I82" s="110">
        <f t="shared" si="67"/>
        <v>2.0737711727063481</v>
      </c>
      <c r="J82" s="110">
        <f t="shared" si="67"/>
        <v>2.0746500936551202</v>
      </c>
      <c r="K82" s="110">
        <f t="shared" si="67"/>
        <v>0.92473549926669274</v>
      </c>
      <c r="L82" s="110">
        <f t="shared" si="67"/>
        <v>1.2398801145015794</v>
      </c>
      <c r="M82" s="110">
        <f t="shared" si="67"/>
        <v>1.3091972535870187</v>
      </c>
      <c r="N82" s="110">
        <f t="shared" si="67"/>
        <v>2.5823382509775574</v>
      </c>
      <c r="O82" s="110">
        <f t="shared" si="67"/>
        <v>2.7945144524595773</v>
      </c>
      <c r="P82" s="110">
        <f t="shared" si="67"/>
        <v>2.4590769536293009</v>
      </c>
      <c r="Q82" s="110">
        <f t="shared" si="67"/>
        <v>2.5592178756313801</v>
      </c>
      <c r="R82" s="110">
        <f t="shared" si="67"/>
        <v>2.5040817771014536</v>
      </c>
      <c r="S82" s="110">
        <f t="shared" si="67"/>
        <v>3.02330789972082</v>
      </c>
      <c r="T82" s="110">
        <f t="shared" si="67"/>
        <v>3.4163755816462555</v>
      </c>
      <c r="U82" s="110">
        <f t="shared" si="67"/>
        <v>3.3693854292124472</v>
      </c>
      <c r="V82" s="110">
        <f t="shared" si="67"/>
        <v>5.7269144322565477</v>
      </c>
      <c r="W82" s="110">
        <f t="shared" ref="W82" si="68">W83+W84+W85</f>
        <v>5.4179209018301142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1.4617169621244943</v>
      </c>
      <c r="C84" s="102">
        <f>TrAvia_emi!C$12</f>
        <v>1.4957466222028217</v>
      </c>
      <c r="D84" s="102">
        <f>TrAvia_emi!D$12</f>
        <v>1.463304935731861</v>
      </c>
      <c r="E84" s="102">
        <f>TrAvia_emi!E$12</f>
        <v>0.79349357506422025</v>
      </c>
      <c r="F84" s="102">
        <f>TrAvia_emi!F$12</f>
        <v>0.86337186682349276</v>
      </c>
      <c r="G84" s="102">
        <f>TrAvia_emi!G$12</f>
        <v>1.0633964125850719</v>
      </c>
      <c r="H84" s="102">
        <f>TrAvia_emi!H$12</f>
        <v>1.5166950109496753</v>
      </c>
      <c r="I84" s="102">
        <f>TrAvia_emi!I$12</f>
        <v>1.8699896768733251</v>
      </c>
      <c r="J84" s="102">
        <f>TrAvia_emi!J$12</f>
        <v>1.9399023078432465</v>
      </c>
      <c r="K84" s="102">
        <f>TrAvia_emi!K$12</f>
        <v>0.90820821297280663</v>
      </c>
      <c r="L84" s="102">
        <f>TrAvia_emi!L$12</f>
        <v>1.2079391709594476</v>
      </c>
      <c r="M84" s="102">
        <f>TrAvia_emi!M$12</f>
        <v>1.2476600050980842</v>
      </c>
      <c r="N84" s="102">
        <f>TrAvia_emi!N$12</f>
        <v>1.2510210173553746</v>
      </c>
      <c r="O84" s="102">
        <f>TrAvia_emi!O$12</f>
        <v>2.1963429420135454</v>
      </c>
      <c r="P84" s="102">
        <f>TrAvia_emi!P$12</f>
        <v>2.1875517878114166</v>
      </c>
      <c r="Q84" s="102">
        <f>TrAvia_emi!Q$12</f>
        <v>2.314264152135229</v>
      </c>
      <c r="R84" s="102">
        <f>TrAvia_emi!R$12</f>
        <v>2.3441054631119709</v>
      </c>
      <c r="S84" s="102">
        <f>TrAvia_emi!S$12</f>
        <v>2.9397662935307944</v>
      </c>
      <c r="T84" s="102">
        <f>TrAvia_emi!T$12</f>
        <v>3.2785524387727008</v>
      </c>
      <c r="U84" s="102">
        <f>TrAvia_emi!U$12</f>
        <v>3.2103030418835945</v>
      </c>
      <c r="V84" s="102">
        <f>TrAvia_emi!V$12</f>
        <v>5.1142399087580337</v>
      </c>
      <c r="W84" s="102">
        <f>TrAvia_emi!W$12</f>
        <v>5.0896000739393532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2.7143614600856552E-2</v>
      </c>
      <c r="C85" s="102">
        <f>TrAvia_emi!C$13</f>
        <v>2.7244037739171775E-2</v>
      </c>
      <c r="D85" s="102">
        <f>TrAvia_emi!D$13</f>
        <v>2.7173102760816081E-2</v>
      </c>
      <c r="E85" s="102">
        <f>TrAvia_emi!E$13</f>
        <v>2.7403170555168724E-2</v>
      </c>
      <c r="F85" s="102">
        <f>TrAvia_emi!F$13</f>
        <v>3.421281616539068E-2</v>
      </c>
      <c r="G85" s="102">
        <f>TrAvia_emi!G$13</f>
        <v>4.8076559552057078E-2</v>
      </c>
      <c r="H85" s="102">
        <f>TrAvia_emi!H$13</f>
        <v>0.11376726545941004</v>
      </c>
      <c r="I85" s="102">
        <f>TrAvia_emi!I$13</f>
        <v>0.20378149583302319</v>
      </c>
      <c r="J85" s="102">
        <f>TrAvia_emi!J$13</f>
        <v>0.13474778581187372</v>
      </c>
      <c r="K85" s="102">
        <f>TrAvia_emi!K$13</f>
        <v>1.6527286293886164E-2</v>
      </c>
      <c r="L85" s="102">
        <f>TrAvia_emi!L$13</f>
        <v>3.194094354213188E-2</v>
      </c>
      <c r="M85" s="102">
        <f>TrAvia_emi!M$13</f>
        <v>6.1537248488934465E-2</v>
      </c>
      <c r="N85" s="102">
        <f>TrAvia_emi!N$13</f>
        <v>1.3313172336221828</v>
      </c>
      <c r="O85" s="102">
        <f>TrAvia_emi!O$13</f>
        <v>0.59817151044603201</v>
      </c>
      <c r="P85" s="102">
        <f>TrAvia_emi!P$13</f>
        <v>0.27152516581788444</v>
      </c>
      <c r="Q85" s="102">
        <f>TrAvia_emi!Q$13</f>
        <v>0.2449537234961513</v>
      </c>
      <c r="R85" s="102">
        <f>TrAvia_emi!R$13</f>
        <v>0.15997631398948284</v>
      </c>
      <c r="S85" s="102">
        <f>TrAvia_emi!S$13</f>
        <v>8.3541606190025652E-2</v>
      </c>
      <c r="T85" s="102">
        <f>TrAvia_emi!T$13</f>
        <v>0.13782314287355488</v>
      </c>
      <c r="U85" s="102">
        <f>TrAvia_emi!U$13</f>
        <v>0.15908238732885274</v>
      </c>
      <c r="V85" s="102">
        <f>TrAvia_emi!V$13</f>
        <v>0.61267452349851437</v>
      </c>
      <c r="W85" s="102">
        <f>TrAvia_emi!W$13</f>
        <v>0.32832082789076089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9.5099939999999972</v>
      </c>
      <c r="C86" s="110">
        <f t="shared" si="69"/>
        <v>9.5099939999999989</v>
      </c>
      <c r="D86" s="110">
        <f t="shared" si="69"/>
        <v>12.679903080000001</v>
      </c>
      <c r="E86" s="110">
        <f t="shared" si="69"/>
        <v>12.679903080000001</v>
      </c>
      <c r="F86" s="110">
        <f t="shared" si="69"/>
        <v>15.850078919999998</v>
      </c>
      <c r="G86" s="110">
        <f t="shared" si="69"/>
        <v>15.850078919999998</v>
      </c>
      <c r="H86" s="110">
        <f t="shared" si="69"/>
        <v>19.019987999999998</v>
      </c>
      <c r="I86" s="110">
        <f t="shared" si="69"/>
        <v>15.957316439999998</v>
      </c>
      <c r="J86" s="110">
        <f t="shared" si="69"/>
        <v>19.148833080000003</v>
      </c>
      <c r="K86" s="110">
        <f t="shared" si="69"/>
        <v>15.957316439999998</v>
      </c>
      <c r="L86" s="110">
        <f t="shared" si="69"/>
        <v>19.148833080000003</v>
      </c>
      <c r="M86" s="110">
        <f t="shared" si="69"/>
        <v>15.95731644</v>
      </c>
      <c r="N86" s="110">
        <f t="shared" si="69"/>
        <v>15.957316440000001</v>
      </c>
      <c r="O86" s="110">
        <f t="shared" si="69"/>
        <v>15.957316440000001</v>
      </c>
      <c r="P86" s="110">
        <f t="shared" si="69"/>
        <v>15.957316440000001</v>
      </c>
      <c r="Q86" s="110">
        <f t="shared" si="69"/>
        <v>15.879689279999996</v>
      </c>
      <c r="R86" s="110">
        <f t="shared" ref="R86:V86" si="70">R87+R88</f>
        <v>12.703644719999996</v>
      </c>
      <c r="S86" s="110">
        <f t="shared" si="70"/>
        <v>17.1500004</v>
      </c>
      <c r="T86" s="110">
        <f t="shared" si="70"/>
        <v>14.926822560000002</v>
      </c>
      <c r="U86" s="110">
        <f t="shared" si="70"/>
        <v>16.514844839999999</v>
      </c>
      <c r="V86" s="110">
        <f t="shared" si="70"/>
        <v>11.764649519999999</v>
      </c>
      <c r="W86" s="110">
        <f t="shared" ref="W86" si="71">W87+W88</f>
        <v>12.40060536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9.4753708193984671</v>
      </c>
      <c r="C87" s="102">
        <f>TrNavi_emi!C$4</f>
        <v>9.4863755960210625</v>
      </c>
      <c r="D87" s="102">
        <f>TrNavi_emi!D$4</f>
        <v>12.637043905037487</v>
      </c>
      <c r="E87" s="102">
        <f>TrNavi_emi!E$4</f>
        <v>12.634296320714714</v>
      </c>
      <c r="F87" s="102">
        <f>TrNavi_emi!F$4</f>
        <v>15.743939339863356</v>
      </c>
      <c r="G87" s="102">
        <f>TrNavi_emi!G$4</f>
        <v>15.710335986745385</v>
      </c>
      <c r="H87" s="102">
        <f>TrNavi_emi!H$4</f>
        <v>18.719196612955347</v>
      </c>
      <c r="I87" s="102">
        <f>TrNavi_emi!I$4</f>
        <v>14.639422418792631</v>
      </c>
      <c r="J87" s="102">
        <f>TrNavi_emi!J$4</f>
        <v>17.115299994576233</v>
      </c>
      <c r="K87" s="102">
        <f>TrNavi_emi!K$4</f>
        <v>15.585348968835218</v>
      </c>
      <c r="L87" s="102">
        <f>TrNavi_emi!L$4</f>
        <v>18.717831134733437</v>
      </c>
      <c r="M87" s="102">
        <f>TrNavi_emi!M$4</f>
        <v>15.684458746782131</v>
      </c>
      <c r="N87" s="102">
        <f>TrNavi_emi!N$4</f>
        <v>15.858370694506512</v>
      </c>
      <c r="O87" s="102">
        <f>TrNavi_emi!O$4</f>
        <v>15.957316440000001</v>
      </c>
      <c r="P87" s="102">
        <f>TrNavi_emi!P$4</f>
        <v>15.957316440000001</v>
      </c>
      <c r="Q87" s="102">
        <f>TrNavi_emi!Q$4</f>
        <v>15.879689279999996</v>
      </c>
      <c r="R87" s="102">
        <f>TrNavi_emi!R$4</f>
        <v>12.703644719999996</v>
      </c>
      <c r="S87" s="102">
        <f>TrNavi_emi!S$4</f>
        <v>17.1500004</v>
      </c>
      <c r="T87" s="102">
        <f>TrNavi_emi!T$4</f>
        <v>14.926822560000002</v>
      </c>
      <c r="U87" s="102">
        <f>TrNavi_emi!U$4</f>
        <v>16.514844839999999</v>
      </c>
      <c r="V87" s="102">
        <f>TrNavi_emi!V$4</f>
        <v>11.764358516263272</v>
      </c>
      <c r="W87" s="102">
        <f>TrNavi_emi!W$4</f>
        <v>12.315155098259437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3.4623180601530891E-2</v>
      </c>
      <c r="C88" s="169">
        <f>TrNavi_emi!C$5</f>
        <v>2.3618403978935734E-2</v>
      </c>
      <c r="D88" s="169">
        <f>TrNavi_emi!D$5</f>
        <v>4.2859174962513479E-2</v>
      </c>
      <c r="E88" s="169">
        <f>TrNavi_emi!E$5</f>
        <v>4.5606759285285806E-2</v>
      </c>
      <c r="F88" s="169">
        <f>TrNavi_emi!F$5</f>
        <v>0.10613958013664247</v>
      </c>
      <c r="G88" s="169">
        <f>TrNavi_emi!G$5</f>
        <v>0.13974293325461307</v>
      </c>
      <c r="H88" s="169">
        <f>TrNavi_emi!H$5</f>
        <v>0.30079138704465014</v>
      </c>
      <c r="I88" s="169">
        <f>TrNavi_emi!I$5</f>
        <v>1.3178940212073678</v>
      </c>
      <c r="J88" s="169">
        <f>TrNavi_emi!J$5</f>
        <v>2.0335330854237679</v>
      </c>
      <c r="K88" s="169">
        <f>TrNavi_emi!K$5</f>
        <v>0.37196747116478041</v>
      </c>
      <c r="L88" s="169">
        <f>TrNavi_emi!L$5</f>
        <v>0.43100194526656394</v>
      </c>
      <c r="M88" s="169">
        <f>TrNavi_emi!M$5</f>
        <v>0.27285769321786929</v>
      </c>
      <c r="N88" s="169">
        <f>TrNavi_emi!N$5</f>
        <v>9.8945745493489612E-2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2.9100373672795964E-4</v>
      </c>
      <c r="W88" s="169">
        <f>TrNavi_emi!W$5</f>
        <v>8.5450261740563568E-2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292.54041108000001</v>
      </c>
      <c r="C89" s="28">
        <f t="shared" si="72"/>
        <v>317.22057000000001</v>
      </c>
      <c r="D89" s="28">
        <f t="shared" si="72"/>
        <v>348.24054708000006</v>
      </c>
      <c r="E89" s="28">
        <f t="shared" si="72"/>
        <v>347.93839007999998</v>
      </c>
      <c r="F89" s="28">
        <f t="shared" si="72"/>
        <v>360.46734804000005</v>
      </c>
      <c r="G89" s="28">
        <f t="shared" si="72"/>
        <v>456.24436488000003</v>
      </c>
      <c r="H89" s="28">
        <f t="shared" si="72"/>
        <v>440.54549783999994</v>
      </c>
      <c r="I89" s="28">
        <f t="shared" si="72"/>
        <v>379.55025144000018</v>
      </c>
      <c r="J89" s="28">
        <f t="shared" si="72"/>
        <v>286.53102432000003</v>
      </c>
      <c r="K89" s="28">
        <f t="shared" si="72"/>
        <v>404.53724160000019</v>
      </c>
      <c r="L89" s="28">
        <f t="shared" si="72"/>
        <v>448.37785008000009</v>
      </c>
      <c r="M89" s="28">
        <f t="shared" si="72"/>
        <v>451.68274728000029</v>
      </c>
      <c r="N89" s="28">
        <f t="shared" si="72"/>
        <v>386.73176328</v>
      </c>
      <c r="O89" s="28">
        <f t="shared" si="72"/>
        <v>278.51066460000004</v>
      </c>
      <c r="P89" s="28">
        <f t="shared" si="72"/>
        <v>34.698286440000004</v>
      </c>
      <c r="Q89" s="28">
        <f t="shared" si="72"/>
        <v>239.83073136000002</v>
      </c>
      <c r="R89" s="28">
        <f t="shared" si="72"/>
        <v>516.10334111999998</v>
      </c>
      <c r="S89" s="28">
        <f t="shared" si="72"/>
        <v>555.86488680000002</v>
      </c>
      <c r="T89" s="28">
        <f t="shared" si="72"/>
        <v>640.29878460000009</v>
      </c>
      <c r="U89" s="28">
        <f t="shared" si="72"/>
        <v>619.05317256000012</v>
      </c>
      <c r="V89" s="28">
        <f t="shared" si="72"/>
        <v>578.97739980000006</v>
      </c>
      <c r="W89" s="28">
        <f t="shared" si="72"/>
        <v>595.73527704000014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141.99650921144558</v>
      </c>
      <c r="C90" s="102">
        <f>MBunk_emi!C$4</f>
        <v>153.96114606198574</v>
      </c>
      <c r="D90" s="102">
        <f>MBunk_emi!D$4</f>
        <v>168.51609844706769</v>
      </c>
      <c r="E90" s="102">
        <f>MBunk_emi!E$4</f>
        <v>168.60924410745784</v>
      </c>
      <c r="F90" s="102">
        <f>MBunk_emi!F$4</f>
        <v>174.7028189082622</v>
      </c>
      <c r="G90" s="102">
        <f>MBunk_emi!G$4</f>
        <v>223.18573186625491</v>
      </c>
      <c r="H90" s="102">
        <f>MBunk_emi!H$4</f>
        <v>180.93699848947182</v>
      </c>
      <c r="I90" s="102">
        <f>MBunk_emi!I$4</f>
        <v>134.929105137921</v>
      </c>
      <c r="J90" s="102">
        <f>MBunk_emi!J$4</f>
        <v>96.092149067674271</v>
      </c>
      <c r="K90" s="102">
        <f>MBunk_emi!K$4</f>
        <v>123.80115159814119</v>
      </c>
      <c r="L90" s="102">
        <f>MBunk_emi!L$4</f>
        <v>139.51155799340302</v>
      </c>
      <c r="M90" s="102">
        <f>MBunk_emi!M$4</f>
        <v>148.13024137109696</v>
      </c>
      <c r="N90" s="102">
        <f>MBunk_emi!N$4</f>
        <v>130.43961757451885</v>
      </c>
      <c r="O90" s="102">
        <f>MBunk_emi!O$4</f>
        <v>86.613669063329908</v>
      </c>
      <c r="P90" s="102">
        <f>MBunk_emi!P$4</f>
        <v>10.250968753380116</v>
      </c>
      <c r="Q90" s="102">
        <f>MBunk_emi!Q$4</f>
        <v>66.662522439940332</v>
      </c>
      <c r="R90" s="102">
        <f>MBunk_emi!R$4</f>
        <v>132.75386407350683</v>
      </c>
      <c r="S90" s="102">
        <f>MBunk_emi!S$4</f>
        <v>143.15371819948683</v>
      </c>
      <c r="T90" s="102">
        <f>MBunk_emi!T$4</f>
        <v>167.09676596122787</v>
      </c>
      <c r="U90" s="102">
        <f>MBunk_emi!U$4</f>
        <v>164.85677447090364</v>
      </c>
      <c r="V90" s="102">
        <f>MBunk_emi!V$4</f>
        <v>133.75434003516821</v>
      </c>
      <c r="W90" s="102">
        <f>MBunk_emi!W$4</f>
        <v>128.568839462396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150.54390186855443</v>
      </c>
      <c r="C91" s="86">
        <f>MBunk_emi!C$5</f>
        <v>163.25942393801427</v>
      </c>
      <c r="D91" s="86">
        <f>MBunk_emi!D$5</f>
        <v>179.72444863293236</v>
      </c>
      <c r="E91" s="86">
        <f>MBunk_emi!E$5</f>
        <v>179.32914597254216</v>
      </c>
      <c r="F91" s="86">
        <f>MBunk_emi!F$5</f>
        <v>185.76452913173785</v>
      </c>
      <c r="G91" s="86">
        <f>MBunk_emi!G$5</f>
        <v>233.05863301374512</v>
      </c>
      <c r="H91" s="86">
        <f>MBunk_emi!H$5</f>
        <v>259.60849935052812</v>
      </c>
      <c r="I91" s="86">
        <f>MBunk_emi!I$5</f>
        <v>244.62114630207918</v>
      </c>
      <c r="J91" s="86">
        <f>MBunk_emi!J$5</f>
        <v>190.43887525232574</v>
      </c>
      <c r="K91" s="86">
        <f>MBunk_emi!K$5</f>
        <v>280.736090001859</v>
      </c>
      <c r="L91" s="86">
        <f>MBunk_emi!L$5</f>
        <v>308.86629208659707</v>
      </c>
      <c r="M91" s="86">
        <f>MBunk_emi!M$5</f>
        <v>303.5525059089033</v>
      </c>
      <c r="N91" s="86">
        <f>MBunk_emi!N$5</f>
        <v>256.29214570548112</v>
      </c>
      <c r="O91" s="86">
        <f>MBunk_emi!O$5</f>
        <v>191.89699553667015</v>
      </c>
      <c r="P91" s="86">
        <f>MBunk_emi!P$5</f>
        <v>24.447317686619886</v>
      </c>
      <c r="Q91" s="86">
        <f>MBunk_emi!Q$5</f>
        <v>173.16820892005967</v>
      </c>
      <c r="R91" s="86">
        <f>MBunk_emi!R$5</f>
        <v>383.34947704649318</v>
      </c>
      <c r="S91" s="86">
        <f>MBunk_emi!S$5</f>
        <v>412.71116860051319</v>
      </c>
      <c r="T91" s="86">
        <f>MBunk_emi!T$5</f>
        <v>473.20201863877224</v>
      </c>
      <c r="U91" s="86">
        <f>MBunk_emi!U$5</f>
        <v>454.19639808909642</v>
      </c>
      <c r="V91" s="86">
        <f>MBunk_emi!V$5</f>
        <v>445.22305976483182</v>
      </c>
      <c r="W91" s="86">
        <f>MBunk_emi!W$5</f>
        <v>467.16643757760414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0.95919371518056518</v>
      </c>
      <c r="C97" s="139">
        <f t="shared" si="76"/>
        <v>0.95496371346829179</v>
      </c>
      <c r="D97" s="139">
        <f t="shared" si="76"/>
        <v>0.95853948443119519</v>
      </c>
      <c r="E97" s="139">
        <f t="shared" si="76"/>
        <v>0.96069035532159219</v>
      </c>
      <c r="F97" s="139">
        <f t="shared" si="76"/>
        <v>0.96121318419809965</v>
      </c>
      <c r="G97" s="139">
        <f t="shared" si="76"/>
        <v>0.96074041316744485</v>
      </c>
      <c r="H97" s="139">
        <f t="shared" si="76"/>
        <v>0.95969296070643106</v>
      </c>
      <c r="I97" s="139">
        <f t="shared" si="76"/>
        <v>0.95318508148656889</v>
      </c>
      <c r="J97" s="139">
        <f t="shared" si="76"/>
        <v>0.95143917565173119</v>
      </c>
      <c r="K97" s="139">
        <f t="shared" si="76"/>
        <v>0.96487348648533822</v>
      </c>
      <c r="L97" s="139">
        <f t="shared" si="76"/>
        <v>0.95253176594547928</v>
      </c>
      <c r="M97" s="139">
        <f t="shared" si="76"/>
        <v>0.94137510138678693</v>
      </c>
      <c r="N97" s="139">
        <f t="shared" si="76"/>
        <v>0.93719369098060956</v>
      </c>
      <c r="O97" s="139">
        <f t="shared" si="76"/>
        <v>0.92971253765261552</v>
      </c>
      <c r="P97" s="139">
        <f t="shared" si="76"/>
        <v>0.90262879152378572</v>
      </c>
      <c r="Q97" s="139">
        <f t="shared" si="76"/>
        <v>0.89553150212823918</v>
      </c>
      <c r="R97" s="139">
        <f t="shared" ref="R97:V97" si="77">IF(R5=0,0,R5/R$4)</f>
        <v>0.88807030348795923</v>
      </c>
      <c r="S97" s="139">
        <f t="shared" si="77"/>
        <v>0.89564738686359935</v>
      </c>
      <c r="T97" s="139">
        <f t="shared" si="77"/>
        <v>0.8719941511853726</v>
      </c>
      <c r="U97" s="139">
        <f t="shared" si="77"/>
        <v>0.87285760168550752</v>
      </c>
      <c r="V97" s="139">
        <f t="shared" si="77"/>
        <v>0.95116355032124977</v>
      </c>
      <c r="W97" s="139">
        <f t="shared" ref="W97" si="78">IF(W5=0,0,W5/W$4)</f>
        <v>0.93768438872573656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2.1515360461773106E-3</v>
      </c>
      <c r="C98" s="140">
        <f t="shared" si="79"/>
        <v>2.1636602471369944E-3</v>
      </c>
      <c r="D98" s="140">
        <f t="shared" si="79"/>
        <v>2.2293873995416396E-3</v>
      </c>
      <c r="E98" s="140">
        <f t="shared" si="79"/>
        <v>2.0940269604944901E-3</v>
      </c>
      <c r="F98" s="140">
        <f t="shared" si="79"/>
        <v>2.0208293460219928E-3</v>
      </c>
      <c r="G98" s="140">
        <f t="shared" si="79"/>
        <v>1.7718636167276592E-3</v>
      </c>
      <c r="H98" s="140">
        <f t="shared" si="79"/>
        <v>1.6707358797387098E-3</v>
      </c>
      <c r="I98" s="140">
        <f t="shared" si="79"/>
        <v>1.8999094828188302E-3</v>
      </c>
      <c r="J98" s="140">
        <f t="shared" si="79"/>
        <v>2.280365831109086E-3</v>
      </c>
      <c r="K98" s="140">
        <f t="shared" si="79"/>
        <v>2.6460749294423234E-3</v>
      </c>
      <c r="L98" s="140">
        <f t="shared" si="79"/>
        <v>2.8341680597960719E-3</v>
      </c>
      <c r="M98" s="140">
        <f t="shared" si="79"/>
        <v>3.0179916325584668E-3</v>
      </c>
      <c r="N98" s="140">
        <f t="shared" si="79"/>
        <v>2.6221418094306294E-3</v>
      </c>
      <c r="O98" s="140">
        <f t="shared" si="79"/>
        <v>2.6429964990565724E-3</v>
      </c>
      <c r="P98" s="140">
        <f t="shared" si="79"/>
        <v>3.290311903833673E-3</v>
      </c>
      <c r="Q98" s="140">
        <f t="shared" si="79"/>
        <v>3.2415911953623156E-3</v>
      </c>
      <c r="R98" s="140">
        <f t="shared" ref="R98:V98" si="80">IF(R6=0,0,R6/R$4)</f>
        <v>3.3469642971194098E-3</v>
      </c>
      <c r="S98" s="140">
        <f t="shared" si="80"/>
        <v>2.6926265833595257E-3</v>
      </c>
      <c r="T98" s="140">
        <f t="shared" si="80"/>
        <v>2.6118372959047396E-3</v>
      </c>
      <c r="U98" s="140">
        <f t="shared" si="80"/>
        <v>2.691023553463576E-3</v>
      </c>
      <c r="V98" s="140">
        <f t="shared" si="80"/>
        <v>3.0464808120201502E-3</v>
      </c>
      <c r="W98" s="140">
        <f t="shared" ref="W98" si="81">IF(W6=0,0,W6/W$4)</f>
        <v>2.95593133275534E-3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0.86534851877913699</v>
      </c>
      <c r="C99" s="140">
        <f t="shared" si="82"/>
        <v>0.85918223506919233</v>
      </c>
      <c r="D99" s="140">
        <f t="shared" si="82"/>
        <v>0.85699729510298805</v>
      </c>
      <c r="E99" s="140">
        <f t="shared" si="82"/>
        <v>0.86908098672810308</v>
      </c>
      <c r="F99" s="140">
        <f t="shared" si="82"/>
        <v>0.86066059800325367</v>
      </c>
      <c r="G99" s="140">
        <f t="shared" si="82"/>
        <v>0.86699388692750501</v>
      </c>
      <c r="H99" s="140">
        <f t="shared" si="82"/>
        <v>0.87599734197459234</v>
      </c>
      <c r="I99" s="140">
        <f t="shared" si="82"/>
        <v>0.87070913153563589</v>
      </c>
      <c r="J99" s="140">
        <f t="shared" si="82"/>
        <v>0.87074563398938609</v>
      </c>
      <c r="K99" s="140">
        <f t="shared" si="82"/>
        <v>0.8934683843462049</v>
      </c>
      <c r="L99" s="140">
        <f t="shared" si="82"/>
        <v>0.87715316129663767</v>
      </c>
      <c r="M99" s="140">
        <f t="shared" si="82"/>
        <v>0.85939442793145104</v>
      </c>
      <c r="N99" s="140">
        <f t="shared" si="82"/>
        <v>0.86535058868309001</v>
      </c>
      <c r="O99" s="140">
        <f t="shared" si="82"/>
        <v>0.85410241233391437</v>
      </c>
      <c r="P99" s="140">
        <f t="shared" si="82"/>
        <v>0.8014230038862642</v>
      </c>
      <c r="Q99" s="140">
        <f t="shared" si="82"/>
        <v>0.80356219851764521</v>
      </c>
      <c r="R99" s="140">
        <f t="shared" ref="R99:V99" si="83">IF(R7=0,0,R7/R$4)</f>
        <v>0.80299793968959332</v>
      </c>
      <c r="S99" s="140">
        <f t="shared" si="83"/>
        <v>0.82123032953514974</v>
      </c>
      <c r="T99" s="140">
        <f t="shared" si="83"/>
        <v>0.7944937772934304</v>
      </c>
      <c r="U99" s="140">
        <f t="shared" si="83"/>
        <v>0.79657429235594179</v>
      </c>
      <c r="V99" s="140">
        <f t="shared" si="83"/>
        <v>0.89977819778905288</v>
      </c>
      <c r="W99" s="140">
        <f t="shared" ref="W99" si="84">IF(W7=0,0,W7/W$4)</f>
        <v>0.8927889013656497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9.1693660355250867E-2</v>
      </c>
      <c r="C100" s="140">
        <f t="shared" si="85"/>
        <v>9.3617818151962379E-2</v>
      </c>
      <c r="D100" s="140">
        <f t="shared" si="85"/>
        <v>9.9312801928665498E-2</v>
      </c>
      <c r="E100" s="140">
        <f t="shared" si="85"/>
        <v>8.9515341632994613E-2</v>
      </c>
      <c r="F100" s="140">
        <f t="shared" si="85"/>
        <v>9.8531756848824106E-2</v>
      </c>
      <c r="G100" s="140">
        <f t="shared" si="85"/>
        <v>9.1974662623212161E-2</v>
      </c>
      <c r="H100" s="140">
        <f t="shared" si="85"/>
        <v>8.2024882852100051E-2</v>
      </c>
      <c r="I100" s="140">
        <f t="shared" si="85"/>
        <v>8.0576040468114105E-2</v>
      </c>
      <c r="J100" s="140">
        <f t="shared" si="85"/>
        <v>7.8413175831236026E-2</v>
      </c>
      <c r="K100" s="140">
        <f t="shared" si="85"/>
        <v>6.875902720969114E-2</v>
      </c>
      <c r="L100" s="140">
        <f t="shared" si="85"/>
        <v>7.2544436589045497E-2</v>
      </c>
      <c r="M100" s="140">
        <f t="shared" si="85"/>
        <v>7.8962681822777422E-2</v>
      </c>
      <c r="N100" s="140">
        <f t="shared" si="85"/>
        <v>6.9220960488088998E-2</v>
      </c>
      <c r="O100" s="140">
        <f t="shared" si="85"/>
        <v>7.2967128819644539E-2</v>
      </c>
      <c r="P100" s="140">
        <f t="shared" si="85"/>
        <v>9.7915475733687904E-2</v>
      </c>
      <c r="Q100" s="140">
        <f t="shared" si="85"/>
        <v>8.8727712415231502E-2</v>
      </c>
      <c r="R100" s="140">
        <f t="shared" ref="R100:V100" si="86">IF(R8=0,0,R8/R$4)</f>
        <v>8.1725399501246521E-2</v>
      </c>
      <c r="S100" s="140">
        <f t="shared" si="86"/>
        <v>7.1724430745090245E-2</v>
      </c>
      <c r="T100" s="140">
        <f t="shared" si="86"/>
        <v>7.488853659603735E-2</v>
      </c>
      <c r="U100" s="140">
        <f t="shared" si="86"/>
        <v>7.3592285776102162E-2</v>
      </c>
      <c r="V100" s="140">
        <f t="shared" si="86"/>
        <v>4.8338871720176743E-2</v>
      </c>
      <c r="W100" s="140">
        <f t="shared" ref="W100" si="87">IF(W8=0,0,W8/W$4)</f>
        <v>4.1939556027331473E-2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2.0335690191309718E-2</v>
      </c>
      <c r="C101" s="124">
        <f t="shared" si="88"/>
        <v>1.7613235818918445E-2</v>
      </c>
      <c r="D101" s="124">
        <f t="shared" si="88"/>
        <v>1.6414794344664925E-2</v>
      </c>
      <c r="E101" s="124">
        <f t="shared" si="88"/>
        <v>1.2946309871260019E-2</v>
      </c>
      <c r="F101" s="124">
        <f t="shared" si="88"/>
        <v>1.2326880823014343E-2</v>
      </c>
      <c r="G101" s="124">
        <f t="shared" si="88"/>
        <v>6.9772163463829332E-3</v>
      </c>
      <c r="H101" s="124">
        <f t="shared" si="88"/>
        <v>5.9476917219596359E-3</v>
      </c>
      <c r="I101" s="124">
        <f t="shared" si="88"/>
        <v>5.4754581241280818E-3</v>
      </c>
      <c r="J101" s="124">
        <f t="shared" si="88"/>
        <v>5.9133050872380724E-3</v>
      </c>
      <c r="K101" s="124">
        <f t="shared" si="88"/>
        <v>5.7243432751067349E-3</v>
      </c>
      <c r="L101" s="124">
        <f t="shared" si="88"/>
        <v>6.5714443598630474E-3</v>
      </c>
      <c r="M101" s="124">
        <f t="shared" si="88"/>
        <v>7.7296075001190429E-3</v>
      </c>
      <c r="N101" s="124">
        <f t="shared" si="88"/>
        <v>7.0359879399227582E-3</v>
      </c>
      <c r="O101" s="124">
        <f t="shared" si="88"/>
        <v>7.1249953677067724E-3</v>
      </c>
      <c r="P101" s="124">
        <f t="shared" si="88"/>
        <v>8.8915274099807401E-3</v>
      </c>
      <c r="Q101" s="124">
        <f t="shared" si="88"/>
        <v>8.4670539316960801E-3</v>
      </c>
      <c r="R101" s="124">
        <f t="shared" ref="R101:V101" si="89">IF(R9=0,0,R9/R$4)</f>
        <v>8.6965043363922846E-3</v>
      </c>
      <c r="S101" s="124">
        <f t="shared" si="89"/>
        <v>8.248702331034476E-3</v>
      </c>
      <c r="T101" s="124">
        <f t="shared" si="89"/>
        <v>9.3379858946802483E-3</v>
      </c>
      <c r="U101" s="124">
        <f t="shared" si="89"/>
        <v>9.1070770746710349E-3</v>
      </c>
      <c r="V101" s="124">
        <f t="shared" si="89"/>
        <v>7.473132809968616E-3</v>
      </c>
      <c r="W101" s="124">
        <f t="shared" ref="W101" si="90">IF(W9=0,0,W9/W$4)</f>
        <v>8.3011397102373333E-3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0</v>
      </c>
      <c r="E102" s="140">
        <f t="shared" si="91"/>
        <v>0</v>
      </c>
      <c r="F102" s="140">
        <f t="shared" si="91"/>
        <v>0</v>
      </c>
      <c r="G102" s="140">
        <f t="shared" si="91"/>
        <v>0</v>
      </c>
      <c r="H102" s="140">
        <f t="shared" si="91"/>
        <v>0</v>
      </c>
      <c r="I102" s="140">
        <f t="shared" si="91"/>
        <v>0</v>
      </c>
      <c r="J102" s="140">
        <f t="shared" si="91"/>
        <v>0</v>
      </c>
      <c r="K102" s="140">
        <f t="shared" si="91"/>
        <v>0</v>
      </c>
      <c r="L102" s="140">
        <f t="shared" si="91"/>
        <v>0</v>
      </c>
      <c r="M102" s="140">
        <f t="shared" si="91"/>
        <v>0</v>
      </c>
      <c r="N102" s="140">
        <f t="shared" si="91"/>
        <v>0</v>
      </c>
      <c r="O102" s="140">
        <f t="shared" si="91"/>
        <v>0</v>
      </c>
      <c r="P102" s="140">
        <f t="shared" si="91"/>
        <v>0</v>
      </c>
      <c r="Q102" s="140">
        <f t="shared" si="91"/>
        <v>0</v>
      </c>
      <c r="R102" s="140">
        <f t="shared" ref="R102:V102" si="92">IF(R10=0,0,R10/R$4)</f>
        <v>0</v>
      </c>
      <c r="S102" s="140">
        <f t="shared" si="92"/>
        <v>0</v>
      </c>
      <c r="T102" s="140">
        <f t="shared" si="92"/>
        <v>0</v>
      </c>
      <c r="U102" s="140">
        <f t="shared" si="92"/>
        <v>0</v>
      </c>
      <c r="V102" s="140">
        <f t="shared" si="92"/>
        <v>0</v>
      </c>
      <c r="W102" s="140">
        <f t="shared" ref="W102" si="93">IF(W10=0,0,W10/W$4)</f>
        <v>0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2.0335690191309718E-2</v>
      </c>
      <c r="C103" s="140">
        <f t="shared" si="94"/>
        <v>1.7613235818918445E-2</v>
      </c>
      <c r="D103" s="140">
        <f t="shared" si="94"/>
        <v>1.6414794344664925E-2</v>
      </c>
      <c r="E103" s="140">
        <f t="shared" si="94"/>
        <v>1.2946309871260019E-2</v>
      </c>
      <c r="F103" s="140">
        <f t="shared" si="94"/>
        <v>1.2326880823014343E-2</v>
      </c>
      <c r="G103" s="140">
        <f t="shared" si="94"/>
        <v>6.9772163463829332E-3</v>
      </c>
      <c r="H103" s="140">
        <f t="shared" si="94"/>
        <v>5.9476917219596359E-3</v>
      </c>
      <c r="I103" s="140">
        <f t="shared" si="94"/>
        <v>5.4754581241280818E-3</v>
      </c>
      <c r="J103" s="140">
        <f t="shared" si="94"/>
        <v>5.9133050872380724E-3</v>
      </c>
      <c r="K103" s="140">
        <f t="shared" si="94"/>
        <v>5.7243432751067349E-3</v>
      </c>
      <c r="L103" s="140">
        <f t="shared" si="94"/>
        <v>6.5714443598630474E-3</v>
      </c>
      <c r="M103" s="140">
        <f t="shared" si="94"/>
        <v>7.7296075001190429E-3</v>
      </c>
      <c r="N103" s="140">
        <f t="shared" si="94"/>
        <v>7.0359879399227582E-3</v>
      </c>
      <c r="O103" s="140">
        <f t="shared" si="94"/>
        <v>7.1249953677067724E-3</v>
      </c>
      <c r="P103" s="140">
        <f t="shared" si="94"/>
        <v>8.8915274099807401E-3</v>
      </c>
      <c r="Q103" s="140">
        <f t="shared" si="94"/>
        <v>8.4670539316960801E-3</v>
      </c>
      <c r="R103" s="140">
        <f t="shared" ref="R103:V103" si="95">IF(R11=0,0,R11/R$4)</f>
        <v>8.6965043363922846E-3</v>
      </c>
      <c r="S103" s="140">
        <f t="shared" si="95"/>
        <v>8.248702331034476E-3</v>
      </c>
      <c r="T103" s="140">
        <f t="shared" si="95"/>
        <v>9.3379858946802483E-3</v>
      </c>
      <c r="U103" s="140">
        <f t="shared" si="95"/>
        <v>9.1070770746710349E-3</v>
      </c>
      <c r="V103" s="140">
        <f t="shared" si="95"/>
        <v>7.473132809968616E-3</v>
      </c>
      <c r="W103" s="140">
        <f t="shared" ref="W103" si="96">IF(W11=0,0,W11/W$4)</f>
        <v>8.3011397102373333E-3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2.0470594628125078E-2</v>
      </c>
      <c r="C105" s="124">
        <f t="shared" si="100"/>
        <v>2.7423050712789759E-2</v>
      </c>
      <c r="D105" s="124">
        <f t="shared" si="100"/>
        <v>2.5045721224139793E-2</v>
      </c>
      <c r="E105" s="124">
        <f t="shared" si="100"/>
        <v>2.6363334807147788E-2</v>
      </c>
      <c r="F105" s="124">
        <f t="shared" si="100"/>
        <v>2.6459934978885991E-2</v>
      </c>
      <c r="G105" s="124">
        <f t="shared" si="100"/>
        <v>3.2282370486172281E-2</v>
      </c>
      <c r="H105" s="124">
        <f t="shared" si="100"/>
        <v>3.4359347571609244E-2</v>
      </c>
      <c r="I105" s="124">
        <f t="shared" si="100"/>
        <v>4.1339460389303063E-2</v>
      </c>
      <c r="J105" s="124">
        <f t="shared" si="100"/>
        <v>4.2647519261030775E-2</v>
      </c>
      <c r="K105" s="124">
        <f t="shared" si="100"/>
        <v>2.9402170239554996E-2</v>
      </c>
      <c r="L105" s="124">
        <f t="shared" si="100"/>
        <v>4.089678969465764E-2</v>
      </c>
      <c r="M105" s="124">
        <f t="shared" si="100"/>
        <v>5.0895291113093856E-2</v>
      </c>
      <c r="N105" s="124">
        <f t="shared" si="100"/>
        <v>5.5770321079467548E-2</v>
      </c>
      <c r="O105" s="124">
        <f t="shared" si="100"/>
        <v>6.3162466979677687E-2</v>
      </c>
      <c r="P105" s="124">
        <f t="shared" si="100"/>
        <v>8.8479681066233523E-2</v>
      </c>
      <c r="Q105" s="124">
        <f t="shared" si="100"/>
        <v>9.6001443940064796E-2</v>
      </c>
      <c r="R105" s="124">
        <f t="shared" ref="R105:V105" si="101">IF(R13=0,0,R13/R$4)</f>
        <v>0.1032331921756485</v>
      </c>
      <c r="S105" s="124">
        <f t="shared" si="101"/>
        <v>9.6103910805366149E-2</v>
      </c>
      <c r="T105" s="124">
        <f t="shared" si="101"/>
        <v>0.11866786291994706</v>
      </c>
      <c r="U105" s="124">
        <f t="shared" si="101"/>
        <v>0.11803532123982134</v>
      </c>
      <c r="V105" s="124">
        <f t="shared" si="101"/>
        <v>4.1363316868781662E-2</v>
      </c>
      <c r="W105" s="124">
        <f t="shared" ref="W105" si="102">IF(W13=0,0,W13/W$4)</f>
        <v>5.4014471564026022E-2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1.5177638237483311E-2</v>
      </c>
      <c r="C107" s="140">
        <f t="shared" si="106"/>
        <v>2.0478320492259613E-2</v>
      </c>
      <c r="D107" s="140">
        <f t="shared" si="106"/>
        <v>1.883464321365037E-2</v>
      </c>
      <c r="E107" s="140">
        <f t="shared" si="106"/>
        <v>1.9944602212352402E-2</v>
      </c>
      <c r="F107" s="140">
        <f t="shared" si="106"/>
        <v>2.0050406299021547E-2</v>
      </c>
      <c r="G107" s="140">
        <f t="shared" si="106"/>
        <v>2.549664965233079E-2</v>
      </c>
      <c r="H107" s="140">
        <f t="shared" si="106"/>
        <v>2.7275514393487344E-2</v>
      </c>
      <c r="I107" s="140">
        <f t="shared" si="106"/>
        <v>3.1455517629640058E-2</v>
      </c>
      <c r="J107" s="140">
        <f t="shared" si="106"/>
        <v>3.4667822710776314E-2</v>
      </c>
      <c r="K107" s="140">
        <f t="shared" si="106"/>
        <v>2.3256797187953076E-2</v>
      </c>
      <c r="L107" s="140">
        <f t="shared" si="106"/>
        <v>3.4962013058583867E-2</v>
      </c>
      <c r="M107" s="140">
        <f t="shared" si="106"/>
        <v>4.6104139271740084E-2</v>
      </c>
      <c r="N107" s="140">
        <f t="shared" si="106"/>
        <v>5.0223504193873704E-2</v>
      </c>
      <c r="O107" s="140">
        <f t="shared" si="106"/>
        <v>5.5024062757014935E-2</v>
      </c>
      <c r="P107" s="140">
        <f t="shared" si="106"/>
        <v>7.4710781409798213E-2</v>
      </c>
      <c r="Q107" s="140">
        <f t="shared" si="106"/>
        <v>8.1398462203094268E-2</v>
      </c>
      <c r="R107" s="140">
        <f t="shared" ref="R107:V107" si="107">IF(R15=0,0,R15/R$4)</f>
        <v>8.7960784551026142E-2</v>
      </c>
      <c r="S107" s="140">
        <f t="shared" si="107"/>
        <v>7.9162622513389388E-2</v>
      </c>
      <c r="T107" s="140">
        <f t="shared" si="107"/>
        <v>9.2797941808558326E-2</v>
      </c>
      <c r="U107" s="140">
        <f t="shared" si="107"/>
        <v>8.8096816984610041E-2</v>
      </c>
      <c r="V107" s="140">
        <f t="shared" si="107"/>
        <v>3.3309081056138987E-2</v>
      </c>
      <c r="W107" s="140">
        <f t="shared" ref="W107" si="108">IF(W15=0,0,W15/W$4)</f>
        <v>3.9067040107236696E-2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5.292956390641766E-3</v>
      </c>
      <c r="C108" s="140">
        <f t="shared" si="109"/>
        <v>6.9447302205301441E-3</v>
      </c>
      <c r="D108" s="140">
        <f t="shared" si="109"/>
        <v>6.2110780104894271E-3</v>
      </c>
      <c r="E108" s="140">
        <f t="shared" si="109"/>
        <v>6.4187325947953899E-3</v>
      </c>
      <c r="F108" s="140">
        <f t="shared" si="109"/>
        <v>6.4095286798644445E-3</v>
      </c>
      <c r="G108" s="140">
        <f t="shared" si="109"/>
        <v>6.7857208338414953E-3</v>
      </c>
      <c r="H108" s="140">
        <f t="shared" si="109"/>
        <v>7.0838331781219012E-3</v>
      </c>
      <c r="I108" s="140">
        <f t="shared" si="109"/>
        <v>9.8839427596630076E-3</v>
      </c>
      <c r="J108" s="140">
        <f t="shared" si="109"/>
        <v>7.9796965502544615E-3</v>
      </c>
      <c r="K108" s="140">
        <f t="shared" si="109"/>
        <v>6.1453730516019224E-3</v>
      </c>
      <c r="L108" s="140">
        <f t="shared" si="109"/>
        <v>5.934776636073778E-3</v>
      </c>
      <c r="M108" s="140">
        <f t="shared" si="109"/>
        <v>4.7911518413537761E-3</v>
      </c>
      <c r="N108" s="140">
        <f t="shared" si="109"/>
        <v>5.5468168855938391E-3</v>
      </c>
      <c r="O108" s="140">
        <f t="shared" si="109"/>
        <v>8.1384042226627616E-3</v>
      </c>
      <c r="P108" s="140">
        <f t="shared" si="109"/>
        <v>1.3768899656435315E-2</v>
      </c>
      <c r="Q108" s="140">
        <f t="shared" si="109"/>
        <v>1.4602981736970527E-2</v>
      </c>
      <c r="R108" s="140">
        <f t="shared" ref="R108:V108" si="110">IF(R16=0,0,R16/R$4)</f>
        <v>1.5272407624622343E-2</v>
      </c>
      <c r="S108" s="140">
        <f t="shared" si="110"/>
        <v>1.6941288291976754E-2</v>
      </c>
      <c r="T108" s="140">
        <f t="shared" si="110"/>
        <v>2.5869921111388725E-2</v>
      </c>
      <c r="U108" s="140">
        <f t="shared" si="110"/>
        <v>2.9938504255211294E-2</v>
      </c>
      <c r="V108" s="140">
        <f t="shared" si="110"/>
        <v>8.0542358126426787E-3</v>
      </c>
      <c r="W108" s="140">
        <f t="shared" ref="W108" si="111">IF(W16=0,0,W16/W$4)</f>
        <v>1.4947431456789326E-2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0.2572818503775301</v>
      </c>
      <c r="C110" s="139">
        <f t="shared" si="115"/>
        <v>0.29246051639880893</v>
      </c>
      <c r="D110" s="139">
        <f t="shared" si="115"/>
        <v>0.25349842686573865</v>
      </c>
      <c r="E110" s="139">
        <f t="shared" si="115"/>
        <v>0.24863903609111165</v>
      </c>
      <c r="F110" s="139">
        <f t="shared" si="115"/>
        <v>0.27203939143657963</v>
      </c>
      <c r="G110" s="139">
        <f t="shared" si="115"/>
        <v>0.25876847223083616</v>
      </c>
      <c r="H110" s="139">
        <f t="shared" si="115"/>
        <v>0.28274937297944996</v>
      </c>
      <c r="I110" s="139">
        <f t="shared" si="115"/>
        <v>0.28992122425661393</v>
      </c>
      <c r="J110" s="139">
        <f t="shared" si="115"/>
        <v>0.27074169421600514</v>
      </c>
      <c r="K110" s="139">
        <f t="shared" si="115"/>
        <v>0.29735227099651351</v>
      </c>
      <c r="L110" s="139">
        <f t="shared" si="115"/>
        <v>0.27323097245773487</v>
      </c>
      <c r="M110" s="139">
        <f t="shared" si="115"/>
        <v>0.26444949999511069</v>
      </c>
      <c r="N110" s="139">
        <f t="shared" si="115"/>
        <v>0.29787382500669862</v>
      </c>
      <c r="O110" s="139">
        <f t="shared" si="115"/>
        <v>0.33478138376891925</v>
      </c>
      <c r="P110" s="139">
        <f t="shared" si="115"/>
        <v>0.32063480001700967</v>
      </c>
      <c r="Q110" s="139">
        <f t="shared" si="115"/>
        <v>0.34238843967905391</v>
      </c>
      <c r="R110" s="139">
        <f t="shared" ref="R110:V110" si="116">IF(R18=0,0,R18/R$17)</f>
        <v>0.35179033928647291</v>
      </c>
      <c r="S110" s="139">
        <f t="shared" si="116"/>
        <v>0.33416324044948076</v>
      </c>
      <c r="T110" s="139">
        <f t="shared" si="116"/>
        <v>0.32229867575561566</v>
      </c>
      <c r="U110" s="139">
        <f t="shared" si="116"/>
        <v>0.32703261032174646</v>
      </c>
      <c r="V110" s="139">
        <f t="shared" si="116"/>
        <v>0.35512530939315562</v>
      </c>
      <c r="W110" s="139">
        <f t="shared" ref="W110" si="117">IF(W18=0,0,W18/W$17)</f>
        <v>0.37628013634980451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3.1112003464543354E-3</v>
      </c>
      <c r="C111" s="140">
        <f t="shared" si="118"/>
        <v>3.5289761719076575E-3</v>
      </c>
      <c r="D111" s="140">
        <f t="shared" si="118"/>
        <v>3.2264367393139543E-3</v>
      </c>
      <c r="E111" s="140">
        <f t="shared" si="118"/>
        <v>2.9905933069661922E-3</v>
      </c>
      <c r="F111" s="140">
        <f t="shared" si="118"/>
        <v>3.0534591319320518E-3</v>
      </c>
      <c r="G111" s="140">
        <f t="shared" si="118"/>
        <v>3.2122345006227494E-3</v>
      </c>
      <c r="H111" s="140">
        <f t="shared" si="118"/>
        <v>3.7891223555118355E-3</v>
      </c>
      <c r="I111" s="140">
        <f t="shared" si="118"/>
        <v>3.8684259821297664E-3</v>
      </c>
      <c r="J111" s="140">
        <f t="shared" si="118"/>
        <v>4.1118518528469438E-3</v>
      </c>
      <c r="K111" s="140">
        <f t="shared" si="118"/>
        <v>5.4685781662668197E-3</v>
      </c>
      <c r="L111" s="140">
        <f t="shared" si="118"/>
        <v>4.5752231219031688E-3</v>
      </c>
      <c r="M111" s="140">
        <f t="shared" si="118"/>
        <v>4.5705802086386466E-3</v>
      </c>
      <c r="N111" s="140">
        <f t="shared" si="118"/>
        <v>5.1518993799274512E-3</v>
      </c>
      <c r="O111" s="140">
        <f t="shared" si="118"/>
        <v>5.4248203904013418E-3</v>
      </c>
      <c r="P111" s="140">
        <f t="shared" si="118"/>
        <v>5.6482641037127381E-3</v>
      </c>
      <c r="Q111" s="140">
        <f t="shared" si="118"/>
        <v>5.7841872599174501E-3</v>
      </c>
      <c r="R111" s="140">
        <f t="shared" ref="R111:V111" si="119">IF(R19=0,0,R19/R$17)</f>
        <v>6.1165600854959793E-3</v>
      </c>
      <c r="S111" s="140">
        <f t="shared" si="119"/>
        <v>5.6067532307042907E-3</v>
      </c>
      <c r="T111" s="140">
        <f t="shared" si="119"/>
        <v>5.3123340018871642E-3</v>
      </c>
      <c r="U111" s="140">
        <f t="shared" si="119"/>
        <v>5.7351138150218209E-3</v>
      </c>
      <c r="V111" s="140">
        <f t="shared" si="119"/>
        <v>5.8398711459548801E-3</v>
      </c>
      <c r="W111" s="140">
        <f t="shared" ref="W111" si="120">IF(W19=0,0,W19/W$17)</f>
        <v>6.3859385605594832E-3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0.25417065003107575</v>
      </c>
      <c r="C112" s="140">
        <f t="shared" si="121"/>
        <v>0.28893154022690126</v>
      </c>
      <c r="D112" s="140">
        <f t="shared" si="121"/>
        <v>0.2502719901264247</v>
      </c>
      <c r="E112" s="140">
        <f t="shared" si="121"/>
        <v>0.24564844278414549</v>
      </c>
      <c r="F112" s="140">
        <f t="shared" si="121"/>
        <v>0.26898593230464762</v>
      </c>
      <c r="G112" s="140">
        <f t="shared" si="121"/>
        <v>0.25555623773021341</v>
      </c>
      <c r="H112" s="140">
        <f t="shared" si="121"/>
        <v>0.27896025062393814</v>
      </c>
      <c r="I112" s="140">
        <f t="shared" si="121"/>
        <v>0.28605279827448421</v>
      </c>
      <c r="J112" s="140">
        <f t="shared" si="121"/>
        <v>0.26662984236315823</v>
      </c>
      <c r="K112" s="140">
        <f t="shared" si="121"/>
        <v>0.29188369283024668</v>
      </c>
      <c r="L112" s="140">
        <f t="shared" si="121"/>
        <v>0.26865574933583175</v>
      </c>
      <c r="M112" s="140">
        <f t="shared" si="121"/>
        <v>0.2598789197864721</v>
      </c>
      <c r="N112" s="140">
        <f t="shared" si="121"/>
        <v>0.29272192562677118</v>
      </c>
      <c r="O112" s="140">
        <f t="shared" si="121"/>
        <v>0.32935656337851793</v>
      </c>
      <c r="P112" s="140">
        <f t="shared" si="121"/>
        <v>0.31498653591329695</v>
      </c>
      <c r="Q112" s="140">
        <f t="shared" si="121"/>
        <v>0.3366042524191365</v>
      </c>
      <c r="R112" s="140">
        <f t="shared" ref="R112:V112" si="122">IF(R20=0,0,R20/R$17)</f>
        <v>0.34567377920097692</v>
      </c>
      <c r="S112" s="140">
        <f t="shared" si="122"/>
        <v>0.32855648721877651</v>
      </c>
      <c r="T112" s="140">
        <f t="shared" si="122"/>
        <v>0.31698634175372847</v>
      </c>
      <c r="U112" s="140">
        <f t="shared" si="122"/>
        <v>0.32129749650672462</v>
      </c>
      <c r="V112" s="140">
        <f t="shared" si="122"/>
        <v>0.34928543824720076</v>
      </c>
      <c r="W112" s="140">
        <f t="shared" ref="W112" si="123">IF(W20=0,0,W20/W$17)</f>
        <v>0.36989419778924498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0.72371695927215285</v>
      </c>
      <c r="C113" s="124">
        <f t="shared" si="124"/>
        <v>0.69249601366033109</v>
      </c>
      <c r="D113" s="124">
        <f t="shared" si="124"/>
        <v>0.73389828761143283</v>
      </c>
      <c r="E113" s="124">
        <f t="shared" si="124"/>
        <v>0.74063833006568303</v>
      </c>
      <c r="F113" s="124">
        <f t="shared" si="124"/>
        <v>0.71941718677876731</v>
      </c>
      <c r="G113" s="124">
        <f t="shared" si="124"/>
        <v>0.73160322809830491</v>
      </c>
      <c r="H113" s="124">
        <f t="shared" si="124"/>
        <v>0.70831557652710642</v>
      </c>
      <c r="I113" s="124">
        <f t="shared" si="124"/>
        <v>0.70195405906040009</v>
      </c>
      <c r="J113" s="124">
        <f t="shared" si="124"/>
        <v>0.72112029242305564</v>
      </c>
      <c r="K113" s="124">
        <f t="shared" si="124"/>
        <v>0.69357434796453588</v>
      </c>
      <c r="L113" s="124">
        <f t="shared" si="124"/>
        <v>0.71838147252159867</v>
      </c>
      <c r="M113" s="124">
        <f t="shared" si="124"/>
        <v>0.72715469790834275</v>
      </c>
      <c r="N113" s="124">
        <f t="shared" si="124"/>
        <v>0.69323693791464414</v>
      </c>
      <c r="O113" s="124">
        <f t="shared" si="124"/>
        <v>0.65683896383298335</v>
      </c>
      <c r="P113" s="124">
        <f t="shared" si="124"/>
        <v>0.67122353988115102</v>
      </c>
      <c r="Q113" s="124">
        <f t="shared" si="124"/>
        <v>0.6492193599668773</v>
      </c>
      <c r="R113" s="124">
        <f t="shared" ref="R113:V113" si="125">IF(R21=0,0,R21/R$17)</f>
        <v>0.64145993992264649</v>
      </c>
      <c r="S113" s="124">
        <f t="shared" si="125"/>
        <v>0.6576580295731681</v>
      </c>
      <c r="T113" s="124">
        <f t="shared" si="125"/>
        <v>0.67088422919424739</v>
      </c>
      <c r="U113" s="124">
        <f t="shared" si="125"/>
        <v>0.66516310017596114</v>
      </c>
      <c r="V113" s="124">
        <f t="shared" si="125"/>
        <v>0.63936927169630087</v>
      </c>
      <c r="W113" s="124">
        <f t="shared" ref="W113" si="126">IF(W21=0,0,W21/W$17)</f>
        <v>0.61752193524334009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3.9695765875886747E-4</v>
      </c>
      <c r="C114" s="124">
        <f t="shared" si="127"/>
        <v>4.7031581259088213E-4</v>
      </c>
      <c r="D114" s="124">
        <f t="shared" si="127"/>
        <v>3.6408324174933438E-4</v>
      </c>
      <c r="E114" s="124">
        <f t="shared" si="127"/>
        <v>1.8327994326684352E-4</v>
      </c>
      <c r="F114" s="124">
        <f t="shared" si="127"/>
        <v>1.7946285763809013E-4</v>
      </c>
      <c r="G114" s="124">
        <f t="shared" si="127"/>
        <v>2.1116775701827162E-4</v>
      </c>
      <c r="H114" s="124">
        <f t="shared" si="127"/>
        <v>2.74986304347299E-4</v>
      </c>
      <c r="I114" s="124">
        <f t="shared" si="127"/>
        <v>3.1238264350373803E-4</v>
      </c>
      <c r="J114" s="124">
        <f t="shared" si="127"/>
        <v>2.1791417961962287E-4</v>
      </c>
      <c r="K114" s="124">
        <f t="shared" si="127"/>
        <v>1.4827870021263566E-4</v>
      </c>
      <c r="L114" s="124">
        <f t="shared" si="127"/>
        <v>2.0524834927858378E-4</v>
      </c>
      <c r="M114" s="124">
        <f t="shared" si="127"/>
        <v>2.0494998340942752E-4</v>
      </c>
      <c r="N114" s="124">
        <f t="shared" si="127"/>
        <v>9.5457974736080497E-4</v>
      </c>
      <c r="O114" s="124">
        <f t="shared" si="127"/>
        <v>6.6676615094867094E-4</v>
      </c>
      <c r="P114" s="124">
        <f t="shared" si="127"/>
        <v>5.664096043967665E-4</v>
      </c>
      <c r="Q114" s="124">
        <f t="shared" si="127"/>
        <v>5.9384363769260655E-4</v>
      </c>
      <c r="R114" s="124">
        <f t="shared" ref="R114:V114" si="128">IF(R22=0,0,R22/R$17)</f>
        <v>5.3546714663929812E-4</v>
      </c>
      <c r="S114" s="124">
        <f t="shared" si="128"/>
        <v>4.6129603864818522E-4</v>
      </c>
      <c r="T114" s="124">
        <f t="shared" si="128"/>
        <v>5.3704651605446122E-4</v>
      </c>
      <c r="U114" s="124">
        <f t="shared" si="128"/>
        <v>6.4169024546905436E-4</v>
      </c>
      <c r="V114" s="124">
        <f t="shared" si="128"/>
        <v>6.2622334015137264E-4</v>
      </c>
      <c r="W114" s="124">
        <f t="shared" ref="W114" si="129">IF(W22=0,0,W22/W$17)</f>
        <v>6.6100441739224227E-4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3.5658877478198506E-4</v>
      </c>
      <c r="C116" s="140">
        <f t="shared" si="133"/>
        <v>4.2369839229750776E-4</v>
      </c>
      <c r="D116" s="140">
        <f t="shared" si="133"/>
        <v>3.2710308456593827E-4</v>
      </c>
      <c r="E116" s="140">
        <f t="shared" si="133"/>
        <v>1.5436748079769737E-4</v>
      </c>
      <c r="F116" s="140">
        <f t="shared" si="133"/>
        <v>1.4591411937179218E-4</v>
      </c>
      <c r="G116" s="140">
        <f t="shared" si="133"/>
        <v>1.6954139340271274E-4</v>
      </c>
      <c r="H116" s="140">
        <f t="shared" si="133"/>
        <v>1.7943967387542005E-4</v>
      </c>
      <c r="I116" s="140">
        <f t="shared" si="133"/>
        <v>1.7570984494602867E-4</v>
      </c>
      <c r="J116" s="140">
        <f t="shared" si="133"/>
        <v>1.5966435585612835E-4</v>
      </c>
      <c r="K116" s="140">
        <f t="shared" si="133"/>
        <v>1.3741220044467033E-4</v>
      </c>
      <c r="L116" s="140">
        <f t="shared" si="133"/>
        <v>1.896856902638864E-4</v>
      </c>
      <c r="M116" s="140">
        <f t="shared" si="133"/>
        <v>1.8153760469006598E-4</v>
      </c>
      <c r="N116" s="140">
        <f t="shared" si="133"/>
        <v>1.9633226368621001E-4</v>
      </c>
      <c r="O116" s="140">
        <f t="shared" si="133"/>
        <v>3.240538753964935E-4</v>
      </c>
      <c r="P116" s="140">
        <f t="shared" si="133"/>
        <v>3.7161577602610205E-4</v>
      </c>
      <c r="Q116" s="140">
        <f t="shared" si="133"/>
        <v>3.9918392501809348E-4</v>
      </c>
      <c r="R116" s="140">
        <f t="shared" si="131"/>
        <v>3.9233894104983381E-4</v>
      </c>
      <c r="S116" s="140">
        <f t="shared" si="131"/>
        <v>3.9006795238336099E-4</v>
      </c>
      <c r="T116" s="140">
        <f t="shared" si="131"/>
        <v>4.0704275250577605E-4</v>
      </c>
      <c r="U116" s="140">
        <f t="shared" si="131"/>
        <v>4.3774286586085163E-4</v>
      </c>
      <c r="V116" s="140">
        <f t="shared" si="131"/>
        <v>3.8202770835218795E-4</v>
      </c>
      <c r="W116" s="140">
        <f t="shared" ref="W116" si="134">IF(W24=0,0,W24/W$17)</f>
        <v>4.2615428540511327E-4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4.0368883976882393E-5</v>
      </c>
      <c r="C117" s="140">
        <f t="shared" si="135"/>
        <v>4.6617420293374395E-5</v>
      </c>
      <c r="D117" s="140">
        <f t="shared" si="135"/>
        <v>3.6980157183396143E-5</v>
      </c>
      <c r="E117" s="140">
        <f t="shared" si="135"/>
        <v>2.8912462469146156E-5</v>
      </c>
      <c r="F117" s="140">
        <f t="shared" si="135"/>
        <v>3.3548738266297967E-5</v>
      </c>
      <c r="G117" s="140">
        <f t="shared" si="135"/>
        <v>4.1626363615558884E-5</v>
      </c>
      <c r="H117" s="140">
        <f t="shared" si="135"/>
        <v>9.5546630471878951E-5</v>
      </c>
      <c r="I117" s="140">
        <f t="shared" si="135"/>
        <v>1.3667279855770931E-4</v>
      </c>
      <c r="J117" s="140">
        <f t="shared" si="135"/>
        <v>5.8249823763494528E-5</v>
      </c>
      <c r="K117" s="140">
        <f t="shared" si="135"/>
        <v>1.0866499767965334E-5</v>
      </c>
      <c r="L117" s="140">
        <f t="shared" si="135"/>
        <v>1.5562659014697381E-5</v>
      </c>
      <c r="M117" s="140">
        <f t="shared" si="135"/>
        <v>2.3412378719361537E-5</v>
      </c>
      <c r="N117" s="140">
        <f t="shared" si="135"/>
        <v>7.5824748367459493E-4</v>
      </c>
      <c r="O117" s="140">
        <f t="shared" si="135"/>
        <v>3.4271227555217744E-4</v>
      </c>
      <c r="P117" s="140">
        <f t="shared" si="135"/>
        <v>1.9479382837066442E-4</v>
      </c>
      <c r="Q117" s="140">
        <f t="shared" si="135"/>
        <v>1.9465971267451307E-4</v>
      </c>
      <c r="R117" s="140">
        <f t="shared" ref="R117:V117" si="136">IF(R25=0,0,R25/R$17)</f>
        <v>1.4312820558946425E-4</v>
      </c>
      <c r="S117" s="140">
        <f t="shared" si="136"/>
        <v>7.122808626482428E-5</v>
      </c>
      <c r="T117" s="140">
        <f t="shared" si="136"/>
        <v>1.3000376354868517E-4</v>
      </c>
      <c r="U117" s="140">
        <f t="shared" si="136"/>
        <v>2.039473796082027E-4</v>
      </c>
      <c r="V117" s="140">
        <f t="shared" si="136"/>
        <v>2.4419563179918469E-4</v>
      </c>
      <c r="W117" s="140">
        <f t="shared" ref="W117" si="137">IF(W25=0,0,W25/W$17)</f>
        <v>2.3485013198712903E-4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1.860423269155826E-2</v>
      </c>
      <c r="C118" s="124">
        <f t="shared" si="138"/>
        <v>1.4573154128269056E-2</v>
      </c>
      <c r="D118" s="124">
        <f t="shared" si="138"/>
        <v>1.223920228107921E-2</v>
      </c>
      <c r="E118" s="124">
        <f t="shared" si="138"/>
        <v>1.0539353899938429E-2</v>
      </c>
      <c r="F118" s="124">
        <f t="shared" si="138"/>
        <v>8.3639589270149521E-3</v>
      </c>
      <c r="G118" s="124">
        <f t="shared" si="138"/>
        <v>9.4171319138407275E-3</v>
      </c>
      <c r="H118" s="124">
        <f t="shared" si="138"/>
        <v>8.6600641890963483E-3</v>
      </c>
      <c r="I118" s="124">
        <f t="shared" si="138"/>
        <v>7.8123340394822775E-3</v>
      </c>
      <c r="J118" s="124">
        <f t="shared" si="138"/>
        <v>7.9200991813196155E-3</v>
      </c>
      <c r="K118" s="124">
        <f t="shared" si="138"/>
        <v>8.9251023387381216E-3</v>
      </c>
      <c r="L118" s="124">
        <f t="shared" si="138"/>
        <v>8.1823066713877686E-3</v>
      </c>
      <c r="M118" s="124">
        <f t="shared" si="138"/>
        <v>8.1908521131370884E-3</v>
      </c>
      <c r="N118" s="124">
        <f t="shared" si="138"/>
        <v>7.9346573312965313E-3</v>
      </c>
      <c r="O118" s="124">
        <f t="shared" si="138"/>
        <v>7.7128862471488304E-3</v>
      </c>
      <c r="P118" s="124">
        <f t="shared" si="138"/>
        <v>7.5752504974425138E-3</v>
      </c>
      <c r="Q118" s="124">
        <f t="shared" si="138"/>
        <v>7.7983567163761444E-3</v>
      </c>
      <c r="R118" s="124">
        <f t="shared" ref="R118:V118" si="139">IF(R26=0,0,R26/R$17)</f>
        <v>6.2142536442411972E-3</v>
      </c>
      <c r="S118" s="124">
        <f t="shared" si="139"/>
        <v>7.7174339387028074E-3</v>
      </c>
      <c r="T118" s="124">
        <f t="shared" si="139"/>
        <v>6.2800485340825793E-3</v>
      </c>
      <c r="U118" s="124">
        <f t="shared" si="139"/>
        <v>7.1625992568234015E-3</v>
      </c>
      <c r="V118" s="124">
        <f t="shared" si="139"/>
        <v>4.8791955703921305E-3</v>
      </c>
      <c r="W118" s="124">
        <f t="shared" ref="W118" si="140">IF(W26=0,0,W26/W$17)</f>
        <v>5.5369239894632145E-3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1.8483835014862122E-2</v>
      </c>
      <c r="C119" s="140">
        <f t="shared" si="141"/>
        <v>1.4525240310297675E-2</v>
      </c>
      <c r="D119" s="140">
        <f t="shared" si="141"/>
        <v>1.2200504869579272E-2</v>
      </c>
      <c r="E119" s="140">
        <f t="shared" si="141"/>
        <v>1.049635201313039E-2</v>
      </c>
      <c r="F119" s="140">
        <f t="shared" si="141"/>
        <v>8.3255677546346454E-3</v>
      </c>
      <c r="G119" s="140">
        <f t="shared" si="141"/>
        <v>9.3393495171727181E-3</v>
      </c>
      <c r="H119" s="140">
        <f t="shared" si="141"/>
        <v>8.5614679351087714E-3</v>
      </c>
      <c r="I119" s="140">
        <f t="shared" si="141"/>
        <v>7.3239502232571333E-3</v>
      </c>
      <c r="J119" s="140">
        <f t="shared" si="141"/>
        <v>7.3333454852878375E-3</v>
      </c>
      <c r="K119" s="140">
        <f t="shared" si="141"/>
        <v>8.7500751647901411E-3</v>
      </c>
      <c r="L119" s="140">
        <f t="shared" si="141"/>
        <v>8.0218462129286235E-3</v>
      </c>
      <c r="M119" s="140">
        <f t="shared" si="141"/>
        <v>8.0462693921850067E-3</v>
      </c>
      <c r="N119" s="140">
        <f t="shared" si="141"/>
        <v>7.8857413746274193E-3</v>
      </c>
      <c r="O119" s="140">
        <f t="shared" si="141"/>
        <v>7.7128862471488304E-3</v>
      </c>
      <c r="P119" s="140">
        <f t="shared" si="141"/>
        <v>7.5752504974425138E-3</v>
      </c>
      <c r="Q119" s="140">
        <f t="shared" si="141"/>
        <v>7.7983567163761444E-3</v>
      </c>
      <c r="R119" s="140">
        <f t="shared" ref="R119:V119" si="142">IF(R27=0,0,R27/R$17)</f>
        <v>6.2142536442411972E-3</v>
      </c>
      <c r="S119" s="140">
        <f t="shared" si="142"/>
        <v>7.7174339387028074E-3</v>
      </c>
      <c r="T119" s="140">
        <f t="shared" si="142"/>
        <v>6.2800485340825793E-3</v>
      </c>
      <c r="U119" s="140">
        <f t="shared" si="142"/>
        <v>7.1625992568234015E-3</v>
      </c>
      <c r="V119" s="140">
        <f t="shared" si="142"/>
        <v>4.8787925642328513E-3</v>
      </c>
      <c r="W119" s="140">
        <f t="shared" ref="W119" si="143">IF(W27=0,0,W27/W$17)</f>
        <v>5.4097397380743631E-3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1.2039767669613877E-4</v>
      </c>
      <c r="C120" s="127">
        <f t="shared" si="144"/>
        <v>4.7913817971382691E-5</v>
      </c>
      <c r="D120" s="127">
        <f t="shared" si="144"/>
        <v>3.8697411499937341E-5</v>
      </c>
      <c r="E120" s="127">
        <f t="shared" si="144"/>
        <v>4.3001886808038079E-5</v>
      </c>
      <c r="F120" s="127">
        <f t="shared" si="144"/>
        <v>3.839117238030545E-5</v>
      </c>
      <c r="G120" s="127">
        <f t="shared" si="144"/>
        <v>7.7782396668009564E-5</v>
      </c>
      <c r="H120" s="127">
        <f t="shared" si="144"/>
        <v>9.8596253987578219E-5</v>
      </c>
      <c r="I120" s="127">
        <f t="shared" si="144"/>
        <v>4.8838381622514444E-4</v>
      </c>
      <c r="J120" s="127">
        <f t="shared" si="144"/>
        <v>5.867536960317783E-4</v>
      </c>
      <c r="K120" s="127">
        <f t="shared" si="144"/>
        <v>1.7502717394798185E-4</v>
      </c>
      <c r="L120" s="127">
        <f t="shared" si="144"/>
        <v>1.6046045845914645E-4</v>
      </c>
      <c r="M120" s="127">
        <f t="shared" si="144"/>
        <v>1.4458272095208301E-4</v>
      </c>
      <c r="N120" s="127">
        <f t="shared" si="144"/>
        <v>4.8915956669111214E-5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4.0300615927910551E-7</v>
      </c>
      <c r="W120" s="127">
        <f t="shared" ref="W120" si="146">IF(W28=0,0,W28/W$17)</f>
        <v>1.2718425138885214E-4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0.39749870964635342</v>
      </c>
      <c r="C122" s="140">
        <f>IF(C30=0,0,C30/C$29)</f>
        <v>0.39233290424031608</v>
      </c>
      <c r="D122" s="140">
        <f t="shared" ref="D122:W122" si="150">IF(D30=0,0,D30/D$29)</f>
        <v>0.39219900517198292</v>
      </c>
      <c r="E122" s="140">
        <f t="shared" si="150"/>
        <v>0.3929552910498641</v>
      </c>
      <c r="F122" s="140">
        <f t="shared" si="150"/>
        <v>0.3928404621086195</v>
      </c>
      <c r="G122" s="140">
        <f t="shared" si="150"/>
        <v>0.37598694953851103</v>
      </c>
      <c r="H122" s="140">
        <f t="shared" si="150"/>
        <v>0.23813103494215193</v>
      </c>
      <c r="I122" s="140">
        <f t="shared" si="150"/>
        <v>0.18023512347103657</v>
      </c>
      <c r="J122" s="140">
        <f t="shared" si="150"/>
        <v>0.15366351226064667</v>
      </c>
      <c r="K122" s="140">
        <f t="shared" si="150"/>
        <v>0.12982166331254338</v>
      </c>
      <c r="L122" s="140">
        <f t="shared" si="150"/>
        <v>0.13145657956679307</v>
      </c>
      <c r="M122" s="140">
        <f t="shared" si="150"/>
        <v>0.14218698704615479</v>
      </c>
      <c r="N122" s="140">
        <f t="shared" si="150"/>
        <v>0.15145905732983908</v>
      </c>
      <c r="O122" s="140">
        <f t="shared" si="150"/>
        <v>0.13317202482458432</v>
      </c>
      <c r="P122" s="140">
        <f t="shared" si="150"/>
        <v>0.12085767688401368</v>
      </c>
      <c r="Q122" s="140">
        <f t="shared" si="150"/>
        <v>0.10927451832610525</v>
      </c>
      <c r="R122" s="140">
        <f t="shared" si="150"/>
        <v>9.7339494925102327E-2</v>
      </c>
      <c r="S122" s="140">
        <f t="shared" si="150"/>
        <v>9.7853387729276431E-2</v>
      </c>
      <c r="T122" s="140">
        <f t="shared" si="150"/>
        <v>9.9970886654347321E-2</v>
      </c>
      <c r="U122" s="140">
        <f t="shared" si="150"/>
        <v>0.10204890832267248</v>
      </c>
      <c r="V122" s="140">
        <f t="shared" si="150"/>
        <v>0.10050385405177695</v>
      </c>
      <c r="W122" s="140">
        <f t="shared" si="150"/>
        <v>8.5412777337740053E-2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0.60250129035364663</v>
      </c>
      <c r="C123" s="127">
        <f>IF(C31=0,0,C31/C$29)</f>
        <v>0.60766709575968392</v>
      </c>
      <c r="D123" s="127">
        <f t="shared" ref="D123:W123" si="152">IF(D31=0,0,D31/D$29)</f>
        <v>0.60780099482801708</v>
      </c>
      <c r="E123" s="127">
        <f t="shared" si="152"/>
        <v>0.60704470895013585</v>
      </c>
      <c r="F123" s="127">
        <f t="shared" si="152"/>
        <v>0.60715953789138055</v>
      </c>
      <c r="G123" s="127">
        <f t="shared" si="152"/>
        <v>0.62401305046148892</v>
      </c>
      <c r="H123" s="127">
        <f t="shared" si="152"/>
        <v>0.76186896505784807</v>
      </c>
      <c r="I123" s="127">
        <f t="shared" si="152"/>
        <v>0.81976487652896335</v>
      </c>
      <c r="J123" s="127">
        <f t="shared" si="152"/>
        <v>0.84633648773935322</v>
      </c>
      <c r="K123" s="127">
        <f t="shared" si="152"/>
        <v>0.8701783366874567</v>
      </c>
      <c r="L123" s="127">
        <f t="shared" si="152"/>
        <v>0.86854342043320687</v>
      </c>
      <c r="M123" s="127">
        <f t="shared" si="152"/>
        <v>0.85781301295384516</v>
      </c>
      <c r="N123" s="127">
        <f t="shared" si="152"/>
        <v>0.84854094267016089</v>
      </c>
      <c r="O123" s="127">
        <f t="shared" si="152"/>
        <v>0.86682797517541577</v>
      </c>
      <c r="P123" s="127">
        <f t="shared" si="152"/>
        <v>0.87914232311598628</v>
      </c>
      <c r="Q123" s="127">
        <f t="shared" si="152"/>
        <v>0.89072548167389487</v>
      </c>
      <c r="R123" s="127">
        <f t="shared" si="152"/>
        <v>0.90266050507489759</v>
      </c>
      <c r="S123" s="127">
        <f t="shared" si="152"/>
        <v>0.90214661227072346</v>
      </c>
      <c r="T123" s="127">
        <f t="shared" si="152"/>
        <v>0.90002911334565261</v>
      </c>
      <c r="U123" s="127">
        <f t="shared" si="152"/>
        <v>0.89795109167732745</v>
      </c>
      <c r="V123" s="127">
        <f t="shared" si="152"/>
        <v>0.89949614594822302</v>
      </c>
      <c r="W123" s="127">
        <f t="shared" si="152"/>
        <v>0.91458722266226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0.95638219936970981</v>
      </c>
      <c r="C127" s="139">
        <f t="shared" ref="C127:W127" si="155">IF(C35=0,0,C35/C$34)</f>
        <v>0.95040244517283923</v>
      </c>
      <c r="D127" s="139">
        <f t="shared" si="155"/>
        <v>0.95649596626235678</v>
      </c>
      <c r="E127" s="139">
        <f t="shared" si="155"/>
        <v>0.95618606479448143</v>
      </c>
      <c r="F127" s="139">
        <f t="shared" si="155"/>
        <v>0.95707896176935614</v>
      </c>
      <c r="G127" s="139">
        <f t="shared" si="155"/>
        <v>0.95253414962603877</v>
      </c>
      <c r="H127" s="139">
        <f t="shared" si="155"/>
        <v>0.95229483326842801</v>
      </c>
      <c r="I127" s="139">
        <f t="shared" si="155"/>
        <v>0.94763808706650787</v>
      </c>
      <c r="J127" s="139">
        <f t="shared" si="155"/>
        <v>0.93891127118541562</v>
      </c>
      <c r="K127" s="139">
        <f t="shared" si="155"/>
        <v>0.96600899570563448</v>
      </c>
      <c r="L127" s="139">
        <f t="shared" si="155"/>
        <v>0.95502870731804168</v>
      </c>
      <c r="M127" s="139">
        <f t="shared" si="155"/>
        <v>0.94572393453214876</v>
      </c>
      <c r="N127" s="139">
        <f t="shared" si="155"/>
        <v>0.945126789458128</v>
      </c>
      <c r="O127" s="139">
        <f t="shared" si="155"/>
        <v>0.93850468871854953</v>
      </c>
      <c r="P127" s="139">
        <f t="shared" si="155"/>
        <v>0.93203330413922059</v>
      </c>
      <c r="Q127" s="139">
        <f t="shared" si="155"/>
        <v>0.93212926823216602</v>
      </c>
      <c r="R127" s="139">
        <f t="shared" si="155"/>
        <v>0.92938199259984899</v>
      </c>
      <c r="S127" s="139">
        <f t="shared" si="155"/>
        <v>0.92604460334078198</v>
      </c>
      <c r="T127" s="139">
        <f t="shared" si="155"/>
        <v>0.91797596884134247</v>
      </c>
      <c r="U127" s="139">
        <f t="shared" si="155"/>
        <v>0.92211108467475345</v>
      </c>
      <c r="V127" s="139">
        <f t="shared" si="155"/>
        <v>0.96246712582283067</v>
      </c>
      <c r="W127" s="139">
        <f t="shared" si="155"/>
        <v>0.95702263631855522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3.9023180840994506E-3</v>
      </c>
      <c r="C128" s="140">
        <f t="shared" ref="C128:W128" si="156">IF(C36=0,0,C36/C$34)</f>
        <v>3.7606169423043557E-3</v>
      </c>
      <c r="D128" s="140">
        <f t="shared" si="156"/>
        <v>3.7126960954722323E-3</v>
      </c>
      <c r="E128" s="140">
        <f t="shared" si="156"/>
        <v>3.3424601059368684E-3</v>
      </c>
      <c r="F128" s="140">
        <f t="shared" si="156"/>
        <v>3.1877644819504258E-3</v>
      </c>
      <c r="G128" s="140">
        <f t="shared" si="156"/>
        <v>2.7843906345915029E-3</v>
      </c>
      <c r="H128" s="140">
        <f t="shared" si="156"/>
        <v>2.616411947013157E-3</v>
      </c>
      <c r="I128" s="140">
        <f t="shared" si="156"/>
        <v>2.5835069390192466E-3</v>
      </c>
      <c r="J128" s="140">
        <f t="shared" si="156"/>
        <v>2.9572064245377721E-3</v>
      </c>
      <c r="K128" s="140">
        <f t="shared" si="156"/>
        <v>3.4790510697663441E-3</v>
      </c>
      <c r="L128" s="140">
        <f t="shared" si="156"/>
        <v>3.4178853823638726E-3</v>
      </c>
      <c r="M128" s="140">
        <f t="shared" si="156"/>
        <v>3.5593270346369237E-3</v>
      </c>
      <c r="N128" s="140">
        <f t="shared" si="156"/>
        <v>3.1638578493645222E-3</v>
      </c>
      <c r="O128" s="140">
        <f t="shared" si="156"/>
        <v>3.1589357820274791E-3</v>
      </c>
      <c r="P128" s="140">
        <f t="shared" si="156"/>
        <v>3.0375691253633412E-3</v>
      </c>
      <c r="Q128" s="140">
        <f t="shared" si="156"/>
        <v>2.8477062892356387E-3</v>
      </c>
      <c r="R128" s="140">
        <f t="shared" si="156"/>
        <v>2.8068274830202319E-3</v>
      </c>
      <c r="S128" s="140">
        <f t="shared" si="156"/>
        <v>2.48811176251819E-3</v>
      </c>
      <c r="T128" s="140">
        <f t="shared" si="156"/>
        <v>2.1849375101936712E-3</v>
      </c>
      <c r="U128" s="140">
        <f t="shared" si="156"/>
        <v>2.1816535248956547E-3</v>
      </c>
      <c r="V128" s="140">
        <f t="shared" si="156"/>
        <v>2.0890866007625183E-3</v>
      </c>
      <c r="W128" s="140">
        <f t="shared" si="156"/>
        <v>1.791575287415522E-3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0.87556578781965511</v>
      </c>
      <c r="C129" s="140">
        <f t="shared" ref="C129:W129" si="157">IF(C37=0,0,C37/C$34)</f>
        <v>0.87561245490062312</v>
      </c>
      <c r="D129" s="140">
        <f t="shared" si="157"/>
        <v>0.882478868674204</v>
      </c>
      <c r="E129" s="140">
        <f t="shared" si="157"/>
        <v>0.88784935241752372</v>
      </c>
      <c r="F129" s="140">
        <f t="shared" si="157"/>
        <v>0.88970620845709014</v>
      </c>
      <c r="G129" s="140">
        <f t="shared" si="157"/>
        <v>0.8932150260062961</v>
      </c>
      <c r="H129" s="140">
        <f t="shared" si="157"/>
        <v>0.90020594572826707</v>
      </c>
      <c r="I129" s="140">
        <f t="shared" si="157"/>
        <v>0.90310084037548244</v>
      </c>
      <c r="J129" s="140">
        <f t="shared" si="157"/>
        <v>0.89597969117192555</v>
      </c>
      <c r="K129" s="140">
        <f t="shared" si="157"/>
        <v>0.91820447152940665</v>
      </c>
      <c r="L129" s="140">
        <f t="shared" si="157"/>
        <v>0.90817454817122889</v>
      </c>
      <c r="M129" s="140">
        <f t="shared" si="157"/>
        <v>0.8953049177454756</v>
      </c>
      <c r="N129" s="140">
        <f t="shared" si="157"/>
        <v>0.90013691936474427</v>
      </c>
      <c r="O129" s="140">
        <f t="shared" si="157"/>
        <v>0.89256208368479373</v>
      </c>
      <c r="P129" s="140">
        <f t="shared" si="157"/>
        <v>0.88436119524710288</v>
      </c>
      <c r="Q129" s="140">
        <f t="shared" si="157"/>
        <v>0.88496178034853068</v>
      </c>
      <c r="R129" s="140">
        <f t="shared" si="157"/>
        <v>0.88838454629961072</v>
      </c>
      <c r="S129" s="140">
        <f t="shared" si="157"/>
        <v>0.88622750986135168</v>
      </c>
      <c r="T129" s="140">
        <f t="shared" si="157"/>
        <v>0.87988190132831212</v>
      </c>
      <c r="U129" s="140">
        <f t="shared" si="157"/>
        <v>0.88076059630221226</v>
      </c>
      <c r="V129" s="140">
        <f t="shared" si="157"/>
        <v>0.92870406903282088</v>
      </c>
      <c r="W129" s="140">
        <f t="shared" si="157"/>
        <v>0.92473369499018343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7.691409346595536E-2</v>
      </c>
      <c r="C130" s="140">
        <f t="shared" ref="C130:W130" si="158">IF(C38=0,0,C38/C$34)</f>
        <v>7.1029373329911716E-2</v>
      </c>
      <c r="D130" s="140">
        <f t="shared" si="158"/>
        <v>7.0304401492680399E-2</v>
      </c>
      <c r="E130" s="140">
        <f t="shared" si="158"/>
        <v>6.499425227102075E-2</v>
      </c>
      <c r="F130" s="140">
        <f t="shared" si="158"/>
        <v>6.4184988830315495E-2</v>
      </c>
      <c r="G130" s="140">
        <f t="shared" si="158"/>
        <v>5.6534732985151152E-2</v>
      </c>
      <c r="H130" s="140">
        <f t="shared" si="158"/>
        <v>4.9472475593147693E-2</v>
      </c>
      <c r="I130" s="140">
        <f t="shared" si="158"/>
        <v>4.1953739752006169E-2</v>
      </c>
      <c r="J130" s="140">
        <f t="shared" si="158"/>
        <v>3.9974373588952374E-2</v>
      </c>
      <c r="K130" s="140">
        <f t="shared" si="158"/>
        <v>4.4325473106461497E-2</v>
      </c>
      <c r="L130" s="140">
        <f t="shared" si="158"/>
        <v>4.3436273764448932E-2</v>
      </c>
      <c r="M130" s="140">
        <f t="shared" si="158"/>
        <v>4.6859689752036228E-2</v>
      </c>
      <c r="N130" s="140">
        <f t="shared" si="158"/>
        <v>4.1826012244019328E-2</v>
      </c>
      <c r="O130" s="140">
        <f t="shared" si="158"/>
        <v>4.2783669251728315E-2</v>
      </c>
      <c r="P130" s="140">
        <f t="shared" si="158"/>
        <v>4.4634539766754376E-2</v>
      </c>
      <c r="Q130" s="140">
        <f t="shared" si="158"/>
        <v>4.4319781594399671E-2</v>
      </c>
      <c r="R130" s="140">
        <f t="shared" si="158"/>
        <v>3.8190618817217921E-2</v>
      </c>
      <c r="S130" s="140">
        <f t="shared" si="158"/>
        <v>3.7328981716911971E-2</v>
      </c>
      <c r="T130" s="140">
        <f t="shared" si="158"/>
        <v>3.5909130002836777E-2</v>
      </c>
      <c r="U130" s="140">
        <f t="shared" si="158"/>
        <v>3.9168834847645578E-2</v>
      </c>
      <c r="V130" s="140">
        <f t="shared" si="158"/>
        <v>3.1673970189247287E-2</v>
      </c>
      <c r="W130" s="140">
        <f t="shared" si="158"/>
        <v>3.0497366040956306E-2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1.3323967006214637E-2</v>
      </c>
      <c r="C131" s="124">
        <f t="shared" ref="C131:W131" si="159">IF(C39=0,0,C39/C$34)</f>
        <v>1.1288341110398321E-2</v>
      </c>
      <c r="D131" s="124">
        <f t="shared" si="159"/>
        <v>1.0306968190159922E-2</v>
      </c>
      <c r="E131" s="124">
        <f t="shared" si="159"/>
        <v>8.2654507828958095E-3</v>
      </c>
      <c r="F131" s="124">
        <f t="shared" si="159"/>
        <v>7.7769376189232697E-3</v>
      </c>
      <c r="G131" s="124">
        <f t="shared" si="159"/>
        <v>4.3813007696285843E-3</v>
      </c>
      <c r="H131" s="124">
        <f t="shared" si="159"/>
        <v>3.6301154492759031E-3</v>
      </c>
      <c r="I131" s="124">
        <f t="shared" si="159"/>
        <v>2.9759573849742591E-3</v>
      </c>
      <c r="J131" s="124">
        <f t="shared" si="159"/>
        <v>3.2293044420633782E-3</v>
      </c>
      <c r="K131" s="124">
        <f t="shared" si="159"/>
        <v>3.3247245019378045E-3</v>
      </c>
      <c r="L131" s="124">
        <f t="shared" si="159"/>
        <v>3.564532491230627E-3</v>
      </c>
      <c r="M131" s="124">
        <f t="shared" si="159"/>
        <v>3.9687142318841646E-3</v>
      </c>
      <c r="N131" s="124">
        <f t="shared" si="159"/>
        <v>3.6492597419383278E-3</v>
      </c>
      <c r="O131" s="124">
        <f t="shared" si="159"/>
        <v>3.5013459778329586E-3</v>
      </c>
      <c r="P131" s="124">
        <f t="shared" si="159"/>
        <v>3.2981924894551783E-3</v>
      </c>
      <c r="Q131" s="124">
        <f t="shared" si="159"/>
        <v>3.1588689695373155E-3</v>
      </c>
      <c r="R131" s="124">
        <f t="shared" si="159"/>
        <v>2.6804247534337297E-3</v>
      </c>
      <c r="S131" s="124">
        <f t="shared" si="159"/>
        <v>3.0059098714440959E-3</v>
      </c>
      <c r="T131" s="124">
        <f t="shared" si="159"/>
        <v>3.2518028821832104E-3</v>
      </c>
      <c r="U131" s="124">
        <f t="shared" si="159"/>
        <v>3.1469289213829454E-3</v>
      </c>
      <c r="V131" s="124">
        <f t="shared" si="159"/>
        <v>2.8229334276099441E-3</v>
      </c>
      <c r="W131" s="124">
        <f t="shared" si="159"/>
        <v>3.2763827854971144E-3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0</v>
      </c>
      <c r="E132" s="140">
        <f t="shared" si="160"/>
        <v>0</v>
      </c>
      <c r="F132" s="140">
        <f t="shared" si="160"/>
        <v>0</v>
      </c>
      <c r="G132" s="140">
        <f t="shared" si="160"/>
        <v>0</v>
      </c>
      <c r="H132" s="140">
        <f t="shared" si="160"/>
        <v>0</v>
      </c>
      <c r="I132" s="140">
        <f t="shared" si="160"/>
        <v>0</v>
      </c>
      <c r="J132" s="140">
        <f t="shared" si="160"/>
        <v>0</v>
      </c>
      <c r="K132" s="140">
        <f t="shared" si="160"/>
        <v>0</v>
      </c>
      <c r="L132" s="140">
        <f t="shared" si="160"/>
        <v>0</v>
      </c>
      <c r="M132" s="140">
        <f t="shared" si="160"/>
        <v>0</v>
      </c>
      <c r="N132" s="140">
        <f t="shared" si="160"/>
        <v>0</v>
      </c>
      <c r="O132" s="140">
        <f t="shared" si="160"/>
        <v>0</v>
      </c>
      <c r="P132" s="140">
        <f t="shared" si="160"/>
        <v>0</v>
      </c>
      <c r="Q132" s="140">
        <f t="shared" si="160"/>
        <v>0</v>
      </c>
      <c r="R132" s="140">
        <f t="shared" si="160"/>
        <v>0</v>
      </c>
      <c r="S132" s="140">
        <f t="shared" si="160"/>
        <v>0</v>
      </c>
      <c r="T132" s="140">
        <f t="shared" si="160"/>
        <v>0</v>
      </c>
      <c r="U132" s="140">
        <f t="shared" si="160"/>
        <v>0</v>
      </c>
      <c r="V132" s="140">
        <f t="shared" si="160"/>
        <v>0</v>
      </c>
      <c r="W132" s="140">
        <f t="shared" si="160"/>
        <v>0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1.3323967006214637E-2</v>
      </c>
      <c r="C133" s="140">
        <f t="shared" ref="C133:W133" si="161">IF(C41=0,0,C41/C$34)</f>
        <v>1.1288341110398321E-2</v>
      </c>
      <c r="D133" s="140">
        <f t="shared" si="161"/>
        <v>1.0306968190159922E-2</v>
      </c>
      <c r="E133" s="140">
        <f t="shared" si="161"/>
        <v>8.2654507828958095E-3</v>
      </c>
      <c r="F133" s="140">
        <f t="shared" si="161"/>
        <v>7.7769376189232697E-3</v>
      </c>
      <c r="G133" s="140">
        <f t="shared" si="161"/>
        <v>4.3813007696285843E-3</v>
      </c>
      <c r="H133" s="140">
        <f t="shared" si="161"/>
        <v>3.6301154492759031E-3</v>
      </c>
      <c r="I133" s="140">
        <f t="shared" si="161"/>
        <v>2.9759573849742591E-3</v>
      </c>
      <c r="J133" s="140">
        <f t="shared" si="161"/>
        <v>3.2293044420633782E-3</v>
      </c>
      <c r="K133" s="140">
        <f t="shared" si="161"/>
        <v>3.3247245019378045E-3</v>
      </c>
      <c r="L133" s="140">
        <f t="shared" si="161"/>
        <v>3.564532491230627E-3</v>
      </c>
      <c r="M133" s="140">
        <f t="shared" si="161"/>
        <v>3.9687142318841646E-3</v>
      </c>
      <c r="N133" s="140">
        <f t="shared" si="161"/>
        <v>3.6492597419383278E-3</v>
      </c>
      <c r="O133" s="140">
        <f t="shared" si="161"/>
        <v>3.5013459778329586E-3</v>
      </c>
      <c r="P133" s="140">
        <f t="shared" si="161"/>
        <v>3.2981924894551783E-3</v>
      </c>
      <c r="Q133" s="140">
        <f t="shared" si="161"/>
        <v>3.1588689695373155E-3</v>
      </c>
      <c r="R133" s="140">
        <f t="shared" si="161"/>
        <v>2.6804247534337297E-3</v>
      </c>
      <c r="S133" s="140">
        <f t="shared" si="161"/>
        <v>3.0059098714440959E-3</v>
      </c>
      <c r="T133" s="140">
        <f t="shared" si="161"/>
        <v>3.2518028821832104E-3</v>
      </c>
      <c r="U133" s="140">
        <f t="shared" si="161"/>
        <v>3.1469289213829454E-3</v>
      </c>
      <c r="V133" s="140">
        <f t="shared" si="161"/>
        <v>2.8229334276099441E-3</v>
      </c>
      <c r="W133" s="140">
        <f t="shared" si="161"/>
        <v>3.2763827854971144E-3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3.0293833624075516E-2</v>
      </c>
      <c r="C135" s="124">
        <f t="shared" ref="C135:W135" si="163">IF(C43=0,0,C43/C$34)</f>
        <v>3.8309213716762353E-2</v>
      </c>
      <c r="D135" s="124">
        <f t="shared" si="163"/>
        <v>3.3197065547483355E-2</v>
      </c>
      <c r="E135" s="124">
        <f t="shared" si="163"/>
        <v>3.5548484422622768E-2</v>
      </c>
      <c r="F135" s="124">
        <f t="shared" si="163"/>
        <v>3.5144100611720568E-2</v>
      </c>
      <c r="G135" s="124">
        <f t="shared" si="163"/>
        <v>4.308454960433257E-2</v>
      </c>
      <c r="H135" s="124">
        <f t="shared" si="163"/>
        <v>4.4075051282295948E-2</v>
      </c>
      <c r="I135" s="124">
        <f t="shared" si="163"/>
        <v>4.9385955548517796E-2</v>
      </c>
      <c r="J135" s="124">
        <f t="shared" si="163"/>
        <v>5.785942437252109E-2</v>
      </c>
      <c r="K135" s="124">
        <f t="shared" si="163"/>
        <v>3.0666279792427729E-2</v>
      </c>
      <c r="L135" s="124">
        <f t="shared" si="163"/>
        <v>4.1406760190727809E-2</v>
      </c>
      <c r="M135" s="124">
        <f t="shared" si="163"/>
        <v>5.0307351235966913E-2</v>
      </c>
      <c r="N135" s="124">
        <f t="shared" si="163"/>
        <v>5.1223950799933519E-2</v>
      </c>
      <c r="O135" s="124">
        <f t="shared" si="163"/>
        <v>5.7993965303617716E-2</v>
      </c>
      <c r="P135" s="124">
        <f t="shared" si="163"/>
        <v>6.4668503371324196E-2</v>
      </c>
      <c r="Q135" s="124">
        <f t="shared" si="163"/>
        <v>6.471186279829666E-2</v>
      </c>
      <c r="R135" s="124">
        <f t="shared" si="163"/>
        <v>6.7937582646717357E-2</v>
      </c>
      <c r="S135" s="124">
        <f t="shared" si="163"/>
        <v>7.0949486787774046E-2</v>
      </c>
      <c r="T135" s="124">
        <f t="shared" si="163"/>
        <v>7.8772228276474274E-2</v>
      </c>
      <c r="U135" s="124">
        <f t="shared" si="163"/>
        <v>7.4741986403863522E-2</v>
      </c>
      <c r="V135" s="124">
        <f t="shared" si="163"/>
        <v>3.4709940749559291E-2</v>
      </c>
      <c r="W135" s="124">
        <f t="shared" si="163"/>
        <v>3.9700980895947743E-2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2.5645785734458536E-2</v>
      </c>
      <c r="C137" s="140">
        <f t="shared" ref="C137:W137" si="165">IF(C45=0,0,C45/C$34)</f>
        <v>3.242805300825298E-2</v>
      </c>
      <c r="D137" s="140">
        <f t="shared" si="165"/>
        <v>2.8099555466720109E-2</v>
      </c>
      <c r="E137" s="140">
        <f t="shared" si="165"/>
        <v>3.0091763063285565E-2</v>
      </c>
      <c r="F137" s="140">
        <f t="shared" si="165"/>
        <v>2.9748760963405937E-2</v>
      </c>
      <c r="G137" s="140">
        <f t="shared" si="165"/>
        <v>3.7345127821064202E-2</v>
      </c>
      <c r="H137" s="140">
        <f t="shared" si="165"/>
        <v>3.8549602209560656E-2</v>
      </c>
      <c r="I137" s="140">
        <f t="shared" si="165"/>
        <v>4.3245063584850432E-2</v>
      </c>
      <c r="J137" s="140">
        <f t="shared" si="165"/>
        <v>5.0704954297065577E-2</v>
      </c>
      <c r="K137" s="140">
        <f t="shared" si="165"/>
        <v>2.6329662031172679E-2</v>
      </c>
      <c r="L137" s="140">
        <f t="shared" si="165"/>
        <v>3.6082387055671863E-2</v>
      </c>
      <c r="M137" s="140">
        <f t="shared" si="165"/>
        <v>4.4103600841136494E-2</v>
      </c>
      <c r="N137" s="140">
        <f t="shared" si="165"/>
        <v>4.5502124902094279E-2</v>
      </c>
      <c r="O137" s="140">
        <f t="shared" si="165"/>
        <v>5.167084887273031E-2</v>
      </c>
      <c r="P137" s="140">
        <f t="shared" si="165"/>
        <v>5.7657700309062233E-2</v>
      </c>
      <c r="Q137" s="140">
        <f t="shared" si="165"/>
        <v>5.8015421709041663E-2</v>
      </c>
      <c r="R137" s="140">
        <f t="shared" si="165"/>
        <v>6.1562623204907664E-2</v>
      </c>
      <c r="S137" s="140">
        <f t="shared" si="165"/>
        <v>6.4480434936052961E-2</v>
      </c>
      <c r="T137" s="140">
        <f t="shared" si="165"/>
        <v>7.1888988426419581E-2</v>
      </c>
      <c r="U137" s="140">
        <f t="shared" si="165"/>
        <v>6.8090952888659712E-2</v>
      </c>
      <c r="V137" s="140">
        <f t="shared" si="165"/>
        <v>3.0364113628322077E-2</v>
      </c>
      <c r="W137" s="140">
        <f t="shared" si="165"/>
        <v>3.5243306457608425E-2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4.6480478896169805E-3</v>
      </c>
      <c r="C138" s="140">
        <f t="shared" ref="C138:W138" si="166">IF(C46=0,0,C46/C$34)</f>
        <v>5.8811607085093743E-3</v>
      </c>
      <c r="D138" s="140">
        <f t="shared" si="166"/>
        <v>5.0975100807632481E-3</v>
      </c>
      <c r="E138" s="140">
        <f t="shared" si="166"/>
        <v>5.4567213593372001E-3</v>
      </c>
      <c r="F138" s="140">
        <f t="shared" si="166"/>
        <v>5.3953396483146327E-3</v>
      </c>
      <c r="G138" s="140">
        <f t="shared" si="166"/>
        <v>5.7394217832683675E-3</v>
      </c>
      <c r="H138" s="140">
        <f t="shared" si="166"/>
        <v>5.5254490727352848E-3</v>
      </c>
      <c r="I138" s="140">
        <f t="shared" si="166"/>
        <v>6.1408919636673663E-3</v>
      </c>
      <c r="J138" s="140">
        <f t="shared" si="166"/>
        <v>7.1544700754555181E-3</v>
      </c>
      <c r="K138" s="140">
        <f t="shared" si="166"/>
        <v>4.3366177612550478E-3</v>
      </c>
      <c r="L138" s="140">
        <f t="shared" si="166"/>
        <v>5.3243731350559468E-3</v>
      </c>
      <c r="M138" s="140">
        <f t="shared" si="166"/>
        <v>6.2037503948304176E-3</v>
      </c>
      <c r="N138" s="140">
        <f t="shared" si="166"/>
        <v>5.7218258978392403E-3</v>
      </c>
      <c r="O138" s="140">
        <f t="shared" si="166"/>
        <v>6.323116430887404E-3</v>
      </c>
      <c r="P138" s="140">
        <f t="shared" si="166"/>
        <v>7.0108030622619624E-3</v>
      </c>
      <c r="Q138" s="140">
        <f t="shared" si="166"/>
        <v>6.6964410892550036E-3</v>
      </c>
      <c r="R138" s="140">
        <f t="shared" si="166"/>
        <v>6.3749594418096968E-3</v>
      </c>
      <c r="S138" s="140">
        <f t="shared" si="166"/>
        <v>6.4690518517210843E-3</v>
      </c>
      <c r="T138" s="140">
        <f t="shared" si="166"/>
        <v>6.8832398500546996E-3</v>
      </c>
      <c r="U138" s="140">
        <f t="shared" si="166"/>
        <v>6.6510335152038004E-3</v>
      </c>
      <c r="V138" s="140">
        <f t="shared" si="166"/>
        <v>4.3458271212372165E-3</v>
      </c>
      <c r="W138" s="140">
        <f t="shared" si="166"/>
        <v>4.4576744383393214E-3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0.76665338999067989</v>
      </c>
      <c r="C140" s="139">
        <f t="shared" ref="C140:W140" si="169">IF(C48=0,0,C48/C$47)</f>
        <v>0.82753515209072204</v>
      </c>
      <c r="D140" s="139">
        <f t="shared" si="169"/>
        <v>0.81577461712577826</v>
      </c>
      <c r="E140" s="139">
        <f t="shared" si="169"/>
        <v>0.76633330718175507</v>
      </c>
      <c r="F140" s="139">
        <f t="shared" si="169"/>
        <v>0.79559740923450661</v>
      </c>
      <c r="G140" s="139">
        <f t="shared" si="169"/>
        <v>0.77612021970976663</v>
      </c>
      <c r="H140" s="139">
        <f t="shared" si="169"/>
        <v>0.77503514624792857</v>
      </c>
      <c r="I140" s="139">
        <f t="shared" si="169"/>
        <v>0.84136865546942163</v>
      </c>
      <c r="J140" s="139">
        <f t="shared" si="169"/>
        <v>0.84499613515643479</v>
      </c>
      <c r="K140" s="139">
        <f t="shared" si="169"/>
        <v>0.80493430860650661</v>
      </c>
      <c r="L140" s="139">
        <f t="shared" si="169"/>
        <v>0.82144313145445225</v>
      </c>
      <c r="M140" s="139">
        <f t="shared" si="169"/>
        <v>0.84558709136263044</v>
      </c>
      <c r="N140" s="139">
        <f t="shared" si="169"/>
        <v>0.81148286341537046</v>
      </c>
      <c r="O140" s="139">
        <f t="shared" si="169"/>
        <v>0.83945573336739165</v>
      </c>
      <c r="P140" s="139">
        <f t="shared" si="169"/>
        <v>0.88740352231799258</v>
      </c>
      <c r="Q140" s="139">
        <f t="shared" si="169"/>
        <v>0.90092844913962977</v>
      </c>
      <c r="R140" s="139">
        <f t="shared" si="169"/>
        <v>0.89958674130031757</v>
      </c>
      <c r="S140" s="139">
        <f t="shared" si="169"/>
        <v>0.89544703553902616</v>
      </c>
      <c r="T140" s="139">
        <f t="shared" si="169"/>
        <v>0.89247918231025158</v>
      </c>
      <c r="U140" s="139">
        <f t="shared" si="169"/>
        <v>0.9045778342770121</v>
      </c>
      <c r="V140" s="139">
        <f t="shared" si="169"/>
        <v>0.91218839160809129</v>
      </c>
      <c r="W140" s="139">
        <f t="shared" si="169"/>
        <v>0.91759275644247995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0.11879734725519071</v>
      </c>
      <c r="C141" s="140">
        <f t="shared" ref="C141:W141" si="170">IF(C49=0,0,C49/C$47)</f>
        <v>9.8362290597038993E-2</v>
      </c>
      <c r="D141" s="140">
        <f t="shared" si="170"/>
        <v>9.6389498638005305E-2</v>
      </c>
      <c r="E141" s="140">
        <f t="shared" si="170"/>
        <v>0.11092898344973584</v>
      </c>
      <c r="F141" s="140">
        <f t="shared" si="170"/>
        <v>0.10251672140224841</v>
      </c>
      <c r="G141" s="140">
        <f t="shared" si="170"/>
        <v>0.11182965976249172</v>
      </c>
      <c r="H141" s="140">
        <f t="shared" si="170"/>
        <v>0.13721380997938365</v>
      </c>
      <c r="I141" s="140">
        <f t="shared" si="170"/>
        <v>0.10956388916113556</v>
      </c>
      <c r="J141" s="140">
        <f t="shared" si="170"/>
        <v>0.10697799995403516</v>
      </c>
      <c r="K141" s="140">
        <f t="shared" si="170"/>
        <v>0.18229040086625461</v>
      </c>
      <c r="L141" s="140">
        <f t="shared" si="170"/>
        <v>0.14723443319273757</v>
      </c>
      <c r="M141" s="140">
        <f t="shared" si="170"/>
        <v>0.13841189843761506</v>
      </c>
      <c r="N141" s="140">
        <f t="shared" si="170"/>
        <v>0.19405198041128363</v>
      </c>
      <c r="O141" s="140">
        <f t="shared" si="170"/>
        <v>0.18650106459816476</v>
      </c>
      <c r="P141" s="140">
        <f t="shared" si="170"/>
        <v>0.13939071798187952</v>
      </c>
      <c r="Q141" s="140">
        <f t="shared" si="170"/>
        <v>0.138233514631497</v>
      </c>
      <c r="R141" s="140">
        <f t="shared" si="170"/>
        <v>0.15380910522487154</v>
      </c>
      <c r="S141" s="140">
        <f t="shared" si="170"/>
        <v>0.15031599832804554</v>
      </c>
      <c r="T141" s="140">
        <f t="shared" si="170"/>
        <v>0.14262401077357981</v>
      </c>
      <c r="U141" s="140">
        <f t="shared" si="170"/>
        <v>0.14403308134368709</v>
      </c>
      <c r="V141" s="140">
        <f t="shared" si="170"/>
        <v>0.14169310348625153</v>
      </c>
      <c r="W141" s="140">
        <f t="shared" si="170"/>
        <v>0.14225123992263461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0.64785604273548913</v>
      </c>
      <c r="C142" s="140">
        <f t="shared" ref="C142:W142" si="171">IF(C50=0,0,C50/C$47)</f>
        <v>0.7291728614936831</v>
      </c>
      <c r="D142" s="140">
        <f t="shared" si="171"/>
        <v>0.71938511848777298</v>
      </c>
      <c r="E142" s="140">
        <f t="shared" si="171"/>
        <v>0.65540432373201918</v>
      </c>
      <c r="F142" s="140">
        <f t="shared" si="171"/>
        <v>0.69308068783225807</v>
      </c>
      <c r="G142" s="140">
        <f t="shared" si="171"/>
        <v>0.66429055994727482</v>
      </c>
      <c r="H142" s="140">
        <f t="shared" si="171"/>
        <v>0.63782133626854498</v>
      </c>
      <c r="I142" s="140">
        <f t="shared" si="171"/>
        <v>0.73180476630828606</v>
      </c>
      <c r="J142" s="140">
        <f t="shared" si="171"/>
        <v>0.73801813520239956</v>
      </c>
      <c r="K142" s="140">
        <f t="shared" si="171"/>
        <v>0.62264390774025202</v>
      </c>
      <c r="L142" s="140">
        <f t="shared" si="171"/>
        <v>0.67420869826171459</v>
      </c>
      <c r="M142" s="140">
        <f t="shared" si="171"/>
        <v>0.70717519292501541</v>
      </c>
      <c r="N142" s="140">
        <f t="shared" si="171"/>
        <v>0.61743088300408677</v>
      </c>
      <c r="O142" s="140">
        <f t="shared" si="171"/>
        <v>0.65295466876922681</v>
      </c>
      <c r="P142" s="140">
        <f t="shared" si="171"/>
        <v>0.74801280433611306</v>
      </c>
      <c r="Q142" s="140">
        <f t="shared" si="171"/>
        <v>0.76269493450813275</v>
      </c>
      <c r="R142" s="140">
        <f t="shared" si="171"/>
        <v>0.74577763607544612</v>
      </c>
      <c r="S142" s="140">
        <f t="shared" si="171"/>
        <v>0.74513103721098051</v>
      </c>
      <c r="T142" s="140">
        <f t="shared" si="171"/>
        <v>0.74985517153667181</v>
      </c>
      <c r="U142" s="140">
        <f t="shared" si="171"/>
        <v>0.76054475293332502</v>
      </c>
      <c r="V142" s="140">
        <f t="shared" si="171"/>
        <v>0.77049528812183976</v>
      </c>
      <c r="W142" s="140">
        <f t="shared" si="171"/>
        <v>0.7753415165198454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0.22065766151177735</v>
      </c>
      <c r="C143" s="124">
        <f t="shared" ref="C143:W143" si="172">IF(C51=0,0,C51/C$47)</f>
        <v>0.16191845156829832</v>
      </c>
      <c r="D143" s="124">
        <f t="shared" si="172"/>
        <v>0.17103302142273052</v>
      </c>
      <c r="E143" s="124">
        <f t="shared" si="172"/>
        <v>0.2195474329425722</v>
      </c>
      <c r="F143" s="124">
        <f t="shared" si="172"/>
        <v>0.18908221581691131</v>
      </c>
      <c r="G143" s="124">
        <f t="shared" si="172"/>
        <v>0.20775755657298101</v>
      </c>
      <c r="H143" s="124">
        <f t="shared" si="172"/>
        <v>0.2048424772685194</v>
      </c>
      <c r="I143" s="124">
        <f t="shared" si="172"/>
        <v>0.14656139241280894</v>
      </c>
      <c r="J143" s="124">
        <f t="shared" si="172"/>
        <v>0.14147239730525746</v>
      </c>
      <c r="K143" s="124">
        <f t="shared" si="172"/>
        <v>0.17738206367530887</v>
      </c>
      <c r="L143" s="124">
        <f t="shared" si="172"/>
        <v>0.16021285028487803</v>
      </c>
      <c r="M143" s="124">
        <f t="shared" si="172"/>
        <v>0.14112665247937003</v>
      </c>
      <c r="N143" s="124">
        <f t="shared" si="172"/>
        <v>0.17019815582383607</v>
      </c>
      <c r="O143" s="124">
        <f t="shared" si="172"/>
        <v>0.14343873966627979</v>
      </c>
      <c r="P143" s="124">
        <f t="shared" si="172"/>
        <v>0.10144414348596571</v>
      </c>
      <c r="Q143" s="124">
        <f t="shared" si="172"/>
        <v>8.8498150393330616E-2</v>
      </c>
      <c r="R143" s="124">
        <f t="shared" si="172"/>
        <v>9.1274867603798715E-2</v>
      </c>
      <c r="S143" s="124">
        <f t="shared" si="172"/>
        <v>9.2977776607549259E-2</v>
      </c>
      <c r="T143" s="124">
        <f t="shared" si="172"/>
        <v>9.7713245658112902E-2</v>
      </c>
      <c r="U143" s="124">
        <f t="shared" si="172"/>
        <v>8.5130993052585424E-2</v>
      </c>
      <c r="V143" s="124">
        <f t="shared" si="172"/>
        <v>7.9185499451620955E-2</v>
      </c>
      <c r="W143" s="124">
        <f t="shared" si="172"/>
        <v>7.388263534776511E-2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1.7628949362211528E-3</v>
      </c>
      <c r="C144" s="124">
        <f t="shared" ref="C144:W144" si="173">IF(C52=0,0,C52/C$47)</f>
        <v>1.4940569225269694E-3</v>
      </c>
      <c r="D144" s="124">
        <f t="shared" si="173"/>
        <v>1.4254777005788353E-3</v>
      </c>
      <c r="E144" s="124">
        <f t="shared" si="173"/>
        <v>8.8312675818720955E-4</v>
      </c>
      <c r="F144" s="124">
        <f t="shared" si="173"/>
        <v>8.4482800833650526E-4</v>
      </c>
      <c r="G144" s="124">
        <f t="shared" si="173"/>
        <v>1.0866199335222266E-3</v>
      </c>
      <c r="H144" s="124">
        <f t="shared" si="173"/>
        <v>1.6334350862126656E-3</v>
      </c>
      <c r="I144" s="124">
        <f t="shared" si="173"/>
        <v>1.4256342735082183E-3</v>
      </c>
      <c r="J144" s="124">
        <f t="shared" si="173"/>
        <v>1.3591436599549775E-3</v>
      </c>
      <c r="K144" s="124">
        <f t="shared" si="173"/>
        <v>9.9661103211648254E-4</v>
      </c>
      <c r="L144" s="124">
        <f t="shared" si="173"/>
        <v>1.1475359901343852E-3</v>
      </c>
      <c r="M144" s="124">
        <f t="shared" si="173"/>
        <v>1.03582396919741E-3</v>
      </c>
      <c r="N144" s="124">
        <f t="shared" si="173"/>
        <v>2.6185153027114359E-3</v>
      </c>
      <c r="O144" s="124">
        <f t="shared" si="173"/>
        <v>2.615246409338497E-3</v>
      </c>
      <c r="P144" s="124">
        <f t="shared" si="173"/>
        <v>1.5284522234492732E-3</v>
      </c>
      <c r="Q144" s="124">
        <f t="shared" si="173"/>
        <v>1.5060368842438022E-3</v>
      </c>
      <c r="R144" s="124">
        <f t="shared" si="173"/>
        <v>1.5429813991195244E-3</v>
      </c>
      <c r="S144" s="124">
        <f t="shared" si="173"/>
        <v>1.7796543355351401E-3</v>
      </c>
      <c r="T144" s="124">
        <f t="shared" si="173"/>
        <v>1.8718603224643659E-3</v>
      </c>
      <c r="U144" s="124">
        <f t="shared" si="173"/>
        <v>1.7879285547124045E-3</v>
      </c>
      <c r="V144" s="124">
        <f t="shared" si="173"/>
        <v>2.8818219623140146E-3</v>
      </c>
      <c r="W144" s="124">
        <f t="shared" si="173"/>
        <v>2.6466881235818586E-3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1.7307553648746978E-3</v>
      </c>
      <c r="C146" s="140">
        <f t="shared" ref="C146:W146" si="175">IF(C54=0,0,C54/C$47)</f>
        <v>1.4673304663165643E-3</v>
      </c>
      <c r="D146" s="140">
        <f t="shared" si="175"/>
        <v>1.3994896275977312E-3</v>
      </c>
      <c r="E146" s="140">
        <f t="shared" si="175"/>
        <v>8.5364622570175384E-4</v>
      </c>
      <c r="F146" s="140">
        <f t="shared" si="175"/>
        <v>8.1262609370005867E-4</v>
      </c>
      <c r="G146" s="140">
        <f t="shared" si="175"/>
        <v>1.0396183875971059E-3</v>
      </c>
      <c r="H146" s="140">
        <f t="shared" si="175"/>
        <v>1.5194603897399916E-3</v>
      </c>
      <c r="I146" s="140">
        <f t="shared" si="175"/>
        <v>1.2855426912787319E-3</v>
      </c>
      <c r="J146" s="140">
        <f t="shared" si="175"/>
        <v>1.2708677625690621E-3</v>
      </c>
      <c r="K146" s="140">
        <f t="shared" si="175"/>
        <v>9.7879915416381824E-4</v>
      </c>
      <c r="L146" s="140">
        <f t="shared" si="175"/>
        <v>1.1179739527690379E-3</v>
      </c>
      <c r="M146" s="140">
        <f t="shared" si="175"/>
        <v>9.8713630444051273E-4</v>
      </c>
      <c r="N146" s="140">
        <f t="shared" si="175"/>
        <v>1.2685470916595065E-3</v>
      </c>
      <c r="O146" s="140">
        <f t="shared" si="175"/>
        <v>2.0554475886576085E-3</v>
      </c>
      <c r="P146" s="140">
        <f t="shared" si="175"/>
        <v>1.3596843275099988E-3</v>
      </c>
      <c r="Q146" s="140">
        <f t="shared" si="175"/>
        <v>1.3618876322278718E-3</v>
      </c>
      <c r="R146" s="140">
        <f t="shared" si="175"/>
        <v>1.4444061532778326E-3</v>
      </c>
      <c r="S146" s="140">
        <f t="shared" si="175"/>
        <v>1.7304780072930259E-3</v>
      </c>
      <c r="T146" s="140">
        <f t="shared" si="175"/>
        <v>1.7963458872107254E-3</v>
      </c>
      <c r="U146" s="140">
        <f t="shared" si="175"/>
        <v>1.7035131772399742E-3</v>
      </c>
      <c r="V146" s="140">
        <f t="shared" si="175"/>
        <v>2.5735200104595331E-3</v>
      </c>
      <c r="W146" s="140">
        <f t="shared" si="175"/>
        <v>2.486301353149401E-3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3.2139571346455002E-5</v>
      </c>
      <c r="C147" s="140">
        <f t="shared" ref="C147:W147" si="176">IF(C55=0,0,C55/C$47)</f>
        <v>2.6726456210405063E-5</v>
      </c>
      <c r="D147" s="140">
        <f t="shared" si="176"/>
        <v>2.5988072981104052E-5</v>
      </c>
      <c r="E147" s="140">
        <f t="shared" si="176"/>
        <v>2.9480532485455816E-5</v>
      </c>
      <c r="F147" s="140">
        <f t="shared" si="176"/>
        <v>3.220191463644659E-5</v>
      </c>
      <c r="G147" s="140">
        <f t="shared" si="176"/>
        <v>4.7001545925120654E-5</v>
      </c>
      <c r="H147" s="140">
        <f t="shared" si="176"/>
        <v>1.1397469647267402E-4</v>
      </c>
      <c r="I147" s="140">
        <f t="shared" si="176"/>
        <v>1.400915822294865E-4</v>
      </c>
      <c r="J147" s="140">
        <f t="shared" si="176"/>
        <v>8.8275897385915541E-5</v>
      </c>
      <c r="K147" s="140">
        <f t="shared" si="176"/>
        <v>1.7811877952664371E-5</v>
      </c>
      <c r="L147" s="140">
        <f t="shared" si="176"/>
        <v>2.9562037365347313E-5</v>
      </c>
      <c r="M147" s="140">
        <f t="shared" si="176"/>
        <v>4.8687664756897291E-5</v>
      </c>
      <c r="N147" s="140">
        <f t="shared" si="176"/>
        <v>1.3499682110519294E-3</v>
      </c>
      <c r="O147" s="140">
        <f t="shared" si="176"/>
        <v>5.597988206808885E-4</v>
      </c>
      <c r="P147" s="140">
        <f t="shared" si="176"/>
        <v>1.6876789593927457E-4</v>
      </c>
      <c r="Q147" s="140">
        <f t="shared" si="176"/>
        <v>1.4414925201593028E-4</v>
      </c>
      <c r="R147" s="140">
        <f t="shared" si="176"/>
        <v>9.8575245841691904E-5</v>
      </c>
      <c r="S147" s="140">
        <f t="shared" si="176"/>
        <v>4.9176328242114375E-5</v>
      </c>
      <c r="T147" s="140">
        <f t="shared" si="176"/>
        <v>7.5514435253640566E-5</v>
      </c>
      <c r="U147" s="140">
        <f t="shared" si="176"/>
        <v>8.4415377472430087E-5</v>
      </c>
      <c r="V147" s="140">
        <f t="shared" si="176"/>
        <v>3.0830195185448133E-4</v>
      </c>
      <c r="W147" s="140">
        <f t="shared" si="176"/>
        <v>1.6038677043245765E-4</v>
      </c>
      <c r="DA147" s="175"/>
    </row>
    <row r="148" spans="1:105" ht="11.45" customHeight="1" x14ac:dyDescent="0.25">
      <c r="A148" s="109" t="s">
        <v>142</v>
      </c>
      <c r="B148" s="124">
        <f t="shared" si="167"/>
        <v>1.0926053561321616E-2</v>
      </c>
      <c r="C148" s="124">
        <f t="shared" ref="C148:W148" si="177">IF(C56=0,0,C56/C$47)</f>
        <v>9.052339418452765E-3</v>
      </c>
      <c r="D148" s="124">
        <f t="shared" si="177"/>
        <v>1.1766883750912427E-2</v>
      </c>
      <c r="E148" s="124">
        <f t="shared" si="177"/>
        <v>1.3236133117485506E-2</v>
      </c>
      <c r="F148" s="124">
        <f t="shared" si="177"/>
        <v>1.4475546940245654E-2</v>
      </c>
      <c r="G148" s="124">
        <f t="shared" si="177"/>
        <v>1.5035603783730254E-2</v>
      </c>
      <c r="H148" s="124">
        <f t="shared" si="177"/>
        <v>1.8488941397339243E-2</v>
      </c>
      <c r="I148" s="124">
        <f t="shared" si="177"/>
        <v>1.0644317844261274E-2</v>
      </c>
      <c r="J148" s="124">
        <f t="shared" si="177"/>
        <v>1.2172323878352842E-2</v>
      </c>
      <c r="K148" s="124">
        <f t="shared" si="177"/>
        <v>1.6687016686067997E-2</v>
      </c>
      <c r="L148" s="124">
        <f t="shared" si="177"/>
        <v>1.7196482270535329E-2</v>
      </c>
      <c r="M148" s="124">
        <f t="shared" si="177"/>
        <v>1.2250432188802007E-2</v>
      </c>
      <c r="N148" s="124">
        <f t="shared" si="177"/>
        <v>1.5700465458082003E-2</v>
      </c>
      <c r="O148" s="124">
        <f t="shared" si="177"/>
        <v>1.4490280556990235E-2</v>
      </c>
      <c r="P148" s="124">
        <f t="shared" si="177"/>
        <v>9.623881972592176E-3</v>
      </c>
      <c r="Q148" s="124">
        <f t="shared" si="177"/>
        <v>9.0673635827959575E-3</v>
      </c>
      <c r="R148" s="124">
        <f t="shared" si="177"/>
        <v>7.5954096967642748E-3</v>
      </c>
      <c r="S148" s="124">
        <f t="shared" si="177"/>
        <v>9.795533517889525E-3</v>
      </c>
      <c r="T148" s="124">
        <f t="shared" si="177"/>
        <v>7.9357117091709058E-3</v>
      </c>
      <c r="U148" s="124">
        <f t="shared" si="177"/>
        <v>8.5032441156901225E-3</v>
      </c>
      <c r="V148" s="124">
        <f t="shared" si="177"/>
        <v>5.7442869779738507E-3</v>
      </c>
      <c r="W148" s="124">
        <f t="shared" si="177"/>
        <v>5.8779200861730366E-3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1.0886274911017985E-2</v>
      </c>
      <c r="C149" s="140">
        <f t="shared" ref="C149:W149" si="178">IF(C57=0,0,C57/C$47)</f>
        <v>9.0298576156945861E-3</v>
      </c>
      <c r="D149" s="140">
        <f t="shared" si="178"/>
        <v>1.1727110660671745E-2</v>
      </c>
      <c r="E149" s="140">
        <f t="shared" si="178"/>
        <v>1.3188525723868331E-2</v>
      </c>
      <c r="F149" s="140">
        <f t="shared" si="178"/>
        <v>1.4378611872462033E-2</v>
      </c>
      <c r="G149" s="140">
        <f t="shared" si="178"/>
        <v>1.4903041707124982E-2</v>
      </c>
      <c r="H149" s="140">
        <f t="shared" si="178"/>
        <v>1.8196548240840254E-2</v>
      </c>
      <c r="I149" s="140">
        <f t="shared" si="178"/>
        <v>9.7652174704904813E-3</v>
      </c>
      <c r="J149" s="140">
        <f t="shared" si="178"/>
        <v>1.0879669478488792E-2</v>
      </c>
      <c r="K149" s="140">
        <f t="shared" si="178"/>
        <v>1.6298039791278709E-2</v>
      </c>
      <c r="L149" s="140">
        <f t="shared" si="178"/>
        <v>1.6809423838338545E-2</v>
      </c>
      <c r="M149" s="140">
        <f t="shared" si="178"/>
        <v>1.2040959331600308E-2</v>
      </c>
      <c r="N149" s="140">
        <f t="shared" si="178"/>
        <v>1.5603112355811589E-2</v>
      </c>
      <c r="O149" s="140">
        <f t="shared" si="178"/>
        <v>1.4490280556990235E-2</v>
      </c>
      <c r="P149" s="140">
        <f t="shared" si="178"/>
        <v>9.623881972592176E-3</v>
      </c>
      <c r="Q149" s="140">
        <f t="shared" si="178"/>
        <v>9.0673635827959575E-3</v>
      </c>
      <c r="R149" s="140">
        <f t="shared" si="178"/>
        <v>7.5954096967642748E-3</v>
      </c>
      <c r="S149" s="140">
        <f t="shared" si="178"/>
        <v>9.795533517889525E-3</v>
      </c>
      <c r="T149" s="140">
        <f t="shared" si="178"/>
        <v>7.9357117091709058E-3</v>
      </c>
      <c r="U149" s="140">
        <f t="shared" si="178"/>
        <v>8.5032441156901225E-3</v>
      </c>
      <c r="V149" s="140">
        <f t="shared" si="178"/>
        <v>5.7441448905302265E-3</v>
      </c>
      <c r="W149" s="140">
        <f t="shared" si="178"/>
        <v>5.8374164337083147E-3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3.9778650303631966E-5</v>
      </c>
      <c r="C150" s="127">
        <f t="shared" ref="C150:W150" si="179">IF(C58=0,0,C58/C$47)</f>
        <v>2.2481802758178569E-5</v>
      </c>
      <c r="D150" s="127">
        <f t="shared" si="179"/>
        <v>3.9773090240679695E-5</v>
      </c>
      <c r="E150" s="127">
        <f t="shared" si="179"/>
        <v>4.7607393617172744E-5</v>
      </c>
      <c r="F150" s="127">
        <f t="shared" si="179"/>
        <v>9.6935067783620438E-5</v>
      </c>
      <c r="G150" s="127">
        <f t="shared" si="179"/>
        <v>1.325620766052706E-4</v>
      </c>
      <c r="H150" s="127">
        <f t="shared" si="179"/>
        <v>2.9239315649899058E-4</v>
      </c>
      <c r="I150" s="127">
        <f t="shared" si="179"/>
        <v>8.7910037377079368E-4</v>
      </c>
      <c r="J150" s="127">
        <f t="shared" si="179"/>
        <v>1.2926543998640495E-3</v>
      </c>
      <c r="K150" s="127">
        <f t="shared" si="179"/>
        <v>3.8897689478928495E-4</v>
      </c>
      <c r="L150" s="127">
        <f t="shared" si="179"/>
        <v>3.8705843219678348E-4</v>
      </c>
      <c r="M150" s="127">
        <f t="shared" si="179"/>
        <v>2.0947285720169931E-4</v>
      </c>
      <c r="N150" s="127">
        <f t="shared" si="179"/>
        <v>9.7353102270415756E-5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1.4208744362391763E-7</v>
      </c>
      <c r="W150" s="127">
        <f t="shared" si="179"/>
        <v>4.0503652464721447E-5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0.48901176073466235</v>
      </c>
      <c r="C152" s="140">
        <f t="shared" ref="C152:W152" si="181">IF(C60=0,0,C60/C$59)</f>
        <v>0.4885347451806058</v>
      </c>
      <c r="D152" s="140">
        <f t="shared" si="181"/>
        <v>0.48695717967539687</v>
      </c>
      <c r="E152" s="140">
        <f t="shared" si="181"/>
        <v>0.48709227817965117</v>
      </c>
      <c r="F152" s="140">
        <f t="shared" si="181"/>
        <v>0.48733391395857623</v>
      </c>
      <c r="G152" s="140">
        <f t="shared" si="181"/>
        <v>0.49108458300221475</v>
      </c>
      <c r="H152" s="140">
        <f t="shared" si="181"/>
        <v>0.41250311775988319</v>
      </c>
      <c r="I152" s="140">
        <f t="shared" si="181"/>
        <v>0.35751256762353978</v>
      </c>
      <c r="J152" s="140">
        <f t="shared" si="181"/>
        <v>0.33805916542493109</v>
      </c>
      <c r="K152" s="140">
        <f t="shared" si="181"/>
        <v>0.30821309899188176</v>
      </c>
      <c r="L152" s="140">
        <f t="shared" si="181"/>
        <v>0.31337551869241997</v>
      </c>
      <c r="M152" s="140">
        <f t="shared" si="181"/>
        <v>0.3303954240096193</v>
      </c>
      <c r="N152" s="140">
        <f t="shared" si="181"/>
        <v>0.34014118444278135</v>
      </c>
      <c r="O152" s="140">
        <f t="shared" si="181"/>
        <v>0.31358160670891877</v>
      </c>
      <c r="P152" s="140">
        <f t="shared" si="181"/>
        <v>0.29879698880378991</v>
      </c>
      <c r="Q152" s="140">
        <f t="shared" si="181"/>
        <v>0.28364412189177324</v>
      </c>
      <c r="R152" s="140">
        <f t="shared" si="181"/>
        <v>0.26377828258753017</v>
      </c>
      <c r="S152" s="140">
        <f t="shared" si="181"/>
        <v>0.26404395029773203</v>
      </c>
      <c r="T152" s="140">
        <f t="shared" si="181"/>
        <v>0.2676004091688764</v>
      </c>
      <c r="U152" s="140">
        <f t="shared" si="181"/>
        <v>0.27310033727437977</v>
      </c>
      <c r="V152" s="140">
        <f t="shared" si="181"/>
        <v>0.23697700051775722</v>
      </c>
      <c r="W152" s="140">
        <f t="shared" si="181"/>
        <v>0.21996802488963679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0.51098823926533765</v>
      </c>
      <c r="C153" s="127">
        <f t="shared" ref="C153:W153" si="182">IF(C61=0,0,C61/C$59)</f>
        <v>0.51146525481939431</v>
      </c>
      <c r="D153" s="127">
        <f t="shared" si="182"/>
        <v>0.51304282032460313</v>
      </c>
      <c r="E153" s="127">
        <f t="shared" si="182"/>
        <v>0.51290772182034883</v>
      </c>
      <c r="F153" s="127">
        <f t="shared" si="182"/>
        <v>0.51266608604142383</v>
      </c>
      <c r="G153" s="127">
        <f t="shared" si="182"/>
        <v>0.50891541699778531</v>
      </c>
      <c r="H153" s="127">
        <f t="shared" si="182"/>
        <v>0.58749688224011676</v>
      </c>
      <c r="I153" s="127">
        <f t="shared" si="182"/>
        <v>0.64248743237646022</v>
      </c>
      <c r="J153" s="127">
        <f t="shared" si="182"/>
        <v>0.66194083457506891</v>
      </c>
      <c r="K153" s="127">
        <f t="shared" si="182"/>
        <v>0.69178690100811824</v>
      </c>
      <c r="L153" s="127">
        <f t="shared" si="182"/>
        <v>0.68662448130757991</v>
      </c>
      <c r="M153" s="127">
        <f t="shared" si="182"/>
        <v>0.6696045759903807</v>
      </c>
      <c r="N153" s="127">
        <f t="shared" si="182"/>
        <v>0.6598588155572187</v>
      </c>
      <c r="O153" s="127">
        <f t="shared" si="182"/>
        <v>0.68641839329108123</v>
      </c>
      <c r="P153" s="127">
        <f t="shared" si="182"/>
        <v>0.70120301119621009</v>
      </c>
      <c r="Q153" s="127">
        <f t="shared" si="182"/>
        <v>0.71635587810822676</v>
      </c>
      <c r="R153" s="127">
        <f t="shared" si="182"/>
        <v>0.73622171741246989</v>
      </c>
      <c r="S153" s="127">
        <f t="shared" si="182"/>
        <v>0.73595604970226791</v>
      </c>
      <c r="T153" s="127">
        <f t="shared" si="182"/>
        <v>0.7323995908311236</v>
      </c>
      <c r="U153" s="127">
        <f t="shared" si="182"/>
        <v>0.72689966272562023</v>
      </c>
      <c r="V153" s="127">
        <f t="shared" si="182"/>
        <v>0.76302299948224273</v>
      </c>
      <c r="W153" s="127">
        <f t="shared" si="182"/>
        <v>0.78003197511036315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0.95550961055954853</v>
      </c>
      <c r="C157" s="139">
        <f t="shared" ref="C157:W157" si="185">IF(C65=0,0,C65/C$64)</f>
        <v>0.94934023396949785</v>
      </c>
      <c r="D157" s="139">
        <f t="shared" si="185"/>
        <v>0.9555314283301648</v>
      </c>
      <c r="E157" s="139">
        <f t="shared" si="185"/>
        <v>0.95534422307617917</v>
      </c>
      <c r="F157" s="139">
        <f t="shared" si="185"/>
        <v>0.95626609422185194</v>
      </c>
      <c r="G157" s="139">
        <f t="shared" si="185"/>
        <v>0.9516800334602078</v>
      </c>
      <c r="H157" s="139">
        <f t="shared" si="185"/>
        <v>0.9510212473266958</v>
      </c>
      <c r="I157" s="139">
        <f t="shared" si="185"/>
        <v>0.94537679532293073</v>
      </c>
      <c r="J157" s="139">
        <f t="shared" si="185"/>
        <v>0.93616349693326895</v>
      </c>
      <c r="K157" s="139">
        <f t="shared" si="185"/>
        <v>0.96488019412968029</v>
      </c>
      <c r="L157" s="139">
        <f t="shared" si="185"/>
        <v>0.95376455021602802</v>
      </c>
      <c r="M157" s="139">
        <f t="shared" si="185"/>
        <v>0.94405618492401644</v>
      </c>
      <c r="N157" s="139">
        <f t="shared" si="185"/>
        <v>0.94346819104969415</v>
      </c>
      <c r="O157" s="139">
        <f t="shared" si="185"/>
        <v>0.93636394469364204</v>
      </c>
      <c r="P157" s="139">
        <f t="shared" si="185"/>
        <v>0.92983198397084921</v>
      </c>
      <c r="Q157" s="139">
        <f t="shared" si="185"/>
        <v>0.92984893194002249</v>
      </c>
      <c r="R157" s="139">
        <f t="shared" si="185"/>
        <v>0.92786311293997326</v>
      </c>
      <c r="S157" s="139">
        <f t="shared" si="185"/>
        <v>0.92404663097157425</v>
      </c>
      <c r="T157" s="139">
        <f t="shared" si="185"/>
        <v>0.91591935441912153</v>
      </c>
      <c r="U157" s="139">
        <f t="shared" si="185"/>
        <v>0.92020502413759531</v>
      </c>
      <c r="V157" s="139">
        <f t="shared" si="185"/>
        <v>0.96137959336400647</v>
      </c>
      <c r="W157" s="139">
        <f t="shared" si="185"/>
        <v>0.9552310746256848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3.8720466149118294E-3</v>
      </c>
      <c r="C158" s="140">
        <f t="shared" ref="C158:W158" si="186">IF(C66=0,0,C66/C$64)</f>
        <v>3.7262034145380016E-3</v>
      </c>
      <c r="D158" s="140">
        <f t="shared" si="186"/>
        <v>3.685378068703218E-3</v>
      </c>
      <c r="E158" s="140">
        <f t="shared" si="186"/>
        <v>3.3168017227696222E-3</v>
      </c>
      <c r="F158" s="140">
        <f t="shared" si="186"/>
        <v>3.1672035153225996E-3</v>
      </c>
      <c r="G158" s="140">
        <f t="shared" si="186"/>
        <v>2.7577152854482193E-3</v>
      </c>
      <c r="H158" s="140">
        <f t="shared" si="186"/>
        <v>2.5798088249136273E-3</v>
      </c>
      <c r="I158" s="140">
        <f t="shared" si="186"/>
        <v>2.5531412756610227E-3</v>
      </c>
      <c r="J158" s="140">
        <f t="shared" si="186"/>
        <v>2.9042652537776448E-3</v>
      </c>
      <c r="K158" s="140">
        <f t="shared" si="186"/>
        <v>3.4150175359574002E-3</v>
      </c>
      <c r="L158" s="140">
        <f t="shared" si="186"/>
        <v>3.3270217697235877E-3</v>
      </c>
      <c r="M158" s="140">
        <f t="shared" si="186"/>
        <v>3.4517669104132142E-3</v>
      </c>
      <c r="N158" s="140">
        <f t="shared" si="186"/>
        <v>3.0779460821449721E-3</v>
      </c>
      <c r="O158" s="140">
        <f t="shared" si="186"/>
        <v>3.093366690939109E-3</v>
      </c>
      <c r="P158" s="140">
        <f t="shared" si="186"/>
        <v>2.976385538246406E-3</v>
      </c>
      <c r="Q158" s="140">
        <f t="shared" si="186"/>
        <v>2.7369136036270712E-3</v>
      </c>
      <c r="R158" s="140">
        <f t="shared" si="186"/>
        <v>2.7119026104485415E-3</v>
      </c>
      <c r="S158" s="140">
        <f t="shared" si="186"/>
        <v>2.3930205875823257E-3</v>
      </c>
      <c r="T158" s="140">
        <f t="shared" si="186"/>
        <v>2.1100418226923157E-3</v>
      </c>
      <c r="U158" s="140">
        <f t="shared" si="186"/>
        <v>2.0923224047870227E-3</v>
      </c>
      <c r="V158" s="140">
        <f t="shared" si="186"/>
        <v>1.9848170474146285E-3</v>
      </c>
      <c r="W158" s="140">
        <f t="shared" si="186"/>
        <v>1.7144183538051708E-3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0.87003405954829049</v>
      </c>
      <c r="C159" s="140">
        <f t="shared" ref="C159:W159" si="187">IF(C67=0,0,C67/C$64)</f>
        <v>0.87035988699096412</v>
      </c>
      <c r="D159" s="140">
        <f t="shared" si="187"/>
        <v>0.8772340051985984</v>
      </c>
      <c r="E159" s="140">
        <f t="shared" si="187"/>
        <v>0.88307563181123128</v>
      </c>
      <c r="F159" s="140">
        <f t="shared" si="187"/>
        <v>0.88523330517917098</v>
      </c>
      <c r="G159" s="140">
        <f t="shared" si="187"/>
        <v>0.88985792652668971</v>
      </c>
      <c r="H159" s="140">
        <f t="shared" si="187"/>
        <v>0.89757693417077622</v>
      </c>
      <c r="I159" s="140">
        <f t="shared" si="187"/>
        <v>0.90049706252642803</v>
      </c>
      <c r="J159" s="140">
        <f t="shared" si="187"/>
        <v>0.89306807263719212</v>
      </c>
      <c r="K159" s="140">
        <f t="shared" si="187"/>
        <v>0.91718665798502963</v>
      </c>
      <c r="L159" s="140">
        <f t="shared" si="187"/>
        <v>0.90727414124755934</v>
      </c>
      <c r="M159" s="140">
        <f t="shared" si="187"/>
        <v>0.8941616601641259</v>
      </c>
      <c r="N159" s="140">
        <f t="shared" si="187"/>
        <v>0.89929484699952178</v>
      </c>
      <c r="O159" s="140">
        <f t="shared" si="187"/>
        <v>0.8956317253821493</v>
      </c>
      <c r="P159" s="140">
        <f t="shared" si="187"/>
        <v>0.88754253469313638</v>
      </c>
      <c r="Q159" s="140">
        <f t="shared" si="187"/>
        <v>0.88851958214796933</v>
      </c>
      <c r="R159" s="140">
        <f t="shared" si="187"/>
        <v>0.89198988593662454</v>
      </c>
      <c r="S159" s="140">
        <f t="shared" si="187"/>
        <v>0.88926870225990096</v>
      </c>
      <c r="T159" s="140">
        <f t="shared" si="187"/>
        <v>0.88263350639865989</v>
      </c>
      <c r="U159" s="140">
        <f t="shared" si="187"/>
        <v>0.88401898233941634</v>
      </c>
      <c r="V159" s="140">
        <f t="shared" si="187"/>
        <v>0.93187909168861061</v>
      </c>
      <c r="W159" s="140">
        <f t="shared" si="187"/>
        <v>0.92799189503776958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8.1603504396346283E-2</v>
      </c>
      <c r="C160" s="140">
        <f t="shared" ref="C160:W160" si="188">IF(C68=0,0,C68/C$64)</f>
        <v>7.5254143563995665E-2</v>
      </c>
      <c r="D160" s="140">
        <f t="shared" si="188"/>
        <v>7.4612045062863272E-2</v>
      </c>
      <c r="E160" s="140">
        <f t="shared" si="188"/>
        <v>6.8951789542178135E-2</v>
      </c>
      <c r="F160" s="140">
        <f t="shared" si="188"/>
        <v>6.7865585527358274E-2</v>
      </c>
      <c r="G160" s="140">
        <f t="shared" si="188"/>
        <v>5.9064391648069828E-2</v>
      </c>
      <c r="H160" s="140">
        <f t="shared" si="188"/>
        <v>5.0864504331006012E-2</v>
      </c>
      <c r="I160" s="140">
        <f t="shared" si="188"/>
        <v>4.2326591520841776E-2</v>
      </c>
      <c r="J160" s="140">
        <f t="shared" si="188"/>
        <v>4.0191159042299231E-2</v>
      </c>
      <c r="K160" s="140">
        <f t="shared" si="188"/>
        <v>4.4278518608693251E-2</v>
      </c>
      <c r="L160" s="140">
        <f t="shared" si="188"/>
        <v>4.3163387198745219E-2</v>
      </c>
      <c r="M160" s="140">
        <f t="shared" si="188"/>
        <v>4.6442757849477351E-2</v>
      </c>
      <c r="N160" s="140">
        <f t="shared" si="188"/>
        <v>4.1095397968027449E-2</v>
      </c>
      <c r="O160" s="140">
        <f t="shared" si="188"/>
        <v>3.7638852620553685E-2</v>
      </c>
      <c r="P160" s="140">
        <f t="shared" si="188"/>
        <v>3.9313063739466414E-2</v>
      </c>
      <c r="Q160" s="140">
        <f t="shared" si="188"/>
        <v>3.8592436188426074E-2</v>
      </c>
      <c r="R160" s="140">
        <f t="shared" si="188"/>
        <v>3.3161324392900184E-2</v>
      </c>
      <c r="S160" s="140">
        <f t="shared" si="188"/>
        <v>3.2384908124090998E-2</v>
      </c>
      <c r="T160" s="140">
        <f t="shared" si="188"/>
        <v>3.1175806197769461E-2</v>
      </c>
      <c r="U160" s="140">
        <f t="shared" si="188"/>
        <v>3.4093719393391994E-2</v>
      </c>
      <c r="V160" s="140">
        <f t="shared" si="188"/>
        <v>2.751568462798127E-2</v>
      </c>
      <c r="W160" s="140">
        <f t="shared" si="188"/>
        <v>2.5524761234110099E-2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1.33038058004356E-2</v>
      </c>
      <c r="C161" s="124">
        <f t="shared" ref="C161:W161" si="189">IF(C69=0,0,C69/C$64)</f>
        <v>1.1276987310652669E-2</v>
      </c>
      <c r="D161" s="124">
        <f t="shared" si="189"/>
        <v>1.0279445768729965E-2</v>
      </c>
      <c r="E161" s="124">
        <f t="shared" si="189"/>
        <v>8.0567091589837572E-3</v>
      </c>
      <c r="F161" s="124">
        <f t="shared" si="189"/>
        <v>7.5064501909763307E-3</v>
      </c>
      <c r="G161" s="124">
        <f t="shared" si="189"/>
        <v>3.9657870118436026E-3</v>
      </c>
      <c r="H161" s="124">
        <f t="shared" si="189"/>
        <v>3.2584957590268853E-3</v>
      </c>
      <c r="I161" s="124">
        <f t="shared" si="189"/>
        <v>2.6626792042433161E-3</v>
      </c>
      <c r="J161" s="124">
        <f t="shared" si="189"/>
        <v>2.7955657378266681E-3</v>
      </c>
      <c r="K161" s="124">
        <f t="shared" si="189"/>
        <v>2.7359425405416998E-3</v>
      </c>
      <c r="L161" s="124">
        <f t="shared" si="189"/>
        <v>2.9611877761600231E-3</v>
      </c>
      <c r="M161" s="124">
        <f t="shared" si="189"/>
        <v>3.4271745024467455E-3</v>
      </c>
      <c r="N161" s="124">
        <f t="shared" si="189"/>
        <v>2.9533688836787387E-3</v>
      </c>
      <c r="O161" s="124">
        <f t="shared" si="189"/>
        <v>2.9030403414534909E-3</v>
      </c>
      <c r="P161" s="124">
        <f t="shared" si="189"/>
        <v>2.567019261422842E-3</v>
      </c>
      <c r="Q161" s="124">
        <f t="shared" si="189"/>
        <v>2.5002783958975937E-3</v>
      </c>
      <c r="R161" s="124">
        <f t="shared" si="189"/>
        <v>1.9975223152834849E-3</v>
      </c>
      <c r="S161" s="124">
        <f t="shared" si="189"/>
        <v>2.4017614342396821E-3</v>
      </c>
      <c r="T161" s="124">
        <f t="shared" si="189"/>
        <v>2.4376746576757155E-3</v>
      </c>
      <c r="U161" s="124">
        <f t="shared" si="189"/>
        <v>2.4374903130208628E-3</v>
      </c>
      <c r="V161" s="124">
        <f t="shared" si="189"/>
        <v>2.1332275254523528E-3</v>
      </c>
      <c r="W161" s="124">
        <f t="shared" si="189"/>
        <v>2.6105812878115795E-3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1.33038058004356E-2</v>
      </c>
      <c r="C163" s="140">
        <f t="shared" ref="C163:W163" si="191">IF(C71=0,0,C71/C$64)</f>
        <v>1.1276987310652669E-2</v>
      </c>
      <c r="D163" s="140">
        <f t="shared" si="191"/>
        <v>1.0279445768729965E-2</v>
      </c>
      <c r="E163" s="140">
        <f t="shared" si="191"/>
        <v>8.0567091589837572E-3</v>
      </c>
      <c r="F163" s="140">
        <f t="shared" si="191"/>
        <v>7.5064501909763307E-3</v>
      </c>
      <c r="G163" s="140">
        <f t="shared" si="191"/>
        <v>3.9657870118436026E-3</v>
      </c>
      <c r="H163" s="140">
        <f t="shared" si="191"/>
        <v>3.2584957590268853E-3</v>
      </c>
      <c r="I163" s="140">
        <f t="shared" si="191"/>
        <v>2.6626792042433161E-3</v>
      </c>
      <c r="J163" s="140">
        <f t="shared" si="191"/>
        <v>2.7955657378266681E-3</v>
      </c>
      <c r="K163" s="140">
        <f t="shared" si="191"/>
        <v>2.7359425405416998E-3</v>
      </c>
      <c r="L163" s="140">
        <f t="shared" si="191"/>
        <v>2.9611877761600231E-3</v>
      </c>
      <c r="M163" s="140">
        <f t="shared" si="191"/>
        <v>3.4271745024467455E-3</v>
      </c>
      <c r="N163" s="140">
        <f t="shared" si="191"/>
        <v>2.9533688836787387E-3</v>
      </c>
      <c r="O163" s="140">
        <f t="shared" si="191"/>
        <v>2.9030403414534909E-3</v>
      </c>
      <c r="P163" s="140">
        <f t="shared" si="191"/>
        <v>2.567019261422842E-3</v>
      </c>
      <c r="Q163" s="140">
        <f t="shared" si="191"/>
        <v>2.5002783958975937E-3</v>
      </c>
      <c r="R163" s="140">
        <f t="shared" si="191"/>
        <v>1.9975223152834849E-3</v>
      </c>
      <c r="S163" s="140">
        <f t="shared" si="191"/>
        <v>2.4017614342396821E-3</v>
      </c>
      <c r="T163" s="140">
        <f t="shared" si="191"/>
        <v>2.4376746576757155E-3</v>
      </c>
      <c r="U163" s="140">
        <f t="shared" si="191"/>
        <v>2.4374903130208628E-3</v>
      </c>
      <c r="V163" s="140">
        <f t="shared" si="191"/>
        <v>2.1332275254523528E-3</v>
      </c>
      <c r="W163" s="140">
        <f t="shared" si="191"/>
        <v>2.6105812878115795E-3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3.1186583640015916E-2</v>
      </c>
      <c r="C165" s="124">
        <f t="shared" ref="C165:W165" si="193">IF(C73=0,0,C73/C$64)</f>
        <v>3.9382778719849264E-2</v>
      </c>
      <c r="D165" s="124">
        <f t="shared" si="193"/>
        <v>3.4189125901105191E-2</v>
      </c>
      <c r="E165" s="124">
        <f t="shared" si="193"/>
        <v>3.6599067764837019E-2</v>
      </c>
      <c r="F165" s="124">
        <f t="shared" si="193"/>
        <v>3.6227455587171782E-2</v>
      </c>
      <c r="G165" s="124">
        <f t="shared" si="193"/>
        <v>4.4354179527948533E-2</v>
      </c>
      <c r="H165" s="124">
        <f t="shared" si="193"/>
        <v>4.5720256914277307E-2</v>
      </c>
      <c r="I165" s="124">
        <f t="shared" si="193"/>
        <v>5.196052547282589E-2</v>
      </c>
      <c r="J165" s="124">
        <f t="shared" si="193"/>
        <v>6.1040937328904442E-2</v>
      </c>
      <c r="K165" s="124">
        <f t="shared" si="193"/>
        <v>3.2383863329777975E-2</v>
      </c>
      <c r="L165" s="124">
        <f t="shared" si="193"/>
        <v>4.3274262007811835E-2</v>
      </c>
      <c r="M165" s="124">
        <f t="shared" si="193"/>
        <v>5.2516640573536763E-2</v>
      </c>
      <c r="N165" s="124">
        <f t="shared" si="193"/>
        <v>5.3578440066627216E-2</v>
      </c>
      <c r="O165" s="124">
        <f t="shared" si="193"/>
        <v>6.073301496490445E-2</v>
      </c>
      <c r="P165" s="124">
        <f t="shared" si="193"/>
        <v>6.7600996767727989E-2</v>
      </c>
      <c r="Q165" s="124">
        <f t="shared" si="193"/>
        <v>6.765078966407985E-2</v>
      </c>
      <c r="R165" s="124">
        <f t="shared" si="193"/>
        <v>7.0139364744743346E-2</v>
      </c>
      <c r="S165" s="124">
        <f t="shared" si="193"/>
        <v>7.3551607594186122E-2</v>
      </c>
      <c r="T165" s="124">
        <f t="shared" si="193"/>
        <v>8.164297092320276E-2</v>
      </c>
      <c r="U165" s="124">
        <f t="shared" si="193"/>
        <v>7.7357485549383959E-2</v>
      </c>
      <c r="V165" s="124">
        <f t="shared" si="193"/>
        <v>3.6487179110541251E-2</v>
      </c>
      <c r="W165" s="124">
        <f t="shared" si="193"/>
        <v>4.2158344086503638E-2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2.6401559200021057E-2</v>
      </c>
      <c r="C167" s="140">
        <f t="shared" ref="C167:W167" si="195">IF(C75=0,0,C75/C$64)</f>
        <v>3.3336806267594214E-2</v>
      </c>
      <c r="D167" s="140">
        <f t="shared" si="195"/>
        <v>2.8939281944744426E-2</v>
      </c>
      <c r="E167" s="140">
        <f t="shared" si="195"/>
        <v>3.0981081005403713E-2</v>
      </c>
      <c r="F167" s="140">
        <f t="shared" si="195"/>
        <v>3.0665798749044033E-2</v>
      </c>
      <c r="G167" s="140">
        <f t="shared" si="195"/>
        <v>3.8445626543188907E-2</v>
      </c>
      <c r="H167" s="140">
        <f t="shared" si="195"/>
        <v>3.9988557374005036E-2</v>
      </c>
      <c r="I167" s="140">
        <f t="shared" si="195"/>
        <v>4.5499498855844964E-2</v>
      </c>
      <c r="J167" s="140">
        <f t="shared" si="195"/>
        <v>5.3493064804531226E-2</v>
      </c>
      <c r="K167" s="140">
        <f t="shared" si="195"/>
        <v>2.7804356528022111E-2</v>
      </c>
      <c r="L167" s="140">
        <f t="shared" si="195"/>
        <v>3.7709752323584943E-2</v>
      </c>
      <c r="M167" s="140">
        <f t="shared" si="195"/>
        <v>4.6040447299812645E-2</v>
      </c>
      <c r="N167" s="140">
        <f t="shared" si="195"/>
        <v>4.7593612634311062E-2</v>
      </c>
      <c r="O167" s="140">
        <f t="shared" si="195"/>
        <v>5.4111258325029332E-2</v>
      </c>
      <c r="P167" s="140">
        <f t="shared" si="195"/>
        <v>6.0272277987430602E-2</v>
      </c>
      <c r="Q167" s="140">
        <f t="shared" si="195"/>
        <v>6.0650225810136578E-2</v>
      </c>
      <c r="R167" s="140">
        <f t="shared" si="195"/>
        <v>6.3557799900919143E-2</v>
      </c>
      <c r="S167" s="140">
        <f t="shared" si="195"/>
        <v>6.6845298854737653E-2</v>
      </c>
      <c r="T167" s="140">
        <f t="shared" si="195"/>
        <v>7.4508881114760964E-2</v>
      </c>
      <c r="U167" s="140">
        <f t="shared" si="195"/>
        <v>7.0473707718530773E-2</v>
      </c>
      <c r="V167" s="140">
        <f t="shared" si="195"/>
        <v>3.1918834448125093E-2</v>
      </c>
      <c r="W167" s="140">
        <f t="shared" si="195"/>
        <v>3.7424753919306976E-2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4.7850244399948606E-3</v>
      </c>
      <c r="C168" s="140">
        <f t="shared" ref="C168:W168" si="196">IF(C76=0,0,C76/C$64)</f>
        <v>6.0459724522550521E-3</v>
      </c>
      <c r="D168" s="140">
        <f t="shared" si="196"/>
        <v>5.2498439563607628E-3</v>
      </c>
      <c r="E168" s="140">
        <f t="shared" si="196"/>
        <v>5.617986759433302E-3</v>
      </c>
      <c r="F168" s="140">
        <f t="shared" si="196"/>
        <v>5.5616568381277511E-3</v>
      </c>
      <c r="G168" s="140">
        <f t="shared" si="196"/>
        <v>5.9085529847596333E-3</v>
      </c>
      <c r="H168" s="140">
        <f t="shared" si="196"/>
        <v>5.7316995402722721E-3</v>
      </c>
      <c r="I168" s="140">
        <f t="shared" si="196"/>
        <v>6.4610266169809185E-3</v>
      </c>
      <c r="J168" s="140">
        <f t="shared" si="196"/>
        <v>7.5478725243732243E-3</v>
      </c>
      <c r="K168" s="140">
        <f t="shared" si="196"/>
        <v>4.5795068017558645E-3</v>
      </c>
      <c r="L168" s="140">
        <f t="shared" si="196"/>
        <v>5.5645096842268952E-3</v>
      </c>
      <c r="M168" s="140">
        <f t="shared" si="196"/>
        <v>6.4761932737241214E-3</v>
      </c>
      <c r="N168" s="140">
        <f t="shared" si="196"/>
        <v>5.9848274323161558E-3</v>
      </c>
      <c r="O168" s="140">
        <f t="shared" si="196"/>
        <v>6.6217566398751202E-3</v>
      </c>
      <c r="P168" s="140">
        <f t="shared" si="196"/>
        <v>7.3287187802973863E-3</v>
      </c>
      <c r="Q168" s="140">
        <f t="shared" si="196"/>
        <v>7.0005638539432724E-3</v>
      </c>
      <c r="R168" s="140">
        <f t="shared" si="196"/>
        <v>6.5815648438241961E-3</v>
      </c>
      <c r="S168" s="140">
        <f t="shared" si="196"/>
        <v>6.7063087394484628E-3</v>
      </c>
      <c r="T168" s="140">
        <f t="shared" si="196"/>
        <v>7.1340898084418028E-3</v>
      </c>
      <c r="U168" s="140">
        <f t="shared" si="196"/>
        <v>6.8837778308531916E-3</v>
      </c>
      <c r="V168" s="140">
        <f t="shared" si="196"/>
        <v>4.5683446624161551E-3</v>
      </c>
      <c r="W168" s="140">
        <f t="shared" si="196"/>
        <v>4.7335901671966664E-3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0.76644508090745023</v>
      </c>
      <c r="C170" s="139">
        <f t="shared" ref="C170:W170" si="199">IF(C78=0,0,C78/C$77)</f>
        <v>0.82742589582127946</v>
      </c>
      <c r="D170" s="139">
        <f t="shared" si="199"/>
        <v>0.81566230011553176</v>
      </c>
      <c r="E170" s="139">
        <f t="shared" si="199"/>
        <v>0.76614991880021321</v>
      </c>
      <c r="F170" s="139">
        <f t="shared" si="199"/>
        <v>0.79524219591243439</v>
      </c>
      <c r="G170" s="139">
        <f t="shared" si="199"/>
        <v>0.77531814381919306</v>
      </c>
      <c r="H170" s="139">
        <f t="shared" si="199"/>
        <v>0.77162841276103122</v>
      </c>
      <c r="I170" s="139">
        <f t="shared" si="199"/>
        <v>0.83538522920902913</v>
      </c>
      <c r="J170" s="139">
        <f t="shared" si="199"/>
        <v>0.83864966342686764</v>
      </c>
      <c r="K170" s="139">
        <f t="shared" si="199"/>
        <v>0.79710916626018946</v>
      </c>
      <c r="L170" s="139">
        <f t="shared" si="199"/>
        <v>0.81565703182783833</v>
      </c>
      <c r="M170" s="139">
        <f t="shared" si="199"/>
        <v>0.84055118481013735</v>
      </c>
      <c r="N170" s="139">
        <f t="shared" si="199"/>
        <v>0.81010358641337421</v>
      </c>
      <c r="O170" s="139">
        <f t="shared" si="199"/>
        <v>0.83688692923301211</v>
      </c>
      <c r="P170" s="139">
        <f t="shared" si="199"/>
        <v>0.8870594989172792</v>
      </c>
      <c r="Q170" s="139">
        <f t="shared" si="199"/>
        <v>0.89971370977960363</v>
      </c>
      <c r="R170" s="139">
        <f t="shared" si="199"/>
        <v>0.89930979064768002</v>
      </c>
      <c r="S170" s="139">
        <f t="shared" si="199"/>
        <v>0.89440846632521875</v>
      </c>
      <c r="T170" s="139">
        <f t="shared" si="199"/>
        <v>0.89102542252627603</v>
      </c>
      <c r="U170" s="139">
        <f t="shared" si="199"/>
        <v>0.90372102973815671</v>
      </c>
      <c r="V170" s="139">
        <f t="shared" si="199"/>
        <v>0.91128186399868061</v>
      </c>
      <c r="W170" s="139">
        <f t="shared" si="199"/>
        <v>0.91829687166822804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0.11786521900765036</v>
      </c>
      <c r="C171" s="140">
        <f t="shared" ref="C171:W171" si="200">IF(C79=0,0,C79/C$77)</f>
        <v>9.7603393840215685E-2</v>
      </c>
      <c r="D171" s="140">
        <f t="shared" si="200"/>
        <v>9.567319061892772E-2</v>
      </c>
      <c r="E171" s="140">
        <f t="shared" si="200"/>
        <v>0.11015760603909713</v>
      </c>
      <c r="F171" s="140">
        <f t="shared" si="200"/>
        <v>0.10183605770191723</v>
      </c>
      <c r="G171" s="140">
        <f t="shared" si="200"/>
        <v>0.11107131422273557</v>
      </c>
      <c r="H171" s="140">
        <f t="shared" si="200"/>
        <v>0.13584991216343786</v>
      </c>
      <c r="I171" s="140">
        <f t="shared" si="200"/>
        <v>0.10828584781514275</v>
      </c>
      <c r="J171" s="140">
        <f t="shared" si="200"/>
        <v>0.10568803046826095</v>
      </c>
      <c r="K171" s="140">
        <f t="shared" si="200"/>
        <v>0.17987153964671765</v>
      </c>
      <c r="L171" s="140">
        <f t="shared" si="200"/>
        <v>0.14560204648474995</v>
      </c>
      <c r="M171" s="140">
        <f t="shared" si="200"/>
        <v>0.13711478482913445</v>
      </c>
      <c r="N171" s="140">
        <f t="shared" si="200"/>
        <v>0.19335035444996468</v>
      </c>
      <c r="O171" s="140">
        <f t="shared" si="200"/>
        <v>0.18564590559387684</v>
      </c>
      <c r="P171" s="140">
        <f t="shared" si="200"/>
        <v>0.13915918968885399</v>
      </c>
      <c r="Q171" s="140">
        <f t="shared" si="200"/>
        <v>0.13784703725948522</v>
      </c>
      <c r="R171" s="140">
        <f t="shared" si="200"/>
        <v>0.15359909561434526</v>
      </c>
      <c r="S171" s="140">
        <f t="shared" si="200"/>
        <v>0.15000077992575842</v>
      </c>
      <c r="T171" s="140">
        <f t="shared" si="200"/>
        <v>0.14228297181805855</v>
      </c>
      <c r="U171" s="140">
        <f t="shared" si="200"/>
        <v>0.1437246942857075</v>
      </c>
      <c r="V171" s="140">
        <f t="shared" si="200"/>
        <v>0.14138291794235455</v>
      </c>
      <c r="W171" s="140">
        <f t="shared" si="200"/>
        <v>0.14222713203997461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0.64857986189979977</v>
      </c>
      <c r="C172" s="140">
        <f t="shared" ref="C172:W172" si="201">IF(C80=0,0,C80/C$77)</f>
        <v>0.72982250198106369</v>
      </c>
      <c r="D172" s="140">
        <f t="shared" si="201"/>
        <v>0.719989109496604</v>
      </c>
      <c r="E172" s="140">
        <f t="shared" si="201"/>
        <v>0.65599231276111614</v>
      </c>
      <c r="F172" s="140">
        <f t="shared" si="201"/>
        <v>0.69340613821051711</v>
      </c>
      <c r="G172" s="140">
        <f t="shared" si="201"/>
        <v>0.66424682959645753</v>
      </c>
      <c r="H172" s="140">
        <f t="shared" si="201"/>
        <v>0.63577850059759344</v>
      </c>
      <c r="I172" s="140">
        <f t="shared" si="201"/>
        <v>0.72709938139388641</v>
      </c>
      <c r="J172" s="140">
        <f t="shared" si="201"/>
        <v>0.73296163295860672</v>
      </c>
      <c r="K172" s="140">
        <f t="shared" si="201"/>
        <v>0.61723762661347181</v>
      </c>
      <c r="L172" s="140">
        <f t="shared" si="201"/>
        <v>0.67005498534308838</v>
      </c>
      <c r="M172" s="140">
        <f t="shared" si="201"/>
        <v>0.70343639998100305</v>
      </c>
      <c r="N172" s="140">
        <f t="shared" si="201"/>
        <v>0.61675323196340948</v>
      </c>
      <c r="O172" s="140">
        <f t="shared" si="201"/>
        <v>0.65124102363913527</v>
      </c>
      <c r="P172" s="140">
        <f t="shared" si="201"/>
        <v>0.74790030922842532</v>
      </c>
      <c r="Q172" s="140">
        <f t="shared" si="201"/>
        <v>0.76186667252011842</v>
      </c>
      <c r="R172" s="140">
        <f t="shared" si="201"/>
        <v>0.74571069503333476</v>
      </c>
      <c r="S172" s="140">
        <f t="shared" si="201"/>
        <v>0.74440768639946031</v>
      </c>
      <c r="T172" s="140">
        <f t="shared" si="201"/>
        <v>0.74874245070821743</v>
      </c>
      <c r="U172" s="140">
        <f t="shared" si="201"/>
        <v>0.75999633545244927</v>
      </c>
      <c r="V172" s="140">
        <f t="shared" si="201"/>
        <v>0.76989894605632614</v>
      </c>
      <c r="W172" s="140">
        <f t="shared" si="201"/>
        <v>0.77606973962825343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0.22090419196548716</v>
      </c>
      <c r="C173" s="124">
        <f t="shared" ref="C173:W173" si="202">IF(C81=0,0,C81/C$77)</f>
        <v>0.16206270924346364</v>
      </c>
      <c r="D173" s="124">
        <f t="shared" si="202"/>
        <v>0.17117661962138342</v>
      </c>
      <c r="E173" s="124">
        <f t="shared" si="202"/>
        <v>0.21974439759059522</v>
      </c>
      <c r="F173" s="124">
        <f t="shared" si="202"/>
        <v>0.18943405100027827</v>
      </c>
      <c r="G173" s="124">
        <f t="shared" si="202"/>
        <v>0.20853192236064569</v>
      </c>
      <c r="H173" s="124">
        <f t="shared" si="202"/>
        <v>0.20798932610057835</v>
      </c>
      <c r="I173" s="124">
        <f t="shared" si="202"/>
        <v>0.15213014319682933</v>
      </c>
      <c r="J173" s="124">
        <f t="shared" si="202"/>
        <v>0.14730318490753844</v>
      </c>
      <c r="K173" s="124">
        <f t="shared" si="202"/>
        <v>0.18452581007486851</v>
      </c>
      <c r="L173" s="124">
        <f t="shared" si="202"/>
        <v>0.1654360820242157</v>
      </c>
      <c r="M173" s="124">
        <f t="shared" si="202"/>
        <v>0.1457582805927351</v>
      </c>
      <c r="N173" s="124">
        <f t="shared" si="202"/>
        <v>0.17073967593522418</v>
      </c>
      <c r="O173" s="124">
        <f t="shared" si="202"/>
        <v>0.14528497280288255</v>
      </c>
      <c r="P173" s="124">
        <f t="shared" si="202"/>
        <v>0.10130897895029971</v>
      </c>
      <c r="Q173" s="124">
        <f t="shared" si="202"/>
        <v>8.9295849302139185E-2</v>
      </c>
      <c r="R173" s="124">
        <f t="shared" si="202"/>
        <v>9.127701627213565E-2</v>
      </c>
      <c r="S173" s="124">
        <f t="shared" si="202"/>
        <v>9.3594516761385554E-2</v>
      </c>
      <c r="T173" s="124">
        <f t="shared" si="202"/>
        <v>9.8813326671394072E-2</v>
      </c>
      <c r="U173" s="124">
        <f t="shared" si="202"/>
        <v>8.5649755555141427E-2</v>
      </c>
      <c r="V173" s="124">
        <f t="shared" si="202"/>
        <v>7.9731457396682789E-2</v>
      </c>
      <c r="W173" s="124">
        <f t="shared" si="202"/>
        <v>7.2687528405786822E-2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1.7124663986603423E-3</v>
      </c>
      <c r="C174" s="124">
        <f t="shared" ref="C174:W174" si="203">IF(C82=0,0,C82/C$77)</f>
        <v>1.4509905345451799E-3</v>
      </c>
      <c r="D174" s="124">
        <f t="shared" si="203"/>
        <v>1.3843171140519043E-3</v>
      </c>
      <c r="E174" s="124">
        <f t="shared" si="203"/>
        <v>8.5767583543820388E-4</v>
      </c>
      <c r="F174" s="124">
        <f t="shared" si="203"/>
        <v>8.212707386000993E-4</v>
      </c>
      <c r="G174" s="124">
        <f t="shared" si="203"/>
        <v>1.0582884783811482E-3</v>
      </c>
      <c r="H174" s="124">
        <f t="shared" si="203"/>
        <v>1.609287325421135E-3</v>
      </c>
      <c r="I174" s="124">
        <f t="shared" si="203"/>
        <v>1.4358679499987892E-3</v>
      </c>
      <c r="J174" s="124">
        <f t="shared" si="203"/>
        <v>1.3731452222125135E-3</v>
      </c>
      <c r="K174" s="124">
        <f t="shared" si="203"/>
        <v>1.0059671294070449E-3</v>
      </c>
      <c r="L174" s="124">
        <f t="shared" si="203"/>
        <v>1.149767125485159E-3</v>
      </c>
      <c r="M174" s="124">
        <f t="shared" si="203"/>
        <v>1.0380561248652361E-3</v>
      </c>
      <c r="N174" s="124">
        <f t="shared" si="203"/>
        <v>2.6682900639584603E-3</v>
      </c>
      <c r="O174" s="124">
        <f t="shared" si="203"/>
        <v>2.656854027016156E-3</v>
      </c>
      <c r="P174" s="124">
        <f t="shared" si="203"/>
        <v>1.5531166933782021E-3</v>
      </c>
      <c r="Q174" s="124">
        <f t="shared" si="203"/>
        <v>1.5254121419275132E-3</v>
      </c>
      <c r="R174" s="124">
        <f t="shared" si="203"/>
        <v>1.5499624655217056E-3</v>
      </c>
      <c r="S174" s="124">
        <f t="shared" si="203"/>
        <v>1.7979537846975536E-3</v>
      </c>
      <c r="T174" s="124">
        <f t="shared" si="203"/>
        <v>1.8925079940802704E-3</v>
      </c>
      <c r="U174" s="124">
        <f t="shared" si="203"/>
        <v>1.801121827289643E-3</v>
      </c>
      <c r="V174" s="124">
        <f t="shared" si="203"/>
        <v>2.9423292016323554E-3</v>
      </c>
      <c r="W174" s="124">
        <f t="shared" si="203"/>
        <v>2.7412933350255864E-3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1.6812461966691067E-3</v>
      </c>
      <c r="C176" s="140">
        <f t="shared" ref="C176:W176" si="205">IF(C84=0,0,C84/C$77)</f>
        <v>1.4250344719624747E-3</v>
      </c>
      <c r="D176" s="140">
        <f t="shared" si="205"/>
        <v>1.359079445181768E-3</v>
      </c>
      <c r="E176" s="140">
        <f t="shared" si="205"/>
        <v>8.2904490551311786E-4</v>
      </c>
      <c r="F176" s="140">
        <f t="shared" si="205"/>
        <v>7.8996674541231924E-4</v>
      </c>
      <c r="G176" s="140">
        <f t="shared" si="205"/>
        <v>1.0125124043518195E-3</v>
      </c>
      <c r="H176" s="140">
        <f t="shared" si="205"/>
        <v>1.4969975650257746E-3</v>
      </c>
      <c r="I176" s="140">
        <f t="shared" si="205"/>
        <v>1.2947707438458115E-3</v>
      </c>
      <c r="J176" s="140">
        <f t="shared" si="205"/>
        <v>1.2839599283370983E-3</v>
      </c>
      <c r="K176" s="140">
        <f t="shared" si="205"/>
        <v>9.879880351004748E-4</v>
      </c>
      <c r="L176" s="140">
        <f t="shared" si="205"/>
        <v>1.1201476111368032E-3</v>
      </c>
      <c r="M176" s="140">
        <f t="shared" si="205"/>
        <v>9.8926354030529095E-4</v>
      </c>
      <c r="N176" s="140">
        <f t="shared" si="205"/>
        <v>1.2926606145220909E-3</v>
      </c>
      <c r="O176" s="140">
        <f t="shared" si="205"/>
        <v>2.0881490110245217E-3</v>
      </c>
      <c r="P176" s="140">
        <f t="shared" si="205"/>
        <v>1.3816254079665573E-3</v>
      </c>
      <c r="Q176" s="140">
        <f t="shared" si="205"/>
        <v>1.3794084008668973E-3</v>
      </c>
      <c r="R176" s="140">
        <f t="shared" si="205"/>
        <v>1.4509412257508419E-3</v>
      </c>
      <c r="S176" s="140">
        <f t="shared" si="205"/>
        <v>1.748271796619879E-3</v>
      </c>
      <c r="T176" s="140">
        <f t="shared" si="205"/>
        <v>1.8161605921556312E-3</v>
      </c>
      <c r="U176" s="140">
        <f t="shared" si="205"/>
        <v>1.7160835417699262E-3</v>
      </c>
      <c r="V176" s="140">
        <f t="shared" si="205"/>
        <v>2.6275540879284894E-3</v>
      </c>
      <c r="W176" s="140">
        <f t="shared" si="205"/>
        <v>2.5751735792087361E-3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3.1220201991235684E-5</v>
      </c>
      <c r="C177" s="140">
        <f t="shared" ref="C177:W177" si="206">IF(C85=0,0,C85/C$77)</f>
        <v>2.595606258270522E-5</v>
      </c>
      <c r="D177" s="140">
        <f t="shared" si="206"/>
        <v>2.5237668870136502E-5</v>
      </c>
      <c r="E177" s="140">
        <f t="shared" si="206"/>
        <v>2.8630929925086064E-5</v>
      </c>
      <c r="F177" s="140">
        <f t="shared" si="206"/>
        <v>3.1303993187780162E-5</v>
      </c>
      <c r="G177" s="140">
        <f t="shared" si="206"/>
        <v>4.577607402932863E-5</v>
      </c>
      <c r="H177" s="140">
        <f t="shared" si="206"/>
        <v>1.1228976039536052E-4</v>
      </c>
      <c r="I177" s="140">
        <f t="shared" si="206"/>
        <v>1.4109720615297763E-4</v>
      </c>
      <c r="J177" s="140">
        <f t="shared" si="206"/>
        <v>8.9185293875415167E-5</v>
      </c>
      <c r="K177" s="140">
        <f t="shared" si="206"/>
        <v>1.797909430657011E-5</v>
      </c>
      <c r="L177" s="140">
        <f t="shared" si="206"/>
        <v>2.9619514348355932E-5</v>
      </c>
      <c r="M177" s="140">
        <f t="shared" si="206"/>
        <v>4.8792584559945035E-5</v>
      </c>
      <c r="N177" s="140">
        <f t="shared" si="206"/>
        <v>1.3756294494363696E-3</v>
      </c>
      <c r="O177" s="140">
        <f t="shared" si="206"/>
        <v>5.687050159916342E-4</v>
      </c>
      <c r="P177" s="140">
        <f t="shared" si="206"/>
        <v>1.7149128541164488E-4</v>
      </c>
      <c r="Q177" s="140">
        <f t="shared" si="206"/>
        <v>1.4600374106061607E-4</v>
      </c>
      <c r="R177" s="140">
        <f t="shared" si="206"/>
        <v>9.9021239770863631E-5</v>
      </c>
      <c r="S177" s="140">
        <f t="shared" si="206"/>
        <v>4.9681988077674592E-5</v>
      </c>
      <c r="T177" s="140">
        <f t="shared" si="206"/>
        <v>7.6347401924639247E-5</v>
      </c>
      <c r="U177" s="140">
        <f t="shared" si="206"/>
        <v>8.5038285519716913E-5</v>
      </c>
      <c r="V177" s="140">
        <f t="shared" si="206"/>
        <v>3.147751137038663E-4</v>
      </c>
      <c r="W177" s="140">
        <f t="shared" si="206"/>
        <v>1.6611975581684983E-4</v>
      </c>
      <c r="DA177" s="175"/>
    </row>
    <row r="178" spans="1:105" ht="11.45" customHeight="1" x14ac:dyDescent="0.25">
      <c r="A178" s="109" t="s">
        <v>142</v>
      </c>
      <c r="B178" s="124">
        <f t="shared" si="197"/>
        <v>1.0938260728402403E-2</v>
      </c>
      <c r="C178" s="124">
        <f t="shared" ref="C178:W178" si="207">IF(C86=0,0,C86/C$77)</f>
        <v>9.0604044007118311E-3</v>
      </c>
      <c r="D178" s="124">
        <f t="shared" si="207"/>
        <v>1.1776763149032936E-2</v>
      </c>
      <c r="E178" s="124">
        <f t="shared" si="207"/>
        <v>1.3248007773753307E-2</v>
      </c>
      <c r="F178" s="124">
        <f t="shared" si="207"/>
        <v>1.4502482348687184E-2</v>
      </c>
      <c r="G178" s="124">
        <f t="shared" si="207"/>
        <v>1.5091645341780211E-2</v>
      </c>
      <c r="H178" s="124">
        <f t="shared" si="207"/>
        <v>1.8772973812969305E-2</v>
      </c>
      <c r="I178" s="124">
        <f t="shared" si="207"/>
        <v>1.104875964414289E-2</v>
      </c>
      <c r="J178" s="124">
        <f t="shared" si="207"/>
        <v>1.2674006443381455E-2</v>
      </c>
      <c r="K178" s="124">
        <f t="shared" si="207"/>
        <v>1.7359056535534934E-2</v>
      </c>
      <c r="L178" s="124">
        <f t="shared" si="207"/>
        <v>1.7757119022460684E-2</v>
      </c>
      <c r="M178" s="124">
        <f t="shared" si="207"/>
        <v>1.2652478472262332E-2</v>
      </c>
      <c r="N178" s="124">
        <f t="shared" si="207"/>
        <v>1.6488447587443122E-2</v>
      </c>
      <c r="O178" s="124">
        <f t="shared" si="207"/>
        <v>1.5171243937089058E-2</v>
      </c>
      <c r="P178" s="124">
        <f t="shared" si="207"/>
        <v>1.0078405439042832E-2</v>
      </c>
      <c r="Q178" s="124">
        <f t="shared" si="207"/>
        <v>9.4650287763296172E-3</v>
      </c>
      <c r="R178" s="124">
        <f t="shared" si="207"/>
        <v>7.8632306146626443E-3</v>
      </c>
      <c r="S178" s="124">
        <f t="shared" si="207"/>
        <v>1.0199063128698184E-2</v>
      </c>
      <c r="T178" s="124">
        <f t="shared" si="207"/>
        <v>8.2687428082498082E-3</v>
      </c>
      <c r="U178" s="124">
        <f t="shared" si="207"/>
        <v>8.8280928794122315E-3</v>
      </c>
      <c r="V178" s="124">
        <f t="shared" si="207"/>
        <v>6.0443494030042125E-3</v>
      </c>
      <c r="W178" s="124">
        <f t="shared" si="207"/>
        <v>6.2743065909596175E-3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1.0898437635278885E-2</v>
      </c>
      <c r="C179" s="140">
        <f t="shared" ref="C179:W179" si="208">IF(C87=0,0,C87/C$77)</f>
        <v>9.0379025682870619E-3</v>
      </c>
      <c r="D179" s="140">
        <f t="shared" si="208"/>
        <v>1.173695666556757E-2</v>
      </c>
      <c r="E179" s="140">
        <f t="shared" si="208"/>
        <v>1.3200357669668508E-2</v>
      </c>
      <c r="F179" s="140">
        <f t="shared" si="208"/>
        <v>1.4405366908745342E-2</v>
      </c>
      <c r="G179" s="140">
        <f t="shared" si="208"/>
        <v>1.4958589172259342E-2</v>
      </c>
      <c r="H179" s="140">
        <f t="shared" si="208"/>
        <v>1.8476088829016846E-2</v>
      </c>
      <c r="I179" s="140">
        <f t="shared" si="208"/>
        <v>1.013625694787041E-2</v>
      </c>
      <c r="J179" s="140">
        <f t="shared" si="208"/>
        <v>1.1328075267324107E-2</v>
      </c>
      <c r="K179" s="140">
        <f t="shared" si="208"/>
        <v>1.695441428972826E-2</v>
      </c>
      <c r="L179" s="140">
        <f t="shared" si="208"/>
        <v>1.7357441777949945E-2</v>
      </c>
      <c r="M179" s="140">
        <f t="shared" si="208"/>
        <v>1.2436130936483925E-2</v>
      </c>
      <c r="N179" s="140">
        <f t="shared" si="208"/>
        <v>1.6386208483223797E-2</v>
      </c>
      <c r="O179" s="140">
        <f t="shared" si="208"/>
        <v>1.5171243937089058E-2</v>
      </c>
      <c r="P179" s="140">
        <f t="shared" si="208"/>
        <v>1.0078405439042832E-2</v>
      </c>
      <c r="Q179" s="140">
        <f t="shared" si="208"/>
        <v>9.4650287763296172E-3</v>
      </c>
      <c r="R179" s="140">
        <f t="shared" si="208"/>
        <v>7.8632306146626443E-3</v>
      </c>
      <c r="S179" s="140">
        <f t="shared" si="208"/>
        <v>1.0199063128698184E-2</v>
      </c>
      <c r="T179" s="140">
        <f t="shared" si="208"/>
        <v>8.2687428082498082E-3</v>
      </c>
      <c r="U179" s="140">
        <f t="shared" si="208"/>
        <v>8.8280928794122315E-3</v>
      </c>
      <c r="V179" s="140">
        <f t="shared" si="208"/>
        <v>6.0441998933856407E-3</v>
      </c>
      <c r="W179" s="140">
        <f t="shared" si="208"/>
        <v>6.2310715129232303E-3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3.9823093123519253E-5</v>
      </c>
      <c r="C180" s="127">
        <f t="shared" ref="C180:W180" si="209">IF(C88=0,0,C88/C$77)</f>
        <v>2.2501832424766951E-5</v>
      </c>
      <c r="D180" s="127">
        <f t="shared" si="209"/>
        <v>3.9806483465367605E-5</v>
      </c>
      <c r="E180" s="127">
        <f t="shared" si="209"/>
        <v>4.7650104084798898E-5</v>
      </c>
      <c r="F180" s="127">
        <f t="shared" si="209"/>
        <v>9.7115439941842662E-5</v>
      </c>
      <c r="G180" s="127">
        <f t="shared" si="209"/>
        <v>1.3305616952086978E-4</v>
      </c>
      <c r="H180" s="127">
        <f t="shared" si="209"/>
        <v>2.9688498395245741E-4</v>
      </c>
      <c r="I180" s="127">
        <f t="shared" si="209"/>
        <v>9.1250269627247927E-4</v>
      </c>
      <c r="J180" s="127">
        <f t="shared" si="209"/>
        <v>1.3459311760573454E-3</v>
      </c>
      <c r="K180" s="127">
        <f t="shared" si="209"/>
        <v>4.0464224580667556E-4</v>
      </c>
      <c r="L180" s="127">
        <f t="shared" si="209"/>
        <v>3.9967724451073759E-4</v>
      </c>
      <c r="M180" s="127">
        <f t="shared" si="209"/>
        <v>2.1634753577840629E-4</v>
      </c>
      <c r="N180" s="127">
        <f t="shared" si="209"/>
        <v>1.0223910421932384E-4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1.4950961857158989E-7</v>
      </c>
      <c r="W180" s="127">
        <f t="shared" si="209"/>
        <v>4.3235078036387284E-5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0.48539109071195735</v>
      </c>
      <c r="C182" s="140">
        <f t="shared" ref="C182:W182" si="211">IF(C90=0,0,C90/C$89)</f>
        <v>0.48534414417698618</v>
      </c>
      <c r="D182" s="140">
        <f t="shared" si="211"/>
        <v>0.48390717238436654</v>
      </c>
      <c r="E182" s="140">
        <f t="shared" si="211"/>
        <v>0.48459511486700346</v>
      </c>
      <c r="F182" s="140">
        <f t="shared" si="211"/>
        <v>0.4846564324291473</v>
      </c>
      <c r="G182" s="140">
        <f t="shared" si="211"/>
        <v>0.48918024866993487</v>
      </c>
      <c r="H182" s="140">
        <f t="shared" si="211"/>
        <v>0.41071126450413903</v>
      </c>
      <c r="I182" s="140">
        <f t="shared" si="211"/>
        <v>0.35549734093444746</v>
      </c>
      <c r="J182" s="140">
        <f t="shared" si="211"/>
        <v>0.335363855609429</v>
      </c>
      <c r="K182" s="140">
        <f t="shared" si="211"/>
        <v>0.30603153150619872</v>
      </c>
      <c r="L182" s="140">
        <f t="shared" si="211"/>
        <v>0.31114730125163675</v>
      </c>
      <c r="M182" s="140">
        <f t="shared" si="211"/>
        <v>0.3279519580128446</v>
      </c>
      <c r="N182" s="140">
        <f t="shared" si="211"/>
        <v>0.33728705516251706</v>
      </c>
      <c r="O182" s="140">
        <f t="shared" si="211"/>
        <v>0.31098869835999055</v>
      </c>
      <c r="P182" s="140">
        <f t="shared" si="211"/>
        <v>0.29543155599646131</v>
      </c>
      <c r="Q182" s="140">
        <f t="shared" si="211"/>
        <v>0.27795654902905653</v>
      </c>
      <c r="R182" s="140">
        <f t="shared" si="211"/>
        <v>0.25722341534433124</v>
      </c>
      <c r="S182" s="140">
        <f t="shared" si="211"/>
        <v>0.25753329918641449</v>
      </c>
      <c r="T182" s="140">
        <f t="shared" si="211"/>
        <v>0.26096686418921533</v>
      </c>
      <c r="U182" s="140">
        <f t="shared" si="211"/>
        <v>0.26630470818712321</v>
      </c>
      <c r="V182" s="140">
        <f t="shared" si="211"/>
        <v>0.23101824023074449</v>
      </c>
      <c r="W182" s="140">
        <f t="shared" si="211"/>
        <v>0.2158153871652683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0.51460890928804259</v>
      </c>
      <c r="C183" s="127">
        <f t="shared" ref="C183:W183" si="212">IF(C91=0,0,C91/C$89)</f>
        <v>0.51465585582301376</v>
      </c>
      <c r="D183" s="127">
        <f t="shared" si="212"/>
        <v>0.51609282761563346</v>
      </c>
      <c r="E183" s="127">
        <f t="shared" si="212"/>
        <v>0.51540488513299665</v>
      </c>
      <c r="F183" s="127">
        <f t="shared" si="212"/>
        <v>0.51534356757085276</v>
      </c>
      <c r="G183" s="127">
        <f t="shared" si="212"/>
        <v>0.51081975133006519</v>
      </c>
      <c r="H183" s="127">
        <f t="shared" si="212"/>
        <v>0.58928873549586103</v>
      </c>
      <c r="I183" s="127">
        <f t="shared" si="212"/>
        <v>0.6445026590655526</v>
      </c>
      <c r="J183" s="127">
        <f t="shared" si="212"/>
        <v>0.66463614439057095</v>
      </c>
      <c r="K183" s="127">
        <f t="shared" si="212"/>
        <v>0.69396846849380123</v>
      </c>
      <c r="L183" s="127">
        <f t="shared" si="212"/>
        <v>0.68885269874836319</v>
      </c>
      <c r="M183" s="127">
        <f t="shared" si="212"/>
        <v>0.67204804198715529</v>
      </c>
      <c r="N183" s="127">
        <f t="shared" si="212"/>
        <v>0.66271294483748289</v>
      </c>
      <c r="O183" s="127">
        <f t="shared" si="212"/>
        <v>0.68901130164000957</v>
      </c>
      <c r="P183" s="127">
        <f t="shared" si="212"/>
        <v>0.70456844400353857</v>
      </c>
      <c r="Q183" s="127">
        <f t="shared" si="212"/>
        <v>0.72204345097094336</v>
      </c>
      <c r="R183" s="127">
        <f t="shared" si="212"/>
        <v>0.74277658465566876</v>
      </c>
      <c r="S183" s="127">
        <f t="shared" si="212"/>
        <v>0.74246670081358546</v>
      </c>
      <c r="T183" s="127">
        <f t="shared" si="212"/>
        <v>0.73903313581078467</v>
      </c>
      <c r="U183" s="127">
        <f t="shared" si="212"/>
        <v>0.73369529181287674</v>
      </c>
      <c r="V183" s="127">
        <f t="shared" si="212"/>
        <v>0.76898175976925542</v>
      </c>
      <c r="W183" s="127">
        <f t="shared" si="212"/>
        <v>0.78418461283473173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25.529726636023931</v>
      </c>
      <c r="C186" s="32">
        <f t="shared" si="213"/>
        <v>26.454412257317092</v>
      </c>
      <c r="D186" s="32">
        <f t="shared" si="213"/>
        <v>27.333295851027525</v>
      </c>
      <c r="E186" s="32">
        <f t="shared" si="213"/>
        <v>26.82799543650329</v>
      </c>
      <c r="F186" s="32">
        <f t="shared" si="213"/>
        <v>26.854213646408009</v>
      </c>
      <c r="G186" s="32">
        <f t="shared" si="213"/>
        <v>26.640928251934</v>
      </c>
      <c r="H186" s="32">
        <f t="shared" si="213"/>
        <v>26.224023491019221</v>
      </c>
      <c r="I186" s="32">
        <f t="shared" si="213"/>
        <v>29.424056419053574</v>
      </c>
      <c r="J186" s="32">
        <f t="shared" si="213"/>
        <v>29.945120745939441</v>
      </c>
      <c r="K186" s="32">
        <f t="shared" si="213"/>
        <v>28.907217064990487</v>
      </c>
      <c r="L186" s="32">
        <f t="shared" si="213"/>
        <v>31.245629342016674</v>
      </c>
      <c r="M186" s="32">
        <f t="shared" si="213"/>
        <v>31.547166302662653</v>
      </c>
      <c r="N186" s="32">
        <f t="shared" si="213"/>
        <v>30.645787236093106</v>
      </c>
      <c r="O186" s="32">
        <f t="shared" si="213"/>
        <v>30.568567353661088</v>
      </c>
      <c r="P186" s="32">
        <f t="shared" si="213"/>
        <v>38.955374294265567</v>
      </c>
      <c r="Q186" s="32">
        <f t="shared" si="213"/>
        <v>40.320761787120276</v>
      </c>
      <c r="R186" s="32">
        <f t="shared" si="213"/>
        <v>43.489048368935201</v>
      </c>
      <c r="S186" s="32">
        <f t="shared" si="213"/>
        <v>38.700201834006549</v>
      </c>
      <c r="T186" s="32">
        <f t="shared" si="213"/>
        <v>41.817348837310021</v>
      </c>
      <c r="U186" s="32">
        <f t="shared" si="213"/>
        <v>41.476846037522968</v>
      </c>
      <c r="V186" s="32">
        <f t="shared" si="213"/>
        <v>47.47982503094557</v>
      </c>
      <c r="W186" s="32">
        <f t="shared" ref="W186" si="214">IF(W34=0,0,W34/W4*1000)</f>
        <v>43.724888865140962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25.454895839128557</v>
      </c>
      <c r="C187" s="141">
        <f t="shared" si="215"/>
        <v>26.328055967332112</v>
      </c>
      <c r="D187" s="141">
        <f t="shared" si="215"/>
        <v>27.275023773984234</v>
      </c>
      <c r="E187" s="141">
        <f t="shared" si="215"/>
        <v>26.702209760570732</v>
      </c>
      <c r="F187" s="141">
        <f t="shared" si="215"/>
        <v>26.738712429624481</v>
      </c>
      <c r="G187" s="141">
        <f t="shared" si="215"/>
        <v>26.413372009658016</v>
      </c>
      <c r="H187" s="141">
        <f t="shared" si="215"/>
        <v>26.021866472402625</v>
      </c>
      <c r="I187" s="141">
        <f t="shared" si="215"/>
        <v>29.252825165079788</v>
      </c>
      <c r="J187" s="141">
        <f t="shared" si="215"/>
        <v>29.550823746679939</v>
      </c>
      <c r="K187" s="141">
        <f t="shared" si="215"/>
        <v>28.941236459211765</v>
      </c>
      <c r="L187" s="141">
        <f t="shared" si="215"/>
        <v>31.327535801627906</v>
      </c>
      <c r="M187" s="141">
        <f t="shared" si="215"/>
        <v>31.692903493137692</v>
      </c>
      <c r="N187" s="141">
        <f t="shared" si="215"/>
        <v>30.905195777150002</v>
      </c>
      <c r="O187" s="141">
        <f t="shared" si="215"/>
        <v>30.857649678743154</v>
      </c>
      <c r="P187" s="141">
        <f t="shared" si="215"/>
        <v>40.224405157928786</v>
      </c>
      <c r="Q187" s="141">
        <f t="shared" si="215"/>
        <v>41.968553970321295</v>
      </c>
      <c r="R187" s="141">
        <f t="shared" si="215"/>
        <v>45.512093210017142</v>
      </c>
      <c r="S187" s="141">
        <f t="shared" si="215"/>
        <v>40.013641062561021</v>
      </c>
      <c r="T187" s="141">
        <f t="shared" si="215"/>
        <v>44.022452743660089</v>
      </c>
      <c r="U187" s="141">
        <f t="shared" si="215"/>
        <v>43.817295529870705</v>
      </c>
      <c r="V187" s="141">
        <f t="shared" si="215"/>
        <v>48.044072669385748</v>
      </c>
      <c r="W187" s="141">
        <f t="shared" ref="W187" si="216">IF(W35=0,0,W35/W5*1000)</f>
        <v>44.626645081847997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46.304180732123051</v>
      </c>
      <c r="C188" s="97">
        <f t="shared" si="217"/>
        <v>45.979913466179092</v>
      </c>
      <c r="D188" s="97">
        <f t="shared" si="217"/>
        <v>45.519330020148821</v>
      </c>
      <c r="E188" s="97">
        <f t="shared" si="217"/>
        <v>42.82251669175897</v>
      </c>
      <c r="F188" s="97">
        <f t="shared" si="217"/>
        <v>42.361275394798348</v>
      </c>
      <c r="G188" s="97">
        <f t="shared" si="217"/>
        <v>41.864819854761258</v>
      </c>
      <c r="H188" s="97">
        <f t="shared" si="217"/>
        <v>41.067441713999031</v>
      </c>
      <c r="I188" s="97">
        <f t="shared" si="217"/>
        <v>40.010987165522501</v>
      </c>
      <c r="J188" s="97">
        <f t="shared" si="217"/>
        <v>38.833200465199951</v>
      </c>
      <c r="K188" s="97">
        <f t="shared" si="217"/>
        <v>38.007118897089867</v>
      </c>
      <c r="L188" s="97">
        <f t="shared" si="217"/>
        <v>37.680891724721043</v>
      </c>
      <c r="M188" s="97">
        <f t="shared" si="217"/>
        <v>37.205763155832358</v>
      </c>
      <c r="N188" s="97">
        <f t="shared" si="217"/>
        <v>36.976991155913829</v>
      </c>
      <c r="O188" s="97">
        <f t="shared" si="217"/>
        <v>36.535856651064805</v>
      </c>
      <c r="P188" s="97">
        <f t="shared" si="217"/>
        <v>35.963047176580211</v>
      </c>
      <c r="Q188" s="97">
        <f t="shared" si="217"/>
        <v>35.421396471037944</v>
      </c>
      <c r="R188" s="97">
        <f t="shared" si="217"/>
        <v>36.470737461221432</v>
      </c>
      <c r="S188" s="97">
        <f t="shared" si="217"/>
        <v>35.760780195106172</v>
      </c>
      <c r="T188" s="97">
        <f t="shared" si="217"/>
        <v>34.982383548452404</v>
      </c>
      <c r="U188" s="97">
        <f t="shared" si="217"/>
        <v>33.625906857206978</v>
      </c>
      <c r="V188" s="97">
        <f t="shared" si="217"/>
        <v>32.558703763154099</v>
      </c>
      <c r="W188" s="97">
        <f t="shared" ref="W188" si="218">IF(W36=0,0,W36/W6*1000)</f>
        <v>26.501437793129043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25.831159041477335</v>
      </c>
      <c r="C189" s="97">
        <f t="shared" si="219"/>
        <v>26.960302383017854</v>
      </c>
      <c r="D189" s="97">
        <f t="shared" si="219"/>
        <v>28.146011822421659</v>
      </c>
      <c r="E189" s="97">
        <f t="shared" si="219"/>
        <v>27.407363339789303</v>
      </c>
      <c r="F189" s="97">
        <f t="shared" si="219"/>
        <v>27.760490790298729</v>
      </c>
      <c r="G189" s="97">
        <f t="shared" si="219"/>
        <v>27.446649601778383</v>
      </c>
      <c r="H189" s="97">
        <f t="shared" si="219"/>
        <v>26.948736869817981</v>
      </c>
      <c r="I189" s="97">
        <f t="shared" si="219"/>
        <v>30.51867623397645</v>
      </c>
      <c r="J189" s="97">
        <f t="shared" si="219"/>
        <v>30.812925142246403</v>
      </c>
      <c r="K189" s="97">
        <f t="shared" si="219"/>
        <v>29.707526795106549</v>
      </c>
      <c r="L189" s="97">
        <f t="shared" si="219"/>
        <v>32.350661847999952</v>
      </c>
      <c r="M189" s="97">
        <f t="shared" si="219"/>
        <v>32.865390109279502</v>
      </c>
      <c r="N189" s="97">
        <f t="shared" si="219"/>
        <v>31.877720862459157</v>
      </c>
      <c r="O189" s="97">
        <f t="shared" si="219"/>
        <v>31.945049889141153</v>
      </c>
      <c r="P189" s="97">
        <f t="shared" si="219"/>
        <v>42.98681371150672</v>
      </c>
      <c r="Q189" s="97">
        <f t="shared" si="219"/>
        <v>44.405191286951037</v>
      </c>
      <c r="R189" s="97">
        <f t="shared" si="219"/>
        <v>48.113446616280307</v>
      </c>
      <c r="S189" s="97">
        <f t="shared" si="219"/>
        <v>41.763171998161539</v>
      </c>
      <c r="T189" s="97">
        <f t="shared" si="219"/>
        <v>46.31166342023139</v>
      </c>
      <c r="U189" s="97">
        <f t="shared" si="219"/>
        <v>45.860344727796168</v>
      </c>
      <c r="V189" s="97">
        <f t="shared" si="219"/>
        <v>49.006195984249935</v>
      </c>
      <c r="W189" s="97">
        <f t="shared" ref="W189" si="220">IF(W37=0,0,W37/W7*1000)</f>
        <v>45.289404899016404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21.414738740233844</v>
      </c>
      <c r="C190" s="97">
        <f t="shared" si="221"/>
        <v>20.071396252776058</v>
      </c>
      <c r="D190" s="97">
        <f t="shared" si="221"/>
        <v>19.349479304884984</v>
      </c>
      <c r="E190" s="97">
        <f t="shared" si="221"/>
        <v>19.478957143176306</v>
      </c>
      <c r="F190" s="97">
        <f t="shared" si="221"/>
        <v>17.493216989788959</v>
      </c>
      <c r="G190" s="97">
        <f t="shared" si="221"/>
        <v>16.375572600573431</v>
      </c>
      <c r="H190" s="97">
        <f t="shared" si="221"/>
        <v>15.816753611862845</v>
      </c>
      <c r="I190" s="97">
        <f t="shared" si="221"/>
        <v>15.320301150089668</v>
      </c>
      <c r="J190" s="97">
        <f t="shared" si="221"/>
        <v>15.265769192167184</v>
      </c>
      <c r="K190" s="97">
        <f t="shared" si="221"/>
        <v>18.635023277587699</v>
      </c>
      <c r="L190" s="97">
        <f t="shared" si="221"/>
        <v>18.708446489572381</v>
      </c>
      <c r="M190" s="97">
        <f t="shared" si="221"/>
        <v>18.721380674690295</v>
      </c>
      <c r="N190" s="97">
        <f t="shared" si="221"/>
        <v>18.517383508207779</v>
      </c>
      <c r="O190" s="97">
        <f t="shared" si="221"/>
        <v>17.923625285994735</v>
      </c>
      <c r="P190" s="97">
        <f t="shared" si="221"/>
        <v>17.7577159283308</v>
      </c>
      <c r="Q190" s="97">
        <f t="shared" si="221"/>
        <v>20.140351954100634</v>
      </c>
      <c r="R190" s="97">
        <f t="shared" si="221"/>
        <v>20.322613032393001</v>
      </c>
      <c r="S190" s="97">
        <f t="shared" si="221"/>
        <v>20.141520980998845</v>
      </c>
      <c r="T190" s="97">
        <f t="shared" si="221"/>
        <v>20.051461599162803</v>
      </c>
      <c r="U190" s="97">
        <f t="shared" si="221"/>
        <v>22.075679744309845</v>
      </c>
      <c r="V190" s="97">
        <f t="shared" si="221"/>
        <v>31.111081187960924</v>
      </c>
      <c r="W190" s="97">
        <f t="shared" ref="W190" si="222">IF(W38=0,0,W38/W8*1000)</f>
        <v>31.795614144110569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16.727105506427566</v>
      </c>
      <c r="C191" s="130">
        <f t="shared" si="223"/>
        <v>16.954660262649863</v>
      </c>
      <c r="D191" s="130">
        <f t="shared" si="223"/>
        <v>17.162774321344795</v>
      </c>
      <c r="E191" s="130">
        <f t="shared" si="223"/>
        <v>17.128083453064271</v>
      </c>
      <c r="F191" s="130">
        <f t="shared" si="223"/>
        <v>16.942124072737137</v>
      </c>
      <c r="G191" s="130">
        <f t="shared" si="223"/>
        <v>16.729009630657114</v>
      </c>
      <c r="H191" s="130">
        <f t="shared" si="223"/>
        <v>16.005576157460624</v>
      </c>
      <c r="I191" s="130">
        <f t="shared" si="223"/>
        <v>15.992221292008447</v>
      </c>
      <c r="J191" s="130">
        <f t="shared" si="223"/>
        <v>16.353276216322033</v>
      </c>
      <c r="K191" s="130">
        <f t="shared" si="223"/>
        <v>16.789442603268142</v>
      </c>
      <c r="L191" s="130">
        <f t="shared" si="223"/>
        <v>16.948490301284178</v>
      </c>
      <c r="M191" s="130">
        <f t="shared" si="223"/>
        <v>16.1976772920314</v>
      </c>
      <c r="N191" s="130">
        <f t="shared" si="223"/>
        <v>15.894631795220183</v>
      </c>
      <c r="O191" s="130">
        <f t="shared" si="223"/>
        <v>15.021922798288895</v>
      </c>
      <c r="P191" s="130">
        <f t="shared" si="223"/>
        <v>14.449972091076344</v>
      </c>
      <c r="Q191" s="130">
        <f t="shared" si="223"/>
        <v>15.042776893228837</v>
      </c>
      <c r="R191" s="130">
        <f t="shared" si="223"/>
        <v>13.404135413762006</v>
      </c>
      <c r="S191" s="130">
        <f t="shared" si="223"/>
        <v>14.102741746668199</v>
      </c>
      <c r="T191" s="130">
        <f t="shared" si="223"/>
        <v>14.562216842916078</v>
      </c>
      <c r="U191" s="130">
        <f t="shared" si="223"/>
        <v>14.332225948350549</v>
      </c>
      <c r="V191" s="130">
        <f t="shared" si="223"/>
        <v>17.9352339407294</v>
      </c>
      <c r="W191" s="130">
        <f t="shared" ref="W191" si="224">IF(W39=0,0,W39/W9*1000)</f>
        <v>17.257807744019583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0</v>
      </c>
      <c r="E192" s="97">
        <f t="shared" si="225"/>
        <v>0</v>
      </c>
      <c r="F192" s="97">
        <f t="shared" si="225"/>
        <v>0</v>
      </c>
      <c r="G192" s="97">
        <f t="shared" si="225"/>
        <v>0</v>
      </c>
      <c r="H192" s="97">
        <f t="shared" si="225"/>
        <v>0</v>
      </c>
      <c r="I192" s="97">
        <f t="shared" si="225"/>
        <v>0</v>
      </c>
      <c r="J192" s="97">
        <f t="shared" si="225"/>
        <v>0</v>
      </c>
      <c r="K192" s="97">
        <f t="shared" si="225"/>
        <v>0</v>
      </c>
      <c r="L192" s="97">
        <f t="shared" si="225"/>
        <v>0</v>
      </c>
      <c r="M192" s="97">
        <f t="shared" si="225"/>
        <v>0</v>
      </c>
      <c r="N192" s="97">
        <f t="shared" si="225"/>
        <v>0</v>
      </c>
      <c r="O192" s="97">
        <f t="shared" si="225"/>
        <v>0</v>
      </c>
      <c r="P192" s="97">
        <f t="shared" si="225"/>
        <v>0</v>
      </c>
      <c r="Q192" s="97">
        <f t="shared" si="225"/>
        <v>0</v>
      </c>
      <c r="R192" s="97">
        <f t="shared" si="225"/>
        <v>0</v>
      </c>
      <c r="S192" s="97">
        <f t="shared" si="225"/>
        <v>0</v>
      </c>
      <c r="T192" s="97">
        <f t="shared" si="225"/>
        <v>0</v>
      </c>
      <c r="U192" s="97">
        <f t="shared" si="225"/>
        <v>0</v>
      </c>
      <c r="V192" s="97">
        <f t="shared" si="225"/>
        <v>0</v>
      </c>
      <c r="W192" s="97">
        <f t="shared" ref="W192" si="226">IF(W40=0,0,W40/W10*1000)</f>
        <v>0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16.727105506427566</v>
      </c>
      <c r="C193" s="97">
        <f t="shared" si="227"/>
        <v>16.954660262649863</v>
      </c>
      <c r="D193" s="97">
        <f t="shared" si="227"/>
        <v>17.162774321344795</v>
      </c>
      <c r="E193" s="97">
        <f t="shared" si="227"/>
        <v>17.128083453064271</v>
      </c>
      <c r="F193" s="97">
        <f t="shared" si="227"/>
        <v>16.942124072737137</v>
      </c>
      <c r="G193" s="97">
        <f t="shared" si="227"/>
        <v>16.729009630657114</v>
      </c>
      <c r="H193" s="97">
        <f t="shared" si="227"/>
        <v>16.005576157460624</v>
      </c>
      <c r="I193" s="97">
        <f t="shared" si="227"/>
        <v>15.992221292008447</v>
      </c>
      <c r="J193" s="97">
        <f t="shared" si="227"/>
        <v>16.353276216322033</v>
      </c>
      <c r="K193" s="97">
        <f t="shared" si="227"/>
        <v>16.789442603268142</v>
      </c>
      <c r="L193" s="97">
        <f t="shared" si="227"/>
        <v>16.948490301284178</v>
      </c>
      <c r="M193" s="97">
        <f t="shared" si="227"/>
        <v>16.1976772920314</v>
      </c>
      <c r="N193" s="97">
        <f t="shared" si="227"/>
        <v>15.894631795220183</v>
      </c>
      <c r="O193" s="97">
        <f t="shared" si="227"/>
        <v>15.021922798288895</v>
      </c>
      <c r="P193" s="97">
        <f t="shared" si="227"/>
        <v>14.449972091076344</v>
      </c>
      <c r="Q193" s="97">
        <f t="shared" si="227"/>
        <v>15.042776893228837</v>
      </c>
      <c r="R193" s="97">
        <f t="shared" si="227"/>
        <v>13.404135413762006</v>
      </c>
      <c r="S193" s="97">
        <f t="shared" si="227"/>
        <v>14.102741746668199</v>
      </c>
      <c r="T193" s="97">
        <f t="shared" si="227"/>
        <v>14.562216842916078</v>
      </c>
      <c r="U193" s="97">
        <f t="shared" si="227"/>
        <v>14.332225948350549</v>
      </c>
      <c r="V193" s="97">
        <f t="shared" si="227"/>
        <v>17.9352339407294</v>
      </c>
      <c r="W193" s="97">
        <f t="shared" ref="W193" si="228">IF(W41=0,0,W41/W11*1000)</f>
        <v>17.257807744019583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37.780694954373878</v>
      </c>
      <c r="C195" s="130">
        <f t="shared" si="231"/>
        <v>36.956053632801662</v>
      </c>
      <c r="D195" s="130">
        <f t="shared" si="231"/>
        <v>36.229150914638126</v>
      </c>
      <c r="E195" s="130">
        <f t="shared" si="231"/>
        <v>36.17503570171101</v>
      </c>
      <c r="F195" s="130">
        <f t="shared" si="231"/>
        <v>35.66778176103201</v>
      </c>
      <c r="G195" s="130">
        <f t="shared" si="231"/>
        <v>35.555393779634777</v>
      </c>
      <c r="H195" s="130">
        <f t="shared" si="231"/>
        <v>33.639322684632447</v>
      </c>
      <c r="I195" s="130">
        <f t="shared" si="231"/>
        <v>35.151284721279779</v>
      </c>
      <c r="J195" s="130">
        <f t="shared" si="231"/>
        <v>40.62621880820317</v>
      </c>
      <c r="K195" s="130">
        <f t="shared" si="231"/>
        <v>30.150046724879338</v>
      </c>
      <c r="L195" s="130">
        <f t="shared" si="231"/>
        <v>31.635252811598061</v>
      </c>
      <c r="M195" s="130">
        <f t="shared" si="231"/>
        <v>31.182735003144671</v>
      </c>
      <c r="N195" s="130">
        <f t="shared" si="231"/>
        <v>28.147557109632679</v>
      </c>
      <c r="O195" s="130">
        <f t="shared" si="231"/>
        <v>28.067181654888689</v>
      </c>
      <c r="P195" s="130">
        <f t="shared" si="231"/>
        <v>28.471912686870027</v>
      </c>
      <c r="Q195" s="130">
        <f t="shared" si="231"/>
        <v>27.179087080397608</v>
      </c>
      <c r="R195" s="130">
        <f t="shared" si="231"/>
        <v>28.620066429453743</v>
      </c>
      <c r="S195" s="130">
        <f t="shared" si="231"/>
        <v>28.570735942961459</v>
      </c>
      <c r="T195" s="130">
        <f t="shared" si="231"/>
        <v>27.758532659779117</v>
      </c>
      <c r="U195" s="130">
        <f t="shared" si="231"/>
        <v>26.263849075422517</v>
      </c>
      <c r="V195" s="130">
        <f t="shared" si="231"/>
        <v>39.842595767927456</v>
      </c>
      <c r="W195" s="130">
        <f t="shared" ref="W195" si="232">IF(W43=0,0,W43/W13*1000)</f>
        <v>32.138072024915147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43.137798445467034</v>
      </c>
      <c r="C197" s="97">
        <f t="shared" si="235"/>
        <v>41.891378900272187</v>
      </c>
      <c r="D197" s="97">
        <f t="shared" si="235"/>
        <v>40.778763586961574</v>
      </c>
      <c r="E197" s="97">
        <f t="shared" si="235"/>
        <v>40.477201477509176</v>
      </c>
      <c r="F197" s="97">
        <f t="shared" si="235"/>
        <v>39.843560809349327</v>
      </c>
      <c r="G197" s="97">
        <f t="shared" si="235"/>
        <v>39.021160992002159</v>
      </c>
      <c r="H197" s="97">
        <f t="shared" si="235"/>
        <v>37.063487028290361</v>
      </c>
      <c r="I197" s="97">
        <f t="shared" si="235"/>
        <v>40.452209553442295</v>
      </c>
      <c r="J197" s="97">
        <f t="shared" si="235"/>
        <v>43.797558084632563</v>
      </c>
      <c r="K197" s="97">
        <f t="shared" si="235"/>
        <v>32.726658336995889</v>
      </c>
      <c r="L197" s="97">
        <f t="shared" si="235"/>
        <v>32.24691009146283</v>
      </c>
      <c r="M197" s="97">
        <f t="shared" si="235"/>
        <v>30.178280134044741</v>
      </c>
      <c r="N197" s="97">
        <f t="shared" si="235"/>
        <v>27.764857528794476</v>
      </c>
      <c r="O197" s="97">
        <f t="shared" si="235"/>
        <v>28.705692470618796</v>
      </c>
      <c r="P197" s="97">
        <f t="shared" si="235"/>
        <v>30.063630095984255</v>
      </c>
      <c r="Q197" s="97">
        <f t="shared" si="235"/>
        <v>28.737963044966126</v>
      </c>
      <c r="R197" s="97">
        <f t="shared" si="235"/>
        <v>30.437426313809848</v>
      </c>
      <c r="S197" s="97">
        <f t="shared" si="235"/>
        <v>31.522526252180562</v>
      </c>
      <c r="T197" s="97">
        <f t="shared" si="235"/>
        <v>32.395189462183545</v>
      </c>
      <c r="U197" s="97">
        <f t="shared" si="235"/>
        <v>32.057888879283098</v>
      </c>
      <c r="V197" s="97">
        <f t="shared" si="235"/>
        <v>43.281974662185242</v>
      </c>
      <c r="W197" s="97">
        <f t="shared" ref="W197" si="236">IF(W45=0,0,W45/W15*1000)</f>
        <v>39.445262652841208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22.419113866661124</v>
      </c>
      <c r="C198" s="97">
        <f t="shared" si="237"/>
        <v>22.402979668599027</v>
      </c>
      <c r="D198" s="97">
        <f t="shared" si="237"/>
        <v>22.432780735613058</v>
      </c>
      <c r="E198" s="97">
        <f t="shared" si="237"/>
        <v>22.807134206723404</v>
      </c>
      <c r="F198" s="97">
        <f t="shared" si="237"/>
        <v>22.605032420861445</v>
      </c>
      <c r="G198" s="97">
        <f t="shared" si="237"/>
        <v>22.533129151597997</v>
      </c>
      <c r="H198" s="97">
        <f t="shared" si="237"/>
        <v>20.454957455711416</v>
      </c>
      <c r="I198" s="97">
        <f t="shared" si="237"/>
        <v>18.281161272975833</v>
      </c>
      <c r="J198" s="97">
        <f t="shared" si="237"/>
        <v>26.848322982393871</v>
      </c>
      <c r="K198" s="97">
        <f t="shared" si="237"/>
        <v>20.399014006125327</v>
      </c>
      <c r="L198" s="97">
        <f t="shared" si="237"/>
        <v>28.031954639258178</v>
      </c>
      <c r="M198" s="97">
        <f t="shared" si="237"/>
        <v>40.848370472563595</v>
      </c>
      <c r="N198" s="97">
        <f t="shared" si="237"/>
        <v>31.612700163686032</v>
      </c>
      <c r="O198" s="97">
        <f t="shared" si="237"/>
        <v>23.750185566401079</v>
      </c>
      <c r="P198" s="97">
        <f t="shared" si="237"/>
        <v>19.83516941865085</v>
      </c>
      <c r="Q198" s="97">
        <f t="shared" si="237"/>
        <v>18.489758519505582</v>
      </c>
      <c r="R198" s="97">
        <f t="shared" si="237"/>
        <v>18.153059185500734</v>
      </c>
      <c r="S198" s="97">
        <f t="shared" si="237"/>
        <v>14.77771985350282</v>
      </c>
      <c r="T198" s="97">
        <f t="shared" si="237"/>
        <v>11.12639040147268</v>
      </c>
      <c r="U198" s="97">
        <f t="shared" si="237"/>
        <v>9.2143512163769667</v>
      </c>
      <c r="V198" s="97">
        <f t="shared" si="237"/>
        <v>25.618707488945361</v>
      </c>
      <c r="W198" s="97">
        <f t="shared" ref="W198" si="238">IF(W46=0,0,W46/W16*1000)</f>
        <v>13.039786800616847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22.767627435302213</v>
      </c>
      <c r="C199" s="32">
        <f t="shared" si="239"/>
        <v>30.292784841661017</v>
      </c>
      <c r="D199" s="32">
        <f t="shared" si="239"/>
        <v>26.099292475891474</v>
      </c>
      <c r="E199" s="32">
        <f t="shared" si="239"/>
        <v>19.961338316235778</v>
      </c>
      <c r="F199" s="32">
        <f t="shared" si="239"/>
        <v>21.819048017423512</v>
      </c>
      <c r="G199" s="32">
        <f t="shared" si="239"/>
        <v>19.95594422274506</v>
      </c>
      <c r="H199" s="32">
        <f t="shared" si="239"/>
        <v>18.21249884352039</v>
      </c>
      <c r="I199" s="32">
        <f t="shared" si="239"/>
        <v>23.599503367761901</v>
      </c>
      <c r="J199" s="32">
        <f t="shared" si="239"/>
        <v>24.793793422177448</v>
      </c>
      <c r="K199" s="32">
        <f t="shared" si="239"/>
        <v>17.983116572053881</v>
      </c>
      <c r="L199" s="32">
        <f t="shared" si="239"/>
        <v>19.197693233902694</v>
      </c>
      <c r="M199" s="32">
        <f t="shared" si="239"/>
        <v>20.234997829302657</v>
      </c>
      <c r="N199" s="32">
        <f t="shared" si="239"/>
        <v>16.0249785823708</v>
      </c>
      <c r="O199" s="32">
        <f t="shared" si="239"/>
        <v>17.472518688456997</v>
      </c>
      <c r="P199" s="32">
        <f t="shared" si="239"/>
        <v>25.074238208539999</v>
      </c>
      <c r="Q199" s="32">
        <f t="shared" si="239"/>
        <v>26.110106846681266</v>
      </c>
      <c r="R199" s="32">
        <f t="shared" si="239"/>
        <v>25.07736980475692</v>
      </c>
      <c r="S199" s="32">
        <f t="shared" si="239"/>
        <v>24.077998790891069</v>
      </c>
      <c r="T199" s="32">
        <f t="shared" si="239"/>
        <v>24.089488710086382</v>
      </c>
      <c r="U199" s="32">
        <f t="shared" si="239"/>
        <v>25.734291615857067</v>
      </c>
      <c r="V199" s="32">
        <f t="shared" si="239"/>
        <v>26.604440206944368</v>
      </c>
      <c r="W199" s="32">
        <f t="shared" ref="W199" si="240">IF(W47=0,0,W47/W17*1000)</f>
        <v>28.82908570146391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67.843412699754452</v>
      </c>
      <c r="C200" s="141">
        <f t="shared" si="241"/>
        <v>85.715311659408542</v>
      </c>
      <c r="D200" s="141">
        <f t="shared" si="241"/>
        <v>83.989240446255636</v>
      </c>
      <c r="E200" s="141">
        <f t="shared" si="241"/>
        <v>61.523076376669117</v>
      </c>
      <c r="F200" s="141">
        <f t="shared" si="241"/>
        <v>63.811266386663625</v>
      </c>
      <c r="G200" s="141">
        <f t="shared" si="241"/>
        <v>59.853550477572789</v>
      </c>
      <c r="H200" s="141">
        <f t="shared" si="241"/>
        <v>49.921690562878624</v>
      </c>
      <c r="I200" s="141">
        <f t="shared" si="241"/>
        <v>68.487163950112048</v>
      </c>
      <c r="J200" s="141">
        <f t="shared" si="241"/>
        <v>77.382464781696925</v>
      </c>
      <c r="K200" s="141">
        <f t="shared" si="241"/>
        <v>48.680400038667017</v>
      </c>
      <c r="L200" s="141">
        <f t="shared" si="241"/>
        <v>57.71605285048112</v>
      </c>
      <c r="M200" s="141">
        <f t="shared" si="241"/>
        <v>64.702156587649128</v>
      </c>
      <c r="N200" s="141">
        <f t="shared" si="241"/>
        <v>43.656053048299242</v>
      </c>
      <c r="O200" s="141">
        <f t="shared" si="241"/>
        <v>43.811892478221573</v>
      </c>
      <c r="P200" s="141">
        <f t="shared" si="241"/>
        <v>69.396607306874898</v>
      </c>
      <c r="Q200" s="141">
        <f t="shared" si="241"/>
        <v>68.703657431602394</v>
      </c>
      <c r="R200" s="141">
        <f t="shared" si="241"/>
        <v>64.127029266354029</v>
      </c>
      <c r="S200" s="141">
        <f t="shared" si="241"/>
        <v>64.521078410703339</v>
      </c>
      <c r="T200" s="141">
        <f t="shared" si="241"/>
        <v>66.706346639016033</v>
      </c>
      <c r="U200" s="141">
        <f t="shared" si="241"/>
        <v>71.181493960564538</v>
      </c>
      <c r="V200" s="141">
        <f t="shared" si="241"/>
        <v>68.337178117426362</v>
      </c>
      <c r="W200" s="141">
        <f t="shared" ref="W200" si="242">IF(W48=0,0,W48/W18*1000)</f>
        <v>70.302303148765461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869.3537674906861</v>
      </c>
      <c r="C201" s="97">
        <f t="shared" si="243"/>
        <v>844.34339038858423</v>
      </c>
      <c r="D201" s="97">
        <f t="shared" si="243"/>
        <v>779.71394445897704</v>
      </c>
      <c r="E201" s="97">
        <f t="shared" si="243"/>
        <v>740.41861946203062</v>
      </c>
      <c r="F201" s="97">
        <f t="shared" si="243"/>
        <v>732.55189285902065</v>
      </c>
      <c r="G201" s="97">
        <f t="shared" si="243"/>
        <v>694.73958150819738</v>
      </c>
      <c r="H201" s="97">
        <f t="shared" si="243"/>
        <v>659.52115585008198</v>
      </c>
      <c r="I201" s="97">
        <f t="shared" si="243"/>
        <v>668.39933946979022</v>
      </c>
      <c r="J201" s="97">
        <f t="shared" si="243"/>
        <v>645.0598237729813</v>
      </c>
      <c r="K201" s="97">
        <f t="shared" si="243"/>
        <v>599.45189207785427</v>
      </c>
      <c r="L201" s="97">
        <f t="shared" si="243"/>
        <v>617.79751644679209</v>
      </c>
      <c r="M201" s="97">
        <f t="shared" si="243"/>
        <v>612.78094609108985</v>
      </c>
      <c r="N201" s="97">
        <f t="shared" si="243"/>
        <v>603.59851787346986</v>
      </c>
      <c r="O201" s="97">
        <f t="shared" si="243"/>
        <v>600.69147033409456</v>
      </c>
      <c r="P201" s="97">
        <f t="shared" si="243"/>
        <v>618.79473101118697</v>
      </c>
      <c r="Q201" s="97">
        <f t="shared" si="243"/>
        <v>623.9929093983335</v>
      </c>
      <c r="R201" s="97">
        <f t="shared" si="243"/>
        <v>630.60409072236007</v>
      </c>
      <c r="S201" s="97">
        <f t="shared" si="243"/>
        <v>645.52661354415022</v>
      </c>
      <c r="T201" s="97">
        <f t="shared" si="243"/>
        <v>646.74764352107195</v>
      </c>
      <c r="U201" s="97">
        <f t="shared" si="243"/>
        <v>646.29742969012068</v>
      </c>
      <c r="V201" s="97">
        <f t="shared" si="243"/>
        <v>645.50494441088892</v>
      </c>
      <c r="W201" s="97">
        <f t="shared" ref="W201" si="244">IF(W49=0,0,W49/W19*1000)</f>
        <v>642.18801167260904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58.032447927828976</v>
      </c>
      <c r="C202" s="97">
        <f t="shared" si="245"/>
        <v>76.449516685717114</v>
      </c>
      <c r="D202" s="97">
        <f t="shared" si="245"/>
        <v>75.020151478924291</v>
      </c>
      <c r="E202" s="97">
        <f t="shared" si="245"/>
        <v>53.258010886047167</v>
      </c>
      <c r="F202" s="97">
        <f t="shared" si="245"/>
        <v>56.219894766220328</v>
      </c>
      <c r="G202" s="97">
        <f t="shared" si="245"/>
        <v>51.873299903556337</v>
      </c>
      <c r="H202" s="97">
        <f t="shared" si="245"/>
        <v>41.641489506773063</v>
      </c>
      <c r="I202" s="97">
        <f t="shared" si="245"/>
        <v>60.374270593447669</v>
      </c>
      <c r="J202" s="97">
        <f t="shared" si="245"/>
        <v>68.627986364354911</v>
      </c>
      <c r="K202" s="97">
        <f t="shared" si="245"/>
        <v>38.361437280718839</v>
      </c>
      <c r="L202" s="97">
        <f t="shared" si="245"/>
        <v>48.177832772443729</v>
      </c>
      <c r="M202" s="97">
        <f t="shared" si="245"/>
        <v>55.062905854510404</v>
      </c>
      <c r="N202" s="97">
        <f t="shared" si="245"/>
        <v>33.801078122348507</v>
      </c>
      <c r="O202" s="97">
        <f t="shared" si="245"/>
        <v>34.639548505592927</v>
      </c>
      <c r="P202" s="97">
        <f t="shared" si="245"/>
        <v>59.544930022419905</v>
      </c>
      <c r="Q202" s="97">
        <f t="shared" si="245"/>
        <v>59.161600271862078</v>
      </c>
      <c r="R202" s="97">
        <f t="shared" si="245"/>
        <v>54.103442891188585</v>
      </c>
      <c r="S202" s="97">
        <f t="shared" si="245"/>
        <v>54.606330755766869</v>
      </c>
      <c r="T202" s="97">
        <f t="shared" si="245"/>
        <v>56.985507921241762</v>
      </c>
      <c r="U202" s="97">
        <f t="shared" si="245"/>
        <v>60.915757737584833</v>
      </c>
      <c r="V202" s="97">
        <f t="shared" si="245"/>
        <v>58.687232784271792</v>
      </c>
      <c r="W202" s="97">
        <f t="shared" ref="W202" si="246">IF(W50=0,0,W50/W20*1000)</f>
        <v>60.429136659205888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6.9417351129890523</v>
      </c>
      <c r="C203" s="130">
        <f t="shared" si="247"/>
        <v>7.0830166795144196</v>
      </c>
      <c r="D203" s="130">
        <f t="shared" si="247"/>
        <v>6.0823698930752457</v>
      </c>
      <c r="E203" s="130">
        <f t="shared" si="247"/>
        <v>5.9171398610157233</v>
      </c>
      <c r="F203" s="130">
        <f t="shared" si="247"/>
        <v>5.73463356445877</v>
      </c>
      <c r="G203" s="130">
        <f t="shared" si="247"/>
        <v>5.6670037140228633</v>
      </c>
      <c r="H203" s="130">
        <f t="shared" si="247"/>
        <v>5.2669932781211291</v>
      </c>
      <c r="I203" s="130">
        <f t="shared" si="247"/>
        <v>4.927353904698121</v>
      </c>
      <c r="J203" s="130">
        <f t="shared" si="247"/>
        <v>4.8641501710354875</v>
      </c>
      <c r="K203" s="130">
        <f t="shared" si="247"/>
        <v>4.5991930616033532</v>
      </c>
      <c r="L203" s="130">
        <f t="shared" si="247"/>
        <v>4.2814538925985381</v>
      </c>
      <c r="M203" s="130">
        <f t="shared" si="247"/>
        <v>3.9272214217843935</v>
      </c>
      <c r="N203" s="130">
        <f t="shared" si="247"/>
        <v>3.9343284419327906</v>
      </c>
      <c r="O203" s="130">
        <f t="shared" si="247"/>
        <v>3.8156019929796074</v>
      </c>
      <c r="P203" s="130">
        <f t="shared" si="247"/>
        <v>3.7895491851772656</v>
      </c>
      <c r="Q203" s="130">
        <f t="shared" si="247"/>
        <v>3.5591917077479325</v>
      </c>
      <c r="R203" s="130">
        <f t="shared" si="247"/>
        <v>3.5683188712559502</v>
      </c>
      <c r="S203" s="130">
        <f t="shared" si="247"/>
        <v>3.4040773351300517</v>
      </c>
      <c r="T203" s="130">
        <f t="shared" si="247"/>
        <v>3.5085966038195124</v>
      </c>
      <c r="U203" s="130">
        <f t="shared" si="247"/>
        <v>3.2936069366794229</v>
      </c>
      <c r="V203" s="130">
        <f t="shared" si="247"/>
        <v>3.2949439059347654</v>
      </c>
      <c r="W203" s="130">
        <f t="shared" ref="W203" si="248">IF(W51=0,0,W51/W21*1000)</f>
        <v>3.4492197033476937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101.11137606201297</v>
      </c>
      <c r="C204" s="130">
        <f t="shared" si="249"/>
        <v>96.231391085873767</v>
      </c>
      <c r="D204" s="130">
        <f t="shared" si="249"/>
        <v>102.1853113769038</v>
      </c>
      <c r="E204" s="130">
        <f t="shared" si="249"/>
        <v>96.182875671396616</v>
      </c>
      <c r="F204" s="130">
        <f t="shared" si="249"/>
        <v>102.71397169843176</v>
      </c>
      <c r="G204" s="130">
        <f t="shared" si="249"/>
        <v>102.6886258152385</v>
      </c>
      <c r="H204" s="130">
        <f t="shared" si="249"/>
        <v>108.18333185438151</v>
      </c>
      <c r="I204" s="130">
        <f t="shared" si="249"/>
        <v>107.7020812087833</v>
      </c>
      <c r="J204" s="130">
        <f t="shared" si="249"/>
        <v>154.640359772859</v>
      </c>
      <c r="K204" s="130">
        <f t="shared" si="249"/>
        <v>120.86815127084846</v>
      </c>
      <c r="L204" s="130">
        <f t="shared" si="249"/>
        <v>107.33359849613853</v>
      </c>
      <c r="M204" s="130">
        <f t="shared" si="249"/>
        <v>102.26834576696585</v>
      </c>
      <c r="N204" s="130">
        <f t="shared" si="249"/>
        <v>43.958246295896529</v>
      </c>
      <c r="O204" s="130">
        <f t="shared" si="249"/>
        <v>68.532185830178165</v>
      </c>
      <c r="P204" s="130">
        <f t="shared" si="249"/>
        <v>67.662650568851248</v>
      </c>
      <c r="Q204" s="130">
        <f t="shared" si="249"/>
        <v>66.217403819359276</v>
      </c>
      <c r="R204" s="130">
        <f t="shared" si="249"/>
        <v>72.261977957812192</v>
      </c>
      <c r="S204" s="130">
        <f t="shared" si="249"/>
        <v>92.891573629791736</v>
      </c>
      <c r="T204" s="130">
        <f t="shared" si="249"/>
        <v>83.96322619527291</v>
      </c>
      <c r="U204" s="130">
        <f t="shared" si="249"/>
        <v>71.70293633130467</v>
      </c>
      <c r="V204" s="130">
        <f t="shared" si="249"/>
        <v>122.43117617575473</v>
      </c>
      <c r="W204" s="130">
        <f t="shared" ref="W204" si="250">IF(W52=0,0,W52/W22*1000)</f>
        <v>115.43281214490051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110.50598368725883</v>
      </c>
      <c r="C206" s="97">
        <f t="shared" si="253"/>
        <v>104.90841342756559</v>
      </c>
      <c r="D206" s="97">
        <f t="shared" si="253"/>
        <v>111.66415369062865</v>
      </c>
      <c r="E206" s="97">
        <f t="shared" si="253"/>
        <v>110.38543238223689</v>
      </c>
      <c r="F206" s="97">
        <f t="shared" si="253"/>
        <v>121.51481868231421</v>
      </c>
      <c r="G206" s="97">
        <f t="shared" si="253"/>
        <v>122.3687392172633</v>
      </c>
      <c r="H206" s="97">
        <f t="shared" si="253"/>
        <v>154.21991131196182</v>
      </c>
      <c r="I206" s="97">
        <f t="shared" si="253"/>
        <v>172.66061034629479</v>
      </c>
      <c r="J206" s="97">
        <f t="shared" si="253"/>
        <v>197.34919921911151</v>
      </c>
      <c r="K206" s="97">
        <f t="shared" si="253"/>
        <v>128.09531637653348</v>
      </c>
      <c r="L206" s="97">
        <f t="shared" si="253"/>
        <v>113.14781288401586</v>
      </c>
      <c r="M206" s="97">
        <f t="shared" si="253"/>
        <v>110.03065184032728</v>
      </c>
      <c r="N206" s="97">
        <f t="shared" si="253"/>
        <v>103.54100540022546</v>
      </c>
      <c r="O206" s="97">
        <f t="shared" si="253"/>
        <v>110.82677644889088</v>
      </c>
      <c r="P206" s="97">
        <f t="shared" si="253"/>
        <v>91.742737837937085</v>
      </c>
      <c r="Q206" s="97">
        <f t="shared" si="253"/>
        <v>89.079317482615906</v>
      </c>
      <c r="R206" s="97">
        <f t="shared" si="253"/>
        <v>92.322997959597913</v>
      </c>
      <c r="S206" s="97">
        <f t="shared" si="253"/>
        <v>106.81843282094358</v>
      </c>
      <c r="T206" s="97">
        <f t="shared" si="253"/>
        <v>106.31083271470069</v>
      </c>
      <c r="U206" s="97">
        <f t="shared" si="253"/>
        <v>100.14716011039233</v>
      </c>
      <c r="V206" s="97">
        <f t="shared" si="253"/>
        <v>179.22013964632723</v>
      </c>
      <c r="W206" s="97">
        <f t="shared" ref="W206" si="254">IF(W54=0,0,W54/W24*1000)</f>
        <v>168.19681801737838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18.126381367526545</v>
      </c>
      <c r="C207" s="97">
        <f t="shared" si="255"/>
        <v>17.36730137503864</v>
      </c>
      <c r="D207" s="97">
        <f t="shared" si="255"/>
        <v>18.341466593959929</v>
      </c>
      <c r="E207" s="97">
        <f t="shared" si="255"/>
        <v>20.353537278706291</v>
      </c>
      <c r="F207" s="97">
        <f t="shared" si="255"/>
        <v>20.943116135351858</v>
      </c>
      <c r="G207" s="97">
        <f t="shared" si="255"/>
        <v>22.532840906475734</v>
      </c>
      <c r="H207" s="97">
        <f t="shared" si="255"/>
        <v>21.725141090245948</v>
      </c>
      <c r="I207" s="97">
        <f t="shared" si="255"/>
        <v>24.189830028422826</v>
      </c>
      <c r="J207" s="97">
        <f t="shared" si="255"/>
        <v>37.574265852378261</v>
      </c>
      <c r="K207" s="97">
        <f t="shared" si="255"/>
        <v>29.477116314330516</v>
      </c>
      <c r="L207" s="97">
        <f t="shared" si="255"/>
        <v>36.466963914915688</v>
      </c>
      <c r="M207" s="97">
        <f t="shared" si="255"/>
        <v>42.080080904162756</v>
      </c>
      <c r="N207" s="97">
        <f t="shared" si="255"/>
        <v>28.530541986305586</v>
      </c>
      <c r="O207" s="97">
        <f t="shared" si="255"/>
        <v>28.540253891879789</v>
      </c>
      <c r="P207" s="97">
        <f t="shared" si="255"/>
        <v>21.724129866594637</v>
      </c>
      <c r="Q207" s="97">
        <f t="shared" si="255"/>
        <v>19.335035073736211</v>
      </c>
      <c r="R207" s="97">
        <f t="shared" si="255"/>
        <v>17.271284044861247</v>
      </c>
      <c r="S207" s="97">
        <f t="shared" si="255"/>
        <v>16.623605013782878</v>
      </c>
      <c r="T207" s="97">
        <f t="shared" si="255"/>
        <v>13.992703640536424</v>
      </c>
      <c r="U207" s="97">
        <f t="shared" si="255"/>
        <v>10.651619770312534</v>
      </c>
      <c r="V207" s="97">
        <f t="shared" si="255"/>
        <v>33.588646870398989</v>
      </c>
      <c r="W207" s="97">
        <f t="shared" ref="W207" si="256">IF(W55=0,0,W55/W25*1000)</f>
        <v>19.688317443363186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13.371167784587181</v>
      </c>
      <c r="C208" s="130">
        <f t="shared" si="257"/>
        <v>18.81683044749677</v>
      </c>
      <c r="D208" s="130">
        <f t="shared" si="257"/>
        <v>25.09210432935166</v>
      </c>
      <c r="E208" s="130">
        <f t="shared" si="257"/>
        <v>25.068987498218874</v>
      </c>
      <c r="F208" s="130">
        <f t="shared" si="257"/>
        <v>37.762339165432792</v>
      </c>
      <c r="G208" s="130">
        <f t="shared" si="257"/>
        <v>31.862107614996958</v>
      </c>
      <c r="H208" s="130">
        <f t="shared" si="257"/>
        <v>38.883063273471414</v>
      </c>
      <c r="I208" s="130">
        <f t="shared" si="257"/>
        <v>32.154361749464961</v>
      </c>
      <c r="J208" s="130">
        <f t="shared" si="257"/>
        <v>38.105341460816632</v>
      </c>
      <c r="K208" s="130">
        <f t="shared" si="257"/>
        <v>33.622535060790852</v>
      </c>
      <c r="L208" s="130">
        <f t="shared" si="257"/>
        <v>40.347154487182181</v>
      </c>
      <c r="M208" s="130">
        <f t="shared" si="257"/>
        <v>30.263941446439727</v>
      </c>
      <c r="N208" s="130">
        <f t="shared" si="257"/>
        <v>31.708946233460725</v>
      </c>
      <c r="O208" s="130">
        <f t="shared" si="257"/>
        <v>32.825804727327444</v>
      </c>
      <c r="P208" s="130">
        <f t="shared" si="257"/>
        <v>31.855251407609483</v>
      </c>
      <c r="Q208" s="130">
        <f t="shared" si="257"/>
        <v>30.358938501408474</v>
      </c>
      <c r="R208" s="130">
        <f t="shared" si="257"/>
        <v>30.650969318078484</v>
      </c>
      <c r="S208" s="130">
        <f t="shared" si="257"/>
        <v>30.561563088614033</v>
      </c>
      <c r="T208" s="130">
        <f t="shared" si="257"/>
        <v>30.4404076795084</v>
      </c>
      <c r="U208" s="130">
        <f t="shared" si="257"/>
        <v>30.551054988247198</v>
      </c>
      <c r="V208" s="130">
        <f t="shared" si="257"/>
        <v>31.32146216158996</v>
      </c>
      <c r="W208" s="130">
        <f t="shared" ref="W208" si="258">IF(W56=0,0,W56/W26*1000)</f>
        <v>30.604549066072092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13.409265508648238</v>
      </c>
      <c r="C209" s="97">
        <f t="shared" si="259"/>
        <v>18.832014346030771</v>
      </c>
      <c r="D209" s="97">
        <f t="shared" si="259"/>
        <v>25.086608652824662</v>
      </c>
      <c r="E209" s="97">
        <f t="shared" si="259"/>
        <v>25.081154246464756</v>
      </c>
      <c r="F209" s="97">
        <f t="shared" si="259"/>
        <v>37.68242984924364</v>
      </c>
      <c r="G209" s="97">
        <f t="shared" si="259"/>
        <v>31.844216613777835</v>
      </c>
      <c r="H209" s="97">
        <f t="shared" si="259"/>
        <v>38.708854171297638</v>
      </c>
      <c r="I209" s="97">
        <f t="shared" si="259"/>
        <v>31.465845009427035</v>
      </c>
      <c r="J209" s="97">
        <f t="shared" si="259"/>
        <v>36.783795075847621</v>
      </c>
      <c r="K209" s="97">
        <f t="shared" si="259"/>
        <v>33.495660773511439</v>
      </c>
      <c r="L209" s="97">
        <f t="shared" si="259"/>
        <v>40.227916831287907</v>
      </c>
      <c r="M209" s="97">
        <f t="shared" si="259"/>
        <v>30.280963022975509</v>
      </c>
      <c r="N209" s="97">
        <f t="shared" si="259"/>
        <v>31.70780392630105</v>
      </c>
      <c r="O209" s="97">
        <f t="shared" si="259"/>
        <v>32.825804727327444</v>
      </c>
      <c r="P209" s="97">
        <f t="shared" si="259"/>
        <v>31.855251407609483</v>
      </c>
      <c r="Q209" s="97">
        <f t="shared" si="259"/>
        <v>30.358938501408474</v>
      </c>
      <c r="R209" s="97">
        <f t="shared" si="259"/>
        <v>30.650969318078484</v>
      </c>
      <c r="S209" s="97">
        <f t="shared" si="259"/>
        <v>30.561563088614033</v>
      </c>
      <c r="T209" s="97">
        <f t="shared" si="259"/>
        <v>30.4404076795084</v>
      </c>
      <c r="U209" s="97">
        <f t="shared" si="259"/>
        <v>30.551054988247198</v>
      </c>
      <c r="V209" s="97">
        <f t="shared" si="259"/>
        <v>31.323274615215375</v>
      </c>
      <c r="W209" s="97">
        <f t="shared" ref="W209" si="260">IF(W57=0,0,W57/W27*1000)</f>
        <v>31.108220873933202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7.5222837752757821</v>
      </c>
      <c r="C210" s="98">
        <f t="shared" si="261"/>
        <v>14.213778877169101</v>
      </c>
      <c r="D210" s="98">
        <f t="shared" si="261"/>
        <v>26.824779090539561</v>
      </c>
      <c r="E210" s="98">
        <f t="shared" si="261"/>
        <v>22.099199846481014</v>
      </c>
      <c r="F210" s="98">
        <f t="shared" si="261"/>
        <v>55.09159443195388</v>
      </c>
      <c r="G210" s="98">
        <f t="shared" si="261"/>
        <v>34.010284075934649</v>
      </c>
      <c r="H210" s="98">
        <f t="shared" si="261"/>
        <v>54.010267218286472</v>
      </c>
      <c r="I210" s="98">
        <f t="shared" si="261"/>
        <v>42.479565338095796</v>
      </c>
      <c r="J210" s="98">
        <f t="shared" si="261"/>
        <v>54.622248437890036</v>
      </c>
      <c r="K210" s="98">
        <f t="shared" si="261"/>
        <v>39.965319013321732</v>
      </c>
      <c r="L210" s="98">
        <f t="shared" si="261"/>
        <v>46.308162872418983</v>
      </c>
      <c r="M210" s="98">
        <f t="shared" si="261"/>
        <v>29.316662342929465</v>
      </c>
      <c r="N210" s="98">
        <f t="shared" si="261"/>
        <v>31.893097570672797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9.3798985722997692</v>
      </c>
      <c r="W210" s="98">
        <f t="shared" ref="W210:W213" si="262">IF(W58=0,0,W58/W28*1000)</f>
        <v>9.1810366093023461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2.465955452444105</v>
      </c>
      <c r="C211" s="32">
        <f t="shared" si="263"/>
        <v>2.5042329153963219</v>
      </c>
      <c r="D211" s="32">
        <f t="shared" si="263"/>
        <v>2.4951915417844428</v>
      </c>
      <c r="E211" s="32">
        <f t="shared" si="263"/>
        <v>2.491318984086909</v>
      </c>
      <c r="F211" s="32">
        <f t="shared" si="263"/>
        <v>2.4931957323946179</v>
      </c>
      <c r="G211" s="32">
        <f t="shared" si="263"/>
        <v>2.6755336768817441</v>
      </c>
      <c r="H211" s="32">
        <f t="shared" si="263"/>
        <v>2.2990948516897554</v>
      </c>
      <c r="I211" s="32">
        <f t="shared" si="263"/>
        <v>1.7309733284020521</v>
      </c>
      <c r="J211" s="32">
        <f t="shared" si="263"/>
        <v>0.98828084449702269</v>
      </c>
      <c r="K211" s="32">
        <f t="shared" si="263"/>
        <v>1.3611134485634355</v>
      </c>
      <c r="L211" s="32">
        <f t="shared" si="263"/>
        <v>1.4048151014487031</v>
      </c>
      <c r="M211" s="32">
        <f t="shared" si="263"/>
        <v>1.2020369828288959</v>
      </c>
      <c r="N211" s="32">
        <f t="shared" si="263"/>
        <v>1.1430962999569718</v>
      </c>
      <c r="O211" s="32">
        <f t="shared" si="263"/>
        <v>0.80978106754354084</v>
      </c>
      <c r="P211" s="32">
        <f t="shared" si="263"/>
        <v>8.793705253772266E-2</v>
      </c>
      <c r="Q211" s="32">
        <f t="shared" si="263"/>
        <v>0.54546878825192213</v>
      </c>
      <c r="R211" s="32">
        <f t="shared" si="263"/>
        <v>1.0873238723910965</v>
      </c>
      <c r="S211" s="32">
        <f t="shared" si="263"/>
        <v>1.063460847228719</v>
      </c>
      <c r="T211" s="32">
        <f t="shared" si="263"/>
        <v>1.2028025876679993</v>
      </c>
      <c r="U211" s="32">
        <f t="shared" si="263"/>
        <v>1.196314111741926</v>
      </c>
      <c r="V211" s="32">
        <f t="shared" si="263"/>
        <v>1.0981458849164609</v>
      </c>
      <c r="W211" s="32">
        <f t="shared" si="262"/>
        <v>1.1344141457039829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3.0336732885643349</v>
      </c>
      <c r="C212" s="97">
        <f t="shared" si="264"/>
        <v>3.1182823973557268</v>
      </c>
      <c r="D212" s="97">
        <f t="shared" si="264"/>
        <v>3.0980482354983181</v>
      </c>
      <c r="E212" s="97">
        <f t="shared" si="264"/>
        <v>3.0881432755084575</v>
      </c>
      <c r="F212" s="97">
        <f t="shared" si="264"/>
        <v>3.0929065402553624</v>
      </c>
      <c r="G212" s="97">
        <f t="shared" si="264"/>
        <v>3.4945716643424989</v>
      </c>
      <c r="H212" s="97">
        <f t="shared" si="264"/>
        <v>3.9826131632867878</v>
      </c>
      <c r="I212" s="97">
        <f t="shared" si="264"/>
        <v>3.4335411833550284</v>
      </c>
      <c r="J212" s="97">
        <f t="shared" si="264"/>
        <v>2.1742142463163789</v>
      </c>
      <c r="K212" s="97">
        <f t="shared" si="264"/>
        <v>3.2314560093972413</v>
      </c>
      <c r="L212" s="97">
        <f t="shared" si="264"/>
        <v>3.3488978835003751</v>
      </c>
      <c r="M212" s="97">
        <f t="shared" si="264"/>
        <v>2.7931354821386001</v>
      </c>
      <c r="N212" s="97">
        <f t="shared" si="264"/>
        <v>2.5671236587244004</v>
      </c>
      <c r="O212" s="97">
        <f t="shared" si="264"/>
        <v>1.9068002350887863</v>
      </c>
      <c r="P212" s="97">
        <f t="shared" si="264"/>
        <v>0.21740717826115807</v>
      </c>
      <c r="Q212" s="97">
        <f t="shared" si="264"/>
        <v>1.4158746049226396</v>
      </c>
      <c r="R212" s="97">
        <f t="shared" si="264"/>
        <v>2.9465164566184923</v>
      </c>
      <c r="S212" s="97">
        <f t="shared" si="264"/>
        <v>2.8696032871760471</v>
      </c>
      <c r="T212" s="97">
        <f t="shared" si="264"/>
        <v>3.2196419915951919</v>
      </c>
      <c r="U212" s="97">
        <f t="shared" si="264"/>
        <v>3.2015412293267338</v>
      </c>
      <c r="V212" s="97">
        <f t="shared" si="264"/>
        <v>2.5893068518979847</v>
      </c>
      <c r="W212" s="97">
        <f t="shared" si="262"/>
        <v>2.9215165085974983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2.0914050391685537</v>
      </c>
      <c r="C213" s="98">
        <f t="shared" si="265"/>
        <v>2.1077793007683732</v>
      </c>
      <c r="D213" s="98">
        <f t="shared" si="265"/>
        <v>2.1061829722891665</v>
      </c>
      <c r="E213" s="98">
        <f t="shared" si="265"/>
        <v>2.1049796260735802</v>
      </c>
      <c r="F213" s="98">
        <f t="shared" si="265"/>
        <v>2.1051746997188618</v>
      </c>
      <c r="G213" s="98">
        <f t="shared" si="265"/>
        <v>2.1820382375895888</v>
      </c>
      <c r="H213" s="98">
        <f t="shared" si="265"/>
        <v>1.7728915591665775</v>
      </c>
      <c r="I213" s="98">
        <f t="shared" si="265"/>
        <v>1.3566433999784531</v>
      </c>
      <c r="J213" s="98">
        <f t="shared" si="265"/>
        <v>0.77295904935907978</v>
      </c>
      <c r="K213" s="98">
        <f t="shared" si="265"/>
        <v>1.0820775636481605</v>
      </c>
      <c r="L213" s="98">
        <f t="shared" si="265"/>
        <v>1.1105725029661309</v>
      </c>
      <c r="M213" s="98">
        <f t="shared" si="265"/>
        <v>0.93830409664723358</v>
      </c>
      <c r="N213" s="98">
        <f t="shared" si="265"/>
        <v>0.88891664812766247</v>
      </c>
      <c r="O213" s="98">
        <f t="shared" si="265"/>
        <v>0.64124443974975476</v>
      </c>
      <c r="P213" s="98">
        <f t="shared" si="265"/>
        <v>7.0138502508467399E-2</v>
      </c>
      <c r="Q213" s="98">
        <f t="shared" si="265"/>
        <v>0.43868709364249914</v>
      </c>
      <c r="R213" s="98">
        <f t="shared" si="265"/>
        <v>0.88683557573943972</v>
      </c>
      <c r="S213" s="98">
        <f t="shared" si="265"/>
        <v>0.86755349240795898</v>
      </c>
      <c r="T213" s="98">
        <f t="shared" si="265"/>
        <v>0.97878180827284078</v>
      </c>
      <c r="U213" s="98">
        <f t="shared" si="265"/>
        <v>0.96842727003620699</v>
      </c>
      <c r="V213" s="98">
        <f t="shared" si="265"/>
        <v>0.93153324864414877</v>
      </c>
      <c r="W213" s="98">
        <f t="shared" si="262"/>
        <v>0.96751767873033434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74.652387915605559</v>
      </c>
      <c r="C216" s="32">
        <f t="shared" si="266"/>
        <v>77.465103613454687</v>
      </c>
      <c r="D216" s="32">
        <f t="shared" si="266"/>
        <v>79.894117958299958</v>
      </c>
      <c r="E216" s="32">
        <f t="shared" si="266"/>
        <v>78.442313891245746</v>
      </c>
      <c r="F216" s="32">
        <f t="shared" si="266"/>
        <v>78.422041993928744</v>
      </c>
      <c r="G216" s="32">
        <f t="shared" si="266"/>
        <v>77.901795245490433</v>
      </c>
      <c r="H216" s="32">
        <f t="shared" si="266"/>
        <v>76.101741511552078</v>
      </c>
      <c r="I216" s="32">
        <f t="shared" si="266"/>
        <v>84.186717669027118</v>
      </c>
      <c r="J216" s="32">
        <f t="shared" si="266"/>
        <v>85.445675841905128</v>
      </c>
      <c r="K216" s="32">
        <f t="shared" si="266"/>
        <v>82.404290653191524</v>
      </c>
      <c r="L216" s="32">
        <f t="shared" si="266"/>
        <v>89.999886826293306</v>
      </c>
      <c r="M216" s="32">
        <f t="shared" si="266"/>
        <v>90.971629865444442</v>
      </c>
      <c r="N216" s="32">
        <f t="shared" si="266"/>
        <v>88.199250511097574</v>
      </c>
      <c r="O216" s="32">
        <f t="shared" si="266"/>
        <v>87.870713784225543</v>
      </c>
      <c r="P216" s="32">
        <f t="shared" si="266"/>
        <v>112.18071351033574</v>
      </c>
      <c r="Q216" s="32">
        <f t="shared" si="266"/>
        <v>116.10498478338357</v>
      </c>
      <c r="R216" s="32">
        <f t="shared" si="266"/>
        <v>126.80584487672058</v>
      </c>
      <c r="S216" s="32">
        <f t="shared" si="266"/>
        <v>112.37803264796557</v>
      </c>
      <c r="T216" s="32">
        <f t="shared" si="266"/>
        <v>121.45682732867371</v>
      </c>
      <c r="U216" s="32">
        <f t="shared" si="266"/>
        <v>120.6366091052891</v>
      </c>
      <c r="V216" s="32">
        <f t="shared" si="266"/>
        <v>135.96708896987198</v>
      </c>
      <c r="W216" s="32">
        <f t="shared" ref="W216" si="267">IF(W4=0,0,W64/W4*1000)</f>
        <v>123.95313436306162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74.365660424654436</v>
      </c>
      <c r="C217" s="141">
        <f t="shared" si="268"/>
        <v>77.008936100596955</v>
      </c>
      <c r="D217" s="141">
        <f t="shared" si="268"/>
        <v>79.643396946944307</v>
      </c>
      <c r="E217" s="141">
        <f t="shared" si="268"/>
        <v>78.005791362029342</v>
      </c>
      <c r="F217" s="141">
        <f t="shared" si="268"/>
        <v>78.0184261215677</v>
      </c>
      <c r="G217" s="141">
        <f t="shared" si="268"/>
        <v>77.167132858933201</v>
      </c>
      <c r="H217" s="141">
        <f t="shared" si="268"/>
        <v>75.414091901617354</v>
      </c>
      <c r="I217" s="141">
        <f t="shared" si="268"/>
        <v>83.49707827421831</v>
      </c>
      <c r="J217" s="141">
        <f t="shared" si="268"/>
        <v>84.073816530826491</v>
      </c>
      <c r="K217" s="141">
        <f t="shared" si="268"/>
        <v>82.40486351448547</v>
      </c>
      <c r="L217" s="141">
        <f t="shared" si="268"/>
        <v>90.116366348338957</v>
      </c>
      <c r="M217" s="141">
        <f t="shared" si="268"/>
        <v>91.230721633250781</v>
      </c>
      <c r="N217" s="141">
        <f t="shared" si="268"/>
        <v>88.789743392932948</v>
      </c>
      <c r="O217" s="141">
        <f t="shared" si="268"/>
        <v>88.499363889171008</v>
      </c>
      <c r="P217" s="141">
        <f t="shared" si="268"/>
        <v>115.5615867631364</v>
      </c>
      <c r="Q217" s="141">
        <f t="shared" si="268"/>
        <v>120.55421371238597</v>
      </c>
      <c r="R217" s="141">
        <f t="shared" si="268"/>
        <v>132.48778334799096</v>
      </c>
      <c r="S217" s="141">
        <f t="shared" si="268"/>
        <v>115.94132242958315</v>
      </c>
      <c r="T217" s="141">
        <f t="shared" si="268"/>
        <v>127.57500577893744</v>
      </c>
      <c r="U217" s="141">
        <f t="shared" si="268"/>
        <v>127.18043994718795</v>
      </c>
      <c r="V217" s="141">
        <f t="shared" si="268"/>
        <v>137.42745362834256</v>
      </c>
      <c r="W217" s="141">
        <f t="shared" ref="W217" si="269">IF(W5=0,0,W65/W5*1000)</f>
        <v>126.27264265511967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134.34937631525219</v>
      </c>
      <c r="C218" s="97">
        <f t="shared" si="270"/>
        <v>133.40853027823769</v>
      </c>
      <c r="D218" s="97">
        <f t="shared" si="270"/>
        <v>132.07216933335283</v>
      </c>
      <c r="E218" s="97">
        <f t="shared" si="270"/>
        <v>124.24749382934411</v>
      </c>
      <c r="F218" s="97">
        <f t="shared" si="270"/>
        <v>122.90922416129864</v>
      </c>
      <c r="G218" s="97">
        <f t="shared" si="270"/>
        <v>121.24577167463029</v>
      </c>
      <c r="H218" s="97">
        <f t="shared" si="270"/>
        <v>117.50986300330243</v>
      </c>
      <c r="I218" s="97">
        <f t="shared" si="270"/>
        <v>113.13201270216005</v>
      </c>
      <c r="J218" s="97">
        <f t="shared" si="270"/>
        <v>108.82328793380429</v>
      </c>
      <c r="K218" s="97">
        <f t="shared" si="270"/>
        <v>106.35076674797294</v>
      </c>
      <c r="L218" s="97">
        <f t="shared" si="270"/>
        <v>105.65060942973231</v>
      </c>
      <c r="M218" s="97">
        <f t="shared" si="270"/>
        <v>104.04696234684353</v>
      </c>
      <c r="N218" s="97">
        <f t="shared" si="270"/>
        <v>103.53083749414114</v>
      </c>
      <c r="O218" s="97">
        <f t="shared" si="270"/>
        <v>102.84400271668662</v>
      </c>
      <c r="P218" s="97">
        <f t="shared" si="270"/>
        <v>101.47762981779765</v>
      </c>
      <c r="Q218" s="97">
        <f t="shared" si="270"/>
        <v>98.028805346332135</v>
      </c>
      <c r="R218" s="97">
        <f t="shared" si="270"/>
        <v>102.74537497674497</v>
      </c>
      <c r="S218" s="97">
        <f t="shared" si="270"/>
        <v>99.873835971362823</v>
      </c>
      <c r="T218" s="97">
        <f t="shared" si="270"/>
        <v>98.122109565115764</v>
      </c>
      <c r="U218" s="97">
        <f t="shared" si="270"/>
        <v>93.797276409437771</v>
      </c>
      <c r="V218" s="97">
        <f t="shared" si="270"/>
        <v>88.584111546000571</v>
      </c>
      <c r="W218" s="97">
        <f t="shared" ref="W218" si="271">IF(W6=0,0,W66/W6*1000)</f>
        <v>71.891902971110156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75.056602864267788</v>
      </c>
      <c r="C219" s="97">
        <f t="shared" si="272"/>
        <v>78.472896755506156</v>
      </c>
      <c r="D219" s="97">
        <f t="shared" si="272"/>
        <v>81.78069812921207</v>
      </c>
      <c r="E219" s="97">
        <f t="shared" si="272"/>
        <v>79.705455484689409</v>
      </c>
      <c r="F219" s="97">
        <f t="shared" si="272"/>
        <v>80.661068479543474</v>
      </c>
      <c r="G219" s="97">
        <f t="shared" si="272"/>
        <v>79.956192350471866</v>
      </c>
      <c r="H219" s="97">
        <f t="shared" si="272"/>
        <v>77.976455587209983</v>
      </c>
      <c r="I219" s="97">
        <f t="shared" si="272"/>
        <v>87.066839222183972</v>
      </c>
      <c r="J219" s="97">
        <f t="shared" si="272"/>
        <v>87.636161538586208</v>
      </c>
      <c r="K219" s="97">
        <f t="shared" si="272"/>
        <v>84.591819108555754</v>
      </c>
      <c r="L219" s="97">
        <f t="shared" si="272"/>
        <v>93.090435782045432</v>
      </c>
      <c r="M219" s="97">
        <f t="shared" si="272"/>
        <v>94.651932738398514</v>
      </c>
      <c r="N219" s="97">
        <f t="shared" si="272"/>
        <v>91.658955955130949</v>
      </c>
      <c r="O219" s="97">
        <f t="shared" si="272"/>
        <v>92.143281485498221</v>
      </c>
      <c r="P219" s="97">
        <f t="shared" si="272"/>
        <v>124.23545908943981</v>
      </c>
      <c r="Q219" s="97">
        <f t="shared" si="272"/>
        <v>128.38029558300957</v>
      </c>
      <c r="R219" s="97">
        <f t="shared" si="272"/>
        <v>140.85905519434695</v>
      </c>
      <c r="S219" s="97">
        <f t="shared" si="272"/>
        <v>121.68847601128425</v>
      </c>
      <c r="T219" s="97">
        <f t="shared" si="272"/>
        <v>134.93103211753791</v>
      </c>
      <c r="U219" s="97">
        <f t="shared" si="272"/>
        <v>133.87960600476205</v>
      </c>
      <c r="V219" s="97">
        <f t="shared" si="272"/>
        <v>140.81791232564842</v>
      </c>
      <c r="W219" s="97">
        <f t="shared" ref="W219" si="273">IF(W7=0,0,W67/W7*1000)</f>
        <v>128.84065189150272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66.43748806478979</v>
      </c>
      <c r="C220" s="97">
        <f t="shared" si="274"/>
        <v>62.269877076862002</v>
      </c>
      <c r="D220" s="97">
        <f t="shared" si="274"/>
        <v>60.023112968296964</v>
      </c>
      <c r="E220" s="97">
        <f t="shared" si="274"/>
        <v>60.422468595450653</v>
      </c>
      <c r="F220" s="97">
        <f t="shared" si="274"/>
        <v>54.014644297216435</v>
      </c>
      <c r="G220" s="97">
        <f t="shared" si="274"/>
        <v>50.027061945494488</v>
      </c>
      <c r="H220" s="97">
        <f t="shared" si="274"/>
        <v>47.191501238606598</v>
      </c>
      <c r="I220" s="97">
        <f t="shared" si="274"/>
        <v>44.223280140793747</v>
      </c>
      <c r="J220" s="97">
        <f t="shared" si="274"/>
        <v>43.79571048913887</v>
      </c>
      <c r="K220" s="97">
        <f t="shared" si="274"/>
        <v>53.06561283940389</v>
      </c>
      <c r="L220" s="97">
        <f t="shared" si="274"/>
        <v>53.549247131559532</v>
      </c>
      <c r="M220" s="97">
        <f t="shared" si="274"/>
        <v>53.50595090596822</v>
      </c>
      <c r="N220" s="97">
        <f t="shared" si="274"/>
        <v>52.362510931338392</v>
      </c>
      <c r="O220" s="97">
        <f t="shared" si="274"/>
        <v>45.326613494169727</v>
      </c>
      <c r="P220" s="97">
        <f t="shared" si="274"/>
        <v>45.040556740647368</v>
      </c>
      <c r="Q220" s="97">
        <f t="shared" si="274"/>
        <v>50.50027882429341</v>
      </c>
      <c r="R220" s="97">
        <f t="shared" si="274"/>
        <v>51.453401054449103</v>
      </c>
      <c r="S220" s="97">
        <f t="shared" si="274"/>
        <v>50.740761894713103</v>
      </c>
      <c r="T220" s="97">
        <f t="shared" si="274"/>
        <v>50.562004310751085</v>
      </c>
      <c r="U220" s="97">
        <f t="shared" si="274"/>
        <v>55.888340143684665</v>
      </c>
      <c r="V220" s="97">
        <f t="shared" si="274"/>
        <v>77.395839140326316</v>
      </c>
      <c r="W220" s="97">
        <f t="shared" ref="W220" si="275">IF(W8=0,0,W68/W8*1000)</f>
        <v>75.438904426524189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48.838316379958449</v>
      </c>
      <c r="C221" s="130">
        <f t="shared" si="276"/>
        <v>49.597529917189583</v>
      </c>
      <c r="D221" s="130">
        <f t="shared" si="276"/>
        <v>50.032137811082862</v>
      </c>
      <c r="E221" s="130">
        <f t="shared" si="276"/>
        <v>48.815988112755512</v>
      </c>
      <c r="F221" s="130">
        <f t="shared" si="276"/>
        <v>47.755077748705787</v>
      </c>
      <c r="G221" s="130">
        <f t="shared" si="276"/>
        <v>44.278679697817395</v>
      </c>
      <c r="H221" s="130">
        <f t="shared" si="276"/>
        <v>41.693015301110727</v>
      </c>
      <c r="I221" s="130">
        <f t="shared" si="276"/>
        <v>40.939446038867779</v>
      </c>
      <c r="J221" s="130">
        <f t="shared" si="276"/>
        <v>40.395176691389409</v>
      </c>
      <c r="K221" s="130">
        <f t="shared" si="276"/>
        <v>39.385025231042889</v>
      </c>
      <c r="L221" s="130">
        <f t="shared" si="276"/>
        <v>40.555249368551202</v>
      </c>
      <c r="M221" s="130">
        <f t="shared" si="276"/>
        <v>40.335249922595999</v>
      </c>
      <c r="N221" s="130">
        <f t="shared" si="276"/>
        <v>37.021797684622136</v>
      </c>
      <c r="O221" s="130">
        <f t="shared" si="276"/>
        <v>35.802441094080777</v>
      </c>
      <c r="P221" s="130">
        <f t="shared" si="276"/>
        <v>32.387017332696182</v>
      </c>
      <c r="Q221" s="130">
        <f t="shared" si="276"/>
        <v>34.285217438288164</v>
      </c>
      <c r="R221" s="130">
        <f t="shared" si="276"/>
        <v>29.126358712850934</v>
      </c>
      <c r="S221" s="130">
        <f t="shared" si="276"/>
        <v>32.720931612980465</v>
      </c>
      <c r="T221" s="130">
        <f t="shared" si="276"/>
        <v>31.706219448186619</v>
      </c>
      <c r="U221" s="130">
        <f t="shared" si="276"/>
        <v>32.288138518960345</v>
      </c>
      <c r="V221" s="130">
        <f t="shared" si="276"/>
        <v>38.812201538724956</v>
      </c>
      <c r="W221" s="130">
        <f t="shared" ref="W221" si="277">IF(W9=0,0,W69/W9*1000)</f>
        <v>38.98136212967696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48.838316379958449</v>
      </c>
      <c r="C223" s="97">
        <f t="shared" si="280"/>
        <v>49.597529917189583</v>
      </c>
      <c r="D223" s="97">
        <f t="shared" si="280"/>
        <v>50.032137811082862</v>
      </c>
      <c r="E223" s="97">
        <f t="shared" si="280"/>
        <v>48.815988112755512</v>
      </c>
      <c r="F223" s="97">
        <f t="shared" si="280"/>
        <v>47.755077748705787</v>
      </c>
      <c r="G223" s="97">
        <f t="shared" si="280"/>
        <v>44.278679697817395</v>
      </c>
      <c r="H223" s="97">
        <f t="shared" si="280"/>
        <v>41.693015301110727</v>
      </c>
      <c r="I223" s="97">
        <f t="shared" si="280"/>
        <v>40.939446038867779</v>
      </c>
      <c r="J223" s="97">
        <f t="shared" si="280"/>
        <v>40.395176691389409</v>
      </c>
      <c r="K223" s="97">
        <f t="shared" si="280"/>
        <v>39.385025231042889</v>
      </c>
      <c r="L223" s="97">
        <f t="shared" si="280"/>
        <v>40.555249368551202</v>
      </c>
      <c r="M223" s="97">
        <f t="shared" si="280"/>
        <v>40.335249922595999</v>
      </c>
      <c r="N223" s="97">
        <f t="shared" si="280"/>
        <v>37.021797684622136</v>
      </c>
      <c r="O223" s="97">
        <f t="shared" si="280"/>
        <v>35.802441094080777</v>
      </c>
      <c r="P223" s="97">
        <f t="shared" si="280"/>
        <v>32.387017332696182</v>
      </c>
      <c r="Q223" s="97">
        <f t="shared" si="280"/>
        <v>34.285217438288164</v>
      </c>
      <c r="R223" s="97">
        <f t="shared" si="280"/>
        <v>29.126358712850934</v>
      </c>
      <c r="S223" s="97">
        <f t="shared" si="280"/>
        <v>32.720931612980465</v>
      </c>
      <c r="T223" s="97">
        <f t="shared" si="280"/>
        <v>31.706219448186619</v>
      </c>
      <c r="U223" s="97">
        <f t="shared" si="280"/>
        <v>32.288138518960345</v>
      </c>
      <c r="V223" s="97">
        <f t="shared" si="280"/>
        <v>38.812201538724956</v>
      </c>
      <c r="W223" s="97">
        <f t="shared" ref="W223" si="281">IF(W11=0,0,W71/W11*1000)</f>
        <v>38.98136212967696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113.73157360354531</v>
      </c>
      <c r="C225" s="130">
        <f t="shared" si="284"/>
        <v>111.24914824651627</v>
      </c>
      <c r="D225" s="130">
        <f t="shared" si="284"/>
        <v>109.0609463065235</v>
      </c>
      <c r="E225" s="130">
        <f t="shared" si="284"/>
        <v>108.89804278318914</v>
      </c>
      <c r="F225" s="130">
        <f t="shared" si="284"/>
        <v>107.37105157882691</v>
      </c>
      <c r="G225" s="130">
        <f t="shared" si="284"/>
        <v>107.03272900445735</v>
      </c>
      <c r="H225" s="130">
        <f t="shared" si="284"/>
        <v>101.2647625593178</v>
      </c>
      <c r="I225" s="130">
        <f t="shared" si="284"/>
        <v>105.816235788288</v>
      </c>
      <c r="J225" s="130">
        <f t="shared" si="284"/>
        <v>122.2974802395471</v>
      </c>
      <c r="K225" s="130">
        <f t="shared" si="284"/>
        <v>90.760963036334147</v>
      </c>
      <c r="L225" s="130">
        <f t="shared" si="284"/>
        <v>95.2318925830795</v>
      </c>
      <c r="M225" s="130">
        <f t="shared" si="284"/>
        <v>93.86967406112845</v>
      </c>
      <c r="N225" s="130">
        <f t="shared" si="284"/>
        <v>84.732850124652657</v>
      </c>
      <c r="O225" s="130">
        <f t="shared" si="284"/>
        <v>84.490895153782631</v>
      </c>
      <c r="P225" s="130">
        <f t="shared" si="284"/>
        <v>85.709260702881579</v>
      </c>
      <c r="Q225" s="130">
        <f t="shared" si="284"/>
        <v>81.817455885722097</v>
      </c>
      <c r="R225" s="130">
        <f t="shared" si="284"/>
        <v>86.155249277195736</v>
      </c>
      <c r="S225" s="130">
        <f t="shared" si="284"/>
        <v>86.006749259867533</v>
      </c>
      <c r="T225" s="130">
        <f t="shared" si="284"/>
        <v>83.561766244233553</v>
      </c>
      <c r="U225" s="130">
        <f t="shared" si="284"/>
        <v>79.062306499155909</v>
      </c>
      <c r="V225" s="130">
        <f t="shared" si="284"/>
        <v>119.93853259207309</v>
      </c>
      <c r="W225" s="130">
        <f t="shared" ref="W225" si="285">IF(W13=0,0,W73/W13*1000)</f>
        <v>96.74553388686472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129.85811152813517</v>
      </c>
      <c r="C227" s="97">
        <f t="shared" si="288"/>
        <v>126.10600330417529</v>
      </c>
      <c r="D227" s="97">
        <f t="shared" si="288"/>
        <v>122.75668719045537</v>
      </c>
      <c r="E227" s="97">
        <f t="shared" si="288"/>
        <v>121.8488919979995</v>
      </c>
      <c r="F227" s="97">
        <f t="shared" si="288"/>
        <v>119.94143766514377</v>
      </c>
      <c r="G227" s="97">
        <f t="shared" si="288"/>
        <v>117.46575992890526</v>
      </c>
      <c r="H227" s="97">
        <f t="shared" si="288"/>
        <v>111.5725559853432</v>
      </c>
      <c r="I227" s="97">
        <f t="shared" si="288"/>
        <v>121.77365857905527</v>
      </c>
      <c r="J227" s="97">
        <f t="shared" si="288"/>
        <v>131.84419203970384</v>
      </c>
      <c r="K227" s="97">
        <f t="shared" si="288"/>
        <v>98.517360677115434</v>
      </c>
      <c r="L227" s="97">
        <f t="shared" si="288"/>
        <v>97.073170119903395</v>
      </c>
      <c r="M227" s="97">
        <f t="shared" si="288"/>
        <v>90.845954327692127</v>
      </c>
      <c r="N227" s="97">
        <f t="shared" si="288"/>
        <v>83.580806055619277</v>
      </c>
      <c r="O227" s="97">
        <f t="shared" si="288"/>
        <v>86.413010136674473</v>
      </c>
      <c r="P227" s="97">
        <f t="shared" si="288"/>
        <v>90.500822263338307</v>
      </c>
      <c r="Q227" s="97">
        <f t="shared" si="288"/>
        <v>86.51015454352158</v>
      </c>
      <c r="R227" s="97">
        <f t="shared" si="288"/>
        <v>91.626064456783865</v>
      </c>
      <c r="S227" s="97">
        <f t="shared" si="288"/>
        <v>94.892550784180642</v>
      </c>
      <c r="T227" s="97">
        <f t="shared" si="288"/>
        <v>97.519536873754191</v>
      </c>
      <c r="U227" s="97">
        <f t="shared" si="288"/>
        <v>96.50415782588361</v>
      </c>
      <c r="V227" s="97">
        <f t="shared" si="288"/>
        <v>130.29212651974308</v>
      </c>
      <c r="W227" s="97">
        <f t="shared" ref="W227" si="289">IF(W15=0,0,W75/W15*1000)</f>
        <v>118.74243706026429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67.48846472865759</v>
      </c>
      <c r="C228" s="97">
        <f t="shared" si="290"/>
        <v>67.439895803796603</v>
      </c>
      <c r="D228" s="97">
        <f t="shared" si="290"/>
        <v>67.52960622999872</v>
      </c>
      <c r="E228" s="97">
        <f t="shared" si="290"/>
        <v>68.656525928134172</v>
      </c>
      <c r="F228" s="97">
        <f t="shared" si="290"/>
        <v>68.048137062817503</v>
      </c>
      <c r="G228" s="97">
        <f t="shared" si="290"/>
        <v>67.831685989843635</v>
      </c>
      <c r="H228" s="97">
        <f t="shared" si="290"/>
        <v>61.575746614536691</v>
      </c>
      <c r="I228" s="97">
        <f t="shared" si="290"/>
        <v>55.031947966722889</v>
      </c>
      <c r="J228" s="97">
        <f t="shared" si="290"/>
        <v>80.821753678471737</v>
      </c>
      <c r="K228" s="97">
        <f t="shared" si="290"/>
        <v>61.407339533567935</v>
      </c>
      <c r="L228" s="97">
        <f t="shared" si="290"/>
        <v>84.384850944541597</v>
      </c>
      <c r="M228" s="97">
        <f t="shared" si="290"/>
        <v>122.96622543856654</v>
      </c>
      <c r="N228" s="97">
        <f t="shared" si="290"/>
        <v>95.164002139585563</v>
      </c>
      <c r="O228" s="97">
        <f t="shared" si="290"/>
        <v>71.495402112244363</v>
      </c>
      <c r="P228" s="97">
        <f t="shared" si="290"/>
        <v>59.709992984523318</v>
      </c>
      <c r="Q228" s="97">
        <f t="shared" si="290"/>
        <v>55.659890177046051</v>
      </c>
      <c r="R228" s="97">
        <f t="shared" si="290"/>
        <v>54.646321074257358</v>
      </c>
      <c r="S228" s="97">
        <f t="shared" si="290"/>
        <v>44.485506030022187</v>
      </c>
      <c r="T228" s="97">
        <f t="shared" si="290"/>
        <v>33.493875388344904</v>
      </c>
      <c r="U228" s="97">
        <f t="shared" si="290"/>
        <v>27.738046238690774</v>
      </c>
      <c r="V228" s="97">
        <f t="shared" si="290"/>
        <v>77.120230846081114</v>
      </c>
      <c r="W228" s="97">
        <f t="shared" ref="W228" si="291">IF(W16=0,0,W76/W16*1000)</f>
        <v>39.253790171935456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70.555886604493551</v>
      </c>
      <c r="C229" s="32">
        <f t="shared" si="292"/>
        <v>93.897249512500863</v>
      </c>
      <c r="D229" s="32">
        <f t="shared" si="292"/>
        <v>80.903010009390499</v>
      </c>
      <c r="E229" s="32">
        <f t="shared" si="292"/>
        <v>61.872922629960279</v>
      </c>
      <c r="F229" s="32">
        <f t="shared" si="292"/>
        <v>67.56610098404758</v>
      </c>
      <c r="G229" s="32">
        <f t="shared" si="292"/>
        <v>61.681792640755127</v>
      </c>
      <c r="H229" s="32">
        <f t="shared" si="292"/>
        <v>55.647919521876766</v>
      </c>
      <c r="I229" s="32">
        <f t="shared" si="292"/>
        <v>70.535475027830614</v>
      </c>
      <c r="J229" s="32">
        <f t="shared" si="292"/>
        <v>73.875932830044434</v>
      </c>
      <c r="K229" s="32">
        <f t="shared" si="292"/>
        <v>53.6312557188716</v>
      </c>
      <c r="L229" s="32">
        <f t="shared" si="292"/>
        <v>57.678848524319562</v>
      </c>
      <c r="M229" s="32">
        <f t="shared" si="292"/>
        <v>60.782616229342217</v>
      </c>
      <c r="N229" s="32">
        <f t="shared" si="292"/>
        <v>47.340260227335293</v>
      </c>
      <c r="O229" s="32">
        <f t="shared" si="292"/>
        <v>51.773978615739004</v>
      </c>
      <c r="P229" s="32">
        <f t="shared" si="292"/>
        <v>74.282520873793956</v>
      </c>
      <c r="Q229" s="32">
        <f t="shared" si="292"/>
        <v>77.601151242179299</v>
      </c>
      <c r="R229" s="32">
        <f t="shared" si="292"/>
        <v>75.150625478906406</v>
      </c>
      <c r="S229" s="32">
        <f t="shared" si="292"/>
        <v>71.744502247018374</v>
      </c>
      <c r="T229" s="32">
        <f t="shared" si="292"/>
        <v>71.72563540842259</v>
      </c>
      <c r="U229" s="32">
        <f t="shared" si="292"/>
        <v>76.900718052356709</v>
      </c>
      <c r="V229" s="32">
        <f t="shared" si="292"/>
        <v>78.44063772957017</v>
      </c>
      <c r="W229" s="32">
        <f t="shared" ref="W229" si="293">IF(W17=0,0,W77/W17*1000)</f>
        <v>83.789429509902746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210.18665769748682</v>
      </c>
      <c r="C230" s="141">
        <f t="shared" si="294"/>
        <v>265.65300762544791</v>
      </c>
      <c r="D230" s="141">
        <f t="shared" si="294"/>
        <v>260.31536387198031</v>
      </c>
      <c r="E230" s="141">
        <f t="shared" si="294"/>
        <v>190.65362943051778</v>
      </c>
      <c r="F230" s="141">
        <f t="shared" si="294"/>
        <v>197.51336095868916</v>
      </c>
      <c r="G230" s="141">
        <f t="shared" si="294"/>
        <v>184.81004492313031</v>
      </c>
      <c r="H230" s="141">
        <f t="shared" si="294"/>
        <v>151.86423001277598</v>
      </c>
      <c r="I230" s="141">
        <f t="shared" si="294"/>
        <v>203.24242947228032</v>
      </c>
      <c r="J230" s="141">
        <f t="shared" si="294"/>
        <v>228.83814176708381</v>
      </c>
      <c r="K230" s="141">
        <f t="shared" si="294"/>
        <v>143.76875410532179</v>
      </c>
      <c r="L230" s="141">
        <f t="shared" si="294"/>
        <v>172.18457323271207</v>
      </c>
      <c r="M230" s="141">
        <f t="shared" si="294"/>
        <v>193.19718921146793</v>
      </c>
      <c r="N230" s="141">
        <f t="shared" si="294"/>
        <v>128.74751445866147</v>
      </c>
      <c r="O230" s="141">
        <f t="shared" si="294"/>
        <v>129.42465763809912</v>
      </c>
      <c r="P230" s="141">
        <f t="shared" si="294"/>
        <v>205.50799770057515</v>
      </c>
      <c r="Q230" s="141">
        <f t="shared" si="294"/>
        <v>203.9169889401511</v>
      </c>
      <c r="R230" s="141">
        <f t="shared" si="294"/>
        <v>192.1135566245388</v>
      </c>
      <c r="S230" s="141">
        <f t="shared" si="294"/>
        <v>192.0285730282863</v>
      </c>
      <c r="T230" s="141">
        <f t="shared" si="294"/>
        <v>198.29235862022253</v>
      </c>
      <c r="U230" s="141">
        <f t="shared" si="294"/>
        <v>212.50723601388262</v>
      </c>
      <c r="V230" s="141">
        <f t="shared" si="294"/>
        <v>201.28537356460694</v>
      </c>
      <c r="W230" s="141">
        <f t="shared" ref="W230" si="295">IF(W18=0,0,W78/W18*1000)</f>
        <v>204.48480683625431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2672.9506624010774</v>
      </c>
      <c r="C231" s="97">
        <f t="shared" si="296"/>
        <v>2596.9827446376521</v>
      </c>
      <c r="D231" s="97">
        <f t="shared" si="296"/>
        <v>2399.0084801474409</v>
      </c>
      <c r="E231" s="97">
        <f t="shared" si="296"/>
        <v>2279.0705174395525</v>
      </c>
      <c r="F231" s="97">
        <f t="shared" si="296"/>
        <v>2253.4001803231436</v>
      </c>
      <c r="G231" s="97">
        <f t="shared" si="296"/>
        <v>2132.8074805543392</v>
      </c>
      <c r="H231" s="97">
        <f t="shared" si="296"/>
        <v>1995.122951922687</v>
      </c>
      <c r="I231" s="97">
        <f t="shared" si="296"/>
        <v>1974.4448387318921</v>
      </c>
      <c r="J231" s="97">
        <f t="shared" si="296"/>
        <v>1898.8529059983052</v>
      </c>
      <c r="K231" s="97">
        <f t="shared" si="296"/>
        <v>1764.0301091143965</v>
      </c>
      <c r="L231" s="97">
        <f t="shared" si="296"/>
        <v>1835.5735141790026</v>
      </c>
      <c r="M231" s="97">
        <f t="shared" si="296"/>
        <v>1823.4436253598676</v>
      </c>
      <c r="N231" s="97">
        <f t="shared" si="296"/>
        <v>1776.6760217350632</v>
      </c>
      <c r="O231" s="97">
        <f t="shared" si="296"/>
        <v>1771.7871661380088</v>
      </c>
      <c r="P231" s="97">
        <f t="shared" si="296"/>
        <v>1830.1366974054438</v>
      </c>
      <c r="Q231" s="97">
        <f t="shared" si="296"/>
        <v>1849.3676476878625</v>
      </c>
      <c r="R231" s="97">
        <f t="shared" si="296"/>
        <v>1887.1829830927577</v>
      </c>
      <c r="S231" s="97">
        <f t="shared" si="296"/>
        <v>1919.4230331921085</v>
      </c>
      <c r="T231" s="97">
        <f t="shared" si="296"/>
        <v>1921.0645561486851</v>
      </c>
      <c r="U231" s="97">
        <f t="shared" si="296"/>
        <v>1927.1687622792722</v>
      </c>
      <c r="V231" s="97">
        <f t="shared" si="296"/>
        <v>1899.0429703483508</v>
      </c>
      <c r="W231" s="97">
        <f t="shared" ref="W231" si="297">IF(W19=0,0,W79/W19*1000)</f>
        <v>1866.1517240490023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180.04095746131762</v>
      </c>
      <c r="C232" s="97">
        <f t="shared" si="298"/>
        <v>237.1784178166825</v>
      </c>
      <c r="D232" s="97">
        <f t="shared" si="298"/>
        <v>232.74392832706255</v>
      </c>
      <c r="E232" s="97">
        <f t="shared" si="298"/>
        <v>165.22865422347738</v>
      </c>
      <c r="F232" s="97">
        <f t="shared" si="298"/>
        <v>174.17546247075893</v>
      </c>
      <c r="G232" s="97">
        <f t="shared" si="298"/>
        <v>160.32453588043938</v>
      </c>
      <c r="H232" s="97">
        <f t="shared" si="298"/>
        <v>126.82721196250013</v>
      </c>
      <c r="I232" s="97">
        <f t="shared" si="298"/>
        <v>179.28962963630019</v>
      </c>
      <c r="J232" s="97">
        <f t="shared" si="298"/>
        <v>203.0838854478192</v>
      </c>
      <c r="K232" s="97">
        <f t="shared" si="298"/>
        <v>113.4123961199457</v>
      </c>
      <c r="L232" s="97">
        <f t="shared" si="298"/>
        <v>143.85696229510961</v>
      </c>
      <c r="M232" s="97">
        <f t="shared" si="298"/>
        <v>164.52548277838835</v>
      </c>
      <c r="N232" s="97">
        <f t="shared" si="298"/>
        <v>99.744009385976881</v>
      </c>
      <c r="O232" s="97">
        <f t="shared" si="298"/>
        <v>102.37336243041381</v>
      </c>
      <c r="P232" s="97">
        <f t="shared" si="298"/>
        <v>176.37553989631402</v>
      </c>
      <c r="Q232" s="97">
        <f t="shared" si="298"/>
        <v>175.64166363231729</v>
      </c>
      <c r="R232" s="97">
        <f t="shared" si="298"/>
        <v>162.11997707087511</v>
      </c>
      <c r="S232" s="97">
        <f t="shared" si="298"/>
        <v>162.55091896578963</v>
      </c>
      <c r="T232" s="97">
        <f t="shared" si="298"/>
        <v>169.42063729682684</v>
      </c>
      <c r="U232" s="97">
        <f t="shared" si="298"/>
        <v>181.90077591292373</v>
      </c>
      <c r="V232" s="97">
        <f t="shared" si="298"/>
        <v>172.89974818028691</v>
      </c>
      <c r="W232" s="97">
        <f t="shared" ref="W232" si="299">IF(W20=0,0,W80/W20*1000)</f>
        <v>175.7974067503495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21.536169519157362</v>
      </c>
      <c r="C233" s="130">
        <f t="shared" si="300"/>
        <v>21.974484107239114</v>
      </c>
      <c r="D233" s="130">
        <f t="shared" si="300"/>
        <v>18.87005870483063</v>
      </c>
      <c r="E233" s="130">
        <f t="shared" si="300"/>
        <v>18.357445947044564</v>
      </c>
      <c r="F233" s="130">
        <f t="shared" si="300"/>
        <v>17.7912349814879</v>
      </c>
      <c r="G233" s="130">
        <f t="shared" si="300"/>
        <v>17.581418862054356</v>
      </c>
      <c r="H233" s="130">
        <f t="shared" si="300"/>
        <v>16.340418965516616</v>
      </c>
      <c r="I233" s="130">
        <f t="shared" si="300"/>
        <v>15.28671538818886</v>
      </c>
      <c r="J233" s="130">
        <f t="shared" si="300"/>
        <v>15.090630936643713</v>
      </c>
      <c r="K233" s="130">
        <f t="shared" si="300"/>
        <v>14.268623019147803</v>
      </c>
      <c r="L233" s="130">
        <f t="shared" si="300"/>
        <v>13.282863047730887</v>
      </c>
      <c r="M233" s="130">
        <f t="shared" si="300"/>
        <v>12.183885570706632</v>
      </c>
      <c r="N233" s="130">
        <f t="shared" si="300"/>
        <v>11.659593203759179</v>
      </c>
      <c r="O233" s="130">
        <f t="shared" si="300"/>
        <v>11.451788778165884</v>
      </c>
      <c r="P233" s="130">
        <f t="shared" si="300"/>
        <v>11.211594791372898</v>
      </c>
      <c r="Q233" s="130">
        <f t="shared" si="300"/>
        <v>10.673527522881772</v>
      </c>
      <c r="R233" s="130">
        <f t="shared" si="300"/>
        <v>10.693613798433773</v>
      </c>
      <c r="S233" s="130">
        <f t="shared" si="300"/>
        <v>10.210309486305384</v>
      </c>
      <c r="T233" s="130">
        <f t="shared" si="300"/>
        <v>10.564339321015215</v>
      </c>
      <c r="U233" s="130">
        <f t="shared" si="300"/>
        <v>9.9021243082438186</v>
      </c>
      <c r="V233" s="130">
        <f t="shared" si="300"/>
        <v>9.7818062928031662</v>
      </c>
      <c r="W233" s="130">
        <f t="shared" ref="W233" si="301">IF(W21=0,0,W81/W21*1000)</f>
        <v>9.8627209658645292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304.37650558413748</v>
      </c>
      <c r="C234" s="130">
        <f t="shared" si="302"/>
        <v>289.68624191460384</v>
      </c>
      <c r="D234" s="130">
        <f t="shared" si="302"/>
        <v>307.60938294275815</v>
      </c>
      <c r="E234" s="130">
        <f t="shared" si="302"/>
        <v>289.54019551606149</v>
      </c>
      <c r="F234" s="130">
        <f t="shared" si="302"/>
        <v>309.20081397232889</v>
      </c>
      <c r="G234" s="130">
        <f t="shared" si="302"/>
        <v>309.12451502696996</v>
      </c>
      <c r="H234" s="130">
        <f t="shared" si="302"/>
        <v>325.66527916789772</v>
      </c>
      <c r="I234" s="130">
        <f t="shared" si="302"/>
        <v>324.21656592194762</v>
      </c>
      <c r="J234" s="130">
        <f t="shared" si="302"/>
        <v>465.5152977155476</v>
      </c>
      <c r="K234" s="130">
        <f t="shared" si="302"/>
        <v>363.85050775762681</v>
      </c>
      <c r="L234" s="130">
        <f t="shared" si="302"/>
        <v>323.10731902203196</v>
      </c>
      <c r="M234" s="130">
        <f t="shared" si="302"/>
        <v>307.85934213107834</v>
      </c>
      <c r="N234" s="130">
        <f t="shared" si="302"/>
        <v>132.32791324040323</v>
      </c>
      <c r="O234" s="130">
        <f t="shared" si="302"/>
        <v>206.30306950069493</v>
      </c>
      <c r="P234" s="130">
        <f t="shared" si="302"/>
        <v>203.68549950379821</v>
      </c>
      <c r="Q234" s="130">
        <f t="shared" si="302"/>
        <v>199.33485991753247</v>
      </c>
      <c r="R234" s="130">
        <f t="shared" si="302"/>
        <v>217.53089705659923</v>
      </c>
      <c r="S234" s="130">
        <f t="shared" si="302"/>
        <v>279.63235870023942</v>
      </c>
      <c r="T234" s="130">
        <f t="shared" si="302"/>
        <v>252.75527227731109</v>
      </c>
      <c r="U234" s="130">
        <f t="shared" si="302"/>
        <v>215.84800890514069</v>
      </c>
      <c r="V234" s="130">
        <f t="shared" si="302"/>
        <v>368.55569600869518</v>
      </c>
      <c r="W234" s="130">
        <f t="shared" ref="W234" si="303">IF(W22=0,0,W82/W22*1000)</f>
        <v>347.4884563816658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332.6571793488053</v>
      </c>
      <c r="C236" s="97">
        <f t="shared" si="306"/>
        <v>315.80676209840431</v>
      </c>
      <c r="D236" s="97">
        <f t="shared" si="306"/>
        <v>336.14362916511334</v>
      </c>
      <c r="E236" s="97">
        <f t="shared" si="306"/>
        <v>332.29428264622567</v>
      </c>
      <c r="F236" s="97">
        <f t="shared" si="306"/>
        <v>365.79717661570254</v>
      </c>
      <c r="G236" s="97">
        <f t="shared" si="306"/>
        <v>368.36774145812848</v>
      </c>
      <c r="H236" s="97">
        <f t="shared" si="306"/>
        <v>464.24961784558286</v>
      </c>
      <c r="I236" s="97">
        <f t="shared" si="306"/>
        <v>519.7618238030667</v>
      </c>
      <c r="J236" s="97">
        <f t="shared" si="306"/>
        <v>594.08211002192434</v>
      </c>
      <c r="K236" s="97">
        <f t="shared" si="306"/>
        <v>385.60650936518942</v>
      </c>
      <c r="L236" s="97">
        <f t="shared" si="306"/>
        <v>340.60990208463147</v>
      </c>
      <c r="M236" s="97">
        <f t="shared" si="306"/>
        <v>331.22628351693419</v>
      </c>
      <c r="N236" s="97">
        <f t="shared" si="306"/>
        <v>311.6904411335484</v>
      </c>
      <c r="O236" s="97">
        <f t="shared" si="306"/>
        <v>333.62286475043959</v>
      </c>
      <c r="P236" s="97">
        <f t="shared" si="306"/>
        <v>276.17400774673024</v>
      </c>
      <c r="Q236" s="97">
        <f t="shared" si="306"/>
        <v>268.15628894763961</v>
      </c>
      <c r="R236" s="97">
        <f t="shared" si="306"/>
        <v>277.9207701293588</v>
      </c>
      <c r="S236" s="97">
        <f t="shared" si="306"/>
        <v>321.55651105046832</v>
      </c>
      <c r="T236" s="97">
        <f t="shared" si="306"/>
        <v>320.02847778072453</v>
      </c>
      <c r="U236" s="97">
        <f t="shared" si="306"/>
        <v>301.47391743418706</v>
      </c>
      <c r="V236" s="97">
        <f t="shared" si="306"/>
        <v>539.50803520262355</v>
      </c>
      <c r="W236" s="97">
        <f t="shared" ref="W236" si="307">IF(W24=0,0,W84/W24*1000)</f>
        <v>506.32442868843998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54.566012593373756</v>
      </c>
      <c r="C237" s="97">
        <f t="shared" si="308"/>
        <v>52.280947108451485</v>
      </c>
      <c r="D237" s="97">
        <f t="shared" si="308"/>
        <v>55.213485629290226</v>
      </c>
      <c r="E237" s="97">
        <f t="shared" si="308"/>
        <v>61.270440522632519</v>
      </c>
      <c r="F237" s="97">
        <f t="shared" si="308"/>
        <v>63.045255178918168</v>
      </c>
      <c r="G237" s="97">
        <f t="shared" si="308"/>
        <v>67.830818282900239</v>
      </c>
      <c r="H237" s="97">
        <f t="shared" si="308"/>
        <v>65.399392095265441</v>
      </c>
      <c r="I237" s="97">
        <f t="shared" si="308"/>
        <v>72.818867880997516</v>
      </c>
      <c r="J237" s="97">
        <f t="shared" si="308"/>
        <v>113.11015817866014</v>
      </c>
      <c r="K237" s="97">
        <f t="shared" si="308"/>
        <v>88.735234430499276</v>
      </c>
      <c r="L237" s="97">
        <f t="shared" si="308"/>
        <v>109.77683696913873</v>
      </c>
      <c r="M237" s="97">
        <f t="shared" si="308"/>
        <v>126.67405468254547</v>
      </c>
      <c r="N237" s="97">
        <f t="shared" si="308"/>
        <v>85.885753022361968</v>
      </c>
      <c r="O237" s="97">
        <f t="shared" si="308"/>
        <v>85.914988861061545</v>
      </c>
      <c r="P237" s="97">
        <f t="shared" si="308"/>
        <v>65.396347999404625</v>
      </c>
      <c r="Q237" s="97">
        <f t="shared" si="308"/>
        <v>58.204433964790823</v>
      </c>
      <c r="R237" s="97">
        <f t="shared" si="308"/>
        <v>51.991905256059034</v>
      </c>
      <c r="S237" s="97">
        <f t="shared" si="308"/>
        <v>50.042191110156715</v>
      </c>
      <c r="T237" s="97">
        <f t="shared" si="308"/>
        <v>42.1223645019803</v>
      </c>
      <c r="U237" s="97">
        <f t="shared" si="308"/>
        <v>32.064668989473702</v>
      </c>
      <c r="V237" s="97">
        <f t="shared" si="308"/>
        <v>101.11221268951327</v>
      </c>
      <c r="W237" s="97">
        <f t="shared" ref="W237" si="309">IF(W25=0,0,W85/W25*1000)</f>
        <v>59.267923132276685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41.482962312857623</v>
      </c>
      <c r="C238" s="130">
        <f t="shared" si="310"/>
        <v>58.377688536726403</v>
      </c>
      <c r="D238" s="130">
        <f t="shared" si="310"/>
        <v>77.846216202941974</v>
      </c>
      <c r="E238" s="130">
        <f t="shared" si="310"/>
        <v>77.7744981114392</v>
      </c>
      <c r="F238" s="130">
        <f t="shared" si="310"/>
        <v>117.15459095881499</v>
      </c>
      <c r="G238" s="130">
        <f t="shared" si="310"/>
        <v>98.849601672389724</v>
      </c>
      <c r="H238" s="130">
        <f t="shared" si="310"/>
        <v>120.63154650120727</v>
      </c>
      <c r="I238" s="130">
        <f t="shared" si="310"/>
        <v>99.756296393540993</v>
      </c>
      <c r="J238" s="130">
        <f t="shared" si="310"/>
        <v>118.21872772845695</v>
      </c>
      <c r="K238" s="130">
        <f t="shared" si="310"/>
        <v>104.31118487625669</v>
      </c>
      <c r="L238" s="130">
        <f t="shared" si="310"/>
        <v>125.17377060753834</v>
      </c>
      <c r="M238" s="130">
        <f t="shared" si="310"/>
        <v>93.891420905533806</v>
      </c>
      <c r="N238" s="130">
        <f t="shared" si="310"/>
        <v>98.374430922877764</v>
      </c>
      <c r="O238" s="130">
        <f t="shared" si="310"/>
        <v>101.83939371118956</v>
      </c>
      <c r="P238" s="130">
        <f t="shared" si="310"/>
        <v>98.828330845694111</v>
      </c>
      <c r="Q238" s="130">
        <f t="shared" si="310"/>
        <v>94.186141554813474</v>
      </c>
      <c r="R238" s="130">
        <f t="shared" si="310"/>
        <v>95.092143450629877</v>
      </c>
      <c r="S238" s="130">
        <f t="shared" si="310"/>
        <v>94.814767883502242</v>
      </c>
      <c r="T238" s="130">
        <f t="shared" si="310"/>
        <v>94.438893064571246</v>
      </c>
      <c r="U238" s="130">
        <f t="shared" si="310"/>
        <v>94.782167355371882</v>
      </c>
      <c r="V238" s="130">
        <f t="shared" si="310"/>
        <v>97.17229305360533</v>
      </c>
      <c r="W238" s="130">
        <f t="shared" ref="W238" si="311">IF(W26=0,0,W86/W26*1000)</f>
        <v>94.948128388104507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41.601157408221852</v>
      </c>
      <c r="C239" s="97">
        <f t="shared" si="312"/>
        <v>58.42479534899558</v>
      </c>
      <c r="D239" s="97">
        <f t="shared" si="312"/>
        <v>77.829166312765906</v>
      </c>
      <c r="E239" s="97">
        <f t="shared" si="312"/>
        <v>77.812244459932089</v>
      </c>
      <c r="F239" s="97">
        <f t="shared" si="312"/>
        <v>116.90667879397462</v>
      </c>
      <c r="G239" s="97">
        <f t="shared" si="312"/>
        <v>98.794096293856697</v>
      </c>
      <c r="H239" s="97">
        <f t="shared" si="312"/>
        <v>120.09107690749219</v>
      </c>
      <c r="I239" s="97">
        <f t="shared" si="312"/>
        <v>97.620229115132602</v>
      </c>
      <c r="J239" s="97">
        <f t="shared" si="312"/>
        <v>114.11873737865709</v>
      </c>
      <c r="K239" s="97">
        <f t="shared" si="312"/>
        <v>103.91756770216443</v>
      </c>
      <c r="L239" s="97">
        <f t="shared" si="312"/>
        <v>124.80384546222403</v>
      </c>
      <c r="M239" s="97">
        <f t="shared" si="312"/>
        <v>93.944228964584042</v>
      </c>
      <c r="N239" s="97">
        <f t="shared" si="312"/>
        <v>98.370887007670191</v>
      </c>
      <c r="O239" s="97">
        <f t="shared" si="312"/>
        <v>101.83939371118956</v>
      </c>
      <c r="P239" s="97">
        <f t="shared" si="312"/>
        <v>98.828330845694111</v>
      </c>
      <c r="Q239" s="97">
        <f t="shared" si="312"/>
        <v>94.186141554813474</v>
      </c>
      <c r="R239" s="97">
        <f t="shared" si="312"/>
        <v>95.092143450629877</v>
      </c>
      <c r="S239" s="97">
        <f t="shared" si="312"/>
        <v>94.814767883502242</v>
      </c>
      <c r="T239" s="97">
        <f t="shared" si="312"/>
        <v>94.438893064571246</v>
      </c>
      <c r="U239" s="97">
        <f t="shared" si="312"/>
        <v>94.782167355371882</v>
      </c>
      <c r="V239" s="97">
        <f t="shared" si="312"/>
        <v>97.177916043806974</v>
      </c>
      <c r="W239" s="97">
        <f t="shared" ref="W239" si="313">IF(W27=0,0,W87/W27*1000)</f>
        <v>96.510729273842799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23.337274603350561</v>
      </c>
      <c r="C240" s="98">
        <f t="shared" si="314"/>
        <v>44.097094807572311</v>
      </c>
      <c r="D240" s="98">
        <f t="shared" si="314"/>
        <v>83.221698956336851</v>
      </c>
      <c r="E240" s="98">
        <f t="shared" si="314"/>
        <v>68.560973068679814</v>
      </c>
      <c r="F240" s="98">
        <f t="shared" si="314"/>
        <v>170.91719828766904</v>
      </c>
      <c r="G240" s="98">
        <f t="shared" si="314"/>
        <v>105.51414471052028</v>
      </c>
      <c r="H240" s="98">
        <f t="shared" si="314"/>
        <v>167.56246841103567</v>
      </c>
      <c r="I240" s="98">
        <f t="shared" si="314"/>
        <v>131.78940212073678</v>
      </c>
      <c r="J240" s="98">
        <f t="shared" si="314"/>
        <v>169.46109045198065</v>
      </c>
      <c r="K240" s="98">
        <f t="shared" si="314"/>
        <v>123.98915705492681</v>
      </c>
      <c r="L240" s="98">
        <f t="shared" si="314"/>
        <v>143.66731508885462</v>
      </c>
      <c r="M240" s="98">
        <f t="shared" si="314"/>
        <v>90.952564405956437</v>
      </c>
      <c r="N240" s="98">
        <f t="shared" si="314"/>
        <v>98.945745493489611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29.100373672795964</v>
      </c>
      <c r="W240" s="98">
        <f t="shared" ref="W240:W243" si="315">IF(W28=0,0,W88/W28*1000)</f>
        <v>28.483420580187854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7.9071853194983523</v>
      </c>
      <c r="C241" s="32">
        <f t="shared" si="316"/>
        <v>8.0400352124867549</v>
      </c>
      <c r="D241" s="32">
        <f t="shared" si="316"/>
        <v>8.0143984414398624</v>
      </c>
      <c r="E241" s="32">
        <f t="shared" si="316"/>
        <v>8.0147912477939443</v>
      </c>
      <c r="F241" s="32">
        <f t="shared" si="316"/>
        <v>8.0166153196079577</v>
      </c>
      <c r="G241" s="32">
        <f t="shared" si="316"/>
        <v>8.6222662791405629</v>
      </c>
      <c r="H241" s="32">
        <f t="shared" si="316"/>
        <v>7.4147669189563308</v>
      </c>
      <c r="I241" s="32">
        <f t="shared" si="316"/>
        <v>5.580108830112267</v>
      </c>
      <c r="J241" s="32">
        <f t="shared" si="316"/>
        <v>3.180519031503513</v>
      </c>
      <c r="K241" s="32">
        <f t="shared" si="316"/>
        <v>4.3861447998876555</v>
      </c>
      <c r="L241" s="32">
        <f t="shared" si="316"/>
        <v>4.5265923492546838</v>
      </c>
      <c r="M241" s="32">
        <f t="shared" si="316"/>
        <v>3.8709394610338834</v>
      </c>
      <c r="N241" s="32">
        <f t="shared" si="316"/>
        <v>3.6772693648452757</v>
      </c>
      <c r="O241" s="32">
        <f t="shared" si="316"/>
        <v>2.6068683172901026</v>
      </c>
      <c r="P241" s="32">
        <f t="shared" si="316"/>
        <v>0.27592538868336941</v>
      </c>
      <c r="Q241" s="32">
        <f t="shared" si="316"/>
        <v>1.7269000639376593</v>
      </c>
      <c r="R241" s="32">
        <f t="shared" si="316"/>
        <v>3.4600326747618335</v>
      </c>
      <c r="S241" s="32">
        <f t="shared" si="316"/>
        <v>3.3833037260094034</v>
      </c>
      <c r="T241" s="32">
        <f t="shared" si="316"/>
        <v>3.8273567582881158</v>
      </c>
      <c r="U241" s="32">
        <f t="shared" si="316"/>
        <v>3.8081079864937748</v>
      </c>
      <c r="V241" s="32">
        <f t="shared" si="316"/>
        <v>3.4947844031264919</v>
      </c>
      <c r="W241" s="32">
        <f t="shared" si="315"/>
        <v>3.5871472653229697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9.655571737849268</v>
      </c>
      <c r="C242" s="97">
        <f t="shared" si="317"/>
        <v>9.9461043597990137</v>
      </c>
      <c r="D242" s="97">
        <f t="shared" si="317"/>
        <v>9.888410824648064</v>
      </c>
      <c r="E242" s="97">
        <f t="shared" si="317"/>
        <v>9.883894615550318</v>
      </c>
      <c r="F242" s="97">
        <f t="shared" si="317"/>
        <v>9.890285130261768</v>
      </c>
      <c r="G242" s="97">
        <f t="shared" si="317"/>
        <v>11.21805522161177</v>
      </c>
      <c r="H242" s="97">
        <f t="shared" si="317"/>
        <v>12.788456145700627</v>
      </c>
      <c r="I242" s="97">
        <f t="shared" si="317"/>
        <v>11.006255678841203</v>
      </c>
      <c r="J242" s="97">
        <f t="shared" si="317"/>
        <v>6.9413428702250872</v>
      </c>
      <c r="K242" s="97">
        <f t="shared" si="317"/>
        <v>10.339557946396114</v>
      </c>
      <c r="L242" s="97">
        <f t="shared" si="317"/>
        <v>10.714085198156816</v>
      </c>
      <c r="M242" s="97">
        <f t="shared" si="317"/>
        <v>8.9282584993742464</v>
      </c>
      <c r="N242" s="97">
        <f t="shared" si="317"/>
        <v>8.1889810815800637</v>
      </c>
      <c r="O242" s="97">
        <f t="shared" si="317"/>
        <v>6.0876643263314474</v>
      </c>
      <c r="P242" s="97">
        <f t="shared" si="317"/>
        <v>0.67448811709236811</v>
      </c>
      <c r="Q242" s="97">
        <f t="shared" si="317"/>
        <v>4.3926359927545704</v>
      </c>
      <c r="R242" s="97">
        <f t="shared" si="317"/>
        <v>9.1432714181435841</v>
      </c>
      <c r="S242" s="97">
        <f t="shared" si="317"/>
        <v>8.9042739441938128</v>
      </c>
      <c r="T242" s="97">
        <f t="shared" si="317"/>
        <v>9.9910416399254363</v>
      </c>
      <c r="U242" s="97">
        <f t="shared" si="317"/>
        <v>9.9375593796819555</v>
      </c>
      <c r="V242" s="97">
        <f t="shared" si="317"/>
        <v>8.0331142562971234</v>
      </c>
      <c r="W242" s="97">
        <f t="shared" si="315"/>
        <v>9.0637677407832413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6.7536917811695458</v>
      </c>
      <c r="C243" s="98">
        <f t="shared" si="318"/>
        <v>6.8094047415164756</v>
      </c>
      <c r="D243" s="98">
        <f t="shared" si="318"/>
        <v>6.8051444279906015</v>
      </c>
      <c r="E243" s="98">
        <f t="shared" si="318"/>
        <v>6.8048736798618625</v>
      </c>
      <c r="F243" s="98">
        <f t="shared" si="318"/>
        <v>6.8043255204351238</v>
      </c>
      <c r="G243" s="98">
        <f t="shared" si="318"/>
        <v>7.0582240441203856</v>
      </c>
      <c r="H243" s="98">
        <f t="shared" si="318"/>
        <v>5.7351576479251252</v>
      </c>
      <c r="I243" s="98">
        <f t="shared" si="318"/>
        <v>4.3871054760364094</v>
      </c>
      <c r="J243" s="98">
        <f t="shared" si="318"/>
        <v>2.4976920372483611</v>
      </c>
      <c r="K243" s="98">
        <f t="shared" si="318"/>
        <v>3.497956753275679</v>
      </c>
      <c r="L243" s="98">
        <f t="shared" si="318"/>
        <v>3.5900972623366689</v>
      </c>
      <c r="M243" s="98">
        <f t="shared" si="318"/>
        <v>3.0326624172797527</v>
      </c>
      <c r="N243" s="98">
        <f t="shared" si="318"/>
        <v>2.8719580720155742</v>
      </c>
      <c r="O243" s="98">
        <f t="shared" si="318"/>
        <v>2.0721086350918405</v>
      </c>
      <c r="P243" s="98">
        <f t="shared" si="318"/>
        <v>0.22113407198582188</v>
      </c>
      <c r="Q243" s="98">
        <f t="shared" si="318"/>
        <v>1.3998666337739218</v>
      </c>
      <c r="R243" s="98">
        <f t="shared" si="318"/>
        <v>2.8471737031890711</v>
      </c>
      <c r="S243" s="98">
        <f t="shared" si="318"/>
        <v>2.7844591124471179</v>
      </c>
      <c r="T243" s="98">
        <f t="shared" si="318"/>
        <v>3.1427244130245979</v>
      </c>
      <c r="U243" s="98">
        <f t="shared" si="318"/>
        <v>3.1115179059323399</v>
      </c>
      <c r="V243" s="98">
        <f t="shared" si="318"/>
        <v>2.9877009172700233</v>
      </c>
      <c r="W243" s="98">
        <f t="shared" si="315"/>
        <v>3.0756888132005344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28819.644401633152</v>
      </c>
      <c r="C4" s="29">
        <f t="shared" si="0"/>
        <v>28898.475243934754</v>
      </c>
      <c r="D4" s="29">
        <f t="shared" si="0"/>
        <v>29080.636237266208</v>
      </c>
      <c r="E4" s="29">
        <f t="shared" si="0"/>
        <v>32056.874709931191</v>
      </c>
      <c r="F4" s="29">
        <f t="shared" si="0"/>
        <v>34621.787937396017</v>
      </c>
      <c r="G4" s="29">
        <f t="shared" si="0"/>
        <v>38555.105980960579</v>
      </c>
      <c r="H4" s="29">
        <f t="shared" si="0"/>
        <v>43243.282519118598</v>
      </c>
      <c r="I4" s="29">
        <f t="shared" si="0"/>
        <v>42824.458653500405</v>
      </c>
      <c r="J4" s="29">
        <f t="shared" si="0"/>
        <v>41511.693324925152</v>
      </c>
      <c r="K4" s="29">
        <f t="shared" si="0"/>
        <v>38936.47963904772</v>
      </c>
      <c r="L4" s="29">
        <f t="shared" ref="L4" si="1">L5+L6+L13</f>
        <v>35367.833639474149</v>
      </c>
      <c r="M4" s="29">
        <f t="shared" ref="M4:V4" si="2">M5+M6+M13</f>
        <v>32761.02988012596</v>
      </c>
      <c r="N4" s="29">
        <f t="shared" si="2"/>
        <v>37029.603847710649</v>
      </c>
      <c r="O4" s="29">
        <f t="shared" si="2"/>
        <v>36275.123298868086</v>
      </c>
      <c r="P4" s="29">
        <f t="shared" si="2"/>
        <v>27409.213566373073</v>
      </c>
      <c r="Q4" s="29">
        <f t="shared" si="2"/>
        <v>27710.849068679407</v>
      </c>
      <c r="R4" s="29">
        <f t="shared" si="2"/>
        <v>28593.061689863331</v>
      </c>
      <c r="S4" s="29">
        <f t="shared" si="2"/>
        <v>34202.825552398353</v>
      </c>
      <c r="T4" s="29">
        <f t="shared" si="2"/>
        <v>33057.013900125618</v>
      </c>
      <c r="U4" s="29">
        <f t="shared" si="2"/>
        <v>34407.952895953305</v>
      </c>
      <c r="V4" s="29">
        <f t="shared" si="2"/>
        <v>30164.827410190625</v>
      </c>
      <c r="W4" s="29">
        <f t="shared" ref="W4" si="3">W5+W6+W13</f>
        <v>32419.092914723667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64.64440163315011</v>
      </c>
      <c r="C5" s="152">
        <f t="shared" si="4"/>
        <v>65.475243934753223</v>
      </c>
      <c r="D5" s="152">
        <f t="shared" si="4"/>
        <v>67.636237266206194</v>
      </c>
      <c r="E5" s="152">
        <f t="shared" si="4"/>
        <v>69.874709931191873</v>
      </c>
      <c r="F5" s="152">
        <f t="shared" si="4"/>
        <v>72.787937396019785</v>
      </c>
      <c r="G5" s="152">
        <f t="shared" si="4"/>
        <v>71.105980960578876</v>
      </c>
      <c r="H5" s="152">
        <f t="shared" si="4"/>
        <v>75.282519118601513</v>
      </c>
      <c r="I5" s="152">
        <f t="shared" si="4"/>
        <v>85.358653500406049</v>
      </c>
      <c r="J5" s="152">
        <f t="shared" si="4"/>
        <v>99.493324925154084</v>
      </c>
      <c r="K5" s="152">
        <f t="shared" si="4"/>
        <v>106.77963904772632</v>
      </c>
      <c r="L5" s="152">
        <f t="shared" ref="L5:L7" si="5">IF(L32=0,0,L32*L142)</f>
        <v>105.23363947414653</v>
      </c>
      <c r="M5" s="152">
        <f t="shared" ref="M5:V5" si="6">IF(M32=0,0,M32*M142)</f>
        <v>105.0298801259604</v>
      </c>
      <c r="N5" s="152">
        <f t="shared" si="6"/>
        <v>103.60384771064822</v>
      </c>
      <c r="O5" s="152">
        <f t="shared" si="6"/>
        <v>103.12329886808226</v>
      </c>
      <c r="P5" s="152">
        <f t="shared" si="6"/>
        <v>99.913566373071106</v>
      </c>
      <c r="Q5" s="152">
        <f t="shared" si="6"/>
        <v>100.30606867940423</v>
      </c>
      <c r="R5" s="152">
        <f t="shared" si="6"/>
        <v>107.76168986333286</v>
      </c>
      <c r="S5" s="152">
        <f t="shared" si="6"/>
        <v>102.82555239835889</v>
      </c>
      <c r="T5" s="152">
        <f t="shared" si="6"/>
        <v>99.013900125615663</v>
      </c>
      <c r="U5" s="152">
        <f t="shared" si="6"/>
        <v>106.07985940739611</v>
      </c>
      <c r="V5" s="152">
        <f t="shared" si="6"/>
        <v>96.614896430805942</v>
      </c>
      <c r="W5" s="152">
        <f t="shared" ref="W5" si="7">IF(W32=0,0,W32*W142)</f>
        <v>102.19708643796912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26000</v>
      </c>
      <c r="C6" s="116">
        <f t="shared" si="8"/>
        <v>26000</v>
      </c>
      <c r="D6" s="116">
        <f t="shared" si="8"/>
        <v>26000</v>
      </c>
      <c r="E6" s="116">
        <f t="shared" si="8"/>
        <v>29000</v>
      </c>
      <c r="F6" s="116">
        <f t="shared" si="8"/>
        <v>31000</v>
      </c>
      <c r="G6" s="116">
        <f t="shared" si="8"/>
        <v>34793</v>
      </c>
      <c r="H6" s="116">
        <f t="shared" si="8"/>
        <v>39472</v>
      </c>
      <c r="I6" s="116">
        <f t="shared" si="8"/>
        <v>39119</v>
      </c>
      <c r="J6" s="116">
        <f t="shared" si="8"/>
        <v>37991</v>
      </c>
      <c r="K6" s="116">
        <f t="shared" si="8"/>
        <v>36055</v>
      </c>
      <c r="L6" s="116">
        <f t="shared" ref="L6" si="9">SUM(L7:L12)</f>
        <v>32569</v>
      </c>
      <c r="M6" s="116">
        <f t="shared" ref="M6:V6" si="10">SUM(M7:M12)</f>
        <v>29908</v>
      </c>
      <c r="N6" s="116">
        <f t="shared" si="10"/>
        <v>34191</v>
      </c>
      <c r="O6" s="116">
        <f t="shared" si="10"/>
        <v>33325</v>
      </c>
      <c r="P6" s="116">
        <f t="shared" si="10"/>
        <v>24336.000000000004</v>
      </c>
      <c r="Q6" s="116">
        <f t="shared" si="10"/>
        <v>24865</v>
      </c>
      <c r="R6" s="116">
        <f t="shared" si="10"/>
        <v>25854</v>
      </c>
      <c r="S6" s="116">
        <f t="shared" si="10"/>
        <v>31361</v>
      </c>
      <c r="T6" s="116">
        <f t="shared" si="10"/>
        <v>30119</v>
      </c>
      <c r="U6" s="116">
        <f t="shared" si="10"/>
        <v>31400.873036545909</v>
      </c>
      <c r="V6" s="116">
        <f t="shared" si="10"/>
        <v>28535.21251375982</v>
      </c>
      <c r="W6" s="116">
        <f t="shared" ref="W6" si="11">SUM(W7:W12)</f>
        <v>30866.895828285698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12911.10889825201</v>
      </c>
      <c r="C7" s="87">
        <f t="shared" si="12"/>
        <v>11927.604344919679</v>
      </c>
      <c r="D7" s="87">
        <f t="shared" si="12"/>
        <v>10961.717779254916</v>
      </c>
      <c r="E7" s="87">
        <f t="shared" si="12"/>
        <v>11063.034264910213</v>
      </c>
      <c r="F7" s="87">
        <f t="shared" si="12"/>
        <v>10232.343064570116</v>
      </c>
      <c r="G7" s="87">
        <f t="shared" si="12"/>
        <v>10563.710488776227</v>
      </c>
      <c r="H7" s="87">
        <f t="shared" si="12"/>
        <v>11200.830579062806</v>
      </c>
      <c r="I7" s="87">
        <f t="shared" si="12"/>
        <v>11952.076764375965</v>
      </c>
      <c r="J7" s="87">
        <f t="shared" si="12"/>
        <v>11691.222867678222</v>
      </c>
      <c r="K7" s="87">
        <f t="shared" si="12"/>
        <v>10126.538510822842</v>
      </c>
      <c r="L7" s="87">
        <f t="shared" si="5"/>
        <v>7171.5137541133681</v>
      </c>
      <c r="M7" s="87">
        <f t="shared" ref="M7:V7" si="13">IF(M34=0,0,M34*M144)</f>
        <v>6296.3216890144249</v>
      </c>
      <c r="N7" s="87">
        <f t="shared" si="13"/>
        <v>5588.9169053675932</v>
      </c>
      <c r="O7" s="87">
        <f t="shared" si="13"/>
        <v>4966.6762052612457</v>
      </c>
      <c r="P7" s="87">
        <f t="shared" si="13"/>
        <v>3792.3779186116758</v>
      </c>
      <c r="Q7" s="87">
        <f t="shared" si="13"/>
        <v>3657.372586822949</v>
      </c>
      <c r="R7" s="87">
        <f t="shared" si="13"/>
        <v>3418.6993612092306</v>
      </c>
      <c r="S7" s="87">
        <f t="shared" si="13"/>
        <v>4073.686678728393</v>
      </c>
      <c r="T7" s="87">
        <f t="shared" si="13"/>
        <v>4164.7670215291546</v>
      </c>
      <c r="U7" s="87">
        <f t="shared" si="13"/>
        <v>4569.0434290587527</v>
      </c>
      <c r="V7" s="87">
        <f t="shared" si="13"/>
        <v>4389.4729333034329</v>
      </c>
      <c r="W7" s="87">
        <f t="shared" ref="W7" si="14">IF(W34=0,0,W34*W144)</f>
        <v>4884.7134127268091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8080.4198062564856</v>
      </c>
      <c r="C8" s="87">
        <f t="shared" si="15"/>
        <v>9331.3795902304737</v>
      </c>
      <c r="D8" s="87">
        <f t="shared" si="15"/>
        <v>9662.5461591891235</v>
      </c>
      <c r="E8" s="87">
        <f t="shared" si="15"/>
        <v>12014.894524019335</v>
      </c>
      <c r="F8" s="87">
        <f t="shared" si="15"/>
        <v>13498.909296158108</v>
      </c>
      <c r="G8" s="87">
        <f t="shared" si="15"/>
        <v>17441.997645452062</v>
      </c>
      <c r="H8" s="87">
        <f t="shared" si="15"/>
        <v>21118.807935738463</v>
      </c>
      <c r="I8" s="87">
        <f t="shared" si="15"/>
        <v>19624.128611554654</v>
      </c>
      <c r="J8" s="87">
        <f t="shared" si="15"/>
        <v>19390.714652539133</v>
      </c>
      <c r="K8" s="87">
        <f t="shared" si="15"/>
        <v>20510.716341851061</v>
      </c>
      <c r="L8" s="87">
        <f t="shared" ref="L8" si="16">IF(L35=0,0,L35*L145)</f>
        <v>20197.839632403011</v>
      </c>
      <c r="M8" s="87">
        <f t="shared" ref="M8:V8" si="17">IF(M35=0,0,M35*M145)</f>
        <v>18839.453234560642</v>
      </c>
      <c r="N8" s="87">
        <f t="shared" si="17"/>
        <v>24454.753435546598</v>
      </c>
      <c r="O8" s="87">
        <f t="shared" si="17"/>
        <v>24095.458158337206</v>
      </c>
      <c r="P8" s="87">
        <f t="shared" si="17"/>
        <v>17318.48831537721</v>
      </c>
      <c r="Q8" s="87">
        <f t="shared" si="17"/>
        <v>18268.963781134502</v>
      </c>
      <c r="R8" s="87">
        <f t="shared" si="17"/>
        <v>19735.227297856323</v>
      </c>
      <c r="S8" s="87">
        <f t="shared" si="17"/>
        <v>24421.152810762542</v>
      </c>
      <c r="T8" s="87">
        <f t="shared" si="17"/>
        <v>23453.442868727681</v>
      </c>
      <c r="U8" s="87">
        <f t="shared" si="17"/>
        <v>24323.318541816698</v>
      </c>
      <c r="V8" s="87">
        <f t="shared" si="17"/>
        <v>21918.813399829814</v>
      </c>
      <c r="W8" s="87">
        <f t="shared" ref="W8" si="18">IF(W35=0,0,W35*W145)</f>
        <v>23769.040802126372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5008.471295491504</v>
      </c>
      <c r="C9" s="87">
        <f t="shared" si="19"/>
        <v>4741.0160648498477</v>
      </c>
      <c r="D9" s="87">
        <f t="shared" si="19"/>
        <v>5375.736061555961</v>
      </c>
      <c r="E9" s="87">
        <f t="shared" si="19"/>
        <v>5922.0712110704535</v>
      </c>
      <c r="F9" s="87">
        <f t="shared" si="19"/>
        <v>7268.7476392717754</v>
      </c>
      <c r="G9" s="87">
        <f t="shared" si="19"/>
        <v>6787.2918657717119</v>
      </c>
      <c r="H9" s="87">
        <f t="shared" si="19"/>
        <v>7152.3614851987313</v>
      </c>
      <c r="I9" s="87">
        <f t="shared" si="19"/>
        <v>7542.7946240693818</v>
      </c>
      <c r="J9" s="87">
        <f t="shared" si="19"/>
        <v>6909.0624797826458</v>
      </c>
      <c r="K9" s="87">
        <f t="shared" si="19"/>
        <v>5417.745147326099</v>
      </c>
      <c r="L9" s="87">
        <f t="shared" ref="L9" si="20">IF(L36=0,0,L36*L146)</f>
        <v>5199.6466134836246</v>
      </c>
      <c r="M9" s="87">
        <f t="shared" ref="M9:V9" si="21">IF(M36=0,0,M36*M146)</f>
        <v>4772.1846764607026</v>
      </c>
      <c r="N9" s="87">
        <f t="shared" si="21"/>
        <v>4147.2764674721657</v>
      </c>
      <c r="O9" s="87">
        <f t="shared" si="21"/>
        <v>4240.1036549950586</v>
      </c>
      <c r="P9" s="87">
        <f t="shared" si="21"/>
        <v>3175.986323238456</v>
      </c>
      <c r="Q9" s="87">
        <f t="shared" si="21"/>
        <v>2872.8226433283012</v>
      </c>
      <c r="R9" s="87">
        <f t="shared" si="21"/>
        <v>2603.7050413061452</v>
      </c>
      <c r="S9" s="87">
        <f t="shared" si="21"/>
        <v>2695.7359022635565</v>
      </c>
      <c r="T9" s="87">
        <f t="shared" si="21"/>
        <v>2250.7466684494439</v>
      </c>
      <c r="U9" s="87">
        <f t="shared" si="21"/>
        <v>2143.9247414394831</v>
      </c>
      <c r="V9" s="87">
        <f t="shared" si="21"/>
        <v>1788.9805299550123</v>
      </c>
      <c r="W9" s="87">
        <f t="shared" ref="W9" si="22">IF(W36=0,0,W36*W146)</f>
        <v>1757.1459913733072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1.3141978931730086E-2</v>
      </c>
      <c r="O10" s="87">
        <f t="shared" si="25"/>
        <v>6.827357753593763E-2</v>
      </c>
      <c r="P10" s="87">
        <f t="shared" si="25"/>
        <v>0.30653797020693807</v>
      </c>
      <c r="Q10" s="87">
        <f t="shared" si="25"/>
        <v>0.41034538066671161</v>
      </c>
      <c r="R10" s="87">
        <f t="shared" si="25"/>
        <v>0.54030178070285784</v>
      </c>
      <c r="S10" s="87">
        <f t="shared" si="25"/>
        <v>0.93582659561408132</v>
      </c>
      <c r="T10" s="87">
        <f t="shared" si="25"/>
        <v>1.1202391033263619</v>
      </c>
      <c r="U10" s="87">
        <f t="shared" si="25"/>
        <v>1.1013342066649681</v>
      </c>
      <c r="V10" s="87">
        <f t="shared" si="25"/>
        <v>1.7119540512704912</v>
      </c>
      <c r="W10" s="87">
        <f t="shared" ref="W10" si="26">IF(W37=0,0,W37*W147)</f>
        <v>2.5432132203241369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22.573656013993197</v>
      </c>
      <c r="P11" s="87">
        <f t="shared" si="29"/>
        <v>47.869672066905515</v>
      </c>
      <c r="Q11" s="87">
        <f t="shared" si="29"/>
        <v>63.155212761725238</v>
      </c>
      <c r="R11" s="87">
        <f t="shared" si="29"/>
        <v>91.400325735837129</v>
      </c>
      <c r="S11" s="87">
        <f t="shared" si="29"/>
        <v>160.11748789449169</v>
      </c>
      <c r="T11" s="87">
        <f t="shared" si="29"/>
        <v>236.09547479532495</v>
      </c>
      <c r="U11" s="87">
        <f t="shared" si="29"/>
        <v>344.97499750742725</v>
      </c>
      <c r="V11" s="87">
        <f t="shared" si="29"/>
        <v>412.15582512817184</v>
      </c>
      <c r="W11" s="87">
        <f t="shared" ref="W11" si="30">IF(W38=0,0,W38*W148)</f>
        <v>387.50549073663348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4.0399964229212625E-2</v>
      </c>
      <c r="N12" s="87">
        <f t="shared" si="33"/>
        <v>4.0049634707508781E-2</v>
      </c>
      <c r="O12" s="87">
        <f t="shared" si="33"/>
        <v>0.12005181496384723</v>
      </c>
      <c r="P12" s="87">
        <f t="shared" si="33"/>
        <v>0.97123273554739487</v>
      </c>
      <c r="Q12" s="87">
        <f t="shared" si="33"/>
        <v>2.275430571856663</v>
      </c>
      <c r="R12" s="87">
        <f t="shared" si="33"/>
        <v>4.4276721117610283</v>
      </c>
      <c r="S12" s="87">
        <f t="shared" si="33"/>
        <v>9.3712937554012257</v>
      </c>
      <c r="T12" s="87">
        <f t="shared" si="33"/>
        <v>12.827727395070209</v>
      </c>
      <c r="U12" s="87">
        <f t="shared" si="33"/>
        <v>18.509992516883933</v>
      </c>
      <c r="V12" s="87">
        <f t="shared" si="33"/>
        <v>24.077871492115598</v>
      </c>
      <c r="W12" s="87">
        <f t="shared" ref="W12" si="34">IF(W39=0,0,W39*W149)</f>
        <v>65.946918102252909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2755</v>
      </c>
      <c r="C13" s="116">
        <f t="shared" si="35"/>
        <v>2833</v>
      </c>
      <c r="D13" s="116">
        <f t="shared" si="35"/>
        <v>3013</v>
      </c>
      <c r="E13" s="116">
        <f t="shared" si="35"/>
        <v>2987</v>
      </c>
      <c r="F13" s="116">
        <f t="shared" si="35"/>
        <v>3549</v>
      </c>
      <c r="G13" s="116">
        <f t="shared" si="35"/>
        <v>3690.9999999999995</v>
      </c>
      <c r="H13" s="116">
        <f t="shared" si="35"/>
        <v>3695.9999999999995</v>
      </c>
      <c r="I13" s="116">
        <f t="shared" si="35"/>
        <v>3620.1</v>
      </c>
      <c r="J13" s="116">
        <f t="shared" si="35"/>
        <v>3421.2000000000003</v>
      </c>
      <c r="K13" s="116">
        <f t="shared" si="35"/>
        <v>2774.6999999999994</v>
      </c>
      <c r="L13" s="116">
        <f t="shared" ref="L13" si="36">SUM(L14:L18)</f>
        <v>2693.5999999999995</v>
      </c>
      <c r="M13" s="116">
        <f t="shared" ref="M13:V13" si="37">SUM(M14:M18)</f>
        <v>2747.9999999999995</v>
      </c>
      <c r="N13" s="116">
        <f t="shared" si="37"/>
        <v>2735</v>
      </c>
      <c r="O13" s="116">
        <f t="shared" si="37"/>
        <v>2847</v>
      </c>
      <c r="P13" s="116">
        <f t="shared" si="37"/>
        <v>2973.2999999999997</v>
      </c>
      <c r="Q13" s="116">
        <f t="shared" si="37"/>
        <v>2745.5430000000001</v>
      </c>
      <c r="R13" s="116">
        <f t="shared" si="37"/>
        <v>2631.3000000000006</v>
      </c>
      <c r="S13" s="116">
        <f t="shared" si="37"/>
        <v>2739</v>
      </c>
      <c r="T13" s="116">
        <f t="shared" si="37"/>
        <v>2839</v>
      </c>
      <c r="U13" s="116">
        <f t="shared" si="37"/>
        <v>2901</v>
      </c>
      <c r="V13" s="116">
        <f t="shared" si="37"/>
        <v>1533</v>
      </c>
      <c r="W13" s="116">
        <f t="shared" ref="W13" si="38">SUM(W14:W18)</f>
        <v>1450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4.4769290007135911</v>
      </c>
      <c r="E14" s="101">
        <f t="shared" si="39"/>
        <v>6.8035259425151846</v>
      </c>
      <c r="F14" s="101">
        <f t="shared" si="39"/>
        <v>6.6362307294826079</v>
      </c>
      <c r="G14" s="101">
        <f t="shared" si="39"/>
        <v>6.4659745397850275</v>
      </c>
      <c r="H14" s="101">
        <f t="shared" si="39"/>
        <v>6.5528250163558681</v>
      </c>
      <c r="I14" s="101">
        <f t="shared" si="39"/>
        <v>5.4605120046793481</v>
      </c>
      <c r="J14" s="101">
        <f t="shared" si="39"/>
        <v>3.6340906097326688</v>
      </c>
      <c r="K14" s="101">
        <f t="shared" si="39"/>
        <v>3.1590831517316897</v>
      </c>
      <c r="L14" s="101">
        <f t="shared" ref="L14" si="40">IF(L41=0,0,L41*L151)</f>
        <v>3.0456124104176401</v>
      </c>
      <c r="M14" s="101">
        <f t="shared" ref="M14:V14" si="41">IF(M41=0,0,M41*M151)</f>
        <v>2.1106104850409473</v>
      </c>
      <c r="N14" s="101">
        <f t="shared" si="41"/>
        <v>1.8258680874777427</v>
      </c>
      <c r="O14" s="101">
        <f t="shared" si="41"/>
        <v>29.412914696300991</v>
      </c>
      <c r="P14" s="101">
        <f t="shared" si="41"/>
        <v>16.749368197101141</v>
      </c>
      <c r="Q14" s="101">
        <f t="shared" si="41"/>
        <v>14.131115650290193</v>
      </c>
      <c r="R14" s="101">
        <f t="shared" si="41"/>
        <v>14.318919466698063</v>
      </c>
      <c r="S14" s="101">
        <f t="shared" si="41"/>
        <v>14.571286186851735</v>
      </c>
      <c r="T14" s="101">
        <f t="shared" si="41"/>
        <v>14.003217235478148</v>
      </c>
      <c r="U14" s="101">
        <f t="shared" si="41"/>
        <v>11.850690171785605</v>
      </c>
      <c r="V14" s="101">
        <f t="shared" si="41"/>
        <v>6.5554707488807233</v>
      </c>
      <c r="W14" s="101">
        <f t="shared" ref="W14" si="42">IF(W41=0,0,W41*W151)</f>
        <v>6.0703534418511893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2755</v>
      </c>
      <c r="C15" s="101">
        <f t="shared" si="43"/>
        <v>2833</v>
      </c>
      <c r="D15" s="101">
        <f t="shared" si="43"/>
        <v>3007.3187013228635</v>
      </c>
      <c r="E15" s="101">
        <f t="shared" si="43"/>
        <v>2979.0163523771557</v>
      </c>
      <c r="F15" s="101">
        <f t="shared" si="43"/>
        <v>3522.1152109965556</v>
      </c>
      <c r="G15" s="101">
        <f t="shared" si="43"/>
        <v>3613.0458475948544</v>
      </c>
      <c r="H15" s="101">
        <f t="shared" si="43"/>
        <v>3563.7770837491435</v>
      </c>
      <c r="I15" s="101">
        <f t="shared" si="43"/>
        <v>3445.6878673035412</v>
      </c>
      <c r="J15" s="101">
        <f t="shared" si="43"/>
        <v>3243.1796683580392</v>
      </c>
      <c r="K15" s="101">
        <f t="shared" si="43"/>
        <v>2540.9807540208553</v>
      </c>
      <c r="L15" s="101">
        <f t="shared" ref="L15" si="44">IF(L42=0,0,L42*L152)</f>
        <v>2414.8029641536527</v>
      </c>
      <c r="M15" s="101">
        <f t="shared" ref="M15:V15" si="45">IF(M42=0,0,M42*M152)</f>
        <v>2426.9643772937625</v>
      </c>
      <c r="N15" s="101">
        <f t="shared" si="45"/>
        <v>2418.4713046571633</v>
      </c>
      <c r="O15" s="101">
        <f t="shared" si="45"/>
        <v>2000.0223974936205</v>
      </c>
      <c r="P15" s="101">
        <f t="shared" si="45"/>
        <v>2033.4866371971525</v>
      </c>
      <c r="Q15" s="101">
        <f t="shared" si="45"/>
        <v>1698.5237980025158</v>
      </c>
      <c r="R15" s="101">
        <f t="shared" si="45"/>
        <v>1592.3756458983751</v>
      </c>
      <c r="S15" s="101">
        <f t="shared" si="45"/>
        <v>1660.5417508496491</v>
      </c>
      <c r="T15" s="101">
        <f t="shared" si="45"/>
        <v>1740.5576339465624</v>
      </c>
      <c r="U15" s="101">
        <f t="shared" si="45"/>
        <v>1819.8114810740972</v>
      </c>
      <c r="V15" s="101">
        <f t="shared" si="45"/>
        <v>868.24952596283765</v>
      </c>
      <c r="W15" s="101">
        <f t="shared" ref="W15" si="46">IF(W42=0,0,W42*W152)</f>
        <v>723.09215567299157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1.2043696764230747</v>
      </c>
      <c r="E16" s="101">
        <f t="shared" si="47"/>
        <v>1.1801216803292449</v>
      </c>
      <c r="F16" s="101">
        <f t="shared" si="47"/>
        <v>1.3964036462854659</v>
      </c>
      <c r="G16" s="101">
        <f t="shared" si="47"/>
        <v>1.4345180776144271</v>
      </c>
      <c r="H16" s="101">
        <f t="shared" si="47"/>
        <v>1.4243517940648598</v>
      </c>
      <c r="I16" s="101">
        <f t="shared" si="47"/>
        <v>1.4104475669684948</v>
      </c>
      <c r="J16" s="101">
        <f t="shared" si="47"/>
        <v>1.3583932599585082</v>
      </c>
      <c r="K16" s="101">
        <f t="shared" si="47"/>
        <v>1.064060811316434</v>
      </c>
      <c r="L16" s="101">
        <f t="shared" ref="L16" si="48">IF(L43=0,0,L43*L153)</f>
        <v>1.0451584591157261</v>
      </c>
      <c r="M16" s="101">
        <f t="shared" ref="M16:V16" si="49">IF(M43=0,0,M43*M153)</f>
        <v>3.7495483157717491</v>
      </c>
      <c r="N16" s="101">
        <f t="shared" si="49"/>
        <v>3.8103761297903835</v>
      </c>
      <c r="O16" s="101">
        <f t="shared" si="49"/>
        <v>18.64650831249341</v>
      </c>
      <c r="P16" s="101">
        <f t="shared" si="49"/>
        <v>62.413041966387986</v>
      </c>
      <c r="Q16" s="101">
        <f t="shared" si="49"/>
        <v>54.63326427923819</v>
      </c>
      <c r="R16" s="101">
        <f t="shared" si="49"/>
        <v>55.727018986041429</v>
      </c>
      <c r="S16" s="101">
        <f t="shared" si="49"/>
        <v>60.345154598936446</v>
      </c>
      <c r="T16" s="101">
        <f t="shared" si="49"/>
        <v>65.329047234925056</v>
      </c>
      <c r="U16" s="101">
        <f t="shared" si="49"/>
        <v>75.714532160177072</v>
      </c>
      <c r="V16" s="101">
        <f t="shared" si="49"/>
        <v>38.017185001434086</v>
      </c>
      <c r="W16" s="101">
        <f t="shared" ref="W16" si="50">IF(W43=0,0,W43*W153)</f>
        <v>34.607185507836618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85.869518214816409</v>
      </c>
      <c r="L17" s="101">
        <f t="shared" ref="L17" si="52">IF(L44=0,0,L44*L154)</f>
        <v>135.85979129611152</v>
      </c>
      <c r="M17" s="101">
        <f t="shared" ref="M17:V17" si="53">IF(M44=0,0,M44*M154)</f>
        <v>179.0694833090285</v>
      </c>
      <c r="N17" s="101">
        <f t="shared" si="53"/>
        <v>176.18829260010227</v>
      </c>
      <c r="O17" s="101">
        <f t="shared" si="53"/>
        <v>256.95776321447931</v>
      </c>
      <c r="P17" s="101">
        <f t="shared" si="53"/>
        <v>315.16974503635464</v>
      </c>
      <c r="Q17" s="101">
        <f t="shared" si="53"/>
        <v>484.47128107133898</v>
      </c>
      <c r="R17" s="101">
        <f t="shared" si="53"/>
        <v>510.16079102002499</v>
      </c>
      <c r="S17" s="101">
        <f t="shared" si="53"/>
        <v>521.40158785132428</v>
      </c>
      <c r="T17" s="101">
        <f t="shared" si="53"/>
        <v>516.25353180163518</v>
      </c>
      <c r="U17" s="101">
        <f t="shared" si="53"/>
        <v>450.67477178072028</v>
      </c>
      <c r="V17" s="101">
        <f t="shared" si="53"/>
        <v>355.63004169794937</v>
      </c>
      <c r="W17" s="101">
        <f t="shared" ref="W17" si="54">IF(W44=0,0,W44*W154)</f>
        <v>395.3437224303434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18.852154627676548</v>
      </c>
      <c r="G18" s="101">
        <f t="shared" si="55"/>
        <v>70.053659787746</v>
      </c>
      <c r="H18" s="101">
        <f t="shared" si="55"/>
        <v>124.24573944043559</v>
      </c>
      <c r="I18" s="101">
        <f t="shared" si="55"/>
        <v>167.54117312481074</v>
      </c>
      <c r="J18" s="101">
        <f t="shared" si="55"/>
        <v>173.02784777227001</v>
      </c>
      <c r="K18" s="101">
        <f t="shared" si="55"/>
        <v>143.62658380128005</v>
      </c>
      <c r="L18" s="101">
        <f t="shared" ref="L18" si="56">IF(L45=0,0,L45*L155)</f>
        <v>138.84647368070245</v>
      </c>
      <c r="M18" s="101">
        <f t="shared" ref="M18:V18" si="57">IF(M45=0,0,M45*M155)</f>
        <v>136.10598059639614</v>
      </c>
      <c r="N18" s="101">
        <f t="shared" si="57"/>
        <v>134.70415852546631</v>
      </c>
      <c r="O18" s="101">
        <f t="shared" si="57"/>
        <v>541.96041628310581</v>
      </c>
      <c r="P18" s="101">
        <f t="shared" si="57"/>
        <v>545.4812076030039</v>
      </c>
      <c r="Q18" s="101">
        <f t="shared" si="57"/>
        <v>493.78354099661681</v>
      </c>
      <c r="R18" s="101">
        <f t="shared" si="57"/>
        <v>458.71762462886073</v>
      </c>
      <c r="S18" s="101">
        <f t="shared" si="57"/>
        <v>482.14022051323843</v>
      </c>
      <c r="T18" s="101">
        <f t="shared" si="57"/>
        <v>502.85656978139912</v>
      </c>
      <c r="U18" s="101">
        <f t="shared" si="57"/>
        <v>542.94852481321993</v>
      </c>
      <c r="V18" s="101">
        <f t="shared" si="57"/>
        <v>264.54777658889816</v>
      </c>
      <c r="W18" s="101">
        <f t="shared" ref="W18" si="58">IF(W45=0,0,W45*W155)</f>
        <v>290.88658294697717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3170.3548082863053</v>
      </c>
      <c r="C19" s="29">
        <f t="shared" si="59"/>
        <v>3269.2417180521697</v>
      </c>
      <c r="D19" s="29">
        <f t="shared" si="59"/>
        <v>3373.6543292066658</v>
      </c>
      <c r="E19" s="29">
        <f t="shared" si="59"/>
        <v>3846.2192960540337</v>
      </c>
      <c r="F19" s="29">
        <f t="shared" si="59"/>
        <v>4400.3986231162826</v>
      </c>
      <c r="G19" s="29">
        <f t="shared" si="59"/>
        <v>4406.0478887695526</v>
      </c>
      <c r="H19" s="29">
        <f t="shared" si="59"/>
        <v>5147.8973988135158</v>
      </c>
      <c r="I19" s="29">
        <f t="shared" si="59"/>
        <v>5936.3397112028906</v>
      </c>
      <c r="J19" s="29">
        <f t="shared" si="59"/>
        <v>5537.0768902938498</v>
      </c>
      <c r="K19" s="29">
        <f t="shared" si="59"/>
        <v>5096.6760924487089</v>
      </c>
      <c r="L19" s="29">
        <f t="shared" ref="L19" si="60">L20+L26</f>
        <v>5108.3795051096658</v>
      </c>
      <c r="M19" s="29">
        <f t="shared" ref="M19:V19" si="61">M20+M26</f>
        <v>5487.1598401323517</v>
      </c>
      <c r="N19" s="29">
        <f t="shared" si="61"/>
        <v>6089.5021847706385</v>
      </c>
      <c r="O19" s="29">
        <f t="shared" si="61"/>
        <v>6801.2451011483836</v>
      </c>
      <c r="P19" s="29">
        <f t="shared" si="61"/>
        <v>6834.2687812403055</v>
      </c>
      <c r="Q19" s="29">
        <f t="shared" si="61"/>
        <v>7402.3734282668138</v>
      </c>
      <c r="R19" s="29">
        <f t="shared" si="61"/>
        <v>7562.7306973300083</v>
      </c>
      <c r="S19" s="29">
        <f t="shared" si="61"/>
        <v>7832.0220489533949</v>
      </c>
      <c r="T19" s="29">
        <f t="shared" si="61"/>
        <v>8111.7022927630833</v>
      </c>
      <c r="U19" s="29">
        <f t="shared" si="61"/>
        <v>7955.5144688818709</v>
      </c>
      <c r="V19" s="29">
        <f t="shared" si="61"/>
        <v>8811.9077392861982</v>
      </c>
      <c r="W19" s="29">
        <f t="shared" ref="W19" si="62">W20+W26</f>
        <v>8875.6304080298869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38.337756679881863</v>
      </c>
      <c r="C20" s="152">
        <f t="shared" si="63"/>
        <v>39.448320290456635</v>
      </c>
      <c r="D20" s="152">
        <f t="shared" si="63"/>
        <v>42.938658074051723</v>
      </c>
      <c r="E20" s="152">
        <f t="shared" si="63"/>
        <v>46.26175304061438</v>
      </c>
      <c r="F20" s="152">
        <f t="shared" si="63"/>
        <v>49.39151381327828</v>
      </c>
      <c r="G20" s="152">
        <f t="shared" si="63"/>
        <v>54.69468099296143</v>
      </c>
      <c r="H20" s="152">
        <f t="shared" si="63"/>
        <v>68.986936777904731</v>
      </c>
      <c r="I20" s="152">
        <f t="shared" si="63"/>
        <v>79.208725875274013</v>
      </c>
      <c r="J20" s="152">
        <f t="shared" si="63"/>
        <v>84.093585720661522</v>
      </c>
      <c r="K20" s="152">
        <f t="shared" si="63"/>
        <v>93.732499524195319</v>
      </c>
      <c r="L20" s="152">
        <f t="shared" ref="L20" si="64">SUM(L21:L25)</f>
        <v>85.539263052798077</v>
      </c>
      <c r="M20" s="152">
        <f t="shared" ref="M20:V20" si="65">SUM(M21:M25)</f>
        <v>94.836648083696161</v>
      </c>
      <c r="N20" s="152">
        <f t="shared" si="65"/>
        <v>105.321447861628</v>
      </c>
      <c r="O20" s="152">
        <f t="shared" si="65"/>
        <v>110.20783978327152</v>
      </c>
      <c r="P20" s="152">
        <f t="shared" si="65"/>
        <v>120.39165751863615</v>
      </c>
      <c r="Q20" s="152">
        <f t="shared" si="65"/>
        <v>125.05303659512465</v>
      </c>
      <c r="R20" s="152">
        <f t="shared" si="65"/>
        <v>131.49279998554701</v>
      </c>
      <c r="S20" s="152">
        <f t="shared" si="65"/>
        <v>131.40947181039618</v>
      </c>
      <c r="T20" s="152">
        <f t="shared" si="65"/>
        <v>133.70229276308334</v>
      </c>
      <c r="U20" s="152">
        <f t="shared" si="65"/>
        <v>139.51446888187118</v>
      </c>
      <c r="V20" s="152">
        <f t="shared" si="65"/>
        <v>144.90773928619848</v>
      </c>
      <c r="W20" s="152">
        <f t="shared" ref="W20" si="66">SUM(W21:W25)</f>
        <v>150.63040802988644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4.374950536137157</v>
      </c>
      <c r="C21" s="87">
        <f t="shared" si="67"/>
        <v>4.3433662109701281</v>
      </c>
      <c r="D21" s="87">
        <f t="shared" si="67"/>
        <v>4.3218764137974599</v>
      </c>
      <c r="E21" s="87">
        <f t="shared" si="67"/>
        <v>4.3000655774952481</v>
      </c>
      <c r="F21" s="87">
        <f t="shared" si="67"/>
        <v>4.2859688426235376</v>
      </c>
      <c r="G21" s="87">
        <f t="shared" si="67"/>
        <v>4.3668518010800641</v>
      </c>
      <c r="H21" s="87">
        <f t="shared" si="67"/>
        <v>5.5480305758457495</v>
      </c>
      <c r="I21" s="87">
        <f t="shared" si="67"/>
        <v>6.4163477849466179</v>
      </c>
      <c r="J21" s="87">
        <f t="shared" si="67"/>
        <v>5.949139742976798</v>
      </c>
      <c r="K21" s="87">
        <f t="shared" si="67"/>
        <v>5.4300755832006766</v>
      </c>
      <c r="L21" s="87">
        <f t="shared" ref="L21" si="68">IF(L48=0,0,L48*L158)</f>
        <v>4.7881283776337913</v>
      </c>
      <c r="M21" s="87">
        <f t="shared" ref="M21:V21" si="69">IF(M48=0,0,M48*M158)</f>
        <v>4.150301771582356</v>
      </c>
      <c r="N21" s="87">
        <f t="shared" si="69"/>
        <v>3.5259404680140665</v>
      </c>
      <c r="O21" s="87">
        <f t="shared" si="69"/>
        <v>3.1302278205364988</v>
      </c>
      <c r="P21" s="87">
        <f t="shared" si="69"/>
        <v>2.7651887055323701</v>
      </c>
      <c r="Q21" s="87">
        <f t="shared" si="69"/>
        <v>2.354046044282855</v>
      </c>
      <c r="R21" s="87">
        <f t="shared" si="69"/>
        <v>2.1852821208346112</v>
      </c>
      <c r="S21" s="87">
        <f t="shared" si="69"/>
        <v>2.0017040514847451</v>
      </c>
      <c r="T21" s="87">
        <f t="shared" si="69"/>
        <v>1.8646873451456401</v>
      </c>
      <c r="U21" s="87">
        <f t="shared" si="69"/>
        <v>2.4612508264636528</v>
      </c>
      <c r="V21" s="87">
        <f t="shared" si="69"/>
        <v>2.2197916284488262</v>
      </c>
      <c r="W21" s="87">
        <f t="shared" ref="W21" si="70">IF(W48=0,0,W48*W158)</f>
        <v>2.0475042575441664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33.962806143744707</v>
      </c>
      <c r="C22" s="87">
        <f t="shared" si="71"/>
        <v>35.104954079486504</v>
      </c>
      <c r="D22" s="87">
        <f t="shared" si="71"/>
        <v>38.616781660254262</v>
      </c>
      <c r="E22" s="87">
        <f t="shared" si="71"/>
        <v>41.961687463119134</v>
      </c>
      <c r="F22" s="87">
        <f t="shared" si="71"/>
        <v>45.105544970654741</v>
      </c>
      <c r="G22" s="87">
        <f t="shared" si="71"/>
        <v>50.327829191881364</v>
      </c>
      <c r="H22" s="87">
        <f t="shared" si="71"/>
        <v>63.438906202058988</v>
      </c>
      <c r="I22" s="87">
        <f t="shared" si="71"/>
        <v>72.792378090327389</v>
      </c>
      <c r="J22" s="87">
        <f t="shared" si="71"/>
        <v>78.144445977684725</v>
      </c>
      <c r="K22" s="87">
        <f t="shared" si="71"/>
        <v>88.302423940994643</v>
      </c>
      <c r="L22" s="87">
        <f t="shared" ref="L22" si="72">IF(L49=0,0,L49*L159)</f>
        <v>80.75113467516428</v>
      </c>
      <c r="M22" s="87">
        <f t="shared" ref="M22:V22" si="73">IF(M49=0,0,M49*M159)</f>
        <v>90.686346312113798</v>
      </c>
      <c r="N22" s="87">
        <f t="shared" si="73"/>
        <v>101.79550739361393</v>
      </c>
      <c r="O22" s="87">
        <f t="shared" si="73"/>
        <v>107.07761196273502</v>
      </c>
      <c r="P22" s="87">
        <f t="shared" si="73"/>
        <v>117.62646881310378</v>
      </c>
      <c r="Q22" s="87">
        <f t="shared" si="73"/>
        <v>122.6989905508418</v>
      </c>
      <c r="R22" s="87">
        <f t="shared" si="73"/>
        <v>129.30751786471239</v>
      </c>
      <c r="S22" s="87">
        <f t="shared" si="73"/>
        <v>129.40776775891143</v>
      </c>
      <c r="T22" s="87">
        <f t="shared" si="73"/>
        <v>131.83760541793771</v>
      </c>
      <c r="U22" s="87">
        <f t="shared" si="73"/>
        <v>137.05321805540754</v>
      </c>
      <c r="V22" s="87">
        <f t="shared" si="73"/>
        <v>142.68794765774965</v>
      </c>
      <c r="W22" s="87">
        <f t="shared" ref="W22" si="74">IF(W49=0,0,W49*W159)</f>
        <v>148.58290377234226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0</v>
      </c>
      <c r="P25" s="87">
        <f t="shared" si="85"/>
        <v>0</v>
      </c>
      <c r="Q25" s="87">
        <f t="shared" si="85"/>
        <v>0</v>
      </c>
      <c r="R25" s="87">
        <f t="shared" si="85"/>
        <v>0</v>
      </c>
      <c r="S25" s="87">
        <f t="shared" si="85"/>
        <v>0</v>
      </c>
      <c r="T25" s="87">
        <f t="shared" si="85"/>
        <v>0</v>
      </c>
      <c r="U25" s="87">
        <f t="shared" si="85"/>
        <v>0</v>
      </c>
      <c r="V25" s="87">
        <f t="shared" si="85"/>
        <v>0</v>
      </c>
      <c r="W25" s="87">
        <f t="shared" ref="W25" si="86">IF(W52=0,0,W52*W162)</f>
        <v>0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3132.0170516064236</v>
      </c>
      <c r="C26" s="116">
        <f t="shared" si="87"/>
        <v>3229.7933977617131</v>
      </c>
      <c r="D26" s="116">
        <f t="shared" si="87"/>
        <v>3330.7156711326143</v>
      </c>
      <c r="E26" s="116">
        <f t="shared" si="87"/>
        <v>3799.9575430134196</v>
      </c>
      <c r="F26" s="116">
        <f t="shared" si="87"/>
        <v>4351.0071093030047</v>
      </c>
      <c r="G26" s="116">
        <f t="shared" si="87"/>
        <v>4351.3532077765913</v>
      </c>
      <c r="H26" s="116">
        <f t="shared" si="87"/>
        <v>5078.9104620356111</v>
      </c>
      <c r="I26" s="116">
        <f t="shared" si="87"/>
        <v>5857.1309853276171</v>
      </c>
      <c r="J26" s="116">
        <f t="shared" si="87"/>
        <v>5452.9833045731884</v>
      </c>
      <c r="K26" s="116">
        <f t="shared" si="87"/>
        <v>5002.9435929245137</v>
      </c>
      <c r="L26" s="116">
        <f t="shared" ref="L26" si="88">SUM(L27:L28)</f>
        <v>5022.8402420568682</v>
      </c>
      <c r="M26" s="116">
        <f t="shared" ref="M26:V26" si="89">SUM(M27:M28)</f>
        <v>5392.323192048656</v>
      </c>
      <c r="N26" s="116">
        <f t="shared" si="89"/>
        <v>5984.1807369090102</v>
      </c>
      <c r="O26" s="116">
        <f t="shared" si="89"/>
        <v>6691.0372613651125</v>
      </c>
      <c r="P26" s="116">
        <f t="shared" si="89"/>
        <v>6713.8771237216697</v>
      </c>
      <c r="Q26" s="116">
        <f t="shared" si="89"/>
        <v>7277.3203916716893</v>
      </c>
      <c r="R26" s="116">
        <f t="shared" si="89"/>
        <v>7431.2378973444611</v>
      </c>
      <c r="S26" s="116">
        <f t="shared" si="89"/>
        <v>7700.6125771429988</v>
      </c>
      <c r="T26" s="116">
        <f t="shared" si="89"/>
        <v>7978</v>
      </c>
      <c r="U26" s="116">
        <f t="shared" si="89"/>
        <v>7816</v>
      </c>
      <c r="V26" s="116">
        <f t="shared" si="89"/>
        <v>8667</v>
      </c>
      <c r="W26" s="116">
        <f t="shared" ref="W26" si="90">SUM(W27:W28)</f>
        <v>8725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1534</v>
      </c>
      <c r="C27" s="101">
        <f t="shared" si="91"/>
        <v>1518</v>
      </c>
      <c r="D27" s="101">
        <f t="shared" si="91"/>
        <v>1518</v>
      </c>
      <c r="E27" s="101">
        <f t="shared" si="91"/>
        <v>1958</v>
      </c>
      <c r="F27" s="101">
        <f t="shared" si="91"/>
        <v>2213</v>
      </c>
      <c r="G27" s="101">
        <f t="shared" si="91"/>
        <v>2137</v>
      </c>
      <c r="H27" s="101">
        <f t="shared" si="91"/>
        <v>2232</v>
      </c>
      <c r="I27" s="101">
        <f t="shared" si="91"/>
        <v>2704</v>
      </c>
      <c r="J27" s="101">
        <f t="shared" si="91"/>
        <v>2560</v>
      </c>
      <c r="K27" s="101">
        <f t="shared" si="91"/>
        <v>2633</v>
      </c>
      <c r="L27" s="101">
        <f t="shared" ref="L27:V27" si="92">IF(L54=0,0,L54*L164)</f>
        <v>2292</v>
      </c>
      <c r="M27" s="101">
        <f t="shared" si="92"/>
        <v>2320</v>
      </c>
      <c r="N27" s="101">
        <f t="shared" si="92"/>
        <v>2438</v>
      </c>
      <c r="O27" s="101">
        <f t="shared" si="92"/>
        <v>2540</v>
      </c>
      <c r="P27" s="101">
        <f t="shared" si="92"/>
        <v>2768</v>
      </c>
      <c r="Q27" s="101">
        <f t="shared" si="92"/>
        <v>2913</v>
      </c>
      <c r="R27" s="101">
        <f t="shared" si="92"/>
        <v>2970</v>
      </c>
      <c r="S27" s="101">
        <f t="shared" si="92"/>
        <v>3184</v>
      </c>
      <c r="T27" s="101">
        <f t="shared" si="92"/>
        <v>3642.0000000000005</v>
      </c>
      <c r="U27" s="101">
        <f t="shared" si="92"/>
        <v>3555</v>
      </c>
      <c r="V27" s="101">
        <f t="shared" si="92"/>
        <v>3994.9999999999995</v>
      </c>
      <c r="W27" s="101">
        <f t="shared" ref="W27" si="93">IF(W54=0,0,W54*W164)</f>
        <v>3862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1598.0170516064236</v>
      </c>
      <c r="C28" s="88">
        <f t="shared" si="94"/>
        <v>1711.7933977617131</v>
      </c>
      <c r="D28" s="88">
        <f t="shared" si="94"/>
        <v>1812.7156711326143</v>
      </c>
      <c r="E28" s="88">
        <f t="shared" si="94"/>
        <v>1841.9575430134196</v>
      </c>
      <c r="F28" s="88">
        <f t="shared" si="94"/>
        <v>2138.0071093030047</v>
      </c>
      <c r="G28" s="88">
        <f t="shared" si="94"/>
        <v>2214.3532077765913</v>
      </c>
      <c r="H28" s="88">
        <f t="shared" si="94"/>
        <v>2846.9104620356111</v>
      </c>
      <c r="I28" s="88">
        <f t="shared" si="94"/>
        <v>3153.1309853276171</v>
      </c>
      <c r="J28" s="88">
        <f t="shared" si="94"/>
        <v>2892.9833045731884</v>
      </c>
      <c r="K28" s="88">
        <f t="shared" si="94"/>
        <v>2369.9435929245137</v>
      </c>
      <c r="L28" s="88">
        <f t="shared" ref="L28:V28" si="95">IF(L55=0,0,L55*L165)</f>
        <v>2730.8402420568682</v>
      </c>
      <c r="M28" s="88">
        <f t="shared" si="95"/>
        <v>3072.323192048656</v>
      </c>
      <c r="N28" s="88">
        <f t="shared" si="95"/>
        <v>3546.1807369090102</v>
      </c>
      <c r="O28" s="88">
        <f t="shared" si="95"/>
        <v>4151.0372613651125</v>
      </c>
      <c r="P28" s="88">
        <f t="shared" si="95"/>
        <v>3945.8771237216697</v>
      </c>
      <c r="Q28" s="88">
        <f t="shared" si="95"/>
        <v>4364.3203916716893</v>
      </c>
      <c r="R28" s="88">
        <f t="shared" si="95"/>
        <v>4461.2378973444611</v>
      </c>
      <c r="S28" s="88">
        <f t="shared" si="95"/>
        <v>4516.6125771429988</v>
      </c>
      <c r="T28" s="88">
        <f t="shared" si="95"/>
        <v>4336</v>
      </c>
      <c r="U28" s="88">
        <f t="shared" si="95"/>
        <v>4261</v>
      </c>
      <c r="V28" s="88">
        <f t="shared" si="95"/>
        <v>4672</v>
      </c>
      <c r="W28" s="88">
        <f t="shared" ref="W28" si="96">IF(W55=0,0,W55*W165)</f>
        <v>4863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10110.777093300532</v>
      </c>
      <c r="C30" s="62">
        <f t="shared" ref="C30:V30" si="98">C31+C46</f>
        <v>10284.839572929881</v>
      </c>
      <c r="D30" s="62">
        <f t="shared" si="98"/>
        <v>10964.832106823764</v>
      </c>
      <c r="E30" s="62">
        <f t="shared" si="98"/>
        <v>12366.801426820626</v>
      </c>
      <c r="F30" s="62">
        <f t="shared" si="98"/>
        <v>13602.932493113167</v>
      </c>
      <c r="G30" s="62">
        <f t="shared" si="98"/>
        <v>15186.542528361742</v>
      </c>
      <c r="H30" s="62">
        <f t="shared" si="98"/>
        <v>17361.302528438959</v>
      </c>
      <c r="I30" s="62">
        <f t="shared" si="98"/>
        <v>18974.457506455608</v>
      </c>
      <c r="J30" s="62">
        <f t="shared" si="98"/>
        <v>18697.564749278186</v>
      </c>
      <c r="K30" s="62">
        <f t="shared" si="98"/>
        <v>17901.559186525032</v>
      </c>
      <c r="L30" s="62">
        <f t="shared" si="98"/>
        <v>17853.776312444592</v>
      </c>
      <c r="M30" s="62">
        <f t="shared" si="98"/>
        <v>16659.039608033938</v>
      </c>
      <c r="N30" s="62">
        <f t="shared" si="98"/>
        <v>19187.978622506333</v>
      </c>
      <c r="O30" s="62">
        <f t="shared" si="98"/>
        <v>18896.006318234799</v>
      </c>
      <c r="P30" s="62">
        <f t="shared" si="98"/>
        <v>18103.59133955276</v>
      </c>
      <c r="Q30" s="62">
        <f t="shared" si="98"/>
        <v>19269.720494648216</v>
      </c>
      <c r="R30" s="62">
        <f t="shared" si="98"/>
        <v>21831.438588628316</v>
      </c>
      <c r="S30" s="62">
        <f t="shared" si="98"/>
        <v>23067.731295161313</v>
      </c>
      <c r="T30" s="62">
        <f t="shared" si="98"/>
        <v>24663.267345364155</v>
      </c>
      <c r="U30" s="62">
        <f t="shared" si="98"/>
        <v>25705.141595788282</v>
      </c>
      <c r="V30" s="62">
        <f t="shared" si="98"/>
        <v>25199.739492898083</v>
      </c>
      <c r="W30" s="62">
        <f t="shared" ref="W30" si="99">W31+W46</f>
        <v>25314.405011767361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9385.769860938497</v>
      </c>
      <c r="C31" s="29">
        <f t="shared" ref="C31:V31" si="101">C32+C33+C40</f>
        <v>9548.0335629010915</v>
      </c>
      <c r="D31" s="29">
        <f t="shared" si="101"/>
        <v>10197.748536638563</v>
      </c>
      <c r="E31" s="29">
        <f t="shared" si="101"/>
        <v>11477.752235725409</v>
      </c>
      <c r="F31" s="29">
        <f t="shared" si="101"/>
        <v>12675.983599575306</v>
      </c>
      <c r="G31" s="29">
        <f t="shared" si="101"/>
        <v>14256.481754534405</v>
      </c>
      <c r="H31" s="29">
        <f t="shared" si="101"/>
        <v>16272.393254965189</v>
      </c>
      <c r="I31" s="29">
        <f t="shared" si="101"/>
        <v>17743.672887030836</v>
      </c>
      <c r="J31" s="29">
        <f t="shared" si="101"/>
        <v>17501.885226100632</v>
      </c>
      <c r="K31" s="29">
        <f t="shared" si="101"/>
        <v>16684.667595865922</v>
      </c>
      <c r="L31" s="29">
        <f t="shared" si="101"/>
        <v>16733.83247523976</v>
      </c>
      <c r="M31" s="29">
        <f t="shared" si="101"/>
        <v>15444.784280921027</v>
      </c>
      <c r="N31" s="29">
        <f t="shared" si="101"/>
        <v>17839.768028913473</v>
      </c>
      <c r="O31" s="29">
        <f t="shared" si="101"/>
        <v>17449.253669186422</v>
      </c>
      <c r="P31" s="29">
        <f t="shared" si="101"/>
        <v>16564.079882249385</v>
      </c>
      <c r="Q31" s="29">
        <f t="shared" si="101"/>
        <v>17684.908127177379</v>
      </c>
      <c r="R31" s="29">
        <f t="shared" si="101"/>
        <v>20184.16621420153</v>
      </c>
      <c r="S31" s="29">
        <f t="shared" si="101"/>
        <v>21413.501225907185</v>
      </c>
      <c r="T31" s="29">
        <f t="shared" si="101"/>
        <v>22989.897791459629</v>
      </c>
      <c r="U31" s="29">
        <f t="shared" si="101"/>
        <v>23980.582542776199</v>
      </c>
      <c r="V31" s="29">
        <f t="shared" si="101"/>
        <v>23394.201104858697</v>
      </c>
      <c r="W31" s="29">
        <f t="shared" ref="W31" si="102">W32+W33+W40</f>
        <v>23483.991269743517</v>
      </c>
      <c r="DA31" s="173" t="s">
        <v>474</v>
      </c>
    </row>
    <row r="32" spans="1:105" ht="11.45" customHeight="1" x14ac:dyDescent="0.25">
      <c r="A32" s="136" t="s">
        <v>180</v>
      </c>
      <c r="B32" s="152">
        <v>55.971734287753428</v>
      </c>
      <c r="C32" s="152">
        <v>56.692198484198776</v>
      </c>
      <c r="D32" s="152">
        <v>58.573487607038551</v>
      </c>
      <c r="E32" s="152">
        <v>60.486619148621799</v>
      </c>
      <c r="F32" s="152">
        <v>63</v>
      </c>
      <c r="G32" s="152">
        <v>61.6</v>
      </c>
      <c r="H32" s="152">
        <v>65.2</v>
      </c>
      <c r="I32" s="152">
        <v>73.808179743904304</v>
      </c>
      <c r="J32" s="152">
        <v>85.984938558137472</v>
      </c>
      <c r="K32" s="152">
        <v>92.237712775531406</v>
      </c>
      <c r="L32" s="152">
        <v>91.058695256958657</v>
      </c>
      <c r="M32" s="152">
        <v>90.962065210308282</v>
      </c>
      <c r="N32" s="152">
        <v>90.284253236006165</v>
      </c>
      <c r="O32" s="152">
        <v>89.911739066644927</v>
      </c>
      <c r="P32" s="152">
        <v>86.924481728881815</v>
      </c>
      <c r="Q32" s="152">
        <v>87.115393770485468</v>
      </c>
      <c r="R32" s="152">
        <v>93.451060344132586</v>
      </c>
      <c r="S32" s="152">
        <v>89.27723846607536</v>
      </c>
      <c r="T32" s="152">
        <v>86.055245945811961</v>
      </c>
      <c r="U32" s="152">
        <v>92.108209315787519</v>
      </c>
      <c r="V32" s="152">
        <v>83.975371190591503</v>
      </c>
      <c r="W32" s="152">
        <v>88.808883337460543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9234.341596611308</v>
      </c>
      <c r="C33" s="116">
        <f t="shared" ref="C33:V33" si="104">SUM(C34:C39)</f>
        <v>9393.1819710218679</v>
      </c>
      <c r="D33" s="116">
        <f t="shared" si="104"/>
        <v>10034.778311773873</v>
      </c>
      <c r="E33" s="116">
        <f t="shared" si="104"/>
        <v>11309.833375138453</v>
      </c>
      <c r="F33" s="116">
        <f t="shared" si="104"/>
        <v>12497.90731229326</v>
      </c>
      <c r="G33" s="116">
        <f t="shared" si="104"/>
        <v>14082.944668224362</v>
      </c>
      <c r="H33" s="116">
        <f t="shared" si="104"/>
        <v>16098.739998516732</v>
      </c>
      <c r="I33" s="116">
        <f t="shared" si="104"/>
        <v>17566.979026065092</v>
      </c>
      <c r="J33" s="116">
        <f t="shared" si="104"/>
        <v>17319.169945288111</v>
      </c>
      <c r="K33" s="116">
        <f t="shared" si="104"/>
        <v>16496.149121333114</v>
      </c>
      <c r="L33" s="116">
        <f t="shared" si="104"/>
        <v>16549.169160579524</v>
      </c>
      <c r="M33" s="116">
        <f t="shared" si="104"/>
        <v>15258.044980419822</v>
      </c>
      <c r="N33" s="116">
        <f t="shared" si="104"/>
        <v>17654.730939981855</v>
      </c>
      <c r="O33" s="116">
        <f t="shared" si="104"/>
        <v>17254.680194207122</v>
      </c>
      <c r="P33" s="116">
        <f t="shared" si="104"/>
        <v>16369.155400520502</v>
      </c>
      <c r="Q33" s="116">
        <f t="shared" si="104"/>
        <v>17481.792733406895</v>
      </c>
      <c r="R33" s="116">
        <f t="shared" si="104"/>
        <v>19977.715153857396</v>
      </c>
      <c r="S33" s="116">
        <f t="shared" si="104"/>
        <v>21208.22398744111</v>
      </c>
      <c r="T33" s="116">
        <f t="shared" si="104"/>
        <v>22784.842545513817</v>
      </c>
      <c r="U33" s="116">
        <f t="shared" si="104"/>
        <v>23755.47433346041</v>
      </c>
      <c r="V33" s="116">
        <f t="shared" si="104"/>
        <v>23208.225733668107</v>
      </c>
      <c r="W33" s="116">
        <f t="shared" ref="W33" si="105">SUM(W34:W39)</f>
        <v>23293.582386406059</v>
      </c>
      <c r="DA33" s="176" t="s">
        <v>476</v>
      </c>
    </row>
    <row r="34" spans="1:105" ht="11.45" customHeight="1" x14ac:dyDescent="0.25">
      <c r="A34" s="111" t="s">
        <v>110</v>
      </c>
      <c r="B34" s="87">
        <v>4626.9540236590046</v>
      </c>
      <c r="C34" s="87">
        <v>4360.2369120075591</v>
      </c>
      <c r="D34" s="87">
        <v>4281.2818999992714</v>
      </c>
      <c r="E34" s="87">
        <v>4376.4693770194644</v>
      </c>
      <c r="F34" s="87">
        <v>4186.7160145984426</v>
      </c>
      <c r="G34" s="87">
        <v>4358.3516853639176</v>
      </c>
      <c r="H34" s="87">
        <v>4665.7257883407192</v>
      </c>
      <c r="I34" s="87">
        <v>5471.1568860311791</v>
      </c>
      <c r="J34" s="87">
        <v>5436.280688047892</v>
      </c>
      <c r="K34" s="87">
        <v>4741.8487551565167</v>
      </c>
      <c r="L34" s="87">
        <v>3739.1172182909872</v>
      </c>
      <c r="M34" s="87">
        <v>3297.6521626479748</v>
      </c>
      <c r="N34" s="87">
        <v>2975.80996934001</v>
      </c>
      <c r="O34" s="87">
        <v>2652.781900413836</v>
      </c>
      <c r="P34" s="87">
        <v>2629.8919435677899</v>
      </c>
      <c r="Q34" s="87">
        <v>2654.0599957579684</v>
      </c>
      <c r="R34" s="87">
        <v>2730.3530922893519</v>
      </c>
      <c r="S34" s="87">
        <v>2849.3267343049552</v>
      </c>
      <c r="T34" s="87">
        <v>3258.5011110879582</v>
      </c>
      <c r="U34" s="87">
        <v>3574.1549705961943</v>
      </c>
      <c r="V34" s="87">
        <v>3690.2307661795126</v>
      </c>
      <c r="W34" s="87">
        <v>3810.1776343065567</v>
      </c>
      <c r="DA34" s="171" t="s">
        <v>477</v>
      </c>
    </row>
    <row r="35" spans="1:105" ht="11.45" customHeight="1" x14ac:dyDescent="0.25">
      <c r="A35" s="111" t="s">
        <v>111</v>
      </c>
      <c r="B35" s="87">
        <v>2773.5281431588492</v>
      </c>
      <c r="C35" s="87">
        <v>3267.1549470130149</v>
      </c>
      <c r="D35" s="87">
        <v>3614.546386385131</v>
      </c>
      <c r="E35" s="87">
        <v>4552.3601363020243</v>
      </c>
      <c r="F35" s="87">
        <v>5290.1026953646187</v>
      </c>
      <c r="G35" s="87">
        <v>6892.3768867576819</v>
      </c>
      <c r="H35" s="87">
        <v>8425.6884397585818</v>
      </c>
      <c r="I35" s="87">
        <v>8603.8571007935261</v>
      </c>
      <c r="J35" s="87">
        <v>8635.8036818999572</v>
      </c>
      <c r="K35" s="87">
        <v>9198.8708219187502</v>
      </c>
      <c r="L35" s="87">
        <v>10086.260411293913</v>
      </c>
      <c r="M35" s="87">
        <v>9450.4664036791255</v>
      </c>
      <c r="N35" s="87">
        <v>12471.188476844813</v>
      </c>
      <c r="O35" s="87">
        <v>12326.446614991013</v>
      </c>
      <c r="P35" s="87">
        <v>11502.792591398544</v>
      </c>
      <c r="Q35" s="87">
        <v>12697.623864367513</v>
      </c>
      <c r="R35" s="87">
        <v>15096.17941279522</v>
      </c>
      <c r="S35" s="87">
        <v>16360.169688258333</v>
      </c>
      <c r="T35" s="87">
        <v>17575.22034520415</v>
      </c>
      <c r="U35" s="87">
        <v>18223.757722760089</v>
      </c>
      <c r="V35" s="87">
        <v>17649.207211834953</v>
      </c>
      <c r="W35" s="87">
        <v>17757.621855711579</v>
      </c>
      <c r="DA35" s="171" t="s">
        <v>478</v>
      </c>
    </row>
    <row r="36" spans="1:105" ht="11.45" customHeight="1" x14ac:dyDescent="0.25">
      <c r="A36" s="111" t="s">
        <v>112</v>
      </c>
      <c r="B36" s="87">
        <v>1833.8594297934544</v>
      </c>
      <c r="C36" s="87">
        <v>1765.7901120012939</v>
      </c>
      <c r="D36" s="87">
        <v>2138.9500253894707</v>
      </c>
      <c r="E36" s="87">
        <v>2381.0038618169647</v>
      </c>
      <c r="F36" s="87">
        <v>3021.0886023301996</v>
      </c>
      <c r="G36" s="87">
        <v>2832.2160961027625</v>
      </c>
      <c r="H36" s="87">
        <v>3007.3257704174316</v>
      </c>
      <c r="I36" s="87">
        <v>3491.9650392403869</v>
      </c>
      <c r="J36" s="87">
        <v>3247.085575340262</v>
      </c>
      <c r="K36" s="87">
        <v>2555.4295442578468</v>
      </c>
      <c r="L36" s="87">
        <v>2723.7915309946229</v>
      </c>
      <c r="M36" s="87">
        <v>2509.9035133277312</v>
      </c>
      <c r="N36" s="87">
        <v>2207.702520345515</v>
      </c>
      <c r="O36" s="87">
        <v>2263.2967280138114</v>
      </c>
      <c r="P36" s="87">
        <v>2202.3379590805198</v>
      </c>
      <c r="Q36" s="87">
        <v>2082.2582154149304</v>
      </c>
      <c r="R36" s="87">
        <v>2074.1402618461275</v>
      </c>
      <c r="S36" s="87">
        <v>1879.4033967000237</v>
      </c>
      <c r="T36" s="87">
        <v>1755.3364249802371</v>
      </c>
      <c r="U36" s="87">
        <v>1672.0905235368482</v>
      </c>
      <c r="V36" s="87">
        <v>1500.0119138318719</v>
      </c>
      <c r="W36" s="87">
        <v>1367.0343916191109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6.9958152627313105E-3</v>
      </c>
      <c r="O37" s="87">
        <v>3.6443298848330863E-2</v>
      </c>
      <c r="P37" s="87">
        <v>0.21256395304557046</v>
      </c>
      <c r="Q37" s="87">
        <v>0.29742352596501126</v>
      </c>
      <c r="R37" s="87">
        <v>0.43041038025596634</v>
      </c>
      <c r="S37" s="87">
        <v>0.65243619786437457</v>
      </c>
      <c r="T37" s="87">
        <v>0.87366407349194375</v>
      </c>
      <c r="U37" s="87">
        <v>0.85895295418579731</v>
      </c>
      <c r="V37" s="87">
        <v>1.4354272893641009</v>
      </c>
      <c r="W37" s="87">
        <v>1.9785834270300351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12.04944170069815</v>
      </c>
      <c r="P38" s="87">
        <v>33.194474141873386</v>
      </c>
      <c r="Q38" s="87">
        <v>45.775697613906623</v>
      </c>
      <c r="R38" s="87">
        <v>72.810511385517572</v>
      </c>
      <c r="S38" s="87">
        <v>111.63013052105792</v>
      </c>
      <c r="T38" s="87">
        <v>184.12866827288883</v>
      </c>
      <c r="U38" s="87">
        <v>269.05301899824133</v>
      </c>
      <c r="V38" s="87">
        <v>345.581540824824</v>
      </c>
      <c r="W38" s="87">
        <v>301.4737166854319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2.2900764991034654E-2</v>
      </c>
      <c r="N39" s="87">
        <v>2.2977636252737934E-2</v>
      </c>
      <c r="O39" s="87">
        <v>6.9065788911738354E-2</v>
      </c>
      <c r="P39" s="87">
        <v>0.72586837872780774</v>
      </c>
      <c r="Q39" s="87">
        <v>1.7775367266106175</v>
      </c>
      <c r="R39" s="87">
        <v>3.8014651609224486</v>
      </c>
      <c r="S39" s="87">
        <v>7.0416014588769968</v>
      </c>
      <c r="T39" s="87">
        <v>10.782331895092016</v>
      </c>
      <c r="U39" s="87">
        <v>15.559144614851233</v>
      </c>
      <c r="V39" s="87">
        <v>21.758873707580012</v>
      </c>
      <c r="W39" s="87">
        <v>55.296204656349694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95.456530039435279</v>
      </c>
      <c r="C40" s="116">
        <f t="shared" ref="C40:V40" si="107">SUM(C41:C45)</f>
        <v>98.159393395024949</v>
      </c>
      <c r="D40" s="116">
        <f t="shared" si="107"/>
        <v>104.39673725765111</v>
      </c>
      <c r="E40" s="116">
        <f t="shared" si="107"/>
        <v>107.43224143833498</v>
      </c>
      <c r="F40" s="116">
        <f t="shared" si="107"/>
        <v>115.07628728204516</v>
      </c>
      <c r="G40" s="116">
        <f t="shared" si="107"/>
        <v>111.93708631004354</v>
      </c>
      <c r="H40" s="116">
        <f t="shared" si="107"/>
        <v>108.45325644845596</v>
      </c>
      <c r="I40" s="116">
        <f t="shared" si="107"/>
        <v>102.88568122184064</v>
      </c>
      <c r="J40" s="116">
        <f t="shared" si="107"/>
        <v>96.730342254384652</v>
      </c>
      <c r="K40" s="116">
        <f t="shared" si="107"/>
        <v>96.280761757275812</v>
      </c>
      <c r="L40" s="116">
        <f t="shared" si="107"/>
        <v>93.604619403279699</v>
      </c>
      <c r="M40" s="116">
        <f t="shared" si="107"/>
        <v>95.777235290898531</v>
      </c>
      <c r="N40" s="116">
        <f t="shared" si="107"/>
        <v>94.752835695613001</v>
      </c>
      <c r="O40" s="116">
        <f t="shared" si="107"/>
        <v>104.6617359126579</v>
      </c>
      <c r="P40" s="116">
        <f t="shared" si="107"/>
        <v>107.99999999999999</v>
      </c>
      <c r="Q40" s="116">
        <f t="shared" si="107"/>
        <v>115.99999999999999</v>
      </c>
      <c r="R40" s="116">
        <f t="shared" si="107"/>
        <v>113.00000000000003</v>
      </c>
      <c r="S40" s="116">
        <f t="shared" si="107"/>
        <v>115.99999999999999</v>
      </c>
      <c r="T40" s="116">
        <f t="shared" si="107"/>
        <v>119</v>
      </c>
      <c r="U40" s="116">
        <f t="shared" si="107"/>
        <v>133.00000000000003</v>
      </c>
      <c r="V40" s="116">
        <f t="shared" si="107"/>
        <v>102</v>
      </c>
      <c r="W40" s="116">
        <f t="shared" ref="W40" si="108">SUM(W41:W45)</f>
        <v>101.6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0.40331219036923449</v>
      </c>
      <c r="E41" s="101">
        <v>0.61431804351441177</v>
      </c>
      <c r="F41" s="101">
        <v>0.59303284365403364</v>
      </c>
      <c r="G41" s="101">
        <v>0.58169622887031636</v>
      </c>
      <c r="H41" s="101">
        <v>0.59145643445940577</v>
      </c>
      <c r="I41" s="101">
        <v>0.49444180431363038</v>
      </c>
      <c r="J41" s="101">
        <v>0.3292324082353924</v>
      </c>
      <c r="K41" s="101">
        <v>0.29212034631236533</v>
      </c>
      <c r="L41" s="101">
        <v>0.28166925979382046</v>
      </c>
      <c r="M41" s="101">
        <v>0.19525449886308466</v>
      </c>
      <c r="N41" s="101">
        <v>0.17576671667420643</v>
      </c>
      <c r="O41" s="101">
        <v>2.8482746433158863</v>
      </c>
      <c r="P41" s="101">
        <v>1.716064105544852</v>
      </c>
      <c r="Q41" s="101">
        <v>1.5523138701989083</v>
      </c>
      <c r="R41" s="101">
        <v>1.5987909167772167</v>
      </c>
      <c r="S41" s="101">
        <v>1.6044906586179197</v>
      </c>
      <c r="T41" s="101">
        <v>1.5260991238664807</v>
      </c>
      <c r="U41" s="101">
        <v>1.4126055365058472</v>
      </c>
      <c r="V41" s="101">
        <v>0.9965668343956251</v>
      </c>
      <c r="W41" s="101">
        <v>0.92692580475815056</v>
      </c>
      <c r="DA41" s="175" t="s">
        <v>484</v>
      </c>
    </row>
    <row r="42" spans="1:105" ht="11.45" customHeight="1" x14ac:dyDescent="0.25">
      <c r="A42" s="111" t="s">
        <v>111</v>
      </c>
      <c r="B42" s="101">
        <v>95.456530039435279</v>
      </c>
      <c r="C42" s="101">
        <v>98.159393395024949</v>
      </c>
      <c r="D42" s="101">
        <v>103.95179449814789</v>
      </c>
      <c r="E42" s="101">
        <v>106.77562479191189</v>
      </c>
      <c r="F42" s="101">
        <v>113.82885500347201</v>
      </c>
      <c r="G42" s="101">
        <v>109.19484715298159</v>
      </c>
      <c r="H42" s="101">
        <v>104.18780724337599</v>
      </c>
      <c r="I42" s="101">
        <v>97.605377396796072</v>
      </c>
      <c r="J42" s="101">
        <v>91.482103856765363</v>
      </c>
      <c r="K42" s="101">
        <v>88.003496158819416</v>
      </c>
      <c r="L42" s="101">
        <v>83.758402234695581</v>
      </c>
      <c r="M42" s="101">
        <v>84.480483219472731</v>
      </c>
      <c r="N42" s="101">
        <v>83.687286782599116</v>
      </c>
      <c r="O42" s="101">
        <v>72.270775220097491</v>
      </c>
      <c r="P42" s="101">
        <v>73.101052647388457</v>
      </c>
      <c r="Q42" s="101">
        <v>71.169097429650435</v>
      </c>
      <c r="R42" s="101">
        <v>67.785194775503243</v>
      </c>
      <c r="S42" s="101">
        <v>69.724165806932561</v>
      </c>
      <c r="T42" s="101">
        <v>72.378877104186643</v>
      </c>
      <c r="U42" s="101">
        <v>82.883999935445047</v>
      </c>
      <c r="V42" s="101">
        <v>57.451274046413801</v>
      </c>
      <c r="W42" s="101">
        <v>50.415136507229313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4.1630569133979972E-2</v>
      </c>
      <c r="E43" s="101">
        <v>4.2298602908670067E-2</v>
      </c>
      <c r="F43" s="101">
        <v>4.512942327470712E-2</v>
      </c>
      <c r="G43" s="101">
        <v>4.3354551486682727E-2</v>
      </c>
      <c r="H43" s="101">
        <v>4.1641238124430442E-2</v>
      </c>
      <c r="I43" s="101">
        <v>3.9953493286112911E-2</v>
      </c>
      <c r="J43" s="101">
        <v>3.8316925361328871E-2</v>
      </c>
      <c r="K43" s="101">
        <v>3.6852334034115836E-2</v>
      </c>
      <c r="L43" s="101">
        <v>3.6251737270950053E-2</v>
      </c>
      <c r="M43" s="101">
        <v>0.13051846023565103</v>
      </c>
      <c r="N43" s="101">
        <v>0.13185190136814198</v>
      </c>
      <c r="O43" s="101">
        <v>0.67379125982822352</v>
      </c>
      <c r="P43" s="101">
        <v>2.2436631661161242</v>
      </c>
      <c r="Q43" s="101">
        <v>2.2891643396233325</v>
      </c>
      <c r="R43" s="101">
        <v>2.3722209303796786</v>
      </c>
      <c r="S43" s="101">
        <v>2.5338210031445252</v>
      </c>
      <c r="T43" s="101">
        <v>2.716625401497859</v>
      </c>
      <c r="U43" s="101">
        <v>3.4484469099911381</v>
      </c>
      <c r="V43" s="101">
        <v>2.5155622303030043</v>
      </c>
      <c r="W43" s="101">
        <v>2.4128680802583888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2.9739768018389512</v>
      </c>
      <c r="L44" s="101">
        <v>4.7123509519501479</v>
      </c>
      <c r="M44" s="101">
        <v>6.2332503193461335</v>
      </c>
      <c r="N44" s="101">
        <v>6.0967108198339455</v>
      </c>
      <c r="O44" s="101">
        <v>9.2851643909612296</v>
      </c>
      <c r="P44" s="101">
        <v>11.32991960867891</v>
      </c>
      <c r="Q44" s="101">
        <v>20.299617729808585</v>
      </c>
      <c r="R44" s="101">
        <v>21.716828359684776</v>
      </c>
      <c r="S44" s="101">
        <v>21.893030238319668</v>
      </c>
      <c r="T44" s="101">
        <v>21.467747004819973</v>
      </c>
      <c r="U44" s="101">
        <v>20.526152375482784</v>
      </c>
      <c r="V44" s="101">
        <v>23.531713377060857</v>
      </c>
      <c r="W44" s="101">
        <v>27.563993852279594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0.60927001164441086</v>
      </c>
      <c r="G45" s="101">
        <v>2.1171883767049464</v>
      </c>
      <c r="H45" s="101">
        <v>3.6323515324961382</v>
      </c>
      <c r="I45" s="101">
        <v>4.7459085274448398</v>
      </c>
      <c r="J45" s="101">
        <v>4.8806890640225582</v>
      </c>
      <c r="K45" s="101">
        <v>4.9743161162709715</v>
      </c>
      <c r="L45" s="101">
        <v>4.8159452195692127</v>
      </c>
      <c r="M45" s="101">
        <v>4.7377287929809437</v>
      </c>
      <c r="N45" s="101">
        <v>4.6612194751375933</v>
      </c>
      <c r="O45" s="101">
        <v>19.583730398455071</v>
      </c>
      <c r="P45" s="101">
        <v>19.609300472271652</v>
      </c>
      <c r="Q45" s="101">
        <v>20.689806630718731</v>
      </c>
      <c r="R45" s="101">
        <v>19.526965017655094</v>
      </c>
      <c r="S45" s="101">
        <v>20.244492292985317</v>
      </c>
      <c r="T45" s="101">
        <v>20.91065136562904</v>
      </c>
      <c r="U45" s="101">
        <v>24.72879524257522</v>
      </c>
      <c r="V45" s="101">
        <v>17.504883511826716</v>
      </c>
      <c r="W45" s="101">
        <v>20.281075755474546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725.00723236203567</v>
      </c>
      <c r="C46" s="29">
        <f t="shared" ref="C46:V46" si="110">C47+C53</f>
        <v>736.80601002878939</v>
      </c>
      <c r="D46" s="29">
        <f t="shared" si="110"/>
        <v>767.08357018520064</v>
      </c>
      <c r="E46" s="29">
        <f t="shared" si="110"/>
        <v>889.04919109521711</v>
      </c>
      <c r="F46" s="29">
        <f t="shared" si="110"/>
        <v>926.94889353786141</v>
      </c>
      <c r="G46" s="29">
        <f t="shared" si="110"/>
        <v>930.06077382733736</v>
      </c>
      <c r="H46" s="29">
        <f t="shared" si="110"/>
        <v>1088.9092734737678</v>
      </c>
      <c r="I46" s="29">
        <f t="shared" si="110"/>
        <v>1230.7846194247722</v>
      </c>
      <c r="J46" s="29">
        <f t="shared" si="110"/>
        <v>1195.6795231775532</v>
      </c>
      <c r="K46" s="29">
        <f t="shared" si="110"/>
        <v>1216.891590659111</v>
      </c>
      <c r="L46" s="29">
        <f t="shared" si="110"/>
        <v>1119.943837204831</v>
      </c>
      <c r="M46" s="29">
        <f t="shared" si="110"/>
        <v>1214.2553271129125</v>
      </c>
      <c r="N46" s="29">
        <f t="shared" si="110"/>
        <v>1348.2105935928585</v>
      </c>
      <c r="O46" s="29">
        <f t="shared" si="110"/>
        <v>1446.7526490483745</v>
      </c>
      <c r="P46" s="29">
        <f t="shared" si="110"/>
        <v>1539.5114573033757</v>
      </c>
      <c r="Q46" s="29">
        <f t="shared" si="110"/>
        <v>1584.8123674708377</v>
      </c>
      <c r="R46" s="29">
        <f t="shared" si="110"/>
        <v>1647.2723744267853</v>
      </c>
      <c r="S46" s="29">
        <f t="shared" si="110"/>
        <v>1654.2300692541303</v>
      </c>
      <c r="T46" s="29">
        <f t="shared" si="110"/>
        <v>1673.3695539045257</v>
      </c>
      <c r="U46" s="29">
        <f t="shared" si="110"/>
        <v>1724.5590530120819</v>
      </c>
      <c r="V46" s="29">
        <f t="shared" si="110"/>
        <v>1805.5383880393854</v>
      </c>
      <c r="W46" s="29">
        <f t="shared" ref="W46" si="111">W47+W53</f>
        <v>1830.4137420238428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276.82293869986535</v>
      </c>
      <c r="C47" s="152">
        <f t="shared" ref="C47:V47" si="113">SUM(C48:C52)</f>
        <v>284.04298026592625</v>
      </c>
      <c r="D47" s="152">
        <f t="shared" si="113"/>
        <v>308.0660146683627</v>
      </c>
      <c r="E47" s="152">
        <f t="shared" si="113"/>
        <v>330.82666848207322</v>
      </c>
      <c r="F47" s="152">
        <f t="shared" si="113"/>
        <v>352.15921020686415</v>
      </c>
      <c r="G47" s="152">
        <f t="shared" si="113"/>
        <v>388.88595060190676</v>
      </c>
      <c r="H47" s="152">
        <f t="shared" si="113"/>
        <v>490.8409249424999</v>
      </c>
      <c r="I47" s="152">
        <f t="shared" si="113"/>
        <v>563.40010364022953</v>
      </c>
      <c r="J47" s="152">
        <f t="shared" si="113"/>
        <v>595.78227819756739</v>
      </c>
      <c r="K47" s="152">
        <f t="shared" si="113"/>
        <v>661.3036324592457</v>
      </c>
      <c r="L47" s="152">
        <f t="shared" si="113"/>
        <v>601.34224419110421</v>
      </c>
      <c r="M47" s="152">
        <f t="shared" si="113"/>
        <v>663.87197485351976</v>
      </c>
      <c r="N47" s="152">
        <f t="shared" si="113"/>
        <v>734.46606368799632</v>
      </c>
      <c r="O47" s="152">
        <f t="shared" si="113"/>
        <v>763.46067247127894</v>
      </c>
      <c r="P47" s="152">
        <f t="shared" si="113"/>
        <v>838.41836948750688</v>
      </c>
      <c r="Q47" s="152">
        <f t="shared" si="113"/>
        <v>865.19886975179611</v>
      </c>
      <c r="R47" s="152">
        <f t="shared" si="113"/>
        <v>915.03523973794722</v>
      </c>
      <c r="S47" s="152">
        <f t="shared" si="113"/>
        <v>908.7552261115776</v>
      </c>
      <c r="T47" s="152">
        <f t="shared" si="113"/>
        <v>919.06772377838058</v>
      </c>
      <c r="U47" s="152">
        <f t="shared" si="113"/>
        <v>958.40402056651033</v>
      </c>
      <c r="V47" s="152">
        <f t="shared" si="113"/>
        <v>993.10355066918294</v>
      </c>
      <c r="W47" s="152">
        <f t="shared" ref="W47" si="114">SUM(W48:W52)</f>
        <v>1030.0653310257107</v>
      </c>
      <c r="DA47" s="174" t="s">
        <v>490</v>
      </c>
    </row>
    <row r="48" spans="1:105" ht="11.45" customHeight="1" x14ac:dyDescent="0.25">
      <c r="A48" s="111" t="s">
        <v>110</v>
      </c>
      <c r="B48" s="87">
        <v>38.541300464024872</v>
      </c>
      <c r="C48" s="87">
        <v>38.193810689249936</v>
      </c>
      <c r="D48" s="87">
        <v>37.95774120046449</v>
      </c>
      <c r="E48" s="87">
        <v>37.715564438875809</v>
      </c>
      <c r="F48" s="87">
        <v>37.538165929330781</v>
      </c>
      <c r="G48" s="87">
        <v>38.206462244304355</v>
      </c>
      <c r="H48" s="87">
        <v>48.653257972297794</v>
      </c>
      <c r="I48" s="87">
        <v>56.344634137350319</v>
      </c>
      <c r="J48" s="87">
        <v>52.267911452811539</v>
      </c>
      <c r="K48" s="87">
        <v>47.755450720207229</v>
      </c>
      <c r="L48" s="87">
        <v>41.980799598530972</v>
      </c>
      <c r="M48" s="87">
        <v>36.350262663167662</v>
      </c>
      <c r="N48" s="87">
        <v>30.850184932114548</v>
      </c>
      <c r="O48" s="87">
        <v>27.347502349040855</v>
      </c>
      <c r="P48" s="87">
        <v>24.180013410996153</v>
      </c>
      <c r="Q48" s="87">
        <v>20.512125627422471</v>
      </c>
      <c r="R48" s="87">
        <v>19.126382352854606</v>
      </c>
      <c r="S48" s="87">
        <v>17.519745789202005</v>
      </c>
      <c r="T48" s="87">
        <v>16.291559021999131</v>
      </c>
      <c r="U48" s="87">
        <v>21.468040180088515</v>
      </c>
      <c r="V48" s="87">
        <v>19.328554728154032</v>
      </c>
      <c r="W48" s="87">
        <v>17.797832273824536</v>
      </c>
      <c r="DA48" s="171" t="s">
        <v>491</v>
      </c>
    </row>
    <row r="49" spans="1:105" ht="11.45" customHeight="1" x14ac:dyDescent="0.25">
      <c r="A49" s="111" t="s">
        <v>111</v>
      </c>
      <c r="B49" s="87">
        <v>238.28163823584046</v>
      </c>
      <c r="C49" s="87">
        <v>245.84916957667633</v>
      </c>
      <c r="D49" s="87">
        <v>270.10827346789819</v>
      </c>
      <c r="E49" s="87">
        <v>293.11110404319743</v>
      </c>
      <c r="F49" s="87">
        <v>314.62104427753337</v>
      </c>
      <c r="G49" s="87">
        <v>350.67948835760239</v>
      </c>
      <c r="H49" s="87">
        <v>442.18766697020209</v>
      </c>
      <c r="I49" s="87">
        <v>507.05546950287919</v>
      </c>
      <c r="J49" s="87">
        <v>543.51436674475588</v>
      </c>
      <c r="K49" s="87">
        <v>613.54818173903845</v>
      </c>
      <c r="L49" s="87">
        <v>559.36144459257321</v>
      </c>
      <c r="M49" s="87">
        <v>627.5217121903521</v>
      </c>
      <c r="N49" s="87">
        <v>703.61587875588179</v>
      </c>
      <c r="O49" s="87">
        <v>736.1131701222381</v>
      </c>
      <c r="P49" s="87">
        <v>814.23835607651074</v>
      </c>
      <c r="Q49" s="87">
        <v>844.6867441243736</v>
      </c>
      <c r="R49" s="87">
        <v>895.90885738509257</v>
      </c>
      <c r="S49" s="87">
        <v>891.23548032237557</v>
      </c>
      <c r="T49" s="87">
        <v>902.77616475638149</v>
      </c>
      <c r="U49" s="87">
        <v>936.93598038642176</v>
      </c>
      <c r="V49" s="87">
        <v>973.77499594102892</v>
      </c>
      <c r="W49" s="87">
        <v>1012.2674987518863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87">
        <v>0</v>
      </c>
      <c r="U52" s="87">
        <v>0</v>
      </c>
      <c r="V52" s="87">
        <v>0</v>
      </c>
      <c r="W52" s="87">
        <v>0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448.18429366217032</v>
      </c>
      <c r="C53" s="116">
        <f t="shared" ref="C53:V53" si="116">SUM(C54:C55)</f>
        <v>452.7630297628632</v>
      </c>
      <c r="D53" s="116">
        <f t="shared" si="116"/>
        <v>459.017555516838</v>
      </c>
      <c r="E53" s="116">
        <f t="shared" si="116"/>
        <v>558.22252261314395</v>
      </c>
      <c r="F53" s="116">
        <f t="shared" si="116"/>
        <v>574.78968333099726</v>
      </c>
      <c r="G53" s="116">
        <f t="shared" si="116"/>
        <v>541.1748232254306</v>
      </c>
      <c r="H53" s="116">
        <f t="shared" si="116"/>
        <v>598.06834853126793</v>
      </c>
      <c r="I53" s="116">
        <f t="shared" si="116"/>
        <v>667.38451578454283</v>
      </c>
      <c r="J53" s="116">
        <f t="shared" si="116"/>
        <v>599.89724497998577</v>
      </c>
      <c r="K53" s="116">
        <f t="shared" si="116"/>
        <v>555.5879581998654</v>
      </c>
      <c r="L53" s="116">
        <f t="shared" si="116"/>
        <v>518.60159301372676</v>
      </c>
      <c r="M53" s="116">
        <f t="shared" si="116"/>
        <v>550.38335225939272</v>
      </c>
      <c r="N53" s="116">
        <f t="shared" si="116"/>
        <v>613.74452990486202</v>
      </c>
      <c r="O53" s="116">
        <f t="shared" si="116"/>
        <v>683.29197657709551</v>
      </c>
      <c r="P53" s="116">
        <f t="shared" si="116"/>
        <v>701.09308781586878</v>
      </c>
      <c r="Q53" s="116">
        <f t="shared" si="116"/>
        <v>719.61349771904156</v>
      </c>
      <c r="R53" s="116">
        <f t="shared" si="116"/>
        <v>732.23713468883807</v>
      </c>
      <c r="S53" s="116">
        <f t="shared" si="116"/>
        <v>745.4748431425528</v>
      </c>
      <c r="T53" s="116">
        <f t="shared" si="116"/>
        <v>754.30183012614521</v>
      </c>
      <c r="U53" s="116">
        <f t="shared" si="116"/>
        <v>766.15503244557158</v>
      </c>
      <c r="V53" s="116">
        <f t="shared" si="116"/>
        <v>812.43483737020244</v>
      </c>
      <c r="W53" s="116">
        <f t="shared" ref="W53" si="117">SUM(W54:W55)</f>
        <v>800.34841099813207</v>
      </c>
      <c r="DA53" s="176" t="s">
        <v>496</v>
      </c>
    </row>
    <row r="54" spans="1:105" ht="11.45" customHeight="1" x14ac:dyDescent="0.25">
      <c r="A54" s="128" t="s">
        <v>27</v>
      </c>
      <c r="B54" s="101">
        <v>336.10112359550561</v>
      </c>
      <c r="C54" s="101">
        <v>332.59550561797755</v>
      </c>
      <c r="D54" s="101">
        <v>332.59550561797755</v>
      </c>
      <c r="E54" s="101">
        <v>429</v>
      </c>
      <c r="F54" s="101">
        <v>422</v>
      </c>
      <c r="G54" s="101">
        <v>383</v>
      </c>
      <c r="H54" s="101">
        <v>396</v>
      </c>
      <c r="I54" s="101">
        <v>444</v>
      </c>
      <c r="J54" s="101">
        <v>392</v>
      </c>
      <c r="K54" s="101">
        <v>383</v>
      </c>
      <c r="L54" s="101">
        <v>326</v>
      </c>
      <c r="M54" s="101">
        <v>333</v>
      </c>
      <c r="N54" s="101">
        <v>362</v>
      </c>
      <c r="O54" s="101">
        <v>389</v>
      </c>
      <c r="P54" s="101">
        <v>422</v>
      </c>
      <c r="Q54" s="101">
        <v>408</v>
      </c>
      <c r="R54" s="101">
        <v>412</v>
      </c>
      <c r="S54" s="101">
        <v>424</v>
      </c>
      <c r="T54" s="101">
        <v>448</v>
      </c>
      <c r="U54" s="101">
        <v>464</v>
      </c>
      <c r="V54" s="101">
        <v>476</v>
      </c>
      <c r="W54" s="101">
        <v>454</v>
      </c>
      <c r="DA54" s="175" t="s">
        <v>497</v>
      </c>
    </row>
    <row r="55" spans="1:105" ht="11.45" customHeight="1" x14ac:dyDescent="0.25">
      <c r="A55" s="138" t="s">
        <v>116</v>
      </c>
      <c r="B55" s="88">
        <v>112.08317006666472</v>
      </c>
      <c r="C55" s="88">
        <v>120.16752414488568</v>
      </c>
      <c r="D55" s="88">
        <v>126.42204989886044</v>
      </c>
      <c r="E55" s="88">
        <v>129.22252261314395</v>
      </c>
      <c r="F55" s="88">
        <v>152.78968333099726</v>
      </c>
      <c r="G55" s="88">
        <v>158.17482322543057</v>
      </c>
      <c r="H55" s="88">
        <v>202.06834853126793</v>
      </c>
      <c r="I55" s="88">
        <v>223.38451578454286</v>
      </c>
      <c r="J55" s="88">
        <v>207.89724497998577</v>
      </c>
      <c r="K55" s="88">
        <v>172.58795819986545</v>
      </c>
      <c r="L55" s="88">
        <v>192.60159301372678</v>
      </c>
      <c r="M55" s="88">
        <v>217.38335225939278</v>
      </c>
      <c r="N55" s="88">
        <v>251.74452990486208</v>
      </c>
      <c r="O55" s="88">
        <v>294.29197657709557</v>
      </c>
      <c r="P55" s="88">
        <v>279.09308781586873</v>
      </c>
      <c r="Q55" s="88">
        <v>311.61349771904162</v>
      </c>
      <c r="R55" s="88">
        <v>320.23713468883801</v>
      </c>
      <c r="S55" s="88">
        <v>321.47484314255286</v>
      </c>
      <c r="T55" s="88">
        <v>306.30183012614515</v>
      </c>
      <c r="U55" s="88">
        <v>302.15503244557158</v>
      </c>
      <c r="V55" s="88">
        <v>336.43483737020244</v>
      </c>
      <c r="W55" s="88">
        <v>346.34841099813212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993875</v>
      </c>
      <c r="C57" s="54">
        <f t="shared" si="118"/>
        <v>1016184</v>
      </c>
      <c r="D57" s="54">
        <f t="shared" si="118"/>
        <v>1066931</v>
      </c>
      <c r="E57" s="54">
        <f t="shared" si="118"/>
        <v>1153446</v>
      </c>
      <c r="F57" s="54">
        <f t="shared" si="118"/>
        <v>1235831</v>
      </c>
      <c r="G57" s="54">
        <f t="shared" si="118"/>
        <v>1306851</v>
      </c>
      <c r="H57" s="54">
        <f t="shared" si="118"/>
        <v>1514997</v>
      </c>
      <c r="I57" s="54">
        <f t="shared" si="118"/>
        <v>1604605</v>
      </c>
      <c r="J57" s="54">
        <f t="shared" si="118"/>
        <v>1610738</v>
      </c>
      <c r="K57" s="54">
        <f t="shared" si="118"/>
        <v>1546986</v>
      </c>
      <c r="L57" s="54">
        <f t="shared" ref="L57" si="119">L58+L73</f>
        <v>1420380</v>
      </c>
      <c r="M57" s="54">
        <f t="shared" ref="M57:V57" si="120">M58+M73</f>
        <v>1332681</v>
      </c>
      <c r="N57" s="54">
        <f t="shared" si="120"/>
        <v>1482028</v>
      </c>
      <c r="O57" s="54">
        <f t="shared" si="120"/>
        <v>1502563</v>
      </c>
      <c r="P57" s="54">
        <f t="shared" si="120"/>
        <v>1521212</v>
      </c>
      <c r="Q57" s="54">
        <f t="shared" si="120"/>
        <v>1589675</v>
      </c>
      <c r="R57" s="54">
        <f t="shared" si="120"/>
        <v>1637540</v>
      </c>
      <c r="S57" s="54">
        <f t="shared" si="120"/>
        <v>1691374</v>
      </c>
      <c r="T57" s="54">
        <f t="shared" si="120"/>
        <v>1774544</v>
      </c>
      <c r="U57" s="54">
        <f t="shared" si="120"/>
        <v>1856997</v>
      </c>
      <c r="V57" s="54">
        <f t="shared" si="120"/>
        <v>1940108</v>
      </c>
      <c r="W57" s="54">
        <f t="shared" ref="W57" si="121">W58+W73</f>
        <v>1991452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944779</v>
      </c>
      <c r="C58" s="28">
        <f t="shared" si="122"/>
        <v>966362</v>
      </c>
      <c r="D58" s="28">
        <f t="shared" si="122"/>
        <v>1014704</v>
      </c>
      <c r="E58" s="28">
        <f t="shared" si="122"/>
        <v>1091532</v>
      </c>
      <c r="F58" s="28">
        <f t="shared" si="122"/>
        <v>1171628</v>
      </c>
      <c r="G58" s="28">
        <f t="shared" si="122"/>
        <v>1242214</v>
      </c>
      <c r="H58" s="28">
        <f t="shared" si="122"/>
        <v>1440500</v>
      </c>
      <c r="I58" s="28">
        <f t="shared" si="122"/>
        <v>1520200</v>
      </c>
      <c r="J58" s="28">
        <f t="shared" si="122"/>
        <v>1527627</v>
      </c>
      <c r="K58" s="28">
        <f t="shared" si="122"/>
        <v>1459571</v>
      </c>
      <c r="L58" s="28">
        <f t="shared" ref="L58" si="123">L59+L60+L67</f>
        <v>1339093</v>
      </c>
      <c r="M58" s="28">
        <f t="shared" ref="M58:V58" si="124">M59+M60+M67</f>
        <v>1245450</v>
      </c>
      <c r="N58" s="28">
        <f t="shared" si="124"/>
        <v>1386425</v>
      </c>
      <c r="O58" s="28">
        <f t="shared" si="124"/>
        <v>1400612</v>
      </c>
      <c r="P58" s="28">
        <f t="shared" si="124"/>
        <v>1413262</v>
      </c>
      <c r="Q58" s="28">
        <f t="shared" si="124"/>
        <v>1478537</v>
      </c>
      <c r="R58" s="28">
        <f t="shared" si="124"/>
        <v>1523848</v>
      </c>
      <c r="S58" s="28">
        <f t="shared" si="124"/>
        <v>1577395</v>
      </c>
      <c r="T58" s="28">
        <f t="shared" si="124"/>
        <v>1653924</v>
      </c>
      <c r="U58" s="28">
        <f t="shared" si="124"/>
        <v>1733669</v>
      </c>
      <c r="V58" s="28">
        <f t="shared" si="124"/>
        <v>1811256</v>
      </c>
      <c r="W58" s="28">
        <f t="shared" ref="W58" si="125">W59+W60+W67</f>
        <v>1853629</v>
      </c>
      <c r="DA58" s="173" t="s">
        <v>500</v>
      </c>
    </row>
    <row r="59" spans="1:105" ht="11.45" customHeight="1" x14ac:dyDescent="0.25">
      <c r="A59" s="136" t="s">
        <v>180</v>
      </c>
      <c r="B59" s="137">
        <v>19842</v>
      </c>
      <c r="C59" s="137">
        <v>20244</v>
      </c>
      <c r="D59" s="137">
        <v>21017</v>
      </c>
      <c r="E59" s="137">
        <v>21873</v>
      </c>
      <c r="F59" s="137">
        <v>22861</v>
      </c>
      <c r="G59" s="137">
        <v>24027</v>
      </c>
      <c r="H59" s="137">
        <v>25303</v>
      </c>
      <c r="I59" s="137">
        <v>29349</v>
      </c>
      <c r="J59" s="137">
        <v>34255</v>
      </c>
      <c r="K59" s="137">
        <v>37309</v>
      </c>
      <c r="L59" s="137">
        <v>37353</v>
      </c>
      <c r="M59" s="137">
        <v>37447</v>
      </c>
      <c r="N59" s="137">
        <v>37485</v>
      </c>
      <c r="O59" s="137">
        <v>37539</v>
      </c>
      <c r="P59" s="137">
        <v>37646</v>
      </c>
      <c r="Q59" s="137">
        <v>37753</v>
      </c>
      <c r="R59" s="137">
        <v>39713</v>
      </c>
      <c r="S59" s="137">
        <v>42100</v>
      </c>
      <c r="T59" s="137">
        <v>45267</v>
      </c>
      <c r="U59" s="137">
        <v>53154</v>
      </c>
      <c r="V59" s="137">
        <v>60911</v>
      </c>
      <c r="W59" s="137">
        <v>69494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922394</v>
      </c>
      <c r="C60" s="110">
        <f t="shared" si="126"/>
        <v>943477</v>
      </c>
      <c r="D60" s="110">
        <f t="shared" si="126"/>
        <v>990945</v>
      </c>
      <c r="E60" s="110">
        <f t="shared" si="126"/>
        <v>1066853</v>
      </c>
      <c r="F60" s="110">
        <f t="shared" si="126"/>
        <v>1145914</v>
      </c>
      <c r="G60" s="110">
        <f t="shared" si="126"/>
        <v>1215276</v>
      </c>
      <c r="H60" s="110">
        <f t="shared" si="126"/>
        <v>1412238</v>
      </c>
      <c r="I60" s="110">
        <f t="shared" si="126"/>
        <v>1487903</v>
      </c>
      <c r="J60" s="110">
        <f t="shared" si="126"/>
        <v>1490460</v>
      </c>
      <c r="K60" s="110">
        <f t="shared" si="126"/>
        <v>1419225</v>
      </c>
      <c r="L60" s="110">
        <f t="shared" ref="L60" si="127">SUM(L61:L66)</f>
        <v>1298712</v>
      </c>
      <c r="M60" s="110">
        <f t="shared" ref="M60:V60" si="128">SUM(M61:M66)</f>
        <v>1204958</v>
      </c>
      <c r="N60" s="110">
        <f t="shared" si="128"/>
        <v>1345933</v>
      </c>
      <c r="O60" s="110">
        <f t="shared" si="128"/>
        <v>1359610</v>
      </c>
      <c r="P60" s="110">
        <f t="shared" si="128"/>
        <v>1372218</v>
      </c>
      <c r="Q60" s="110">
        <f t="shared" si="128"/>
        <v>1437179</v>
      </c>
      <c r="R60" s="110">
        <f t="shared" si="128"/>
        <v>1480828</v>
      </c>
      <c r="S60" s="110">
        <f t="shared" si="128"/>
        <v>1532058</v>
      </c>
      <c r="T60" s="110">
        <f t="shared" si="128"/>
        <v>1605329</v>
      </c>
      <c r="U60" s="110">
        <f t="shared" si="128"/>
        <v>1676792</v>
      </c>
      <c r="V60" s="110">
        <f t="shared" si="128"/>
        <v>1746660</v>
      </c>
      <c r="W60" s="110">
        <f t="shared" ref="W60" si="129">SUM(W61:W66)</f>
        <v>1780513</v>
      </c>
      <c r="DA60" s="176" t="s">
        <v>502</v>
      </c>
    </row>
    <row r="61" spans="1:105" ht="11.45" customHeight="1" x14ac:dyDescent="0.25">
      <c r="A61" s="111" t="s">
        <v>110</v>
      </c>
      <c r="B61" s="84">
        <v>531462</v>
      </c>
      <c r="C61" s="84">
        <v>533888</v>
      </c>
      <c r="D61" s="84">
        <v>518112</v>
      </c>
      <c r="E61" s="84">
        <v>525520</v>
      </c>
      <c r="F61" s="84">
        <v>508676</v>
      </c>
      <c r="G61" s="84">
        <v>502545</v>
      </c>
      <c r="H61" s="84">
        <v>547488</v>
      </c>
      <c r="I61" s="84">
        <v>582096</v>
      </c>
      <c r="J61" s="84">
        <v>580392</v>
      </c>
      <c r="K61" s="84">
        <v>530711</v>
      </c>
      <c r="L61" s="84">
        <v>437251</v>
      </c>
      <c r="M61" s="84">
        <v>387618</v>
      </c>
      <c r="N61" s="84">
        <v>370100</v>
      </c>
      <c r="O61" s="84">
        <v>347712</v>
      </c>
      <c r="P61" s="84">
        <v>339187</v>
      </c>
      <c r="Q61" s="84">
        <v>330969</v>
      </c>
      <c r="R61" s="84">
        <v>327250</v>
      </c>
      <c r="S61" s="84">
        <v>333474</v>
      </c>
      <c r="T61" s="84">
        <v>351074</v>
      </c>
      <c r="U61" s="84">
        <v>373275</v>
      </c>
      <c r="V61" s="84">
        <v>397084</v>
      </c>
      <c r="W61" s="84">
        <v>410707</v>
      </c>
      <c r="DA61" s="171" t="s">
        <v>503</v>
      </c>
    </row>
    <row r="62" spans="1:105" ht="11.45" customHeight="1" x14ac:dyDescent="0.25">
      <c r="A62" s="111" t="s">
        <v>111</v>
      </c>
      <c r="B62" s="84">
        <v>215587</v>
      </c>
      <c r="C62" s="84">
        <v>224980</v>
      </c>
      <c r="D62" s="84">
        <v>253164</v>
      </c>
      <c r="E62" s="84">
        <v>289627</v>
      </c>
      <c r="F62" s="84">
        <v>335899</v>
      </c>
      <c r="G62" s="84">
        <v>458861</v>
      </c>
      <c r="H62" s="84">
        <v>563454</v>
      </c>
      <c r="I62" s="84">
        <v>577715</v>
      </c>
      <c r="J62" s="84">
        <v>598528</v>
      </c>
      <c r="K62" s="84">
        <v>598004</v>
      </c>
      <c r="L62" s="84">
        <v>598151</v>
      </c>
      <c r="M62" s="84">
        <v>582503</v>
      </c>
      <c r="N62" s="84">
        <v>754681</v>
      </c>
      <c r="O62" s="84">
        <v>788753</v>
      </c>
      <c r="P62" s="84">
        <v>822607</v>
      </c>
      <c r="Q62" s="84">
        <v>908060</v>
      </c>
      <c r="R62" s="84">
        <v>971792</v>
      </c>
      <c r="S62" s="84">
        <v>1031728</v>
      </c>
      <c r="T62" s="84">
        <v>1092561</v>
      </c>
      <c r="U62" s="84">
        <v>1140757</v>
      </c>
      <c r="V62" s="84">
        <v>1184629</v>
      </c>
      <c r="W62" s="84">
        <v>1215510</v>
      </c>
      <c r="DA62" s="171" t="s">
        <v>504</v>
      </c>
    </row>
    <row r="63" spans="1:105" ht="11.45" customHeight="1" x14ac:dyDescent="0.25">
      <c r="A63" s="111" t="s">
        <v>112</v>
      </c>
      <c r="B63" s="84">
        <v>175345</v>
      </c>
      <c r="C63" s="84">
        <v>184609</v>
      </c>
      <c r="D63" s="84">
        <v>219669</v>
      </c>
      <c r="E63" s="84">
        <v>251706</v>
      </c>
      <c r="F63" s="84">
        <v>301339</v>
      </c>
      <c r="G63" s="84">
        <v>253870</v>
      </c>
      <c r="H63" s="84">
        <v>301296</v>
      </c>
      <c r="I63" s="84">
        <v>328092</v>
      </c>
      <c r="J63" s="84">
        <v>311540</v>
      </c>
      <c r="K63" s="84">
        <v>290510</v>
      </c>
      <c r="L63" s="84">
        <v>263310</v>
      </c>
      <c r="M63" s="84">
        <v>234835</v>
      </c>
      <c r="N63" s="84">
        <v>221149</v>
      </c>
      <c r="O63" s="84">
        <v>222005</v>
      </c>
      <c r="P63" s="84">
        <v>207406</v>
      </c>
      <c r="Q63" s="84">
        <v>194043</v>
      </c>
      <c r="R63" s="84">
        <v>175744</v>
      </c>
      <c r="S63" s="84">
        <v>157579</v>
      </c>
      <c r="T63" s="84">
        <v>146545</v>
      </c>
      <c r="U63" s="84">
        <v>140332</v>
      </c>
      <c r="V63" s="84">
        <v>133651</v>
      </c>
      <c r="W63" s="84">
        <v>122985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1</v>
      </c>
      <c r="O64" s="84">
        <v>5</v>
      </c>
      <c r="P64" s="84">
        <v>28</v>
      </c>
      <c r="Q64" s="84">
        <v>38</v>
      </c>
      <c r="R64" s="84">
        <v>50</v>
      </c>
      <c r="S64" s="84">
        <v>75</v>
      </c>
      <c r="T64" s="84">
        <v>100</v>
      </c>
      <c r="U64" s="84">
        <v>100</v>
      </c>
      <c r="V64" s="84">
        <v>181</v>
      </c>
      <c r="W64" s="84">
        <v>257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1129</v>
      </c>
      <c r="P65" s="84">
        <v>2927</v>
      </c>
      <c r="Q65" s="84">
        <v>3915</v>
      </c>
      <c r="R65" s="84">
        <v>5662</v>
      </c>
      <c r="S65" s="84">
        <v>8590</v>
      </c>
      <c r="T65" s="84">
        <v>14108</v>
      </c>
      <c r="U65" s="84">
        <v>20968</v>
      </c>
      <c r="V65" s="84">
        <v>29170</v>
      </c>
      <c r="W65" s="84">
        <v>26213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2</v>
      </c>
      <c r="N66" s="84">
        <v>2</v>
      </c>
      <c r="O66" s="84">
        <v>6</v>
      </c>
      <c r="P66" s="84">
        <v>63</v>
      </c>
      <c r="Q66" s="84">
        <v>154</v>
      </c>
      <c r="R66" s="84">
        <v>330</v>
      </c>
      <c r="S66" s="84">
        <v>612</v>
      </c>
      <c r="T66" s="84">
        <v>941</v>
      </c>
      <c r="U66" s="84">
        <v>1360</v>
      </c>
      <c r="V66" s="84">
        <v>1945</v>
      </c>
      <c r="W66" s="84">
        <v>4841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2543</v>
      </c>
      <c r="C67" s="110">
        <f t="shared" si="130"/>
        <v>2641</v>
      </c>
      <c r="D67" s="110">
        <f t="shared" si="130"/>
        <v>2742</v>
      </c>
      <c r="E67" s="110">
        <f t="shared" si="130"/>
        <v>2806</v>
      </c>
      <c r="F67" s="110">
        <f t="shared" si="130"/>
        <v>2853</v>
      </c>
      <c r="G67" s="110">
        <f t="shared" si="130"/>
        <v>2911</v>
      </c>
      <c r="H67" s="110">
        <f t="shared" si="130"/>
        <v>2959</v>
      </c>
      <c r="I67" s="110">
        <f t="shared" si="130"/>
        <v>2948</v>
      </c>
      <c r="J67" s="110">
        <f t="shared" si="130"/>
        <v>2912</v>
      </c>
      <c r="K67" s="110">
        <f t="shared" si="130"/>
        <v>3037</v>
      </c>
      <c r="L67" s="110">
        <f t="shared" ref="L67" si="131">SUM(L68:L72)</f>
        <v>3028</v>
      </c>
      <c r="M67" s="110">
        <f t="shared" ref="M67:V67" si="132">SUM(M68:M72)</f>
        <v>3045</v>
      </c>
      <c r="N67" s="110">
        <f t="shared" si="132"/>
        <v>3007</v>
      </c>
      <c r="O67" s="110">
        <f t="shared" si="132"/>
        <v>3463</v>
      </c>
      <c r="P67" s="110">
        <f t="shared" si="132"/>
        <v>3398</v>
      </c>
      <c r="Q67" s="110">
        <f t="shared" si="132"/>
        <v>3605</v>
      </c>
      <c r="R67" s="110">
        <f t="shared" si="132"/>
        <v>3307</v>
      </c>
      <c r="S67" s="110">
        <f t="shared" si="132"/>
        <v>3237</v>
      </c>
      <c r="T67" s="110">
        <f t="shared" si="132"/>
        <v>3328</v>
      </c>
      <c r="U67" s="110">
        <f t="shared" si="132"/>
        <v>3723</v>
      </c>
      <c r="V67" s="110">
        <f t="shared" si="132"/>
        <v>3685</v>
      </c>
      <c r="W67" s="110">
        <f t="shared" ref="W67" si="133">SUM(W68:W72)</f>
        <v>3622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17</v>
      </c>
      <c r="E68" s="102">
        <v>26</v>
      </c>
      <c r="F68" s="102">
        <v>24</v>
      </c>
      <c r="G68" s="102">
        <v>25</v>
      </c>
      <c r="H68" s="102">
        <v>27</v>
      </c>
      <c r="I68" s="102">
        <v>24</v>
      </c>
      <c r="J68" s="102">
        <v>17</v>
      </c>
      <c r="K68" s="102">
        <v>16</v>
      </c>
      <c r="L68" s="102">
        <v>16</v>
      </c>
      <c r="M68" s="102">
        <v>11</v>
      </c>
      <c r="N68" s="102">
        <v>10</v>
      </c>
      <c r="O68" s="102">
        <v>171</v>
      </c>
      <c r="P68" s="102">
        <v>97</v>
      </c>
      <c r="Q68" s="102">
        <v>86</v>
      </c>
      <c r="R68" s="102">
        <v>84</v>
      </c>
      <c r="S68" s="102">
        <v>81</v>
      </c>
      <c r="T68" s="102">
        <v>78</v>
      </c>
      <c r="U68" s="102">
        <v>73</v>
      </c>
      <c r="V68" s="102">
        <v>68</v>
      </c>
      <c r="W68" s="102">
        <v>63</v>
      </c>
      <c r="DA68" s="175" t="s">
        <v>510</v>
      </c>
    </row>
    <row r="69" spans="1:105" ht="11.45" customHeight="1" x14ac:dyDescent="0.25">
      <c r="A69" s="111" t="s">
        <v>111</v>
      </c>
      <c r="B69" s="102">
        <v>2543</v>
      </c>
      <c r="C69" s="102">
        <v>2641</v>
      </c>
      <c r="D69" s="102">
        <v>2723</v>
      </c>
      <c r="E69" s="102">
        <v>2778</v>
      </c>
      <c r="F69" s="102">
        <v>2812</v>
      </c>
      <c r="G69" s="102">
        <v>2832</v>
      </c>
      <c r="H69" s="102">
        <v>2841</v>
      </c>
      <c r="I69" s="102">
        <v>2806</v>
      </c>
      <c r="J69" s="102">
        <v>2774</v>
      </c>
      <c r="K69" s="102">
        <v>2818</v>
      </c>
      <c r="L69" s="102">
        <v>2763</v>
      </c>
      <c r="M69" s="102">
        <v>2743</v>
      </c>
      <c r="N69" s="102">
        <v>2716</v>
      </c>
      <c r="O69" s="102">
        <v>2536</v>
      </c>
      <c r="P69" s="102">
        <v>2447</v>
      </c>
      <c r="Q69" s="102">
        <v>2434</v>
      </c>
      <c r="R69" s="102">
        <v>2159</v>
      </c>
      <c r="S69" s="102">
        <v>2094</v>
      </c>
      <c r="T69" s="102">
        <v>2173</v>
      </c>
      <c r="U69" s="102">
        <v>2479</v>
      </c>
      <c r="V69" s="102">
        <v>2291</v>
      </c>
      <c r="W69" s="102">
        <v>2141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2</v>
      </c>
      <c r="E70" s="102">
        <v>2</v>
      </c>
      <c r="F70" s="102">
        <v>2</v>
      </c>
      <c r="G70" s="102">
        <v>2</v>
      </c>
      <c r="H70" s="102">
        <v>2</v>
      </c>
      <c r="I70" s="102">
        <v>2</v>
      </c>
      <c r="J70" s="102">
        <v>2</v>
      </c>
      <c r="K70" s="102">
        <v>2</v>
      </c>
      <c r="L70" s="102">
        <v>2</v>
      </c>
      <c r="M70" s="102">
        <v>7</v>
      </c>
      <c r="N70" s="102">
        <v>7</v>
      </c>
      <c r="O70" s="102">
        <v>37</v>
      </c>
      <c r="P70" s="102">
        <v>116</v>
      </c>
      <c r="Q70" s="102">
        <v>116</v>
      </c>
      <c r="R70" s="102">
        <v>114</v>
      </c>
      <c r="S70" s="102">
        <v>117</v>
      </c>
      <c r="T70" s="102">
        <v>127</v>
      </c>
      <c r="U70" s="102">
        <v>163</v>
      </c>
      <c r="V70" s="102">
        <v>157</v>
      </c>
      <c r="W70" s="102">
        <v>150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80</v>
      </c>
      <c r="L71" s="102">
        <v>130</v>
      </c>
      <c r="M71" s="102">
        <v>169</v>
      </c>
      <c r="N71" s="102">
        <v>165</v>
      </c>
      <c r="O71" s="102">
        <v>262</v>
      </c>
      <c r="P71" s="102">
        <v>304</v>
      </c>
      <c r="Q71" s="102">
        <v>538</v>
      </c>
      <c r="R71" s="102">
        <v>542</v>
      </c>
      <c r="S71" s="102">
        <v>521</v>
      </c>
      <c r="T71" s="102">
        <v>512</v>
      </c>
      <c r="U71" s="102">
        <v>490</v>
      </c>
      <c r="V71" s="102">
        <v>725</v>
      </c>
      <c r="W71" s="102">
        <v>838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15</v>
      </c>
      <c r="G72" s="102">
        <v>52</v>
      </c>
      <c r="H72" s="102">
        <v>89</v>
      </c>
      <c r="I72" s="102">
        <v>116</v>
      </c>
      <c r="J72" s="102">
        <v>119</v>
      </c>
      <c r="K72" s="102">
        <v>121</v>
      </c>
      <c r="L72" s="102">
        <v>117</v>
      </c>
      <c r="M72" s="102">
        <v>115</v>
      </c>
      <c r="N72" s="102">
        <v>109</v>
      </c>
      <c r="O72" s="102">
        <v>457</v>
      </c>
      <c r="P72" s="102">
        <v>434</v>
      </c>
      <c r="Q72" s="102">
        <v>431</v>
      </c>
      <c r="R72" s="102">
        <v>408</v>
      </c>
      <c r="S72" s="102">
        <v>424</v>
      </c>
      <c r="T72" s="102">
        <v>438</v>
      </c>
      <c r="U72" s="102">
        <v>518</v>
      </c>
      <c r="V72" s="102">
        <v>444</v>
      </c>
      <c r="W72" s="102">
        <v>430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49096</v>
      </c>
      <c r="C73" s="28">
        <f t="shared" si="134"/>
        <v>49822</v>
      </c>
      <c r="D73" s="28">
        <f t="shared" si="134"/>
        <v>52227</v>
      </c>
      <c r="E73" s="28">
        <f t="shared" si="134"/>
        <v>61914</v>
      </c>
      <c r="F73" s="28">
        <f t="shared" si="134"/>
        <v>64203</v>
      </c>
      <c r="G73" s="28">
        <f t="shared" si="134"/>
        <v>64637</v>
      </c>
      <c r="H73" s="28">
        <f t="shared" si="134"/>
        <v>74497</v>
      </c>
      <c r="I73" s="28">
        <f t="shared" si="134"/>
        <v>84405</v>
      </c>
      <c r="J73" s="28">
        <f t="shared" si="134"/>
        <v>83111</v>
      </c>
      <c r="K73" s="28">
        <f t="shared" si="134"/>
        <v>87415</v>
      </c>
      <c r="L73" s="28">
        <f t="shared" ref="L73" si="135">L74+L80</f>
        <v>81287</v>
      </c>
      <c r="M73" s="28">
        <f t="shared" ref="M73:V73" si="136">M74+M80</f>
        <v>87231</v>
      </c>
      <c r="N73" s="28">
        <f t="shared" si="136"/>
        <v>95603</v>
      </c>
      <c r="O73" s="28">
        <f t="shared" si="136"/>
        <v>101951</v>
      </c>
      <c r="P73" s="28">
        <f t="shared" si="136"/>
        <v>107950</v>
      </c>
      <c r="Q73" s="28">
        <f t="shared" si="136"/>
        <v>111138</v>
      </c>
      <c r="R73" s="28">
        <f t="shared" si="136"/>
        <v>113692</v>
      </c>
      <c r="S73" s="28">
        <f t="shared" si="136"/>
        <v>113979</v>
      </c>
      <c r="T73" s="28">
        <f t="shared" si="136"/>
        <v>120620</v>
      </c>
      <c r="U73" s="28">
        <f t="shared" si="136"/>
        <v>123328</v>
      </c>
      <c r="V73" s="28">
        <f t="shared" si="136"/>
        <v>128852</v>
      </c>
      <c r="W73" s="28">
        <f t="shared" ref="W73" si="137">W74+W80</f>
        <v>137823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21671</v>
      </c>
      <c r="C74" s="137">
        <f t="shared" si="138"/>
        <v>22428</v>
      </c>
      <c r="D74" s="137">
        <f t="shared" si="138"/>
        <v>24449</v>
      </c>
      <c r="E74" s="137">
        <f t="shared" si="138"/>
        <v>26408</v>
      </c>
      <c r="F74" s="137">
        <f t="shared" si="138"/>
        <v>28292</v>
      </c>
      <c r="G74" s="137">
        <f t="shared" si="138"/>
        <v>31381</v>
      </c>
      <c r="H74" s="137">
        <f t="shared" si="138"/>
        <v>39502</v>
      </c>
      <c r="I74" s="137">
        <f t="shared" si="138"/>
        <v>45443</v>
      </c>
      <c r="J74" s="137">
        <f t="shared" si="138"/>
        <v>48328</v>
      </c>
      <c r="K74" s="137">
        <f t="shared" si="138"/>
        <v>53816</v>
      </c>
      <c r="L74" s="137">
        <f t="shared" ref="L74" si="139">SUM(L75:L79)</f>
        <v>49686</v>
      </c>
      <c r="M74" s="137">
        <f t="shared" ref="M74:V74" si="140">SUM(M75:M79)</f>
        <v>55095</v>
      </c>
      <c r="N74" s="137">
        <f t="shared" si="140"/>
        <v>61246</v>
      </c>
      <c r="O74" s="137">
        <f t="shared" si="140"/>
        <v>65347</v>
      </c>
      <c r="P74" s="137">
        <f t="shared" si="140"/>
        <v>69372</v>
      </c>
      <c r="Q74" s="137">
        <f t="shared" si="140"/>
        <v>73543</v>
      </c>
      <c r="R74" s="137">
        <f t="shared" si="140"/>
        <v>75329</v>
      </c>
      <c r="S74" s="137">
        <f t="shared" si="140"/>
        <v>77037</v>
      </c>
      <c r="T74" s="137">
        <f t="shared" si="140"/>
        <v>80145</v>
      </c>
      <c r="U74" s="137">
        <f t="shared" si="140"/>
        <v>84277</v>
      </c>
      <c r="V74" s="137">
        <f t="shared" si="140"/>
        <v>88081</v>
      </c>
      <c r="W74" s="137">
        <f t="shared" ref="W74" si="141">SUM(W75:W79)</f>
        <v>92143</v>
      </c>
      <c r="DA74" s="174" t="s">
        <v>516</v>
      </c>
    </row>
    <row r="75" spans="1:105" ht="11.45" customHeight="1" x14ac:dyDescent="0.25">
      <c r="A75" s="111" t="s">
        <v>110</v>
      </c>
      <c r="B75" s="84">
        <v>3273</v>
      </c>
      <c r="C75" s="84">
        <v>3273</v>
      </c>
      <c r="D75" s="84">
        <v>3273</v>
      </c>
      <c r="E75" s="84">
        <v>3274</v>
      </c>
      <c r="F75" s="84">
        <v>3282</v>
      </c>
      <c r="G75" s="84">
        <v>3358</v>
      </c>
      <c r="H75" s="84">
        <v>4227</v>
      </c>
      <c r="I75" s="84">
        <v>4862</v>
      </c>
      <c r="J75" s="84">
        <v>4499</v>
      </c>
      <c r="K75" s="84">
        <v>4090</v>
      </c>
      <c r="L75" s="84">
        <v>3651</v>
      </c>
      <c r="M75" s="84">
        <v>3178</v>
      </c>
      <c r="N75" s="84">
        <v>2711</v>
      </c>
      <c r="O75" s="84">
        <v>2421</v>
      </c>
      <c r="P75" s="84">
        <v>2131</v>
      </c>
      <c r="Q75" s="84">
        <v>1840</v>
      </c>
      <c r="R75" s="84">
        <v>1678</v>
      </c>
      <c r="S75" s="84">
        <v>1537</v>
      </c>
      <c r="T75" s="84">
        <v>1442</v>
      </c>
      <c r="U75" s="84">
        <v>1916</v>
      </c>
      <c r="V75" s="84">
        <v>1740</v>
      </c>
      <c r="W75" s="84">
        <v>1616</v>
      </c>
      <c r="DA75" s="171" t="s">
        <v>517</v>
      </c>
    </row>
    <row r="76" spans="1:105" ht="11.45" customHeight="1" x14ac:dyDescent="0.25">
      <c r="A76" s="111" t="s">
        <v>111</v>
      </c>
      <c r="B76" s="84">
        <v>18398</v>
      </c>
      <c r="C76" s="84">
        <v>19155</v>
      </c>
      <c r="D76" s="84">
        <v>21176</v>
      </c>
      <c r="E76" s="84">
        <v>23134</v>
      </c>
      <c r="F76" s="84">
        <v>25010</v>
      </c>
      <c r="G76" s="84">
        <v>28023</v>
      </c>
      <c r="H76" s="84">
        <v>35275</v>
      </c>
      <c r="I76" s="84">
        <v>40581</v>
      </c>
      <c r="J76" s="84">
        <v>43829</v>
      </c>
      <c r="K76" s="84">
        <v>49726</v>
      </c>
      <c r="L76" s="84">
        <v>46035</v>
      </c>
      <c r="M76" s="84">
        <v>51917</v>
      </c>
      <c r="N76" s="84">
        <v>58535</v>
      </c>
      <c r="O76" s="84">
        <v>62926</v>
      </c>
      <c r="P76" s="84">
        <v>67241</v>
      </c>
      <c r="Q76" s="84">
        <v>71703</v>
      </c>
      <c r="R76" s="84">
        <v>73651</v>
      </c>
      <c r="S76" s="84">
        <v>75500</v>
      </c>
      <c r="T76" s="84">
        <v>78703</v>
      </c>
      <c r="U76" s="84">
        <v>82361</v>
      </c>
      <c r="V76" s="84">
        <v>86341</v>
      </c>
      <c r="W76" s="84">
        <v>90527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27425</v>
      </c>
      <c r="C80" s="110">
        <f t="shared" si="142"/>
        <v>27394</v>
      </c>
      <c r="D80" s="110">
        <f t="shared" si="142"/>
        <v>27778</v>
      </c>
      <c r="E80" s="110">
        <f t="shared" si="142"/>
        <v>35506</v>
      </c>
      <c r="F80" s="110">
        <f t="shared" si="142"/>
        <v>35911</v>
      </c>
      <c r="G80" s="110">
        <f t="shared" si="142"/>
        <v>33256</v>
      </c>
      <c r="H80" s="110">
        <f t="shared" si="142"/>
        <v>34995</v>
      </c>
      <c r="I80" s="110">
        <f t="shared" si="142"/>
        <v>38962</v>
      </c>
      <c r="J80" s="110">
        <f t="shared" si="142"/>
        <v>34783</v>
      </c>
      <c r="K80" s="110">
        <f t="shared" si="142"/>
        <v>33599</v>
      </c>
      <c r="L80" s="110">
        <f t="shared" ref="L80" si="143">SUM(L81:L82)</f>
        <v>31601</v>
      </c>
      <c r="M80" s="110">
        <f t="shared" ref="M80:V80" si="144">SUM(M81:M82)</f>
        <v>32136</v>
      </c>
      <c r="N80" s="110">
        <f t="shared" si="144"/>
        <v>34357</v>
      </c>
      <c r="O80" s="110">
        <f t="shared" si="144"/>
        <v>36604</v>
      </c>
      <c r="P80" s="110">
        <f t="shared" si="144"/>
        <v>38578</v>
      </c>
      <c r="Q80" s="110">
        <f t="shared" si="144"/>
        <v>37595</v>
      </c>
      <c r="R80" s="110">
        <f t="shared" si="144"/>
        <v>38363</v>
      </c>
      <c r="S80" s="110">
        <f t="shared" si="144"/>
        <v>36942</v>
      </c>
      <c r="T80" s="110">
        <f t="shared" si="144"/>
        <v>40475</v>
      </c>
      <c r="U80" s="110">
        <f t="shared" si="144"/>
        <v>39051</v>
      </c>
      <c r="V80" s="110">
        <f t="shared" si="144"/>
        <v>40771</v>
      </c>
      <c r="W80" s="110">
        <f t="shared" ref="W80" si="145">SUM(W81:W82)</f>
        <v>45680</v>
      </c>
      <c r="DA80" s="176" t="s">
        <v>522</v>
      </c>
    </row>
    <row r="81" spans="1:105" ht="11.45" customHeight="1" x14ac:dyDescent="0.25">
      <c r="A81" s="128" t="s">
        <v>27</v>
      </c>
      <c r="B81" s="102">
        <v>26106</v>
      </c>
      <c r="C81" s="102">
        <v>25980</v>
      </c>
      <c r="D81" s="102">
        <v>26291</v>
      </c>
      <c r="E81" s="102">
        <v>33986</v>
      </c>
      <c r="F81" s="102">
        <v>34113</v>
      </c>
      <c r="G81" s="102">
        <v>31395</v>
      </c>
      <c r="H81" s="102">
        <v>32618</v>
      </c>
      <c r="I81" s="102">
        <v>36334</v>
      </c>
      <c r="J81" s="102">
        <v>32337</v>
      </c>
      <c r="K81" s="102">
        <v>31569</v>
      </c>
      <c r="L81" s="102">
        <v>29335</v>
      </c>
      <c r="M81" s="102">
        <v>29579</v>
      </c>
      <c r="N81" s="102">
        <v>31395</v>
      </c>
      <c r="O81" s="102">
        <v>33142</v>
      </c>
      <c r="P81" s="102">
        <v>35295</v>
      </c>
      <c r="Q81" s="102">
        <v>33929</v>
      </c>
      <c r="R81" s="102">
        <v>34596</v>
      </c>
      <c r="S81" s="102">
        <v>33160</v>
      </c>
      <c r="T81" s="102">
        <v>36871</v>
      </c>
      <c r="U81" s="102">
        <v>35496</v>
      </c>
      <c r="V81" s="102">
        <v>36813</v>
      </c>
      <c r="W81" s="102">
        <v>41605</v>
      </c>
      <c r="DA81" s="175" t="s">
        <v>523</v>
      </c>
    </row>
    <row r="82" spans="1:105" ht="11.45" customHeight="1" x14ac:dyDescent="0.25">
      <c r="A82" s="138" t="s">
        <v>116</v>
      </c>
      <c r="B82" s="86">
        <v>1319</v>
      </c>
      <c r="C82" s="86">
        <v>1414</v>
      </c>
      <c r="D82" s="86">
        <v>1487</v>
      </c>
      <c r="E82" s="86">
        <v>1520</v>
      </c>
      <c r="F82" s="86">
        <v>1798</v>
      </c>
      <c r="G82" s="86">
        <v>1861</v>
      </c>
      <c r="H82" s="86">
        <v>2377</v>
      </c>
      <c r="I82" s="86">
        <v>2628</v>
      </c>
      <c r="J82" s="86">
        <v>2446</v>
      </c>
      <c r="K82" s="86">
        <v>2030</v>
      </c>
      <c r="L82" s="86">
        <v>2266</v>
      </c>
      <c r="M82" s="86">
        <v>2557</v>
      </c>
      <c r="N82" s="86">
        <v>2962</v>
      </c>
      <c r="O82" s="86">
        <v>3462</v>
      </c>
      <c r="P82" s="86">
        <v>3283</v>
      </c>
      <c r="Q82" s="86">
        <v>3666</v>
      </c>
      <c r="R82" s="86">
        <v>3767</v>
      </c>
      <c r="S82" s="86">
        <v>3782</v>
      </c>
      <c r="T82" s="86">
        <v>3604</v>
      </c>
      <c r="U82" s="86">
        <v>3555</v>
      </c>
      <c r="V82" s="86">
        <v>3958</v>
      </c>
      <c r="W82" s="86">
        <v>4075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993875</v>
      </c>
      <c r="C84" s="54">
        <f t="shared" si="146"/>
        <v>1016184</v>
      </c>
      <c r="D84" s="54">
        <f t="shared" ref="D84:V84" si="147">D85+D100</f>
        <v>1066931</v>
      </c>
      <c r="E84" s="54">
        <f t="shared" si="147"/>
        <v>1153446</v>
      </c>
      <c r="F84" s="54">
        <f t="shared" si="147"/>
        <v>1235831</v>
      </c>
      <c r="G84" s="54">
        <f t="shared" si="147"/>
        <v>1306851</v>
      </c>
      <c r="H84" s="54">
        <f t="shared" si="147"/>
        <v>1514997</v>
      </c>
      <c r="I84" s="54">
        <f t="shared" si="147"/>
        <v>1604605</v>
      </c>
      <c r="J84" s="54">
        <f t="shared" si="147"/>
        <v>1610738</v>
      </c>
      <c r="K84" s="54">
        <f t="shared" si="147"/>
        <v>1546986</v>
      </c>
      <c r="L84" s="54">
        <f t="shared" si="147"/>
        <v>1420380</v>
      </c>
      <c r="M84" s="54">
        <f t="shared" si="147"/>
        <v>1332681</v>
      </c>
      <c r="N84" s="54">
        <f t="shared" si="147"/>
        <v>1482028</v>
      </c>
      <c r="O84" s="54">
        <f t="shared" si="147"/>
        <v>1502563</v>
      </c>
      <c r="P84" s="54">
        <f t="shared" si="147"/>
        <v>1521212</v>
      </c>
      <c r="Q84" s="54">
        <f t="shared" si="147"/>
        <v>1589675</v>
      </c>
      <c r="R84" s="54">
        <f t="shared" si="147"/>
        <v>1637540</v>
      </c>
      <c r="S84" s="54">
        <f t="shared" si="147"/>
        <v>1691374</v>
      </c>
      <c r="T84" s="54">
        <f t="shared" si="147"/>
        <v>1774544</v>
      </c>
      <c r="U84" s="54">
        <f t="shared" si="147"/>
        <v>1856997</v>
      </c>
      <c r="V84" s="54">
        <f t="shared" si="147"/>
        <v>1940108</v>
      </c>
      <c r="W84" s="54">
        <f t="shared" ref="W84" si="148">W85+W100</f>
        <v>1991452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944779</v>
      </c>
      <c r="C85" s="28">
        <f t="shared" si="149"/>
        <v>966362</v>
      </c>
      <c r="D85" s="28">
        <f t="shared" ref="D85:V85" si="150">D86+D87+D94</f>
        <v>1014704</v>
      </c>
      <c r="E85" s="28">
        <f t="shared" si="150"/>
        <v>1091532</v>
      </c>
      <c r="F85" s="28">
        <f t="shared" si="150"/>
        <v>1171628</v>
      </c>
      <c r="G85" s="28">
        <f t="shared" si="150"/>
        <v>1242214</v>
      </c>
      <c r="H85" s="28">
        <f t="shared" si="150"/>
        <v>1440500</v>
      </c>
      <c r="I85" s="28">
        <f t="shared" si="150"/>
        <v>1520200</v>
      </c>
      <c r="J85" s="28">
        <f t="shared" si="150"/>
        <v>1527627</v>
      </c>
      <c r="K85" s="28">
        <f t="shared" si="150"/>
        <v>1459571</v>
      </c>
      <c r="L85" s="28">
        <f t="shared" si="150"/>
        <v>1339093</v>
      </c>
      <c r="M85" s="28">
        <f t="shared" si="150"/>
        <v>1245450</v>
      </c>
      <c r="N85" s="28">
        <f t="shared" si="150"/>
        <v>1386425</v>
      </c>
      <c r="O85" s="28">
        <f t="shared" si="150"/>
        <v>1400612</v>
      </c>
      <c r="P85" s="28">
        <f t="shared" si="150"/>
        <v>1413262</v>
      </c>
      <c r="Q85" s="28">
        <f t="shared" si="150"/>
        <v>1478537</v>
      </c>
      <c r="R85" s="28">
        <f t="shared" si="150"/>
        <v>1523848</v>
      </c>
      <c r="S85" s="28">
        <f t="shared" si="150"/>
        <v>1577395</v>
      </c>
      <c r="T85" s="28">
        <f t="shared" si="150"/>
        <v>1653924</v>
      </c>
      <c r="U85" s="28">
        <f t="shared" si="150"/>
        <v>1733669</v>
      </c>
      <c r="V85" s="28">
        <f t="shared" si="150"/>
        <v>1811256</v>
      </c>
      <c r="W85" s="28">
        <f t="shared" ref="W85" si="151">W86+W87+W94</f>
        <v>1853629</v>
      </c>
      <c r="DA85" s="173"/>
    </row>
    <row r="86" spans="1:105" ht="11.45" hidden="1" customHeight="1" x14ac:dyDescent="0.25">
      <c r="A86" s="136" t="s">
        <v>180</v>
      </c>
      <c r="B86" s="137">
        <v>19842</v>
      </c>
      <c r="C86" s="137">
        <v>20244</v>
      </c>
      <c r="D86" s="137">
        <v>21017</v>
      </c>
      <c r="E86" s="137">
        <v>21873</v>
      </c>
      <c r="F86" s="137">
        <v>22861</v>
      </c>
      <c r="G86" s="137">
        <v>24027</v>
      </c>
      <c r="H86" s="137">
        <v>25303</v>
      </c>
      <c r="I86" s="137">
        <v>29349</v>
      </c>
      <c r="J86" s="137">
        <v>34255</v>
      </c>
      <c r="K86" s="137">
        <v>37309</v>
      </c>
      <c r="L86" s="137">
        <v>37353</v>
      </c>
      <c r="M86" s="137">
        <v>37447</v>
      </c>
      <c r="N86" s="137">
        <v>37485</v>
      </c>
      <c r="O86" s="137">
        <v>37539</v>
      </c>
      <c r="P86" s="137">
        <v>37646</v>
      </c>
      <c r="Q86" s="137">
        <v>37753</v>
      </c>
      <c r="R86" s="137">
        <v>39713</v>
      </c>
      <c r="S86" s="137">
        <v>42100</v>
      </c>
      <c r="T86" s="137">
        <v>45267</v>
      </c>
      <c r="U86" s="137">
        <v>53154</v>
      </c>
      <c r="V86" s="137">
        <v>60911</v>
      </c>
      <c r="W86" s="137">
        <v>69494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922394</v>
      </c>
      <c r="C87" s="110">
        <f t="shared" si="152"/>
        <v>943477</v>
      </c>
      <c r="D87" s="110">
        <f t="shared" ref="D87:V87" si="153">SUM(D88:D93)</f>
        <v>990945</v>
      </c>
      <c r="E87" s="110">
        <f t="shared" si="153"/>
        <v>1066853</v>
      </c>
      <c r="F87" s="110">
        <f t="shared" si="153"/>
        <v>1145914</v>
      </c>
      <c r="G87" s="110">
        <f t="shared" si="153"/>
        <v>1215276</v>
      </c>
      <c r="H87" s="110">
        <f t="shared" si="153"/>
        <v>1412238</v>
      </c>
      <c r="I87" s="110">
        <f t="shared" si="153"/>
        <v>1487903</v>
      </c>
      <c r="J87" s="110">
        <f t="shared" si="153"/>
        <v>1490460</v>
      </c>
      <c r="K87" s="110">
        <f t="shared" si="153"/>
        <v>1419225</v>
      </c>
      <c r="L87" s="110">
        <f t="shared" si="153"/>
        <v>1298712</v>
      </c>
      <c r="M87" s="110">
        <f t="shared" si="153"/>
        <v>1204958</v>
      </c>
      <c r="N87" s="110">
        <f t="shared" si="153"/>
        <v>1345933</v>
      </c>
      <c r="O87" s="110">
        <f t="shared" si="153"/>
        <v>1359610</v>
      </c>
      <c r="P87" s="110">
        <f t="shared" si="153"/>
        <v>1372218</v>
      </c>
      <c r="Q87" s="110">
        <f t="shared" si="153"/>
        <v>1437179</v>
      </c>
      <c r="R87" s="110">
        <f t="shared" si="153"/>
        <v>1480828</v>
      </c>
      <c r="S87" s="110">
        <f t="shared" si="153"/>
        <v>1532058</v>
      </c>
      <c r="T87" s="110">
        <f t="shared" si="153"/>
        <v>1605329</v>
      </c>
      <c r="U87" s="110">
        <f t="shared" si="153"/>
        <v>1676792</v>
      </c>
      <c r="V87" s="110">
        <f t="shared" si="153"/>
        <v>1746660</v>
      </c>
      <c r="W87" s="110">
        <f t="shared" ref="W87" si="154">SUM(W88:W93)</f>
        <v>1780513</v>
      </c>
      <c r="DA87" s="176"/>
    </row>
    <row r="88" spans="1:105" ht="11.45" hidden="1" customHeight="1" x14ac:dyDescent="0.25">
      <c r="A88" s="111" t="s">
        <v>110</v>
      </c>
      <c r="B88" s="84">
        <v>531462</v>
      </c>
      <c r="C88" s="84">
        <v>533888</v>
      </c>
      <c r="D88" s="84">
        <v>518112</v>
      </c>
      <c r="E88" s="84">
        <v>525520</v>
      </c>
      <c r="F88" s="84">
        <v>508676</v>
      </c>
      <c r="G88" s="84">
        <v>502545</v>
      </c>
      <c r="H88" s="84">
        <v>547488</v>
      </c>
      <c r="I88" s="84">
        <v>582096</v>
      </c>
      <c r="J88" s="84">
        <v>580392</v>
      </c>
      <c r="K88" s="84">
        <v>530711</v>
      </c>
      <c r="L88" s="84">
        <v>437251</v>
      </c>
      <c r="M88" s="84">
        <v>387618</v>
      </c>
      <c r="N88" s="84">
        <v>370100</v>
      </c>
      <c r="O88" s="84">
        <v>347712</v>
      </c>
      <c r="P88" s="84">
        <v>339187</v>
      </c>
      <c r="Q88" s="84">
        <v>330969</v>
      </c>
      <c r="R88" s="84">
        <v>327250</v>
      </c>
      <c r="S88" s="84">
        <v>333474</v>
      </c>
      <c r="T88" s="84">
        <v>351074</v>
      </c>
      <c r="U88" s="84">
        <v>373275</v>
      </c>
      <c r="V88" s="84">
        <v>397084</v>
      </c>
      <c r="W88" s="84">
        <v>410707</v>
      </c>
      <c r="DA88" s="171"/>
    </row>
    <row r="89" spans="1:105" ht="11.45" hidden="1" customHeight="1" x14ac:dyDescent="0.25">
      <c r="A89" s="111" t="s">
        <v>111</v>
      </c>
      <c r="B89" s="84">
        <v>215587</v>
      </c>
      <c r="C89" s="84">
        <v>224980</v>
      </c>
      <c r="D89" s="84">
        <v>253164</v>
      </c>
      <c r="E89" s="84">
        <v>289627</v>
      </c>
      <c r="F89" s="84">
        <v>335899</v>
      </c>
      <c r="G89" s="84">
        <v>458861</v>
      </c>
      <c r="H89" s="84">
        <v>563454</v>
      </c>
      <c r="I89" s="84">
        <v>577715</v>
      </c>
      <c r="J89" s="84">
        <v>598528</v>
      </c>
      <c r="K89" s="84">
        <v>598004</v>
      </c>
      <c r="L89" s="84">
        <v>598151</v>
      </c>
      <c r="M89" s="84">
        <v>582503</v>
      </c>
      <c r="N89" s="84">
        <v>754681</v>
      </c>
      <c r="O89" s="84">
        <v>788753</v>
      </c>
      <c r="P89" s="84">
        <v>822607</v>
      </c>
      <c r="Q89" s="84">
        <v>908060</v>
      </c>
      <c r="R89" s="84">
        <v>971792</v>
      </c>
      <c r="S89" s="84">
        <v>1031728</v>
      </c>
      <c r="T89" s="84">
        <v>1092561</v>
      </c>
      <c r="U89" s="84">
        <v>1140757</v>
      </c>
      <c r="V89" s="84">
        <v>1184629</v>
      </c>
      <c r="W89" s="84">
        <v>1215510</v>
      </c>
      <c r="DA89" s="171"/>
    </row>
    <row r="90" spans="1:105" ht="11.45" hidden="1" customHeight="1" x14ac:dyDescent="0.25">
      <c r="A90" s="111" t="s">
        <v>112</v>
      </c>
      <c r="B90" s="84">
        <v>175345</v>
      </c>
      <c r="C90" s="84">
        <v>184609</v>
      </c>
      <c r="D90" s="84">
        <v>219669</v>
      </c>
      <c r="E90" s="84">
        <v>251706</v>
      </c>
      <c r="F90" s="84">
        <v>301339</v>
      </c>
      <c r="G90" s="84">
        <v>253870</v>
      </c>
      <c r="H90" s="84">
        <v>301296</v>
      </c>
      <c r="I90" s="84">
        <v>328092</v>
      </c>
      <c r="J90" s="84">
        <v>311540</v>
      </c>
      <c r="K90" s="84">
        <v>290510</v>
      </c>
      <c r="L90" s="84">
        <v>263310</v>
      </c>
      <c r="M90" s="84">
        <v>234835</v>
      </c>
      <c r="N90" s="84">
        <v>221149</v>
      </c>
      <c r="O90" s="84">
        <v>222005</v>
      </c>
      <c r="P90" s="84">
        <v>207406</v>
      </c>
      <c r="Q90" s="84">
        <v>194043</v>
      </c>
      <c r="R90" s="84">
        <v>175744</v>
      </c>
      <c r="S90" s="84">
        <v>157579</v>
      </c>
      <c r="T90" s="84">
        <v>146545</v>
      </c>
      <c r="U90" s="84">
        <v>140332</v>
      </c>
      <c r="V90" s="84">
        <v>133651</v>
      </c>
      <c r="W90" s="84">
        <v>122985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1</v>
      </c>
      <c r="O91" s="84">
        <v>5</v>
      </c>
      <c r="P91" s="84">
        <v>28</v>
      </c>
      <c r="Q91" s="84">
        <v>38</v>
      </c>
      <c r="R91" s="84">
        <v>50</v>
      </c>
      <c r="S91" s="84">
        <v>75</v>
      </c>
      <c r="T91" s="84">
        <v>100</v>
      </c>
      <c r="U91" s="84">
        <v>100</v>
      </c>
      <c r="V91" s="84">
        <v>181</v>
      </c>
      <c r="W91" s="84">
        <v>257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1129</v>
      </c>
      <c r="P92" s="84">
        <v>2927</v>
      </c>
      <c r="Q92" s="84">
        <v>3915</v>
      </c>
      <c r="R92" s="84">
        <v>5662</v>
      </c>
      <c r="S92" s="84">
        <v>8590</v>
      </c>
      <c r="T92" s="84">
        <v>14108</v>
      </c>
      <c r="U92" s="84">
        <v>20968</v>
      </c>
      <c r="V92" s="84">
        <v>29170</v>
      </c>
      <c r="W92" s="84">
        <v>26213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2</v>
      </c>
      <c r="N93" s="84">
        <v>2</v>
      </c>
      <c r="O93" s="84">
        <v>6</v>
      </c>
      <c r="P93" s="84">
        <v>63</v>
      </c>
      <c r="Q93" s="84">
        <v>154</v>
      </c>
      <c r="R93" s="84">
        <v>330</v>
      </c>
      <c r="S93" s="84">
        <v>612</v>
      </c>
      <c r="T93" s="84">
        <v>941</v>
      </c>
      <c r="U93" s="84">
        <v>1360</v>
      </c>
      <c r="V93" s="84">
        <v>1945</v>
      </c>
      <c r="W93" s="84">
        <v>4841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2543</v>
      </c>
      <c r="C94" s="110">
        <f t="shared" si="155"/>
        <v>2641</v>
      </c>
      <c r="D94" s="110">
        <f t="shared" ref="D94:V94" si="156">SUM(D95:D99)</f>
        <v>2742</v>
      </c>
      <c r="E94" s="110">
        <f t="shared" si="156"/>
        <v>2806</v>
      </c>
      <c r="F94" s="110">
        <f t="shared" si="156"/>
        <v>2853</v>
      </c>
      <c r="G94" s="110">
        <f t="shared" si="156"/>
        <v>2911</v>
      </c>
      <c r="H94" s="110">
        <f t="shared" si="156"/>
        <v>2959</v>
      </c>
      <c r="I94" s="110">
        <f t="shared" si="156"/>
        <v>2948</v>
      </c>
      <c r="J94" s="110">
        <f t="shared" si="156"/>
        <v>2912</v>
      </c>
      <c r="K94" s="110">
        <f t="shared" si="156"/>
        <v>3037</v>
      </c>
      <c r="L94" s="110">
        <f t="shared" si="156"/>
        <v>3028</v>
      </c>
      <c r="M94" s="110">
        <f t="shared" si="156"/>
        <v>3045</v>
      </c>
      <c r="N94" s="110">
        <f t="shared" si="156"/>
        <v>3007</v>
      </c>
      <c r="O94" s="110">
        <f t="shared" si="156"/>
        <v>3463</v>
      </c>
      <c r="P94" s="110">
        <f t="shared" si="156"/>
        <v>3398</v>
      </c>
      <c r="Q94" s="110">
        <f t="shared" si="156"/>
        <v>3605</v>
      </c>
      <c r="R94" s="110">
        <f t="shared" si="156"/>
        <v>3307</v>
      </c>
      <c r="S94" s="110">
        <f t="shared" si="156"/>
        <v>3237</v>
      </c>
      <c r="T94" s="110">
        <f t="shared" si="156"/>
        <v>3328</v>
      </c>
      <c r="U94" s="110">
        <f t="shared" si="156"/>
        <v>3723</v>
      </c>
      <c r="V94" s="110">
        <f t="shared" si="156"/>
        <v>3685</v>
      </c>
      <c r="W94" s="110">
        <f t="shared" ref="W94" si="157">SUM(W95:W99)</f>
        <v>3622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17</v>
      </c>
      <c r="E95" s="102">
        <v>26</v>
      </c>
      <c r="F95" s="102">
        <v>24</v>
      </c>
      <c r="G95" s="102">
        <v>25</v>
      </c>
      <c r="H95" s="102">
        <v>27</v>
      </c>
      <c r="I95" s="102">
        <v>24</v>
      </c>
      <c r="J95" s="102">
        <v>17</v>
      </c>
      <c r="K95" s="102">
        <v>16</v>
      </c>
      <c r="L95" s="102">
        <v>16</v>
      </c>
      <c r="M95" s="102">
        <v>11</v>
      </c>
      <c r="N95" s="102">
        <v>10</v>
      </c>
      <c r="O95" s="102">
        <v>171</v>
      </c>
      <c r="P95" s="102">
        <v>97</v>
      </c>
      <c r="Q95" s="102">
        <v>86</v>
      </c>
      <c r="R95" s="102">
        <v>84</v>
      </c>
      <c r="S95" s="102">
        <v>81</v>
      </c>
      <c r="T95" s="102">
        <v>78</v>
      </c>
      <c r="U95" s="102">
        <v>73</v>
      </c>
      <c r="V95" s="102">
        <v>68</v>
      </c>
      <c r="W95" s="102">
        <v>63</v>
      </c>
      <c r="DA95" s="175"/>
    </row>
    <row r="96" spans="1:105" ht="11.45" hidden="1" customHeight="1" x14ac:dyDescent="0.25">
      <c r="A96" s="111" t="s">
        <v>111</v>
      </c>
      <c r="B96" s="102">
        <v>2543</v>
      </c>
      <c r="C96" s="102">
        <v>2641</v>
      </c>
      <c r="D96" s="102">
        <v>2723</v>
      </c>
      <c r="E96" s="102">
        <v>2778</v>
      </c>
      <c r="F96" s="102">
        <v>2812</v>
      </c>
      <c r="G96" s="102">
        <v>2832</v>
      </c>
      <c r="H96" s="102">
        <v>2841</v>
      </c>
      <c r="I96" s="102">
        <v>2806</v>
      </c>
      <c r="J96" s="102">
        <v>2774</v>
      </c>
      <c r="K96" s="102">
        <v>2818</v>
      </c>
      <c r="L96" s="102">
        <v>2763</v>
      </c>
      <c r="M96" s="102">
        <v>2743</v>
      </c>
      <c r="N96" s="102">
        <v>2716</v>
      </c>
      <c r="O96" s="102">
        <v>2536</v>
      </c>
      <c r="P96" s="102">
        <v>2447</v>
      </c>
      <c r="Q96" s="102">
        <v>2434</v>
      </c>
      <c r="R96" s="102">
        <v>2159</v>
      </c>
      <c r="S96" s="102">
        <v>2094</v>
      </c>
      <c r="T96" s="102">
        <v>2173</v>
      </c>
      <c r="U96" s="102">
        <v>2479</v>
      </c>
      <c r="V96" s="102">
        <v>2291</v>
      </c>
      <c r="W96" s="102">
        <v>2141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2</v>
      </c>
      <c r="E97" s="102">
        <v>2</v>
      </c>
      <c r="F97" s="102">
        <v>2</v>
      </c>
      <c r="G97" s="102">
        <v>2</v>
      </c>
      <c r="H97" s="102">
        <v>2</v>
      </c>
      <c r="I97" s="102">
        <v>2</v>
      </c>
      <c r="J97" s="102">
        <v>2</v>
      </c>
      <c r="K97" s="102">
        <v>2</v>
      </c>
      <c r="L97" s="102">
        <v>2</v>
      </c>
      <c r="M97" s="102">
        <v>7</v>
      </c>
      <c r="N97" s="102">
        <v>7</v>
      </c>
      <c r="O97" s="102">
        <v>37</v>
      </c>
      <c r="P97" s="102">
        <v>116</v>
      </c>
      <c r="Q97" s="102">
        <v>116</v>
      </c>
      <c r="R97" s="102">
        <v>114</v>
      </c>
      <c r="S97" s="102">
        <v>117</v>
      </c>
      <c r="T97" s="102">
        <v>127</v>
      </c>
      <c r="U97" s="102">
        <v>163</v>
      </c>
      <c r="V97" s="102">
        <v>157</v>
      </c>
      <c r="W97" s="102">
        <v>150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80</v>
      </c>
      <c r="L98" s="102">
        <v>130</v>
      </c>
      <c r="M98" s="102">
        <v>169</v>
      </c>
      <c r="N98" s="102">
        <v>165</v>
      </c>
      <c r="O98" s="102">
        <v>262</v>
      </c>
      <c r="P98" s="102">
        <v>304</v>
      </c>
      <c r="Q98" s="102">
        <v>538</v>
      </c>
      <c r="R98" s="102">
        <v>542</v>
      </c>
      <c r="S98" s="102">
        <v>521</v>
      </c>
      <c r="T98" s="102">
        <v>512</v>
      </c>
      <c r="U98" s="102">
        <v>490</v>
      </c>
      <c r="V98" s="102">
        <v>725</v>
      </c>
      <c r="W98" s="102">
        <v>838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15</v>
      </c>
      <c r="G99" s="102">
        <v>52</v>
      </c>
      <c r="H99" s="102">
        <v>89</v>
      </c>
      <c r="I99" s="102">
        <v>116</v>
      </c>
      <c r="J99" s="102">
        <v>119</v>
      </c>
      <c r="K99" s="102">
        <v>121</v>
      </c>
      <c r="L99" s="102">
        <v>117</v>
      </c>
      <c r="M99" s="102">
        <v>115</v>
      </c>
      <c r="N99" s="102">
        <v>109</v>
      </c>
      <c r="O99" s="102">
        <v>457</v>
      </c>
      <c r="P99" s="102">
        <v>434</v>
      </c>
      <c r="Q99" s="102">
        <v>431</v>
      </c>
      <c r="R99" s="102">
        <v>408</v>
      </c>
      <c r="S99" s="102">
        <v>424</v>
      </c>
      <c r="T99" s="102">
        <v>438</v>
      </c>
      <c r="U99" s="102">
        <v>518</v>
      </c>
      <c r="V99" s="102">
        <v>444</v>
      </c>
      <c r="W99" s="102">
        <v>430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49096</v>
      </c>
      <c r="C100" s="28">
        <f t="shared" si="158"/>
        <v>49822</v>
      </c>
      <c r="D100" s="28">
        <f t="shared" ref="D100:V100" si="159">D101+D107</f>
        <v>52227</v>
      </c>
      <c r="E100" s="28">
        <f t="shared" si="159"/>
        <v>61914</v>
      </c>
      <c r="F100" s="28">
        <f t="shared" si="159"/>
        <v>64203</v>
      </c>
      <c r="G100" s="28">
        <f t="shared" si="159"/>
        <v>64637</v>
      </c>
      <c r="H100" s="28">
        <f t="shared" si="159"/>
        <v>74497</v>
      </c>
      <c r="I100" s="28">
        <f t="shared" si="159"/>
        <v>84405</v>
      </c>
      <c r="J100" s="28">
        <f t="shared" si="159"/>
        <v>83111</v>
      </c>
      <c r="K100" s="28">
        <f t="shared" si="159"/>
        <v>87415</v>
      </c>
      <c r="L100" s="28">
        <f t="shared" si="159"/>
        <v>81287</v>
      </c>
      <c r="M100" s="28">
        <f t="shared" si="159"/>
        <v>87231</v>
      </c>
      <c r="N100" s="28">
        <f t="shared" si="159"/>
        <v>95603</v>
      </c>
      <c r="O100" s="28">
        <f t="shared" si="159"/>
        <v>101951</v>
      </c>
      <c r="P100" s="28">
        <f t="shared" si="159"/>
        <v>107950</v>
      </c>
      <c r="Q100" s="28">
        <f t="shared" si="159"/>
        <v>111138</v>
      </c>
      <c r="R100" s="28">
        <f t="shared" si="159"/>
        <v>113692</v>
      </c>
      <c r="S100" s="28">
        <f t="shared" si="159"/>
        <v>113979</v>
      </c>
      <c r="T100" s="28">
        <f t="shared" si="159"/>
        <v>120620</v>
      </c>
      <c r="U100" s="28">
        <f t="shared" si="159"/>
        <v>123328</v>
      </c>
      <c r="V100" s="28">
        <f t="shared" si="159"/>
        <v>128852</v>
      </c>
      <c r="W100" s="28">
        <f t="shared" ref="W100" si="160">W101+W107</f>
        <v>137823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21671</v>
      </c>
      <c r="C101" s="137">
        <f t="shared" si="161"/>
        <v>22428</v>
      </c>
      <c r="D101" s="137">
        <f t="shared" ref="D101:V101" si="162">SUM(D102:D106)</f>
        <v>24449</v>
      </c>
      <c r="E101" s="137">
        <f t="shared" si="162"/>
        <v>26408</v>
      </c>
      <c r="F101" s="137">
        <f t="shared" si="162"/>
        <v>28292</v>
      </c>
      <c r="G101" s="137">
        <f t="shared" si="162"/>
        <v>31381</v>
      </c>
      <c r="H101" s="137">
        <f t="shared" si="162"/>
        <v>39502</v>
      </c>
      <c r="I101" s="137">
        <f t="shared" si="162"/>
        <v>45443</v>
      </c>
      <c r="J101" s="137">
        <f t="shared" si="162"/>
        <v>48328</v>
      </c>
      <c r="K101" s="137">
        <f t="shared" si="162"/>
        <v>53816</v>
      </c>
      <c r="L101" s="137">
        <f t="shared" si="162"/>
        <v>49686</v>
      </c>
      <c r="M101" s="137">
        <f t="shared" si="162"/>
        <v>55095</v>
      </c>
      <c r="N101" s="137">
        <f t="shared" si="162"/>
        <v>61246</v>
      </c>
      <c r="O101" s="137">
        <f t="shared" si="162"/>
        <v>65347</v>
      </c>
      <c r="P101" s="137">
        <f t="shared" si="162"/>
        <v>69372</v>
      </c>
      <c r="Q101" s="137">
        <f t="shared" si="162"/>
        <v>73543</v>
      </c>
      <c r="R101" s="137">
        <f t="shared" si="162"/>
        <v>75329</v>
      </c>
      <c r="S101" s="137">
        <f t="shared" si="162"/>
        <v>77037</v>
      </c>
      <c r="T101" s="137">
        <f t="shared" si="162"/>
        <v>80145</v>
      </c>
      <c r="U101" s="137">
        <f t="shared" si="162"/>
        <v>84277</v>
      </c>
      <c r="V101" s="137">
        <f t="shared" si="162"/>
        <v>88081</v>
      </c>
      <c r="W101" s="137">
        <f t="shared" ref="W101" si="163">SUM(W102:W106)</f>
        <v>92143</v>
      </c>
      <c r="DA101" s="174"/>
    </row>
    <row r="102" spans="1:105" ht="11.45" hidden="1" customHeight="1" x14ac:dyDescent="0.25">
      <c r="A102" s="111" t="s">
        <v>110</v>
      </c>
      <c r="B102" s="84">
        <v>3273</v>
      </c>
      <c r="C102" s="84">
        <v>3273</v>
      </c>
      <c r="D102" s="84">
        <v>3273</v>
      </c>
      <c r="E102" s="84">
        <v>3274</v>
      </c>
      <c r="F102" s="84">
        <v>3282</v>
      </c>
      <c r="G102" s="84">
        <v>3358</v>
      </c>
      <c r="H102" s="84">
        <v>4227</v>
      </c>
      <c r="I102" s="84">
        <v>4862</v>
      </c>
      <c r="J102" s="84">
        <v>4499</v>
      </c>
      <c r="K102" s="84">
        <v>4090</v>
      </c>
      <c r="L102" s="84">
        <v>3651</v>
      </c>
      <c r="M102" s="84">
        <v>3178</v>
      </c>
      <c r="N102" s="84">
        <v>2711</v>
      </c>
      <c r="O102" s="84">
        <v>2421</v>
      </c>
      <c r="P102" s="84">
        <v>2131</v>
      </c>
      <c r="Q102" s="84">
        <v>1840</v>
      </c>
      <c r="R102" s="84">
        <v>1678</v>
      </c>
      <c r="S102" s="84">
        <v>1537</v>
      </c>
      <c r="T102" s="84">
        <v>1442</v>
      </c>
      <c r="U102" s="84">
        <v>1916</v>
      </c>
      <c r="V102" s="84">
        <v>1740</v>
      </c>
      <c r="W102" s="84">
        <v>1616</v>
      </c>
      <c r="DA102" s="171"/>
    </row>
    <row r="103" spans="1:105" ht="11.45" hidden="1" customHeight="1" x14ac:dyDescent="0.25">
      <c r="A103" s="111" t="s">
        <v>111</v>
      </c>
      <c r="B103" s="84">
        <v>18398</v>
      </c>
      <c r="C103" s="84">
        <v>19155</v>
      </c>
      <c r="D103" s="84">
        <v>21176</v>
      </c>
      <c r="E103" s="84">
        <v>23134</v>
      </c>
      <c r="F103" s="84">
        <v>25010</v>
      </c>
      <c r="G103" s="84">
        <v>28023</v>
      </c>
      <c r="H103" s="84">
        <v>35275</v>
      </c>
      <c r="I103" s="84">
        <v>40581</v>
      </c>
      <c r="J103" s="84">
        <v>43829</v>
      </c>
      <c r="K103" s="84">
        <v>49726</v>
      </c>
      <c r="L103" s="84">
        <v>46035</v>
      </c>
      <c r="M103" s="84">
        <v>51917</v>
      </c>
      <c r="N103" s="84">
        <v>58535</v>
      </c>
      <c r="O103" s="84">
        <v>62926</v>
      </c>
      <c r="P103" s="84">
        <v>67241</v>
      </c>
      <c r="Q103" s="84">
        <v>71703</v>
      </c>
      <c r="R103" s="84">
        <v>73651</v>
      </c>
      <c r="S103" s="84">
        <v>75500</v>
      </c>
      <c r="T103" s="84">
        <v>78703</v>
      </c>
      <c r="U103" s="84">
        <v>82361</v>
      </c>
      <c r="V103" s="84">
        <v>86341</v>
      </c>
      <c r="W103" s="84">
        <v>90527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0</v>
      </c>
      <c r="P106" s="84">
        <v>0</v>
      </c>
      <c r="Q106" s="84">
        <v>0</v>
      </c>
      <c r="R106" s="84">
        <v>0</v>
      </c>
      <c r="S106" s="84">
        <v>0</v>
      </c>
      <c r="T106" s="84">
        <v>0</v>
      </c>
      <c r="U106" s="84">
        <v>0</v>
      </c>
      <c r="V106" s="84">
        <v>0</v>
      </c>
      <c r="W106" s="84">
        <v>0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27425</v>
      </c>
      <c r="C107" s="110">
        <f t="shared" si="164"/>
        <v>27394</v>
      </c>
      <c r="D107" s="110">
        <f t="shared" ref="D107:V107" si="165">SUM(D108:D109)</f>
        <v>27778</v>
      </c>
      <c r="E107" s="110">
        <f t="shared" si="165"/>
        <v>35506</v>
      </c>
      <c r="F107" s="110">
        <f t="shared" si="165"/>
        <v>35911</v>
      </c>
      <c r="G107" s="110">
        <f t="shared" si="165"/>
        <v>33256</v>
      </c>
      <c r="H107" s="110">
        <f t="shared" si="165"/>
        <v>34995</v>
      </c>
      <c r="I107" s="110">
        <f t="shared" si="165"/>
        <v>38962</v>
      </c>
      <c r="J107" s="110">
        <f t="shared" si="165"/>
        <v>34783</v>
      </c>
      <c r="K107" s="110">
        <f t="shared" si="165"/>
        <v>33599</v>
      </c>
      <c r="L107" s="110">
        <f t="shared" si="165"/>
        <v>31601</v>
      </c>
      <c r="M107" s="110">
        <f t="shared" si="165"/>
        <v>32136</v>
      </c>
      <c r="N107" s="110">
        <f t="shared" si="165"/>
        <v>34357</v>
      </c>
      <c r="O107" s="110">
        <f t="shared" si="165"/>
        <v>36604</v>
      </c>
      <c r="P107" s="110">
        <f t="shared" si="165"/>
        <v>38578</v>
      </c>
      <c r="Q107" s="110">
        <f t="shared" si="165"/>
        <v>37595</v>
      </c>
      <c r="R107" s="110">
        <f t="shared" si="165"/>
        <v>38363</v>
      </c>
      <c r="S107" s="110">
        <f t="shared" si="165"/>
        <v>36942</v>
      </c>
      <c r="T107" s="110">
        <f t="shared" si="165"/>
        <v>40475</v>
      </c>
      <c r="U107" s="110">
        <f t="shared" si="165"/>
        <v>39051</v>
      </c>
      <c r="V107" s="110">
        <f t="shared" si="165"/>
        <v>40771</v>
      </c>
      <c r="W107" s="110">
        <f t="shared" ref="W107" si="166">SUM(W108:W109)</f>
        <v>45680</v>
      </c>
      <c r="DA107" s="176"/>
    </row>
    <row r="108" spans="1:105" ht="11.45" hidden="1" customHeight="1" x14ac:dyDescent="0.25">
      <c r="A108" s="128" t="s">
        <v>27</v>
      </c>
      <c r="B108" s="102">
        <v>26106</v>
      </c>
      <c r="C108" s="102">
        <v>25980</v>
      </c>
      <c r="D108" s="102">
        <v>26291</v>
      </c>
      <c r="E108" s="102">
        <v>33986</v>
      </c>
      <c r="F108" s="102">
        <v>34113</v>
      </c>
      <c r="G108" s="102">
        <v>31395</v>
      </c>
      <c r="H108" s="102">
        <v>32618</v>
      </c>
      <c r="I108" s="102">
        <v>36334</v>
      </c>
      <c r="J108" s="102">
        <v>32337</v>
      </c>
      <c r="K108" s="102">
        <v>31569</v>
      </c>
      <c r="L108" s="102">
        <v>29335</v>
      </c>
      <c r="M108" s="102">
        <v>29579</v>
      </c>
      <c r="N108" s="102">
        <v>31395</v>
      </c>
      <c r="O108" s="102">
        <v>33142</v>
      </c>
      <c r="P108" s="102">
        <v>35295</v>
      </c>
      <c r="Q108" s="102">
        <v>33929</v>
      </c>
      <c r="R108" s="102">
        <v>34596</v>
      </c>
      <c r="S108" s="102">
        <v>33160</v>
      </c>
      <c r="T108" s="102">
        <v>36871</v>
      </c>
      <c r="U108" s="102">
        <v>35496</v>
      </c>
      <c r="V108" s="102">
        <v>36813</v>
      </c>
      <c r="W108" s="102">
        <v>41605</v>
      </c>
      <c r="DA108" s="175"/>
    </row>
    <row r="109" spans="1:105" ht="11.45" hidden="1" customHeight="1" x14ac:dyDescent="0.25">
      <c r="A109" s="138" t="s">
        <v>116</v>
      </c>
      <c r="B109" s="86">
        <v>1319</v>
      </c>
      <c r="C109" s="86">
        <v>1414</v>
      </c>
      <c r="D109" s="86">
        <v>1487</v>
      </c>
      <c r="E109" s="86">
        <v>1520</v>
      </c>
      <c r="F109" s="86">
        <v>1798</v>
      </c>
      <c r="G109" s="86">
        <v>1861</v>
      </c>
      <c r="H109" s="86">
        <v>2377</v>
      </c>
      <c r="I109" s="86">
        <v>2628</v>
      </c>
      <c r="J109" s="86">
        <v>2446</v>
      </c>
      <c r="K109" s="86">
        <v>2030</v>
      </c>
      <c r="L109" s="86">
        <v>2266</v>
      </c>
      <c r="M109" s="86">
        <v>2557</v>
      </c>
      <c r="N109" s="86">
        <v>2962</v>
      </c>
      <c r="O109" s="86">
        <v>3462</v>
      </c>
      <c r="P109" s="86">
        <v>3283</v>
      </c>
      <c r="Q109" s="86">
        <v>3666</v>
      </c>
      <c r="R109" s="86">
        <v>3767</v>
      </c>
      <c r="S109" s="86">
        <v>3782</v>
      </c>
      <c r="T109" s="86">
        <v>3604</v>
      </c>
      <c r="U109" s="86">
        <v>3555</v>
      </c>
      <c r="V109" s="86">
        <v>3958</v>
      </c>
      <c r="W109" s="86">
        <v>4075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116761</v>
      </c>
      <c r="C111" s="54">
        <f t="shared" si="167"/>
        <v>150795</v>
      </c>
      <c r="D111" s="54">
        <f t="shared" si="167"/>
        <v>132770</v>
      </c>
      <c r="E111" s="54">
        <f t="shared" si="167"/>
        <v>173422</v>
      </c>
      <c r="F111" s="54">
        <f t="shared" si="167"/>
        <v>177863</v>
      </c>
      <c r="G111" s="54">
        <f t="shared" si="167"/>
        <v>203417</v>
      </c>
      <c r="H111" s="54">
        <f t="shared" si="167"/>
        <v>295019</v>
      </c>
      <c r="I111" s="54">
        <f t="shared" si="167"/>
        <v>195310</v>
      </c>
      <c r="J111" s="54">
        <f t="shared" si="167"/>
        <v>127304</v>
      </c>
      <c r="K111" s="54">
        <f t="shared" si="167"/>
        <v>59892</v>
      </c>
      <c r="L111" s="54">
        <f t="shared" ref="L111" si="168">L112+L127</f>
        <v>44405</v>
      </c>
      <c r="M111" s="54">
        <f t="shared" ref="M111:V111" si="169">M112+M127</f>
        <v>46130</v>
      </c>
      <c r="N111" s="54">
        <f t="shared" si="169"/>
        <v>251023</v>
      </c>
      <c r="O111" s="54">
        <f t="shared" si="169"/>
        <v>151278</v>
      </c>
      <c r="P111" s="54">
        <f t="shared" si="169"/>
        <v>159811</v>
      </c>
      <c r="Q111" s="54">
        <f t="shared" si="169"/>
        <v>211241</v>
      </c>
      <c r="R111" s="54">
        <f t="shared" si="169"/>
        <v>162146</v>
      </c>
      <c r="S111" s="54">
        <f t="shared" si="169"/>
        <v>185352</v>
      </c>
      <c r="T111" s="54">
        <f t="shared" si="169"/>
        <v>198345</v>
      </c>
      <c r="U111" s="54">
        <f t="shared" si="169"/>
        <v>199408</v>
      </c>
      <c r="V111" s="54">
        <f t="shared" si="169"/>
        <v>140926</v>
      </c>
      <c r="W111" s="54">
        <f t="shared" ref="W111" si="170">W112+W127</f>
        <v>127196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116629</v>
      </c>
      <c r="C112" s="28">
        <f t="shared" si="171"/>
        <v>145811</v>
      </c>
      <c r="D112" s="28">
        <f t="shared" si="171"/>
        <v>124459</v>
      </c>
      <c r="E112" s="28">
        <f t="shared" si="171"/>
        <v>161116</v>
      </c>
      <c r="F112" s="28">
        <f t="shared" si="171"/>
        <v>171532</v>
      </c>
      <c r="G112" s="28">
        <f t="shared" si="171"/>
        <v>196239</v>
      </c>
      <c r="H112" s="28">
        <f t="shared" si="171"/>
        <v>280539</v>
      </c>
      <c r="I112" s="28">
        <f t="shared" si="171"/>
        <v>181571</v>
      </c>
      <c r="J112" s="28">
        <f t="shared" si="171"/>
        <v>121177</v>
      </c>
      <c r="K112" s="28">
        <f t="shared" si="171"/>
        <v>49796</v>
      </c>
      <c r="L112" s="28">
        <f t="shared" ref="L112" si="172">L113+L114+L121</f>
        <v>43387</v>
      </c>
      <c r="M112" s="28">
        <f t="shared" ref="M112:V112" si="173">M113+M114+M121</f>
        <v>31674</v>
      </c>
      <c r="N112" s="28">
        <f t="shared" si="173"/>
        <v>234273</v>
      </c>
      <c r="O112" s="28">
        <f t="shared" si="173"/>
        <v>135321</v>
      </c>
      <c r="P112" s="28">
        <f t="shared" si="173"/>
        <v>144772</v>
      </c>
      <c r="Q112" s="28">
        <f t="shared" si="173"/>
        <v>199295</v>
      </c>
      <c r="R112" s="28">
        <f t="shared" si="173"/>
        <v>145602</v>
      </c>
      <c r="S112" s="28">
        <f t="shared" si="173"/>
        <v>168731</v>
      </c>
      <c r="T112" s="28">
        <f t="shared" si="173"/>
        <v>180006</v>
      </c>
      <c r="U112" s="28">
        <f t="shared" si="173"/>
        <v>182197</v>
      </c>
      <c r="V112" s="28">
        <f t="shared" si="173"/>
        <v>130004</v>
      </c>
      <c r="W112" s="28">
        <f t="shared" ref="W112" si="174">W113+W114+W121</f>
        <v>114277</v>
      </c>
      <c r="DA112" s="173" t="s">
        <v>526</v>
      </c>
    </row>
    <row r="113" spans="1:105" ht="11.45" customHeight="1" x14ac:dyDescent="0.25">
      <c r="A113" s="136" t="s">
        <v>180</v>
      </c>
      <c r="B113" s="137">
        <v>452</v>
      </c>
      <c r="C113" s="137">
        <v>840</v>
      </c>
      <c r="D113" s="137">
        <v>1292</v>
      </c>
      <c r="E113" s="137">
        <v>1405</v>
      </c>
      <c r="F113" s="137">
        <v>1579</v>
      </c>
      <c r="G113" s="137">
        <v>1984</v>
      </c>
      <c r="H113" s="137">
        <v>2948</v>
      </c>
      <c r="I113" s="137">
        <v>5311</v>
      </c>
      <c r="J113" s="137">
        <v>6746</v>
      </c>
      <c r="K113" s="137">
        <v>4668</v>
      </c>
      <c r="L113" s="137">
        <v>1568</v>
      </c>
      <c r="M113" s="137">
        <v>1700</v>
      </c>
      <c r="N113" s="137">
        <v>1557</v>
      </c>
      <c r="O113" s="137">
        <v>1604</v>
      </c>
      <c r="P113" s="137">
        <v>1742</v>
      </c>
      <c r="Q113" s="137">
        <v>1745</v>
      </c>
      <c r="R113" s="137">
        <v>3284</v>
      </c>
      <c r="S113" s="137">
        <v>3878</v>
      </c>
      <c r="T113" s="137">
        <v>4939</v>
      </c>
      <c r="U113" s="137">
        <v>11136</v>
      </c>
      <c r="V113" s="137">
        <v>11120</v>
      </c>
      <c r="W113" s="137">
        <v>12346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115808</v>
      </c>
      <c r="C114" s="110">
        <f t="shared" si="175"/>
        <v>144389</v>
      </c>
      <c r="D114" s="110">
        <f t="shared" si="175"/>
        <v>122398</v>
      </c>
      <c r="E114" s="110">
        <f t="shared" si="175"/>
        <v>158761</v>
      </c>
      <c r="F114" s="110">
        <f t="shared" si="175"/>
        <v>168807</v>
      </c>
      <c r="G114" s="110">
        <f t="shared" si="175"/>
        <v>192817</v>
      </c>
      <c r="H114" s="110">
        <f t="shared" si="175"/>
        <v>276356</v>
      </c>
      <c r="I114" s="110">
        <f t="shared" si="175"/>
        <v>175083</v>
      </c>
      <c r="J114" s="110">
        <f t="shared" si="175"/>
        <v>113512</v>
      </c>
      <c r="K114" s="110">
        <f t="shared" si="175"/>
        <v>44527</v>
      </c>
      <c r="L114" s="110">
        <f t="shared" ref="L114" si="176">SUM(L115:L120)</f>
        <v>41254</v>
      </c>
      <c r="M114" s="110">
        <f t="shared" ref="M114:V114" si="177">SUM(M115:M120)</f>
        <v>29371</v>
      </c>
      <c r="N114" s="110">
        <f t="shared" si="177"/>
        <v>232571</v>
      </c>
      <c r="O114" s="110">
        <f t="shared" si="177"/>
        <v>132447</v>
      </c>
      <c r="P114" s="110">
        <f t="shared" si="177"/>
        <v>142276</v>
      </c>
      <c r="Q114" s="110">
        <f t="shared" si="177"/>
        <v>196683</v>
      </c>
      <c r="R114" s="110">
        <f t="shared" si="177"/>
        <v>141667</v>
      </c>
      <c r="S114" s="110">
        <f t="shared" si="177"/>
        <v>163998</v>
      </c>
      <c r="T114" s="110">
        <f t="shared" si="177"/>
        <v>174017</v>
      </c>
      <c r="U114" s="110">
        <f t="shared" si="177"/>
        <v>170293</v>
      </c>
      <c r="V114" s="110">
        <f t="shared" si="177"/>
        <v>118010</v>
      </c>
      <c r="W114" s="110">
        <f t="shared" ref="W114" si="178">SUM(W115:W120)</f>
        <v>101071</v>
      </c>
      <c r="DA114" s="176" t="s">
        <v>528</v>
      </c>
    </row>
    <row r="115" spans="1:105" ht="11.45" customHeight="1" x14ac:dyDescent="0.25">
      <c r="A115" s="111" t="s">
        <v>110</v>
      </c>
      <c r="B115" s="84">
        <v>60808</v>
      </c>
      <c r="C115" s="84">
        <v>74342</v>
      </c>
      <c r="D115" s="84">
        <v>27787</v>
      </c>
      <c r="E115" s="84">
        <v>55184</v>
      </c>
      <c r="F115" s="84">
        <v>34095</v>
      </c>
      <c r="G115" s="84">
        <v>46836</v>
      </c>
      <c r="H115" s="84">
        <v>98738</v>
      </c>
      <c r="I115" s="84">
        <v>88458</v>
      </c>
      <c r="J115" s="84">
        <v>51877</v>
      </c>
      <c r="K115" s="84">
        <v>3375</v>
      </c>
      <c r="L115" s="84">
        <v>4</v>
      </c>
      <c r="M115" s="84">
        <v>28</v>
      </c>
      <c r="N115" s="84">
        <v>12</v>
      </c>
      <c r="O115" s="84">
        <v>16546</v>
      </c>
      <c r="P115" s="84">
        <v>36978</v>
      </c>
      <c r="Q115" s="84">
        <v>35344</v>
      </c>
      <c r="R115" s="84">
        <v>33009</v>
      </c>
      <c r="S115" s="84">
        <v>45181</v>
      </c>
      <c r="T115" s="84">
        <v>47169</v>
      </c>
      <c r="U115" s="84">
        <v>54886</v>
      </c>
      <c r="V115" s="84">
        <v>40343</v>
      </c>
      <c r="W115" s="84">
        <v>34102</v>
      </c>
      <c r="DA115" s="171" t="s">
        <v>529</v>
      </c>
    </row>
    <row r="116" spans="1:105" ht="11.45" customHeight="1" x14ac:dyDescent="0.25">
      <c r="A116" s="111" t="s">
        <v>111</v>
      </c>
      <c r="B116" s="84">
        <v>35000</v>
      </c>
      <c r="C116" s="84">
        <v>37047</v>
      </c>
      <c r="D116" s="84">
        <v>45130</v>
      </c>
      <c r="E116" s="84">
        <v>55429</v>
      </c>
      <c r="F116" s="84">
        <v>67236</v>
      </c>
      <c r="G116" s="84">
        <v>145981</v>
      </c>
      <c r="H116" s="84">
        <v>130192</v>
      </c>
      <c r="I116" s="84">
        <v>43353</v>
      </c>
      <c r="J116" s="84">
        <v>53861</v>
      </c>
      <c r="K116" s="84">
        <v>36553</v>
      </c>
      <c r="L116" s="84">
        <v>41250</v>
      </c>
      <c r="M116" s="84">
        <v>29341</v>
      </c>
      <c r="N116" s="84">
        <v>220756</v>
      </c>
      <c r="O116" s="84">
        <v>86712</v>
      </c>
      <c r="P116" s="84">
        <v>91258</v>
      </c>
      <c r="Q116" s="84">
        <v>147524</v>
      </c>
      <c r="R116" s="84">
        <v>100508</v>
      </c>
      <c r="S116" s="84">
        <v>110344</v>
      </c>
      <c r="T116" s="84">
        <v>110076</v>
      </c>
      <c r="U116" s="84">
        <v>94162</v>
      </c>
      <c r="V116" s="84">
        <v>57110</v>
      </c>
      <c r="W116" s="84">
        <v>57005</v>
      </c>
      <c r="DA116" s="171" t="s">
        <v>530</v>
      </c>
    </row>
    <row r="117" spans="1:105" ht="11.45" customHeight="1" x14ac:dyDescent="0.25">
      <c r="A117" s="111" t="s">
        <v>112</v>
      </c>
      <c r="B117" s="84">
        <v>20000</v>
      </c>
      <c r="C117" s="84">
        <v>33000</v>
      </c>
      <c r="D117" s="84">
        <v>49481</v>
      </c>
      <c r="E117" s="84">
        <v>48148</v>
      </c>
      <c r="F117" s="84">
        <v>67476</v>
      </c>
      <c r="G117" s="84">
        <v>0</v>
      </c>
      <c r="H117" s="84">
        <v>47426</v>
      </c>
      <c r="I117" s="84">
        <v>43272</v>
      </c>
      <c r="J117" s="84">
        <v>7774</v>
      </c>
      <c r="K117" s="84">
        <v>4599</v>
      </c>
      <c r="L117" s="84">
        <v>0</v>
      </c>
      <c r="M117" s="84">
        <v>0</v>
      </c>
      <c r="N117" s="84">
        <v>11802</v>
      </c>
      <c r="O117" s="84">
        <v>28052</v>
      </c>
      <c r="P117" s="84">
        <v>12162</v>
      </c>
      <c r="Q117" s="84">
        <v>12711</v>
      </c>
      <c r="R117" s="84">
        <v>6151</v>
      </c>
      <c r="S117" s="84">
        <v>5237</v>
      </c>
      <c r="T117" s="84">
        <v>10884</v>
      </c>
      <c r="U117" s="84">
        <v>13956</v>
      </c>
      <c r="V117" s="84">
        <v>11680</v>
      </c>
      <c r="W117" s="84">
        <v>6581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1</v>
      </c>
      <c r="O118" s="84">
        <v>4</v>
      </c>
      <c r="P118" s="84">
        <v>23</v>
      </c>
      <c r="Q118" s="84">
        <v>10</v>
      </c>
      <c r="R118" s="84">
        <v>12</v>
      </c>
      <c r="S118" s="84">
        <v>25</v>
      </c>
      <c r="T118" s="84">
        <v>26</v>
      </c>
      <c r="U118" s="84">
        <v>1</v>
      </c>
      <c r="V118" s="84">
        <v>82</v>
      </c>
      <c r="W118" s="84">
        <v>78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1129</v>
      </c>
      <c r="P119" s="84">
        <v>1798</v>
      </c>
      <c r="Q119" s="84">
        <v>988</v>
      </c>
      <c r="R119" s="84">
        <v>1785</v>
      </c>
      <c r="S119" s="84">
        <v>2928</v>
      </c>
      <c r="T119" s="84">
        <v>5518</v>
      </c>
      <c r="U119" s="84">
        <v>6860</v>
      </c>
      <c r="V119" s="84">
        <v>8202</v>
      </c>
      <c r="W119" s="84">
        <v>396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2</v>
      </c>
      <c r="N120" s="84">
        <v>0</v>
      </c>
      <c r="O120" s="84">
        <v>4</v>
      </c>
      <c r="P120" s="84">
        <v>57</v>
      </c>
      <c r="Q120" s="84">
        <v>106</v>
      </c>
      <c r="R120" s="84">
        <v>202</v>
      </c>
      <c r="S120" s="84">
        <v>283</v>
      </c>
      <c r="T120" s="84">
        <v>344</v>
      </c>
      <c r="U120" s="84">
        <v>428</v>
      </c>
      <c r="V120" s="84">
        <v>593</v>
      </c>
      <c r="W120" s="84">
        <v>2909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369</v>
      </c>
      <c r="C121" s="110">
        <f t="shared" si="179"/>
        <v>582</v>
      </c>
      <c r="D121" s="110">
        <f t="shared" si="179"/>
        <v>769</v>
      </c>
      <c r="E121" s="110">
        <f t="shared" si="179"/>
        <v>950</v>
      </c>
      <c r="F121" s="110">
        <f t="shared" si="179"/>
        <v>1146</v>
      </c>
      <c r="G121" s="110">
        <f t="shared" si="179"/>
        <v>1438</v>
      </c>
      <c r="H121" s="110">
        <f t="shared" si="179"/>
        <v>1235</v>
      </c>
      <c r="I121" s="110">
        <f t="shared" si="179"/>
        <v>1177</v>
      </c>
      <c r="J121" s="110">
        <f t="shared" si="179"/>
        <v>919</v>
      </c>
      <c r="K121" s="110">
        <f t="shared" si="179"/>
        <v>601</v>
      </c>
      <c r="L121" s="110">
        <f t="shared" ref="L121" si="180">SUM(L122:L126)</f>
        <v>565</v>
      </c>
      <c r="M121" s="110">
        <f t="shared" ref="M121:V121" si="181">SUM(M122:M126)</f>
        <v>603</v>
      </c>
      <c r="N121" s="110">
        <f t="shared" si="181"/>
        <v>145</v>
      </c>
      <c r="O121" s="110">
        <f t="shared" si="181"/>
        <v>1270</v>
      </c>
      <c r="P121" s="110">
        <f t="shared" si="181"/>
        <v>754</v>
      </c>
      <c r="Q121" s="110">
        <f t="shared" si="181"/>
        <v>867</v>
      </c>
      <c r="R121" s="110">
        <f t="shared" si="181"/>
        <v>651</v>
      </c>
      <c r="S121" s="110">
        <f t="shared" si="181"/>
        <v>855</v>
      </c>
      <c r="T121" s="110">
        <f t="shared" si="181"/>
        <v>1050</v>
      </c>
      <c r="U121" s="110">
        <f t="shared" si="181"/>
        <v>768</v>
      </c>
      <c r="V121" s="110">
        <f t="shared" si="181"/>
        <v>874</v>
      </c>
      <c r="W121" s="110">
        <f t="shared" ref="W121" si="182">SUM(W122:W126)</f>
        <v>860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17</v>
      </c>
      <c r="E122" s="102">
        <v>9</v>
      </c>
      <c r="F122" s="102">
        <v>0</v>
      </c>
      <c r="G122" s="102">
        <v>1</v>
      </c>
      <c r="H122" s="102">
        <v>2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161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369</v>
      </c>
      <c r="C123" s="102">
        <v>582</v>
      </c>
      <c r="D123" s="102">
        <v>750</v>
      </c>
      <c r="E123" s="102">
        <v>941</v>
      </c>
      <c r="F123" s="102">
        <v>1131</v>
      </c>
      <c r="G123" s="102">
        <v>1400</v>
      </c>
      <c r="H123" s="102">
        <v>1196</v>
      </c>
      <c r="I123" s="102">
        <v>1149</v>
      </c>
      <c r="J123" s="102">
        <v>914</v>
      </c>
      <c r="K123" s="102">
        <v>517</v>
      </c>
      <c r="L123" s="102">
        <v>515</v>
      </c>
      <c r="M123" s="102">
        <v>556</v>
      </c>
      <c r="N123" s="102">
        <v>145</v>
      </c>
      <c r="O123" s="102">
        <v>632</v>
      </c>
      <c r="P123" s="102">
        <v>632</v>
      </c>
      <c r="Q123" s="102">
        <v>632</v>
      </c>
      <c r="R123" s="102">
        <v>640</v>
      </c>
      <c r="S123" s="102">
        <v>828</v>
      </c>
      <c r="T123" s="102">
        <v>1017</v>
      </c>
      <c r="U123" s="102">
        <v>632</v>
      </c>
      <c r="V123" s="102">
        <v>632</v>
      </c>
      <c r="W123" s="102">
        <v>744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2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6</v>
      </c>
      <c r="N124" s="102">
        <v>0</v>
      </c>
      <c r="O124" s="102">
        <v>30</v>
      </c>
      <c r="P124" s="102">
        <v>79</v>
      </c>
      <c r="Q124" s="102">
        <v>1</v>
      </c>
      <c r="R124" s="102">
        <v>0</v>
      </c>
      <c r="S124" s="102">
        <v>6</v>
      </c>
      <c r="T124" s="102">
        <v>13</v>
      </c>
      <c r="U124" s="102">
        <v>41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80</v>
      </c>
      <c r="L125" s="102">
        <v>50</v>
      </c>
      <c r="M125" s="102">
        <v>39</v>
      </c>
      <c r="N125" s="102">
        <v>0</v>
      </c>
      <c r="O125" s="102">
        <v>97</v>
      </c>
      <c r="P125" s="102">
        <v>42</v>
      </c>
      <c r="Q125" s="102">
        <v>234</v>
      </c>
      <c r="R125" s="102">
        <v>4</v>
      </c>
      <c r="S125" s="102">
        <v>0</v>
      </c>
      <c r="T125" s="102">
        <v>0</v>
      </c>
      <c r="U125" s="102">
        <v>0</v>
      </c>
      <c r="V125" s="102">
        <v>235</v>
      </c>
      <c r="W125" s="102">
        <v>113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15</v>
      </c>
      <c r="G126" s="102">
        <v>37</v>
      </c>
      <c r="H126" s="102">
        <v>37</v>
      </c>
      <c r="I126" s="102">
        <v>28</v>
      </c>
      <c r="J126" s="102">
        <v>5</v>
      </c>
      <c r="K126" s="102">
        <v>4</v>
      </c>
      <c r="L126" s="102">
        <v>0</v>
      </c>
      <c r="M126" s="102">
        <v>2</v>
      </c>
      <c r="N126" s="102">
        <v>0</v>
      </c>
      <c r="O126" s="102">
        <v>350</v>
      </c>
      <c r="P126" s="102">
        <v>1</v>
      </c>
      <c r="Q126" s="102">
        <v>0</v>
      </c>
      <c r="R126" s="102">
        <v>7</v>
      </c>
      <c r="S126" s="102">
        <v>21</v>
      </c>
      <c r="T126" s="102">
        <v>20</v>
      </c>
      <c r="U126" s="102">
        <v>95</v>
      </c>
      <c r="V126" s="102">
        <v>7</v>
      </c>
      <c r="W126" s="102">
        <v>3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132</v>
      </c>
      <c r="C127" s="28">
        <f t="shared" si="183"/>
        <v>4984</v>
      </c>
      <c r="D127" s="28">
        <f t="shared" si="183"/>
        <v>8311</v>
      </c>
      <c r="E127" s="28">
        <f t="shared" si="183"/>
        <v>12306</v>
      </c>
      <c r="F127" s="28">
        <f t="shared" si="183"/>
        <v>6331</v>
      </c>
      <c r="G127" s="28">
        <f t="shared" si="183"/>
        <v>7178</v>
      </c>
      <c r="H127" s="28">
        <f t="shared" si="183"/>
        <v>14480</v>
      </c>
      <c r="I127" s="28">
        <f t="shared" si="183"/>
        <v>13739</v>
      </c>
      <c r="J127" s="28">
        <f t="shared" si="183"/>
        <v>6127</v>
      </c>
      <c r="K127" s="28">
        <f t="shared" si="183"/>
        <v>10096</v>
      </c>
      <c r="L127" s="28">
        <f t="shared" ref="L127" si="184">L128+L134</f>
        <v>1018</v>
      </c>
      <c r="M127" s="28">
        <f t="shared" ref="M127:V127" si="185">M128+M134</f>
        <v>14456</v>
      </c>
      <c r="N127" s="28">
        <f t="shared" si="185"/>
        <v>16750</v>
      </c>
      <c r="O127" s="28">
        <f t="shared" si="185"/>
        <v>15957</v>
      </c>
      <c r="P127" s="28">
        <f t="shared" si="185"/>
        <v>15039</v>
      </c>
      <c r="Q127" s="28">
        <f t="shared" si="185"/>
        <v>11946</v>
      </c>
      <c r="R127" s="28">
        <f t="shared" si="185"/>
        <v>16544</v>
      </c>
      <c r="S127" s="28">
        <f t="shared" si="185"/>
        <v>16621</v>
      </c>
      <c r="T127" s="28">
        <f t="shared" si="185"/>
        <v>18339</v>
      </c>
      <c r="U127" s="28">
        <f t="shared" si="185"/>
        <v>17211</v>
      </c>
      <c r="V127" s="28">
        <f t="shared" si="185"/>
        <v>10922</v>
      </c>
      <c r="W127" s="28">
        <f t="shared" ref="W127" si="186">W128+W134</f>
        <v>12919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3466</v>
      </c>
      <c r="D128" s="137">
        <f t="shared" si="187"/>
        <v>4730</v>
      </c>
      <c r="E128" s="137">
        <f t="shared" si="187"/>
        <v>4458</v>
      </c>
      <c r="F128" s="137">
        <f t="shared" si="187"/>
        <v>4177</v>
      </c>
      <c r="G128" s="137">
        <f t="shared" si="187"/>
        <v>5184</v>
      </c>
      <c r="H128" s="137">
        <f t="shared" si="187"/>
        <v>10133</v>
      </c>
      <c r="I128" s="137">
        <f t="shared" si="187"/>
        <v>8201</v>
      </c>
      <c r="J128" s="137">
        <f t="shared" si="187"/>
        <v>5747</v>
      </c>
      <c r="K128" s="137">
        <f t="shared" si="187"/>
        <v>9773</v>
      </c>
      <c r="L128" s="137">
        <f t="shared" ref="L128" si="188">SUM(L129:L133)</f>
        <v>290</v>
      </c>
      <c r="M128" s="137">
        <f t="shared" ref="M128:V128" si="189">SUM(M129:M133)</f>
        <v>10497</v>
      </c>
      <c r="N128" s="137">
        <f t="shared" si="189"/>
        <v>11829</v>
      </c>
      <c r="O128" s="137">
        <f t="shared" si="189"/>
        <v>10336</v>
      </c>
      <c r="P128" s="137">
        <f t="shared" si="189"/>
        <v>10714</v>
      </c>
      <c r="Q128" s="137">
        <f t="shared" si="189"/>
        <v>10942</v>
      </c>
      <c r="R128" s="137">
        <f t="shared" si="189"/>
        <v>11254</v>
      </c>
      <c r="S128" s="137">
        <f t="shared" si="189"/>
        <v>12072</v>
      </c>
      <c r="T128" s="137">
        <f t="shared" si="189"/>
        <v>12507</v>
      </c>
      <c r="U128" s="137">
        <f t="shared" si="189"/>
        <v>12295</v>
      </c>
      <c r="V128" s="137">
        <f t="shared" si="189"/>
        <v>6909</v>
      </c>
      <c r="W128" s="137">
        <f t="shared" ref="W128" si="190">SUM(W129:W133)</f>
        <v>7653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409</v>
      </c>
      <c r="D129" s="84">
        <v>409</v>
      </c>
      <c r="E129" s="84">
        <v>378</v>
      </c>
      <c r="F129" s="84">
        <v>354</v>
      </c>
      <c r="G129" s="84">
        <v>392</v>
      </c>
      <c r="H129" s="84">
        <v>1168</v>
      </c>
      <c r="I129" s="84">
        <v>951</v>
      </c>
      <c r="J129" s="84">
        <v>0</v>
      </c>
      <c r="K129" s="84">
        <v>727</v>
      </c>
      <c r="L129" s="84">
        <v>290</v>
      </c>
      <c r="M129" s="84">
        <v>278</v>
      </c>
      <c r="N129" s="84">
        <v>293</v>
      </c>
      <c r="O129" s="84">
        <v>299</v>
      </c>
      <c r="P129" s="84">
        <v>269</v>
      </c>
      <c r="Q129" s="84">
        <v>224</v>
      </c>
      <c r="R129" s="84">
        <v>232</v>
      </c>
      <c r="S129" s="84">
        <v>256</v>
      </c>
      <c r="T129" s="84">
        <v>303</v>
      </c>
      <c r="U129" s="84">
        <v>873</v>
      </c>
      <c r="V129" s="84">
        <v>183</v>
      </c>
      <c r="W129" s="84">
        <v>247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3057</v>
      </c>
      <c r="D130" s="84">
        <v>4321</v>
      </c>
      <c r="E130" s="84">
        <v>4080</v>
      </c>
      <c r="F130" s="84">
        <v>3823</v>
      </c>
      <c r="G130" s="84">
        <v>4792</v>
      </c>
      <c r="H130" s="84">
        <v>8965</v>
      </c>
      <c r="I130" s="84">
        <v>7250</v>
      </c>
      <c r="J130" s="84">
        <v>5747</v>
      </c>
      <c r="K130" s="84">
        <v>9046</v>
      </c>
      <c r="L130" s="84">
        <v>0</v>
      </c>
      <c r="M130" s="84">
        <v>10219</v>
      </c>
      <c r="N130" s="84">
        <v>11536</v>
      </c>
      <c r="O130" s="84">
        <v>10037</v>
      </c>
      <c r="P130" s="84">
        <v>10445</v>
      </c>
      <c r="Q130" s="84">
        <v>10718</v>
      </c>
      <c r="R130" s="84">
        <v>11022</v>
      </c>
      <c r="S130" s="84">
        <v>11816</v>
      </c>
      <c r="T130" s="84">
        <v>12204</v>
      </c>
      <c r="U130" s="84">
        <v>11422</v>
      </c>
      <c r="V130" s="84">
        <v>6726</v>
      </c>
      <c r="W130" s="84">
        <v>7406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0</v>
      </c>
      <c r="P133" s="84">
        <v>0</v>
      </c>
      <c r="Q133" s="84">
        <v>0</v>
      </c>
      <c r="R133" s="84">
        <v>0</v>
      </c>
      <c r="S133" s="84">
        <v>0</v>
      </c>
      <c r="T133" s="84">
        <v>0</v>
      </c>
      <c r="U133" s="84">
        <v>0</v>
      </c>
      <c r="V133" s="84">
        <v>0</v>
      </c>
      <c r="W133" s="84">
        <v>0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132</v>
      </c>
      <c r="C134" s="110">
        <f t="shared" si="191"/>
        <v>1518</v>
      </c>
      <c r="D134" s="110">
        <f t="shared" si="191"/>
        <v>3581</v>
      </c>
      <c r="E134" s="110">
        <f t="shared" si="191"/>
        <v>7848</v>
      </c>
      <c r="F134" s="110">
        <f t="shared" si="191"/>
        <v>2154</v>
      </c>
      <c r="G134" s="110">
        <f t="shared" si="191"/>
        <v>1994</v>
      </c>
      <c r="H134" s="110">
        <f t="shared" si="191"/>
        <v>4347</v>
      </c>
      <c r="I134" s="110">
        <f t="shared" si="191"/>
        <v>5538</v>
      </c>
      <c r="J134" s="110">
        <f t="shared" si="191"/>
        <v>380</v>
      </c>
      <c r="K134" s="110">
        <f t="shared" si="191"/>
        <v>323</v>
      </c>
      <c r="L134" s="110">
        <f t="shared" ref="L134" si="192">SUM(L135:L136)</f>
        <v>728</v>
      </c>
      <c r="M134" s="110">
        <f t="shared" ref="M134:V134" si="193">SUM(M135:M136)</f>
        <v>3959</v>
      </c>
      <c r="N134" s="110">
        <f t="shared" si="193"/>
        <v>4921</v>
      </c>
      <c r="O134" s="110">
        <f t="shared" si="193"/>
        <v>5621</v>
      </c>
      <c r="P134" s="110">
        <f t="shared" si="193"/>
        <v>4325</v>
      </c>
      <c r="Q134" s="110">
        <f t="shared" si="193"/>
        <v>1004</v>
      </c>
      <c r="R134" s="110">
        <f t="shared" si="193"/>
        <v>5290</v>
      </c>
      <c r="S134" s="110">
        <f t="shared" si="193"/>
        <v>4549</v>
      </c>
      <c r="T134" s="110">
        <f t="shared" si="193"/>
        <v>5832</v>
      </c>
      <c r="U134" s="110">
        <f t="shared" si="193"/>
        <v>4916</v>
      </c>
      <c r="V134" s="110">
        <f t="shared" si="193"/>
        <v>4013</v>
      </c>
      <c r="W134" s="110">
        <f t="shared" ref="W134" si="194">SUM(W135:W136)</f>
        <v>5266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1337</v>
      </c>
      <c r="D135" s="102">
        <v>3404</v>
      </c>
      <c r="E135" s="102">
        <v>7695</v>
      </c>
      <c r="F135" s="102">
        <v>1741</v>
      </c>
      <c r="G135" s="102">
        <v>1779</v>
      </c>
      <c r="H135" s="102">
        <v>3665</v>
      </c>
      <c r="I135" s="102">
        <v>5103</v>
      </c>
      <c r="J135" s="102">
        <v>363</v>
      </c>
      <c r="K135" s="102">
        <v>323</v>
      </c>
      <c r="L135" s="102">
        <v>316</v>
      </c>
      <c r="M135" s="102">
        <v>3485</v>
      </c>
      <c r="N135" s="102">
        <v>4316</v>
      </c>
      <c r="O135" s="102">
        <v>4900</v>
      </c>
      <c r="P135" s="102">
        <v>4257</v>
      </c>
      <c r="Q135" s="102">
        <v>353</v>
      </c>
      <c r="R135" s="102">
        <v>4898</v>
      </c>
      <c r="S135" s="102">
        <v>4219</v>
      </c>
      <c r="T135" s="102">
        <v>5676</v>
      </c>
      <c r="U135" s="102">
        <v>4619</v>
      </c>
      <c r="V135" s="102">
        <v>3259</v>
      </c>
      <c r="W135" s="102">
        <v>4792</v>
      </c>
      <c r="DA135" s="175" t="s">
        <v>549</v>
      </c>
    </row>
    <row r="136" spans="1:105" ht="11.45" customHeight="1" x14ac:dyDescent="0.25">
      <c r="A136" s="138" t="s">
        <v>116</v>
      </c>
      <c r="B136" s="86">
        <v>132</v>
      </c>
      <c r="C136" s="86">
        <v>181</v>
      </c>
      <c r="D136" s="86">
        <v>177</v>
      </c>
      <c r="E136" s="86">
        <v>153</v>
      </c>
      <c r="F136" s="86">
        <v>413</v>
      </c>
      <c r="G136" s="86">
        <v>215</v>
      </c>
      <c r="H136" s="86">
        <v>682</v>
      </c>
      <c r="I136" s="86">
        <v>435</v>
      </c>
      <c r="J136" s="86">
        <v>17</v>
      </c>
      <c r="K136" s="86">
        <v>0</v>
      </c>
      <c r="L136" s="86">
        <v>412</v>
      </c>
      <c r="M136" s="86">
        <v>474</v>
      </c>
      <c r="N136" s="86">
        <v>605</v>
      </c>
      <c r="O136" s="86">
        <v>721</v>
      </c>
      <c r="P136" s="86">
        <v>68</v>
      </c>
      <c r="Q136" s="86">
        <v>651</v>
      </c>
      <c r="R136" s="86">
        <v>392</v>
      </c>
      <c r="S136" s="86">
        <v>330</v>
      </c>
      <c r="T136" s="86">
        <v>156</v>
      </c>
      <c r="U136" s="86">
        <v>297</v>
      </c>
      <c r="V136" s="86">
        <v>754</v>
      </c>
      <c r="W136" s="86">
        <v>474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3.0705679798920014</v>
      </c>
      <c r="C141" s="32">
        <f t="shared" si="195"/>
        <v>3.0266415648369578</v>
      </c>
      <c r="D141" s="32">
        <f t="shared" si="195"/>
        <v>2.8516722228230118</v>
      </c>
      <c r="E141" s="32">
        <f t="shared" si="195"/>
        <v>2.7929575453067925</v>
      </c>
      <c r="F141" s="32">
        <f t="shared" si="195"/>
        <v>2.7312900545687029</v>
      </c>
      <c r="G141" s="32">
        <f t="shared" si="195"/>
        <v>2.7043913529856534</v>
      </c>
      <c r="H141" s="32">
        <f t="shared" si="195"/>
        <v>2.6574629706619088</v>
      </c>
      <c r="I141" s="32">
        <f t="shared" si="195"/>
        <v>2.4135058691710642</v>
      </c>
      <c r="J141" s="32">
        <f t="shared" si="195"/>
        <v>2.371841249593992</v>
      </c>
      <c r="K141" s="32">
        <f t="shared" si="195"/>
        <v>2.3336682864868874</v>
      </c>
      <c r="L141" s="32">
        <f t="shared" ref="L141" si="196">IF(L4=0,0,L4/L31)</f>
        <v>2.1135525105684079</v>
      </c>
      <c r="M141" s="32">
        <f t="shared" ref="M141:V141" si="197">IF(M4=0,0,M4/M31)</f>
        <v>2.121171088196792</v>
      </c>
      <c r="N141" s="32">
        <f t="shared" si="197"/>
        <v>2.0756774296445788</v>
      </c>
      <c r="O141" s="32">
        <f t="shared" si="197"/>
        <v>2.0788925409988281</v>
      </c>
      <c r="P141" s="32">
        <f t="shared" si="197"/>
        <v>1.6547380694381757</v>
      </c>
      <c r="Q141" s="32">
        <f t="shared" si="197"/>
        <v>1.5669207252535629</v>
      </c>
      <c r="R141" s="32">
        <f t="shared" si="197"/>
        <v>1.4166085131495461</v>
      </c>
      <c r="S141" s="32">
        <f t="shared" si="197"/>
        <v>1.5972551705378273</v>
      </c>
      <c r="T141" s="32">
        <f t="shared" si="197"/>
        <v>1.4378930345834664</v>
      </c>
      <c r="U141" s="32">
        <f t="shared" si="197"/>
        <v>1.4348255649993873</v>
      </c>
      <c r="V141" s="32">
        <f t="shared" si="197"/>
        <v>1.2894147261102986</v>
      </c>
      <c r="W141" s="32">
        <f t="shared" ref="W141" si="198">IF(W4=0,0,W4/W31)</f>
        <v>1.3804762803030004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1.1549251164250132</v>
      </c>
      <c r="D142" s="141">
        <v>1.1547244330057378</v>
      </c>
      <c r="E142" s="141">
        <v>1.1552093820866822</v>
      </c>
      <c r="F142" s="141">
        <v>1.1553640856511076</v>
      </c>
      <c r="G142" s="141">
        <v>1.1543178727366701</v>
      </c>
      <c r="H142" s="141">
        <v>1.1546398637822317</v>
      </c>
      <c r="I142" s="141">
        <v>1.156493139331968</v>
      </c>
      <c r="J142" s="141">
        <v>1.1571017737935942</v>
      </c>
      <c r="K142" s="141">
        <v>1.1576570562583655</v>
      </c>
      <c r="L142" s="141">
        <v>1.1556682113354202</v>
      </c>
      <c r="M142" s="141">
        <v>1.1546558434345868</v>
      </c>
      <c r="N142" s="141">
        <v>1.1475295413899496</v>
      </c>
      <c r="O142" s="141">
        <v>1.1469392088128179</v>
      </c>
      <c r="P142" s="141">
        <v>1.1494295322312345</v>
      </c>
      <c r="Q142" s="141">
        <v>1.1514161199072459</v>
      </c>
      <c r="R142" s="141">
        <v>1.1531350149104946</v>
      </c>
      <c r="S142" s="141">
        <v>1.1517555220688394</v>
      </c>
      <c r="T142" s="141">
        <v>1.1505852901514408</v>
      </c>
      <c r="U142" s="141">
        <v>1.1516873489930481</v>
      </c>
      <c r="V142" s="141">
        <v>1.150514669491935</v>
      </c>
      <c r="W142" s="141">
        <v>1.150752971970556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2.8155770206227939</v>
      </c>
      <c r="C143" s="130">
        <f t="shared" si="199"/>
        <v>2.767965113441905</v>
      </c>
      <c r="D143" s="130">
        <f t="shared" si="199"/>
        <v>2.5909889777529043</v>
      </c>
      <c r="E143" s="130">
        <f t="shared" si="199"/>
        <v>2.5641403403650931</v>
      </c>
      <c r="F143" s="130">
        <f t="shared" si="199"/>
        <v>2.4804152587615698</v>
      </c>
      <c r="G143" s="130">
        <f t="shared" si="199"/>
        <v>2.470577057545654</v>
      </c>
      <c r="H143" s="130">
        <f t="shared" si="199"/>
        <v>2.4518689042519339</v>
      </c>
      <c r="I143" s="130">
        <f t="shared" si="199"/>
        <v>2.2268484491247467</v>
      </c>
      <c r="J143" s="130">
        <f t="shared" si="199"/>
        <v>2.1935808771445142</v>
      </c>
      <c r="K143" s="130">
        <f t="shared" si="199"/>
        <v>2.185661619254704</v>
      </c>
      <c r="L143" s="130">
        <f t="shared" ref="L143" si="200">IF(L6=0,0,L6/L33)</f>
        <v>1.9680142056665937</v>
      </c>
      <c r="M143" s="130">
        <f t="shared" ref="M143:V143" si="201">IF(M6=0,0,M6/M33)</f>
        <v>1.9601462728927601</v>
      </c>
      <c r="N143" s="130">
        <f t="shared" si="201"/>
        <v>1.936648035941982</v>
      </c>
      <c r="O143" s="130">
        <f t="shared" si="201"/>
        <v>1.9313600498482801</v>
      </c>
      <c r="P143" s="130">
        <f t="shared" si="201"/>
        <v>1.4866985745169341</v>
      </c>
      <c r="Q143" s="130">
        <f t="shared" si="201"/>
        <v>1.4223369639021139</v>
      </c>
      <c r="R143" s="130">
        <f t="shared" si="201"/>
        <v>1.2941419877541893</v>
      </c>
      <c r="S143" s="130">
        <f t="shared" si="201"/>
        <v>1.47871882240451</v>
      </c>
      <c r="T143" s="130">
        <f t="shared" si="201"/>
        <v>1.3218875636219936</v>
      </c>
      <c r="U143" s="130">
        <f t="shared" si="201"/>
        <v>1.3218373413961551</v>
      </c>
      <c r="V143" s="130">
        <f t="shared" si="201"/>
        <v>1.2295301175205249</v>
      </c>
      <c r="W143" s="130">
        <f t="shared" ref="W143" si="202">IF(W6=0,0,W6/W33)</f>
        <v>1.3251244620191767</v>
      </c>
      <c r="DA143" s="176" t="s">
        <v>553</v>
      </c>
    </row>
    <row r="144" spans="1:105" ht="11.45" customHeight="1" x14ac:dyDescent="0.25">
      <c r="A144" s="111" t="s">
        <v>110</v>
      </c>
      <c r="B144" s="96">
        <v>2.7904121874204142</v>
      </c>
      <c r="C144" s="96">
        <v>2.7355404271892922</v>
      </c>
      <c r="D144" s="96">
        <v>2.5603821554606765</v>
      </c>
      <c r="E144" s="96">
        <v>2.527844550450058</v>
      </c>
      <c r="F144" s="96">
        <v>2.4440021794866169</v>
      </c>
      <c r="G144" s="96">
        <v>2.4237856995916496</v>
      </c>
      <c r="H144" s="96">
        <v>2.4006619949789587</v>
      </c>
      <c r="I144" s="96">
        <v>2.1845611473675173</v>
      </c>
      <c r="J144" s="96">
        <v>2.1505922042219661</v>
      </c>
      <c r="K144" s="96">
        <v>2.1355675884454879</v>
      </c>
      <c r="L144" s="96">
        <v>1.9179697600898435</v>
      </c>
      <c r="M144" s="96">
        <v>1.9093346958578417</v>
      </c>
      <c r="N144" s="96">
        <v>1.8781161979261503</v>
      </c>
      <c r="O144" s="96">
        <v>1.8722519949666576</v>
      </c>
      <c r="P144" s="96">
        <v>1.4420280376488863</v>
      </c>
      <c r="Q144" s="96">
        <v>1.3780293560313606</v>
      </c>
      <c r="R144" s="96">
        <v>1.2521088832297191</v>
      </c>
      <c r="S144" s="96">
        <v>1.4297014904196657</v>
      </c>
      <c r="T144" s="96">
        <v>1.278123554218648</v>
      </c>
      <c r="U144" s="96">
        <v>1.2783562734820657</v>
      </c>
      <c r="V144" s="96">
        <v>1.1894846722141021</v>
      </c>
      <c r="W144" s="96">
        <v>1.2820172394969758</v>
      </c>
      <c r="DA144" s="171" t="s">
        <v>554</v>
      </c>
    </row>
    <row r="145" spans="1:105" ht="11.45" customHeight="1" x14ac:dyDescent="0.25">
      <c r="A145" s="111" t="s">
        <v>111</v>
      </c>
      <c r="B145" s="96">
        <v>2.9134082616711683</v>
      </c>
      <c r="C145" s="96">
        <v>2.8561178583714417</v>
      </c>
      <c r="D145" s="96">
        <v>2.6732389423981173</v>
      </c>
      <c r="E145" s="96">
        <v>2.6392671415006461</v>
      </c>
      <c r="F145" s="96">
        <v>2.5517291579209505</v>
      </c>
      <c r="G145" s="96">
        <v>2.5306215739541691</v>
      </c>
      <c r="H145" s="96">
        <v>2.5064786203207357</v>
      </c>
      <c r="I145" s="96">
        <v>2.2808524574106115</v>
      </c>
      <c r="J145" s="96">
        <v>2.2453862277092655</v>
      </c>
      <c r="K145" s="96">
        <v>2.2296993553794491</v>
      </c>
      <c r="L145" s="96">
        <v>2.0025102276545264</v>
      </c>
      <c r="M145" s="96">
        <v>1.9934945461767184</v>
      </c>
      <c r="N145" s="96">
        <v>1.9608999960951279</v>
      </c>
      <c r="O145" s="96">
        <v>1.9547773101968504</v>
      </c>
      <c r="P145" s="96">
        <v>1.5055898972156967</v>
      </c>
      <c r="Q145" s="96">
        <v>1.438770275153721</v>
      </c>
      <c r="R145" s="96">
        <v>1.3072994668524633</v>
      </c>
      <c r="S145" s="96">
        <v>1.4927200191749579</v>
      </c>
      <c r="T145" s="96">
        <v>1.3344608151742208</v>
      </c>
      <c r="U145" s="96">
        <v>1.3347037922611713</v>
      </c>
      <c r="V145" s="96">
        <v>1.2419148994483904</v>
      </c>
      <c r="W145" s="96">
        <v>1.3385261267111213</v>
      </c>
      <c r="DA145" s="171" t="s">
        <v>555</v>
      </c>
    </row>
    <row r="146" spans="1:105" ht="11.45" customHeight="1" x14ac:dyDescent="0.25">
      <c r="A146" s="111" t="s">
        <v>112</v>
      </c>
      <c r="B146" s="96">
        <v>2.7311097100041102</v>
      </c>
      <c r="C146" s="96">
        <v>2.6849261600386476</v>
      </c>
      <c r="D146" s="96">
        <v>2.513259308420317</v>
      </c>
      <c r="E146" s="96">
        <v>2.48721613015414</v>
      </c>
      <c r="F146" s="96">
        <v>2.4060028009987224</v>
      </c>
      <c r="G146" s="96">
        <v>2.3964597458192842</v>
      </c>
      <c r="H146" s="96">
        <v>2.3783128371243758</v>
      </c>
      <c r="I146" s="96">
        <v>2.1600429956510041</v>
      </c>
      <c r="J146" s="96">
        <v>2.1277734508301789</v>
      </c>
      <c r="K146" s="96">
        <v>2.120091770677063</v>
      </c>
      <c r="L146" s="96">
        <v>1.908973779496596</v>
      </c>
      <c r="M146" s="96">
        <v>1.9013418847059773</v>
      </c>
      <c r="N146" s="96">
        <v>1.8785485948637224</v>
      </c>
      <c r="O146" s="96">
        <v>1.873419248352832</v>
      </c>
      <c r="P146" s="96">
        <v>1.4420976172814259</v>
      </c>
      <c r="Q146" s="96">
        <v>1.3796668549850506</v>
      </c>
      <c r="R146" s="96">
        <v>1.2553177281215633</v>
      </c>
      <c r="S146" s="96">
        <v>1.4343572577323749</v>
      </c>
      <c r="T146" s="96">
        <v>1.2822309367133338</v>
      </c>
      <c r="U146" s="96">
        <v>1.2821822211542706</v>
      </c>
      <c r="V146" s="96">
        <v>1.1926442139949092</v>
      </c>
      <c r="W146" s="96">
        <v>1.2853707281586013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1.8785485948637224</v>
      </c>
      <c r="O147" s="96">
        <v>1.8734192483528318</v>
      </c>
      <c r="P147" s="96">
        <v>1.4420976172814259</v>
      </c>
      <c r="Q147" s="96">
        <v>1.3796668549850506</v>
      </c>
      <c r="R147" s="96">
        <v>1.2553177281215633</v>
      </c>
      <c r="S147" s="96">
        <v>1.4343572577323747</v>
      </c>
      <c r="T147" s="96">
        <v>1.2822309367133338</v>
      </c>
      <c r="U147" s="96">
        <v>1.2821822211542706</v>
      </c>
      <c r="V147" s="96">
        <v>1.1926442139949092</v>
      </c>
      <c r="W147" s="96">
        <v>1.2853707281586013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1.873419248352832</v>
      </c>
      <c r="P148" s="96">
        <v>1.4420976172814259</v>
      </c>
      <c r="Q148" s="96">
        <v>1.3796668549850506</v>
      </c>
      <c r="R148" s="96">
        <v>1.2553177281215633</v>
      </c>
      <c r="S148" s="96">
        <v>1.4343572577323747</v>
      </c>
      <c r="T148" s="96">
        <v>1.2822309367133338</v>
      </c>
      <c r="U148" s="96">
        <v>1.2821822211542706</v>
      </c>
      <c r="V148" s="96">
        <v>1.1926442139949092</v>
      </c>
      <c r="W148" s="96">
        <v>1.2853707281586013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1.7641316456034841</v>
      </c>
      <c r="N149" s="96">
        <v>1.7429832323477839</v>
      </c>
      <c r="O149" s="96">
        <v>1.7382240448634525</v>
      </c>
      <c r="P149" s="96">
        <v>1.3380287170652407</v>
      </c>
      <c r="Q149" s="96">
        <v>1.2801032675119026</v>
      </c>
      <c r="R149" s="96">
        <v>1.1647277889787702</v>
      </c>
      <c r="S149" s="96">
        <v>1.330846940164059</v>
      </c>
      <c r="T149" s="96">
        <v>1.1896988072597943</v>
      </c>
      <c r="U149" s="96">
        <v>1.1896536072565398</v>
      </c>
      <c r="V149" s="96">
        <v>1.1065771057684723</v>
      </c>
      <c r="W149" s="96">
        <v>1.1926120158172588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28.861304709712854</v>
      </c>
      <c r="C150" s="130">
        <f t="shared" si="203"/>
        <v>28.861221550128143</v>
      </c>
      <c r="D150" s="130">
        <f t="shared" si="203"/>
        <v>28.861055231677568</v>
      </c>
      <c r="E150" s="130">
        <f t="shared" si="203"/>
        <v>27.803571441954023</v>
      </c>
      <c r="F150" s="130">
        <f t="shared" si="203"/>
        <v>30.840411033609481</v>
      </c>
      <c r="G150" s="130">
        <f t="shared" si="203"/>
        <v>32.973879539589419</v>
      </c>
      <c r="H150" s="130">
        <f t="shared" si="203"/>
        <v>34.07919799767911</v>
      </c>
      <c r="I150" s="130">
        <f t="shared" si="203"/>
        <v>35.185654184418453</v>
      </c>
      <c r="J150" s="130">
        <f t="shared" si="203"/>
        <v>35.368426496443227</v>
      </c>
      <c r="K150" s="130">
        <f t="shared" si="203"/>
        <v>28.818841369317674</v>
      </c>
      <c r="L150" s="130">
        <f t="shared" ref="L150" si="204">IF(L13=0,0,L13/L40)</f>
        <v>28.776357589736875</v>
      </c>
      <c r="M150" s="130">
        <f t="shared" ref="M150:V150" si="205">IF(M13=0,0,M13/M40)</f>
        <v>28.691577822784943</v>
      </c>
      <c r="N150" s="130">
        <f t="shared" si="205"/>
        <v>28.864571491939305</v>
      </c>
      <c r="O150" s="130">
        <f t="shared" si="205"/>
        <v>27.201918400970079</v>
      </c>
      <c r="P150" s="130">
        <f t="shared" si="205"/>
        <v>27.530555555555555</v>
      </c>
      <c r="Q150" s="130">
        <f t="shared" si="205"/>
        <v>23.668474137931039</v>
      </c>
      <c r="R150" s="130">
        <f t="shared" si="205"/>
        <v>23.285840707964603</v>
      </c>
      <c r="S150" s="130">
        <f t="shared" si="205"/>
        <v>23.612068965517246</v>
      </c>
      <c r="T150" s="130">
        <f t="shared" si="205"/>
        <v>23.857142857142858</v>
      </c>
      <c r="U150" s="130">
        <f t="shared" si="205"/>
        <v>21.812030075187966</v>
      </c>
      <c r="V150" s="130">
        <f t="shared" si="205"/>
        <v>15.029411764705882</v>
      </c>
      <c r="W150" s="130">
        <f t="shared" ref="W150" si="206">IF(W13=0,0,W13/W40)</f>
        <v>14.271653543307087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11.100405858337529</v>
      </c>
      <c r="E151" s="97">
        <v>11.074924486335025</v>
      </c>
      <c r="F151" s="97">
        <v>11.190325798134182</v>
      </c>
      <c r="G151" s="97">
        <v>11.1157236696244</v>
      </c>
      <c r="H151" s="97">
        <v>11.079133871195744</v>
      </c>
      <c r="I151" s="97">
        <v>11.043791113616436</v>
      </c>
      <c r="J151" s="97">
        <v>11.038070733104716</v>
      </c>
      <c r="K151" s="97">
        <v>10.814320849646231</v>
      </c>
      <c r="L151" s="97">
        <v>10.812725579805914</v>
      </c>
      <c r="M151" s="97">
        <v>10.80953574606718</v>
      </c>
      <c r="N151" s="97">
        <v>10.38801954104936</v>
      </c>
      <c r="O151" s="97">
        <v>10.326572532366209</v>
      </c>
      <c r="P151" s="97">
        <v>9.7603394552578209</v>
      </c>
      <c r="Q151" s="97">
        <v>9.1032592838196305</v>
      </c>
      <c r="R151" s="97">
        <v>8.956092579986386</v>
      </c>
      <c r="S151" s="97">
        <v>9.0815649867374031</v>
      </c>
      <c r="T151" s="97">
        <v>9.175824175824177</v>
      </c>
      <c r="U151" s="97">
        <v>8.3892423366107565</v>
      </c>
      <c r="V151" s="97">
        <v>6.5780542986425337</v>
      </c>
      <c r="W151" s="97">
        <v>6.5489097516656569</v>
      </c>
      <c r="DA151" s="175" t="s">
        <v>561</v>
      </c>
    </row>
    <row r="152" spans="1:105" ht="11.45" customHeight="1" x14ac:dyDescent="0.25">
      <c r="A152" s="111" t="s">
        <v>111</v>
      </c>
      <c r="B152" s="97">
        <v>28.861304709712854</v>
      </c>
      <c r="C152" s="97">
        <v>28.861221550128143</v>
      </c>
      <c r="D152" s="97">
        <v>28.929935417098019</v>
      </c>
      <c r="E152" s="97">
        <v>27.899779169475877</v>
      </c>
      <c r="F152" s="97">
        <v>30.942200120427493</v>
      </c>
      <c r="G152" s="97">
        <v>33.088061770286558</v>
      </c>
      <c r="H152" s="97">
        <v>34.20531805055068</v>
      </c>
      <c r="I152" s="97">
        <v>35.30223394655556</v>
      </c>
      <c r="J152" s="97">
        <v>35.451520369884854</v>
      </c>
      <c r="K152" s="97">
        <v>28.873634172841971</v>
      </c>
      <c r="L152" s="97">
        <v>28.830575795694433</v>
      </c>
      <c r="M152" s="97">
        <v>28.728107188837051</v>
      </c>
      <c r="N152" s="97">
        <v>28.898909232650972</v>
      </c>
      <c r="O152" s="97">
        <v>27.67401333945346</v>
      </c>
      <c r="P152" s="97">
        <v>27.817474079421469</v>
      </c>
      <c r="Q152" s="97">
        <v>23.866029770596441</v>
      </c>
      <c r="R152" s="97">
        <v>23.491496206098393</v>
      </c>
      <c r="S152" s="97">
        <v>23.815871177974625</v>
      </c>
      <c r="T152" s="97">
        <v>24.047867327937347</v>
      </c>
      <c r="U152" s="97">
        <v>21.956125217068116</v>
      </c>
      <c r="V152" s="97">
        <v>15.112798460507511</v>
      </c>
      <c r="W152" s="97">
        <v>14.34275905549325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28.929935417098015</v>
      </c>
      <c r="E153" s="97">
        <v>27.899779169475877</v>
      </c>
      <c r="F153" s="97">
        <v>30.94220012042749</v>
      </c>
      <c r="G153" s="97">
        <v>33.088061770286558</v>
      </c>
      <c r="H153" s="97">
        <v>34.20531805055068</v>
      </c>
      <c r="I153" s="97">
        <v>35.30223394655556</v>
      </c>
      <c r="J153" s="97">
        <v>35.451520369884861</v>
      </c>
      <c r="K153" s="97">
        <v>28.873634172841967</v>
      </c>
      <c r="L153" s="97">
        <v>28.830575795694426</v>
      </c>
      <c r="M153" s="97">
        <v>28.728107188837051</v>
      </c>
      <c r="N153" s="97">
        <v>28.898909232650972</v>
      </c>
      <c r="O153" s="97">
        <v>27.67401333945346</v>
      </c>
      <c r="P153" s="97">
        <v>27.817474079421469</v>
      </c>
      <c r="Q153" s="97">
        <v>23.866029770596437</v>
      </c>
      <c r="R153" s="97">
        <v>23.491496206098397</v>
      </c>
      <c r="S153" s="97">
        <v>23.815871177974625</v>
      </c>
      <c r="T153" s="97">
        <v>24.047867327937354</v>
      </c>
      <c r="U153" s="97">
        <v>21.956125217068124</v>
      </c>
      <c r="V153" s="97">
        <v>15.112798460507511</v>
      </c>
      <c r="W153" s="97">
        <v>14.34275905549325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28.873634172841967</v>
      </c>
      <c r="L154" s="97">
        <v>28.830575795694426</v>
      </c>
      <c r="M154" s="97">
        <v>28.728107188837051</v>
      </c>
      <c r="N154" s="97">
        <v>28.898909232650968</v>
      </c>
      <c r="O154" s="97">
        <v>27.67401333945346</v>
      </c>
      <c r="P154" s="97">
        <v>27.817474079421469</v>
      </c>
      <c r="Q154" s="97">
        <v>23.866029770596437</v>
      </c>
      <c r="R154" s="97">
        <v>23.491496206098397</v>
      </c>
      <c r="S154" s="97">
        <v>23.815871177974625</v>
      </c>
      <c r="T154" s="97">
        <v>24.04786732793735</v>
      </c>
      <c r="U154" s="97">
        <v>21.95612521706812</v>
      </c>
      <c r="V154" s="97">
        <v>15.112798460507513</v>
      </c>
      <c r="W154" s="97">
        <v>14.34275905549325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30.94220012042749</v>
      </c>
      <c r="G155" s="97">
        <v>33.088061770286558</v>
      </c>
      <c r="H155" s="97">
        <v>34.20531805055068</v>
      </c>
      <c r="I155" s="97">
        <v>35.30223394655556</v>
      </c>
      <c r="J155" s="97">
        <v>35.451520369884861</v>
      </c>
      <c r="K155" s="97">
        <v>28.873634172841964</v>
      </c>
      <c r="L155" s="97">
        <v>28.830575795694429</v>
      </c>
      <c r="M155" s="97">
        <v>28.728107188837051</v>
      </c>
      <c r="N155" s="97">
        <v>28.898909232650972</v>
      </c>
      <c r="O155" s="97">
        <v>27.67401333945346</v>
      </c>
      <c r="P155" s="97">
        <v>27.817474079421473</v>
      </c>
      <c r="Q155" s="97">
        <v>23.866029770596437</v>
      </c>
      <c r="R155" s="97">
        <v>23.491496206098397</v>
      </c>
      <c r="S155" s="97">
        <v>23.815871177974625</v>
      </c>
      <c r="T155" s="97">
        <v>24.04786732793735</v>
      </c>
      <c r="U155" s="97">
        <v>21.95612521706812</v>
      </c>
      <c r="V155" s="97">
        <v>15.112798460507515</v>
      </c>
      <c r="W155" s="97">
        <v>14.34275905549325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4.3728595616314818</v>
      </c>
      <c r="C156" s="32">
        <f t="shared" si="207"/>
        <v>4.4370454007621758</v>
      </c>
      <c r="D156" s="32">
        <f t="shared" si="207"/>
        <v>4.3980270994360477</v>
      </c>
      <c r="E156" s="32">
        <f t="shared" si="207"/>
        <v>4.3262165182512424</v>
      </c>
      <c r="F156" s="32">
        <f t="shared" si="207"/>
        <v>4.7471857982605679</v>
      </c>
      <c r="G156" s="32">
        <f t="shared" si="207"/>
        <v>4.7373763228805092</v>
      </c>
      <c r="H156" s="32">
        <f t="shared" si="207"/>
        <v>4.7275723737672166</v>
      </c>
      <c r="I156" s="32">
        <f t="shared" si="207"/>
        <v>4.8232157093231622</v>
      </c>
      <c r="J156" s="32">
        <f t="shared" si="207"/>
        <v>4.6309038358195735</v>
      </c>
      <c r="K156" s="32">
        <f t="shared" si="207"/>
        <v>4.1882745608326299</v>
      </c>
      <c r="L156" s="32">
        <f t="shared" ref="L156" si="208">IF(L19=0,0,L19/L46)</f>
        <v>4.5612818566502584</v>
      </c>
      <c r="M156" s="32">
        <f t="shared" ref="M156:V156" si="209">IF(M19=0,0,M19/M46)</f>
        <v>4.5189506009242368</v>
      </c>
      <c r="N156" s="32">
        <f t="shared" si="209"/>
        <v>4.516729221465817</v>
      </c>
      <c r="O156" s="32">
        <f t="shared" si="209"/>
        <v>4.7010420928705505</v>
      </c>
      <c r="P156" s="32">
        <f t="shared" si="209"/>
        <v>4.4392451571690685</v>
      </c>
      <c r="Q156" s="32">
        <f t="shared" si="209"/>
        <v>4.6708200795278216</v>
      </c>
      <c r="R156" s="32">
        <f t="shared" si="209"/>
        <v>4.5910626650080699</v>
      </c>
      <c r="S156" s="32">
        <f t="shared" si="209"/>
        <v>4.7345421864352559</v>
      </c>
      <c r="T156" s="32">
        <f t="shared" si="209"/>
        <v>4.8475259238676802</v>
      </c>
      <c r="U156" s="32">
        <f t="shared" si="209"/>
        <v>4.6130716457560101</v>
      </c>
      <c r="V156" s="32">
        <f t="shared" si="209"/>
        <v>4.8804876139216038</v>
      </c>
      <c r="W156" s="32">
        <f t="shared" ref="W156" si="210">IF(W19=0,0,W19/W46)</f>
        <v>4.848974963560055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0.13849197924109932</v>
      </c>
      <c r="C157" s="141">
        <f t="shared" si="211"/>
        <v>0.1388815180488685</v>
      </c>
      <c r="D157" s="141">
        <f t="shared" si="211"/>
        <v>0.13938135344229963</v>
      </c>
      <c r="E157" s="141">
        <f t="shared" si="211"/>
        <v>0.13983683133187674</v>
      </c>
      <c r="F157" s="141">
        <f t="shared" si="211"/>
        <v>0.14025336376766886</v>
      </c>
      <c r="G157" s="141">
        <f t="shared" si="211"/>
        <v>0.14064452806357888</v>
      </c>
      <c r="H157" s="141">
        <f t="shared" si="211"/>
        <v>0.1405484613696103</v>
      </c>
      <c r="I157" s="141">
        <f t="shared" si="211"/>
        <v>0.14059054189641104</v>
      </c>
      <c r="J157" s="141">
        <f t="shared" si="211"/>
        <v>0.14114818247879343</v>
      </c>
      <c r="K157" s="141">
        <f t="shared" si="211"/>
        <v>0.14173897574949701</v>
      </c>
      <c r="L157" s="141">
        <f t="shared" ref="L157" si="212">IF(L20=0,0,L20/L47)</f>
        <v>0.14224722091138176</v>
      </c>
      <c r="M157" s="141">
        <f t="shared" ref="M157:V157" si="213">IF(M20=0,0,M20/M47)</f>
        <v>0.14285382073045247</v>
      </c>
      <c r="N157" s="141">
        <f t="shared" si="213"/>
        <v>0.1433986579758012</v>
      </c>
      <c r="O157" s="141">
        <f t="shared" si="213"/>
        <v>0.1443530017421002</v>
      </c>
      <c r="P157" s="141">
        <f t="shared" si="213"/>
        <v>0.1435937735861238</v>
      </c>
      <c r="Q157" s="141">
        <f t="shared" si="213"/>
        <v>0.14453675445854344</v>
      </c>
      <c r="R157" s="141">
        <f t="shared" si="213"/>
        <v>0.14370244366020771</v>
      </c>
      <c r="S157" s="141">
        <f t="shared" si="213"/>
        <v>0.1446038141345023</v>
      </c>
      <c r="T157" s="141">
        <f t="shared" si="213"/>
        <v>0.14547599627742303</v>
      </c>
      <c r="U157" s="141">
        <f t="shared" si="213"/>
        <v>0.14556957805686638</v>
      </c>
      <c r="V157" s="141">
        <f t="shared" si="213"/>
        <v>0.14591402798686531</v>
      </c>
      <c r="W157" s="141">
        <f t="shared" ref="W157" si="214">IF(W20=0,0,W20/W47)</f>
        <v>0.14623383924580086</v>
      </c>
      <c r="DA157" s="174" t="s">
        <v>567</v>
      </c>
    </row>
    <row r="158" spans="1:105" ht="11.45" customHeight="1" x14ac:dyDescent="0.25">
      <c r="A158" s="111" t="s">
        <v>110</v>
      </c>
      <c r="B158" s="96">
        <v>0.11351330867054714</v>
      </c>
      <c r="C158" s="96">
        <v>0.1137191113583389</v>
      </c>
      <c r="D158" s="96">
        <v>0.11386021077947001</v>
      </c>
      <c r="E158" s="96">
        <v>0.11401302463507346</v>
      </c>
      <c r="F158" s="96">
        <v>0.11417629861544881</v>
      </c>
      <c r="G158" s="96">
        <v>0.11429615684270936</v>
      </c>
      <c r="H158" s="96">
        <v>0.11403204650764988</v>
      </c>
      <c r="I158" s="96">
        <v>0.11387682044940785</v>
      </c>
      <c r="J158" s="96">
        <v>0.11382011596824171</v>
      </c>
      <c r="K158" s="96">
        <v>0.11370588071746532</v>
      </c>
      <c r="L158" s="96">
        <v>0.11405519721928645</v>
      </c>
      <c r="M158" s="96">
        <v>0.1141752897369762</v>
      </c>
      <c r="N158" s="96">
        <v>0.11429236083261267</v>
      </c>
      <c r="O158" s="96">
        <v>0.11446119578252029</v>
      </c>
      <c r="P158" s="96">
        <v>0.11435844383257733</v>
      </c>
      <c r="Q158" s="96">
        <v>0.11476363235294117</v>
      </c>
      <c r="R158" s="96">
        <v>0.11425485910086172</v>
      </c>
      <c r="S158" s="96">
        <v>0.11425417215348302</v>
      </c>
      <c r="T158" s="96">
        <v>0.11445726849270102</v>
      </c>
      <c r="U158" s="96">
        <v>0.11464720607083868</v>
      </c>
      <c r="V158" s="96">
        <v>0.11484519456674487</v>
      </c>
      <c r="W158" s="96">
        <v>0.1150423392041655</v>
      </c>
      <c r="DA158" s="171" t="s">
        <v>568</v>
      </c>
    </row>
    <row r="159" spans="1:105" ht="11.45" customHeight="1" x14ac:dyDescent="0.25">
      <c r="A159" s="111" t="s">
        <v>111</v>
      </c>
      <c r="B159" s="96">
        <v>0.14253220011073556</v>
      </c>
      <c r="C159" s="96">
        <v>0.14279061483076452</v>
      </c>
      <c r="D159" s="96">
        <v>0.14296778534199098</v>
      </c>
      <c r="E159" s="96">
        <v>0.14315966500175648</v>
      </c>
      <c r="F159" s="96">
        <v>0.14336467884477003</v>
      </c>
      <c r="G159" s="96">
        <v>0.14351517799797858</v>
      </c>
      <c r="H159" s="96">
        <v>0.14346602345726203</v>
      </c>
      <c r="I159" s="96">
        <v>0.14355900383382819</v>
      </c>
      <c r="J159" s="96">
        <v>0.14377622885244312</v>
      </c>
      <c r="K159" s="96">
        <v>0.14392092841137694</v>
      </c>
      <c r="L159" s="96">
        <v>0.14436306873810664</v>
      </c>
      <c r="M159" s="96">
        <v>0.14451507342363487</v>
      </c>
      <c r="N159" s="96">
        <v>0.14467482964370634</v>
      </c>
      <c r="O159" s="96">
        <v>0.14546351880235187</v>
      </c>
      <c r="P159" s="96">
        <v>0.14446195998417311</v>
      </c>
      <c r="Q159" s="96">
        <v>0.1452597562402084</v>
      </c>
      <c r="R159" s="96">
        <v>0.14433110778938482</v>
      </c>
      <c r="S159" s="96">
        <v>0.14520042190432361</v>
      </c>
      <c r="T159" s="96">
        <v>0.14603576231270429</v>
      </c>
      <c r="U159" s="96">
        <v>0.14627810322630849</v>
      </c>
      <c r="V159" s="96">
        <v>0.14653071628714393</v>
      </c>
      <c r="W159" s="96">
        <v>0.14678225267090292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6.9882347415932804</v>
      </c>
      <c r="C163" s="130">
        <f t="shared" si="215"/>
        <v>7.1335183869878529</v>
      </c>
      <c r="D163" s="130">
        <f t="shared" si="215"/>
        <v>7.2561836276225709</v>
      </c>
      <c r="E163" s="130">
        <f t="shared" si="215"/>
        <v>6.8072451201451134</v>
      </c>
      <c r="F163" s="130">
        <f t="shared" si="215"/>
        <v>7.5697376544551549</v>
      </c>
      <c r="G163" s="130">
        <f t="shared" si="215"/>
        <v>8.0405684467032223</v>
      </c>
      <c r="H163" s="130">
        <f t="shared" si="215"/>
        <v>8.4921906910946952</v>
      </c>
      <c r="I163" s="130">
        <f t="shared" si="215"/>
        <v>8.7762464468362378</v>
      </c>
      <c r="J163" s="130">
        <f t="shared" si="215"/>
        <v>9.0898622225796597</v>
      </c>
      <c r="K163" s="130">
        <f t="shared" si="215"/>
        <v>9.0047732660267101</v>
      </c>
      <c r="L163" s="130">
        <f t="shared" ref="L163" si="216">IF(L26=0,0,L26/L53)</f>
        <v>9.6853544410996815</v>
      </c>
      <c r="M163" s="130">
        <f t="shared" ref="M163:V163" si="217">IF(M26=0,0,M26/M53)</f>
        <v>9.7973951608683159</v>
      </c>
      <c r="N163" s="130">
        <f t="shared" si="217"/>
        <v>9.7502795468281107</v>
      </c>
      <c r="O163" s="130">
        <f t="shared" si="217"/>
        <v>9.7923544995850929</v>
      </c>
      <c r="P163" s="130">
        <f t="shared" si="217"/>
        <v>9.5762991254664396</v>
      </c>
      <c r="Q163" s="130">
        <f t="shared" si="217"/>
        <v>10.112818081843388</v>
      </c>
      <c r="R163" s="130">
        <f t="shared" si="217"/>
        <v>10.14867663124234</v>
      </c>
      <c r="S163" s="130">
        <f t="shared" si="217"/>
        <v>10.329808776217087</v>
      </c>
      <c r="T163" s="130">
        <f t="shared" si="217"/>
        <v>10.576667961505283</v>
      </c>
      <c r="U163" s="130">
        <f t="shared" si="217"/>
        <v>10.201590629838037</v>
      </c>
      <c r="V163" s="130">
        <f t="shared" si="217"/>
        <v>10.66793249296707</v>
      </c>
      <c r="W163" s="130">
        <f t="shared" ref="W163" si="218">IF(W26=0,0,W26/W53)</f>
        <v>10.901502245901709</v>
      </c>
      <c r="DA163" s="176" t="s">
        <v>573</v>
      </c>
    </row>
    <row r="164" spans="1:105" ht="11.45" customHeight="1" x14ac:dyDescent="0.25">
      <c r="A164" s="128" t="s">
        <v>27</v>
      </c>
      <c r="B164" s="97">
        <v>4.5641025641025639</v>
      </c>
      <c r="C164" s="97">
        <v>4.5641025641025639</v>
      </c>
      <c r="D164" s="97">
        <v>4.5641025641025639</v>
      </c>
      <c r="E164" s="97">
        <v>4.5641025641025639</v>
      </c>
      <c r="F164" s="97">
        <v>5.2440758293838865</v>
      </c>
      <c r="G164" s="97">
        <v>5.5796344647519582</v>
      </c>
      <c r="H164" s="97">
        <v>5.6363636363636367</v>
      </c>
      <c r="I164" s="97">
        <v>6.0900900900900901</v>
      </c>
      <c r="J164" s="97">
        <v>6.5306122448979593</v>
      </c>
      <c r="K164" s="97">
        <v>6.8746736292428201</v>
      </c>
      <c r="L164" s="97">
        <v>7.0306748466257671</v>
      </c>
      <c r="M164" s="97">
        <v>6.9669669669669672</v>
      </c>
      <c r="N164" s="97">
        <v>6.7348066298342539</v>
      </c>
      <c r="O164" s="97">
        <v>6.5295629820051415</v>
      </c>
      <c r="P164" s="97">
        <v>6.5592417061611377</v>
      </c>
      <c r="Q164" s="97">
        <v>7.1397058823529411</v>
      </c>
      <c r="R164" s="97">
        <v>7.20873786407767</v>
      </c>
      <c r="S164" s="97">
        <v>7.5094339622641506</v>
      </c>
      <c r="T164" s="97">
        <v>8.1294642857142865</v>
      </c>
      <c r="U164" s="97">
        <v>7.6616379310344831</v>
      </c>
      <c r="V164" s="97">
        <v>8.3928571428571423</v>
      </c>
      <c r="W164" s="97">
        <v>8.5066079295154182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13.993137904941621</v>
      </c>
      <c r="G165" s="98">
        <v>13.999403714336369</v>
      </c>
      <c r="H165" s="98">
        <v>14.088849058887032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14.105166269382362</v>
      </c>
      <c r="P165" s="98">
        <v>14.13821157163504</v>
      </c>
      <c r="Q165" s="98">
        <v>14.00555631773906</v>
      </c>
      <c r="R165" s="98">
        <v>13.931044885469865</v>
      </c>
      <c r="S165" s="98">
        <v>14.049661034098955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14.040774681152577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10173.087252723462</v>
      </c>
      <c r="C167" s="54">
        <f t="shared" si="219"/>
        <v>10121.040651033552</v>
      </c>
      <c r="D167" s="54">
        <f t="shared" si="219"/>
        <v>10276.98333521452</v>
      </c>
      <c r="E167" s="54">
        <f t="shared" si="219"/>
        <v>10721.612825239001</v>
      </c>
      <c r="F167" s="54">
        <f t="shared" si="219"/>
        <v>11007.113831189836</v>
      </c>
      <c r="G167" s="54">
        <f t="shared" si="219"/>
        <v>11620.714624973882</v>
      </c>
      <c r="H167" s="54">
        <f t="shared" si="219"/>
        <v>11459.628321665956</v>
      </c>
      <c r="I167" s="54">
        <f t="shared" si="219"/>
        <v>11825.002107344555</v>
      </c>
      <c r="J167" s="54">
        <f t="shared" si="219"/>
        <v>11608.073286455145</v>
      </c>
      <c r="K167" s="54">
        <f t="shared" si="219"/>
        <v>11571.89475956798</v>
      </c>
      <c r="L167" s="54">
        <f t="shared" si="219"/>
        <v>12569.718182771225</v>
      </c>
      <c r="M167" s="54">
        <f>IF(M30=0,0,M30*1000000/M57)</f>
        <v>12500.395524535832</v>
      </c>
      <c r="N167" s="54">
        <f t="shared" ref="N167:V167" si="220">IF(N30=0,0,N30*1000000/N57)</f>
        <v>12947.109381540924</v>
      </c>
      <c r="O167" s="54">
        <f t="shared" si="220"/>
        <v>12575.849610455467</v>
      </c>
      <c r="P167" s="54">
        <f t="shared" si="220"/>
        <v>11900.768163512226</v>
      </c>
      <c r="Q167" s="54">
        <f t="shared" si="220"/>
        <v>12121.798791984662</v>
      </c>
      <c r="R167" s="54">
        <f t="shared" si="220"/>
        <v>13331.850573804802</v>
      </c>
      <c r="S167" s="54">
        <f t="shared" si="220"/>
        <v>13638.456837554149</v>
      </c>
      <c r="T167" s="54">
        <f t="shared" si="220"/>
        <v>13898.369015005632</v>
      </c>
      <c r="U167" s="54">
        <f t="shared" si="220"/>
        <v>13842.317244340342</v>
      </c>
      <c r="V167" s="54">
        <f t="shared" si="220"/>
        <v>12988.833349946541</v>
      </c>
      <c r="W167" s="54">
        <f t="shared" ref="W167:W191" si="221">IF(W30=0,0,W30*1000000/W57)</f>
        <v>12711.531591907493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9934.3548712857682</v>
      </c>
      <c r="C168" s="28">
        <f t="shared" si="219"/>
        <v>9880.3901259580689</v>
      </c>
      <c r="D168" s="28">
        <f t="shared" si="219"/>
        <v>10049.973723015346</v>
      </c>
      <c r="E168" s="28">
        <f t="shared" si="219"/>
        <v>10515.268664340952</v>
      </c>
      <c r="F168" s="28">
        <f t="shared" si="219"/>
        <v>10819.119720231427</v>
      </c>
      <c r="G168" s="28">
        <f t="shared" si="219"/>
        <v>11476.671293782234</v>
      </c>
      <c r="H168" s="28">
        <f t="shared" si="219"/>
        <v>11296.350749715508</v>
      </c>
      <c r="I168" s="28">
        <f t="shared" si="219"/>
        <v>11671.933223938191</v>
      </c>
      <c r="J168" s="28">
        <f t="shared" si="219"/>
        <v>11456.910113594897</v>
      </c>
      <c r="K168" s="28">
        <f t="shared" si="219"/>
        <v>11431.213415356924</v>
      </c>
      <c r="L168" s="28">
        <f t="shared" si="219"/>
        <v>12496.393062498093</v>
      </c>
      <c r="M168" s="28">
        <f t="shared" ref="M168:M192" si="222">IF(M31=0,0,M31*1000000/M58)</f>
        <v>12400.966944414489</v>
      </c>
      <c r="N168" s="28">
        <f t="shared" si="219"/>
        <v>12867.459854599761</v>
      </c>
      <c r="O168" s="28">
        <f t="shared" si="219"/>
        <v>12458.306561122155</v>
      </c>
      <c r="P168" s="28">
        <f t="shared" si="219"/>
        <v>11720.459392702405</v>
      </c>
      <c r="Q168" s="28">
        <f t="shared" si="219"/>
        <v>11961.085943183958</v>
      </c>
      <c r="R168" s="28">
        <f t="shared" si="219"/>
        <v>13245.524628572883</v>
      </c>
      <c r="S168" s="28">
        <f t="shared" si="219"/>
        <v>13575.230824179856</v>
      </c>
      <c r="T168" s="28">
        <f t="shared" si="219"/>
        <v>13900.214152197821</v>
      </c>
      <c r="U168" s="28">
        <f t="shared" si="219"/>
        <v>13832.272794158631</v>
      </c>
      <c r="V168" s="28">
        <f t="shared" si="219"/>
        <v>12916.010274008035</v>
      </c>
      <c r="W168" s="28">
        <f t="shared" si="221"/>
        <v>12669.197163911182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2820.8716000278914</v>
      </c>
      <c r="C169" s="137">
        <f t="shared" si="219"/>
        <v>2800.4445012941501</v>
      </c>
      <c r="D169" s="137">
        <f t="shared" si="219"/>
        <v>2786.9575870504141</v>
      </c>
      <c r="E169" s="137">
        <f t="shared" si="219"/>
        <v>2765.3554221470213</v>
      </c>
      <c r="F169" s="137">
        <f t="shared" si="219"/>
        <v>2755.7849612877826</v>
      </c>
      <c r="G169" s="137">
        <f t="shared" si="219"/>
        <v>2563.7824114537812</v>
      </c>
      <c r="H169" s="137">
        <f t="shared" si="219"/>
        <v>2576.7695530174287</v>
      </c>
      <c r="I169" s="137">
        <f t="shared" si="219"/>
        <v>2514.844790074766</v>
      </c>
      <c r="J169" s="137">
        <f t="shared" si="219"/>
        <v>2510.1427107907598</v>
      </c>
      <c r="K169" s="137">
        <f t="shared" si="219"/>
        <v>2472.2644073958404</v>
      </c>
      <c r="L169" s="137">
        <f t="shared" si="219"/>
        <v>2437.7880024886531</v>
      </c>
      <c r="M169" s="137">
        <f t="shared" si="222"/>
        <v>2429.0881835743394</v>
      </c>
      <c r="N169" s="137">
        <f t="shared" si="219"/>
        <v>2408.5435036949757</v>
      </c>
      <c r="O169" s="137">
        <f t="shared" si="219"/>
        <v>2395.1554134805115</v>
      </c>
      <c r="P169" s="137">
        <f t="shared" si="219"/>
        <v>2308.9964864496046</v>
      </c>
      <c r="Q169" s="137">
        <f t="shared" si="219"/>
        <v>2307.5091719991915</v>
      </c>
      <c r="R169" s="137">
        <f t="shared" si="219"/>
        <v>2353.1604347224484</v>
      </c>
      <c r="S169" s="137">
        <f t="shared" si="219"/>
        <v>2120.5994885053528</v>
      </c>
      <c r="T169" s="137">
        <f t="shared" si="219"/>
        <v>1901.0591809886221</v>
      </c>
      <c r="U169" s="137">
        <f t="shared" si="219"/>
        <v>1732.8556518001942</v>
      </c>
      <c r="V169" s="137">
        <f t="shared" si="219"/>
        <v>1378.656912390069</v>
      </c>
      <c r="W169" s="137">
        <f t="shared" si="221"/>
        <v>1277.9359849405782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10011.276739236495</v>
      </c>
      <c r="C170" s="110">
        <f t="shared" si="219"/>
        <v>9955.920463373106</v>
      </c>
      <c r="D170" s="110">
        <f t="shared" si="219"/>
        <v>10126.473529584258</v>
      </c>
      <c r="E170" s="110">
        <f t="shared" si="219"/>
        <v>10601.11690658268</v>
      </c>
      <c r="F170" s="110">
        <f t="shared" si="219"/>
        <v>10906.496746085013</v>
      </c>
      <c r="G170" s="110">
        <f t="shared" si="219"/>
        <v>11588.268564691774</v>
      </c>
      <c r="H170" s="110">
        <f t="shared" si="219"/>
        <v>11399.452499165673</v>
      </c>
      <c r="I170" s="110">
        <f t="shared" si="219"/>
        <v>11806.535120948805</v>
      </c>
      <c r="J170" s="110">
        <f t="shared" si="219"/>
        <v>11620.016602450325</v>
      </c>
      <c r="K170" s="110">
        <f t="shared" si="219"/>
        <v>11623.350153311219</v>
      </c>
      <c r="L170" s="110">
        <f t="shared" si="219"/>
        <v>12742.755253342944</v>
      </c>
      <c r="M170" s="110">
        <f t="shared" si="222"/>
        <v>12662.719348242694</v>
      </c>
      <c r="N170" s="110">
        <f t="shared" si="219"/>
        <v>13117.094937104486</v>
      </c>
      <c r="O170" s="110">
        <f t="shared" si="219"/>
        <v>12690.904152078259</v>
      </c>
      <c r="P170" s="110">
        <f t="shared" si="219"/>
        <v>11928.975862815167</v>
      </c>
      <c r="Q170" s="110">
        <f t="shared" si="219"/>
        <v>12163.963384802377</v>
      </c>
      <c r="R170" s="110">
        <f t="shared" si="219"/>
        <v>13490.908568623361</v>
      </c>
      <c r="S170" s="110">
        <f t="shared" si="219"/>
        <v>13842.964161566408</v>
      </c>
      <c r="T170" s="110">
        <f t="shared" si="219"/>
        <v>14193.254183730449</v>
      </c>
      <c r="U170" s="110">
        <f t="shared" si="219"/>
        <v>14167.215929859167</v>
      </c>
      <c r="V170" s="110">
        <f t="shared" si="219"/>
        <v>13287.202852110946</v>
      </c>
      <c r="W170" s="110">
        <f t="shared" si="221"/>
        <v>13082.511830245587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8706.0862745765535</v>
      </c>
      <c r="C171" s="84">
        <f t="shared" si="219"/>
        <v>8166.9505814095073</v>
      </c>
      <c r="D171" s="84">
        <f t="shared" si="219"/>
        <v>8263.2363272791808</v>
      </c>
      <c r="E171" s="84">
        <f t="shared" si="219"/>
        <v>8327.8835763043553</v>
      </c>
      <c r="F171" s="84">
        <f t="shared" si="219"/>
        <v>8230.614407989453</v>
      </c>
      <c r="G171" s="84">
        <f t="shared" si="219"/>
        <v>8672.5600401236061</v>
      </c>
      <c r="H171" s="84">
        <f t="shared" si="219"/>
        <v>8522.0603708952876</v>
      </c>
      <c r="I171" s="84">
        <f t="shared" si="219"/>
        <v>9399.0628453574318</v>
      </c>
      <c r="J171" s="84">
        <f t="shared" si="219"/>
        <v>9366.5672305060925</v>
      </c>
      <c r="K171" s="84">
        <f t="shared" si="219"/>
        <v>8934.8981934735039</v>
      </c>
      <c r="L171" s="84">
        <f t="shared" si="219"/>
        <v>8551.4206217732772</v>
      </c>
      <c r="M171" s="84">
        <f t="shared" si="222"/>
        <v>8507.4794324514733</v>
      </c>
      <c r="N171" s="84">
        <f t="shared" si="219"/>
        <v>8040.5565234801679</v>
      </c>
      <c r="O171" s="84">
        <f t="shared" si="219"/>
        <v>7629.2503578071392</v>
      </c>
      <c r="P171" s="84">
        <f t="shared" si="219"/>
        <v>7753.5163304247808</v>
      </c>
      <c r="Q171" s="84">
        <f t="shared" si="219"/>
        <v>8019.0591739950523</v>
      </c>
      <c r="R171" s="84">
        <f t="shared" si="219"/>
        <v>8343.3249573395024</v>
      </c>
      <c r="S171" s="84">
        <f t="shared" si="219"/>
        <v>8544.3744768856195</v>
      </c>
      <c r="T171" s="84">
        <f t="shared" si="219"/>
        <v>9281.5221608206775</v>
      </c>
      <c r="U171" s="84">
        <f t="shared" si="219"/>
        <v>9575.1254988847213</v>
      </c>
      <c r="V171" s="84">
        <f t="shared" si="219"/>
        <v>9293.325256569171</v>
      </c>
      <c r="W171" s="84">
        <f t="shared" si="221"/>
        <v>9277.1188080713418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12865.006438972894</v>
      </c>
      <c r="C172" s="84">
        <f t="shared" si="219"/>
        <v>14521.979496013044</v>
      </c>
      <c r="D172" s="84">
        <f t="shared" si="219"/>
        <v>14277.489636698469</v>
      </c>
      <c r="E172" s="84">
        <f t="shared" si="219"/>
        <v>15718.010186557274</v>
      </c>
      <c r="F172" s="84">
        <f t="shared" si="219"/>
        <v>15749.087360678712</v>
      </c>
      <c r="G172" s="84">
        <f t="shared" si="219"/>
        <v>15020.620376884681</v>
      </c>
      <c r="H172" s="84">
        <f t="shared" si="219"/>
        <v>14953.640296738655</v>
      </c>
      <c r="I172" s="84">
        <f t="shared" si="219"/>
        <v>14892.909307865515</v>
      </c>
      <c r="J172" s="84">
        <f t="shared" si="219"/>
        <v>14428.403820539654</v>
      </c>
      <c r="K172" s="84">
        <f t="shared" si="219"/>
        <v>15382.624233146853</v>
      </c>
      <c r="L172" s="84">
        <f t="shared" si="219"/>
        <v>16862.398309613982</v>
      </c>
      <c r="M172" s="84">
        <f t="shared" si="222"/>
        <v>16223.89310214561</v>
      </c>
      <c r="N172" s="84">
        <f t="shared" si="219"/>
        <v>16525.112566560987</v>
      </c>
      <c r="O172" s="84">
        <f t="shared" si="219"/>
        <v>15627.765111500068</v>
      </c>
      <c r="P172" s="84">
        <f t="shared" si="219"/>
        <v>13983.339056680219</v>
      </c>
      <c r="Q172" s="84">
        <f t="shared" si="219"/>
        <v>13983.243248648232</v>
      </c>
      <c r="R172" s="84">
        <f t="shared" si="219"/>
        <v>15534.373006564389</v>
      </c>
      <c r="S172" s="84">
        <f t="shared" si="219"/>
        <v>15857.056984261679</v>
      </c>
      <c r="T172" s="84">
        <f t="shared" si="219"/>
        <v>16086.260030519257</v>
      </c>
      <c r="U172" s="84">
        <f t="shared" si="219"/>
        <v>15975.144332018204</v>
      </c>
      <c r="V172" s="84">
        <f t="shared" si="219"/>
        <v>14898.510176464491</v>
      </c>
      <c r="W172" s="84">
        <f t="shared" si="221"/>
        <v>14609.194375785948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10458.578401399836</v>
      </c>
      <c r="C173" s="84">
        <f t="shared" si="219"/>
        <v>9565.027230532065</v>
      </c>
      <c r="D173" s="84">
        <f t="shared" si="219"/>
        <v>9737.1501003303638</v>
      </c>
      <c r="E173" s="84">
        <f t="shared" si="219"/>
        <v>9459.4640644917672</v>
      </c>
      <c r="F173" s="84">
        <f t="shared" si="219"/>
        <v>10025.547978622746</v>
      </c>
      <c r="G173" s="84">
        <f t="shared" si="219"/>
        <v>11156.16692048199</v>
      </c>
      <c r="H173" s="84">
        <f t="shared" si="219"/>
        <v>9981.3000186442296</v>
      </c>
      <c r="I173" s="84">
        <f t="shared" si="219"/>
        <v>10643.249574023101</v>
      </c>
      <c r="J173" s="84">
        <f t="shared" si="219"/>
        <v>10422.692351994165</v>
      </c>
      <c r="K173" s="84">
        <f t="shared" si="219"/>
        <v>8796.3565600421571</v>
      </c>
      <c r="L173" s="84">
        <f t="shared" si="219"/>
        <v>10344.428737969019</v>
      </c>
      <c r="M173" s="84">
        <f t="shared" si="222"/>
        <v>10687.944783902447</v>
      </c>
      <c r="N173" s="84">
        <f t="shared" si="219"/>
        <v>9982.8736297496944</v>
      </c>
      <c r="O173" s="84">
        <f t="shared" si="219"/>
        <v>10194.800693740282</v>
      </c>
      <c r="P173" s="84">
        <f t="shared" si="219"/>
        <v>10618.487213872886</v>
      </c>
      <c r="Q173" s="84">
        <f t="shared" si="219"/>
        <v>10730.911269228627</v>
      </c>
      <c r="R173" s="84">
        <f t="shared" si="219"/>
        <v>11802.054476090947</v>
      </c>
      <c r="S173" s="84">
        <f t="shared" si="219"/>
        <v>11926.737678878681</v>
      </c>
      <c r="T173" s="84">
        <f t="shared" si="219"/>
        <v>11978.139308609894</v>
      </c>
      <c r="U173" s="84">
        <f t="shared" si="219"/>
        <v>11915.247580999689</v>
      </c>
      <c r="V173" s="84">
        <f t="shared" si="219"/>
        <v>11223.349723023935</v>
      </c>
      <c r="W173" s="84">
        <f t="shared" si="221"/>
        <v>11115.456288320614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6995.8152627313102</v>
      </c>
      <c r="O174" s="84">
        <f t="shared" si="219"/>
        <v>7288.6597696661729</v>
      </c>
      <c r="P174" s="84">
        <f t="shared" si="219"/>
        <v>7591.5697516275168</v>
      </c>
      <c r="Q174" s="84">
        <f t="shared" si="219"/>
        <v>7826.9348938160865</v>
      </c>
      <c r="R174" s="84">
        <f t="shared" si="219"/>
        <v>8608.2076051193271</v>
      </c>
      <c r="S174" s="84">
        <f t="shared" si="219"/>
        <v>8699.1493048583288</v>
      </c>
      <c r="T174" s="84">
        <f t="shared" si="219"/>
        <v>8736.6407349194378</v>
      </c>
      <c r="U174" s="84">
        <f t="shared" si="219"/>
        <v>8589.5295418579735</v>
      </c>
      <c r="V174" s="84">
        <f t="shared" si="219"/>
        <v>7930.5375102989001</v>
      </c>
      <c r="W174" s="84">
        <f t="shared" si="221"/>
        <v>7698.7681985604477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10672.667582549291</v>
      </c>
      <c r="P175" s="84">
        <f t="shared" si="219"/>
        <v>11340.783786085885</v>
      </c>
      <c r="Q175" s="84">
        <f t="shared" si="219"/>
        <v>11692.387640844603</v>
      </c>
      <c r="R175" s="84">
        <f t="shared" si="219"/>
        <v>12859.503953641393</v>
      </c>
      <c r="S175" s="84">
        <f t="shared" si="219"/>
        <v>12995.358617119664</v>
      </c>
      <c r="T175" s="84">
        <f t="shared" si="219"/>
        <v>13051.365769271963</v>
      </c>
      <c r="U175" s="84">
        <f t="shared" si="219"/>
        <v>12831.60144020609</v>
      </c>
      <c r="V175" s="84">
        <f t="shared" si="219"/>
        <v>11847.156010449913</v>
      </c>
      <c r="W175" s="84">
        <f t="shared" si="221"/>
        <v>11500.923842575512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11450.382495517328</v>
      </c>
      <c r="N176" s="84">
        <f t="shared" si="219"/>
        <v>11488.818126368968</v>
      </c>
      <c r="O176" s="84">
        <f t="shared" si="219"/>
        <v>11510.964818623061</v>
      </c>
      <c r="P176" s="84">
        <f t="shared" si="219"/>
        <v>11521.720297266791</v>
      </c>
      <c r="Q176" s="84">
        <f t="shared" si="219"/>
        <v>11542.446276692321</v>
      </c>
      <c r="R176" s="84">
        <f t="shared" si="219"/>
        <v>11519.591396734693</v>
      </c>
      <c r="S176" s="84">
        <f t="shared" si="219"/>
        <v>11505.884736727119</v>
      </c>
      <c r="T176" s="84">
        <f t="shared" si="219"/>
        <v>11458.376084051026</v>
      </c>
      <c r="U176" s="84">
        <f t="shared" si="219"/>
        <v>11440.547510920023</v>
      </c>
      <c r="V176" s="84">
        <f t="shared" si="219"/>
        <v>11187.081597727512</v>
      </c>
      <c r="W176" s="84">
        <f t="shared" si="221"/>
        <v>11422.475657167877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37536.976028090947</v>
      </c>
      <c r="C177" s="110">
        <f t="shared" si="219"/>
        <v>37167.509805007554</v>
      </c>
      <c r="D177" s="110">
        <f t="shared" si="219"/>
        <v>38073.208336123673</v>
      </c>
      <c r="E177" s="110">
        <f t="shared" si="219"/>
        <v>38286.61491031183</v>
      </c>
      <c r="F177" s="110">
        <f t="shared" si="219"/>
        <v>40335.186569241203</v>
      </c>
      <c r="G177" s="110">
        <f t="shared" si="219"/>
        <v>38453.138546906062</v>
      </c>
      <c r="H177" s="110">
        <f t="shared" si="219"/>
        <v>36651.996096132461</v>
      </c>
      <c r="I177" s="110">
        <f t="shared" si="219"/>
        <v>34900.163236716631</v>
      </c>
      <c r="J177" s="110">
        <f t="shared" si="219"/>
        <v>33217.837312632095</v>
      </c>
      <c r="K177" s="110">
        <f t="shared" si="219"/>
        <v>31702.588658964705</v>
      </c>
      <c r="L177" s="110">
        <f t="shared" si="219"/>
        <v>30913.018296988008</v>
      </c>
      <c r="M177" s="110">
        <f t="shared" si="222"/>
        <v>31453.936056124312</v>
      </c>
      <c r="N177" s="110">
        <f t="shared" si="219"/>
        <v>31510.753473765544</v>
      </c>
      <c r="O177" s="110">
        <f t="shared" si="219"/>
        <v>30222.851837325412</v>
      </c>
      <c r="P177" s="110">
        <f t="shared" si="219"/>
        <v>31783.402001177157</v>
      </c>
      <c r="Q177" s="110">
        <f t="shared" si="219"/>
        <v>32177.531206657415</v>
      </c>
      <c r="R177" s="110">
        <f t="shared" si="219"/>
        <v>34169.942546114311</v>
      </c>
      <c r="S177" s="110">
        <f t="shared" si="219"/>
        <v>35835.650293481616</v>
      </c>
      <c r="T177" s="110">
        <f t="shared" si="219"/>
        <v>35757.211538461539</v>
      </c>
      <c r="U177" s="110">
        <f t="shared" si="219"/>
        <v>35723.878592532914</v>
      </c>
      <c r="V177" s="110">
        <f t="shared" si="219"/>
        <v>27679.782903663501</v>
      </c>
      <c r="W177" s="110">
        <f t="shared" si="221"/>
        <v>28050.800662617337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23724.24649230791</v>
      </c>
      <c r="E178" s="102">
        <f t="shared" si="219"/>
        <v>23627.617058246607</v>
      </c>
      <c r="F178" s="102">
        <f t="shared" si="219"/>
        <v>24709.701818918067</v>
      </c>
      <c r="G178" s="102">
        <f t="shared" si="219"/>
        <v>23267.849154812655</v>
      </c>
      <c r="H178" s="102">
        <f t="shared" si="219"/>
        <v>21905.79386886688</v>
      </c>
      <c r="I178" s="102">
        <f t="shared" si="219"/>
        <v>20601.741846401266</v>
      </c>
      <c r="J178" s="102">
        <f t="shared" si="219"/>
        <v>19366.61224914073</v>
      </c>
      <c r="K178" s="102">
        <f t="shared" si="219"/>
        <v>18257.521644522833</v>
      </c>
      <c r="L178" s="102">
        <f t="shared" si="219"/>
        <v>17604.328737113778</v>
      </c>
      <c r="M178" s="102">
        <f t="shared" si="222"/>
        <v>17750.40898755315</v>
      </c>
      <c r="N178" s="102">
        <f t="shared" si="219"/>
        <v>17576.671667420644</v>
      </c>
      <c r="O178" s="102">
        <f t="shared" si="219"/>
        <v>16656.576861496411</v>
      </c>
      <c r="P178" s="102">
        <f t="shared" si="219"/>
        <v>17691.382531390227</v>
      </c>
      <c r="Q178" s="102">
        <f t="shared" si="219"/>
        <v>18050.161281382654</v>
      </c>
      <c r="R178" s="102">
        <f t="shared" si="219"/>
        <v>19033.225199728771</v>
      </c>
      <c r="S178" s="102">
        <f t="shared" si="219"/>
        <v>19808.526649603948</v>
      </c>
      <c r="T178" s="102">
        <f t="shared" si="219"/>
        <v>19565.373382903599</v>
      </c>
      <c r="U178" s="102">
        <f t="shared" si="219"/>
        <v>19350.760774052702</v>
      </c>
      <c r="V178" s="102">
        <f t="shared" si="219"/>
        <v>14655.394623465074</v>
      </c>
      <c r="W178" s="102">
        <f t="shared" si="221"/>
        <v>14713.108012034136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37536.976028090947</v>
      </c>
      <c r="C179" s="102">
        <f t="shared" si="219"/>
        <v>37167.509805007554</v>
      </c>
      <c r="D179" s="102">
        <f t="shared" si="219"/>
        <v>38175.466213054679</v>
      </c>
      <c r="E179" s="102">
        <f t="shared" si="219"/>
        <v>38436.150033085636</v>
      </c>
      <c r="F179" s="102">
        <f t="shared" si="219"/>
        <v>40479.678166241829</v>
      </c>
      <c r="G179" s="102">
        <f t="shared" si="219"/>
        <v>38557.502525770338</v>
      </c>
      <c r="H179" s="102">
        <f t="shared" si="219"/>
        <v>36672.934615760641</v>
      </c>
      <c r="I179" s="102">
        <f t="shared" si="219"/>
        <v>34784.525087952985</v>
      </c>
      <c r="J179" s="102">
        <f t="shared" si="219"/>
        <v>32978.408023347285</v>
      </c>
      <c r="K179" s="102">
        <f t="shared" si="219"/>
        <v>31229.061802278007</v>
      </c>
      <c r="L179" s="102">
        <f t="shared" si="219"/>
        <v>30314.296863805856</v>
      </c>
      <c r="M179" s="102">
        <f t="shared" si="222"/>
        <v>30798.572081470193</v>
      </c>
      <c r="N179" s="102">
        <f t="shared" si="219"/>
        <v>30812.697637186717</v>
      </c>
      <c r="O179" s="102">
        <f t="shared" si="219"/>
        <v>28497.939755558949</v>
      </c>
      <c r="P179" s="102">
        <f t="shared" si="219"/>
        <v>29873.74444110685</v>
      </c>
      <c r="Q179" s="102">
        <f t="shared" si="219"/>
        <v>29239.563446857206</v>
      </c>
      <c r="R179" s="102">
        <f t="shared" si="219"/>
        <v>31396.570067393815</v>
      </c>
      <c r="S179" s="102">
        <f t="shared" si="219"/>
        <v>33297.118341419555</v>
      </c>
      <c r="T179" s="102">
        <f t="shared" si="219"/>
        <v>33308.272942561729</v>
      </c>
      <c r="U179" s="102">
        <f t="shared" si="219"/>
        <v>33434.44934870716</v>
      </c>
      <c r="V179" s="102">
        <f t="shared" si="219"/>
        <v>25076.941967007333</v>
      </c>
      <c r="W179" s="102">
        <f t="shared" si="221"/>
        <v>23547.47151201743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20815.284566989987</v>
      </c>
      <c r="E180" s="102">
        <f t="shared" si="219"/>
        <v>21149.301454335033</v>
      </c>
      <c r="F180" s="102">
        <f t="shared" ref="B180:V192" si="223">IF(F43=0,0,F43*1000000/F70)</f>
        <v>22564.711637353561</v>
      </c>
      <c r="G180" s="102">
        <f t="shared" si="223"/>
        <v>21677.275743341364</v>
      </c>
      <c r="H180" s="102">
        <f t="shared" si="223"/>
        <v>20820.619062215221</v>
      </c>
      <c r="I180" s="102">
        <f t="shared" si="223"/>
        <v>19976.746643056456</v>
      </c>
      <c r="J180" s="102">
        <f t="shared" si="223"/>
        <v>19158.462680664437</v>
      </c>
      <c r="K180" s="102">
        <f t="shared" si="223"/>
        <v>18426.167017057916</v>
      </c>
      <c r="L180" s="102">
        <f t="shared" si="223"/>
        <v>18125.868635475028</v>
      </c>
      <c r="M180" s="102">
        <f t="shared" si="222"/>
        <v>18645.494319378719</v>
      </c>
      <c r="N180" s="102">
        <f t="shared" si="223"/>
        <v>18835.985909734569</v>
      </c>
      <c r="O180" s="102">
        <f t="shared" si="223"/>
        <v>18210.574589951986</v>
      </c>
      <c r="P180" s="102">
        <f t="shared" si="223"/>
        <v>19341.923845828656</v>
      </c>
      <c r="Q180" s="102">
        <f t="shared" si="223"/>
        <v>19734.175341580452</v>
      </c>
      <c r="R180" s="102">
        <f t="shared" si="223"/>
        <v>20808.955529646304</v>
      </c>
      <c r="S180" s="102">
        <f t="shared" si="223"/>
        <v>21656.589770466024</v>
      </c>
      <c r="T180" s="102">
        <f t="shared" si="223"/>
        <v>21390.751192896529</v>
      </c>
      <c r="U180" s="102">
        <f t="shared" si="223"/>
        <v>21156.116012215571</v>
      </c>
      <c r="V180" s="102">
        <f t="shared" si="223"/>
        <v>16022.689364987289</v>
      </c>
      <c r="W180" s="102">
        <f t="shared" si="221"/>
        <v>16085.787201722593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37174.710022986888</v>
      </c>
      <c r="L181" s="102">
        <f t="shared" si="223"/>
        <v>36248.853476539596</v>
      </c>
      <c r="M181" s="102">
        <f t="shared" si="222"/>
        <v>36883.137984296649</v>
      </c>
      <c r="N181" s="102">
        <f t="shared" si="223"/>
        <v>36949.762544448153</v>
      </c>
      <c r="O181" s="102">
        <f t="shared" si="223"/>
        <v>35439.558744126829</v>
      </c>
      <c r="P181" s="102">
        <f t="shared" si="223"/>
        <v>37269.472396970101</v>
      </c>
      <c r="Q181" s="102">
        <f t="shared" si="223"/>
        <v>37731.631468045693</v>
      </c>
      <c r="R181" s="102">
        <f t="shared" si="223"/>
        <v>40067.949003108442</v>
      </c>
      <c r="S181" s="102">
        <f t="shared" si="223"/>
        <v>42021.17128276328</v>
      </c>
      <c r="T181" s="102">
        <f t="shared" si="223"/>
        <v>41929.193368789012</v>
      </c>
      <c r="U181" s="102">
        <f t="shared" si="223"/>
        <v>41890.106888740374</v>
      </c>
      <c r="V181" s="102">
        <f t="shared" si="223"/>
        <v>32457.535692497735</v>
      </c>
      <c r="W181" s="102">
        <f t="shared" si="221"/>
        <v>32892.594095799039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40618.000776294059</v>
      </c>
      <c r="G182" s="102">
        <f t="shared" si="223"/>
        <v>40715.161090479742</v>
      </c>
      <c r="H182" s="102">
        <f t="shared" si="223"/>
        <v>40812.938567372337</v>
      </c>
      <c r="I182" s="102">
        <f t="shared" si="223"/>
        <v>40913.004546938275</v>
      </c>
      <c r="J182" s="102">
        <f t="shared" si="223"/>
        <v>41014.193815315615</v>
      </c>
      <c r="K182" s="102">
        <f t="shared" si="223"/>
        <v>41110.05054769398</v>
      </c>
      <c r="L182" s="102">
        <f t="shared" si="223"/>
        <v>41161.924953583017</v>
      </c>
      <c r="M182" s="102">
        <f t="shared" si="222"/>
        <v>41197.641678095162</v>
      </c>
      <c r="N182" s="102">
        <f t="shared" si="223"/>
        <v>42763.481423280675</v>
      </c>
      <c r="O182" s="102">
        <f t="shared" si="223"/>
        <v>42852.801747166457</v>
      </c>
      <c r="P182" s="102">
        <f t="shared" si="223"/>
        <v>45182.719982192742</v>
      </c>
      <c r="Q182" s="102">
        <f t="shared" si="223"/>
        <v>48004.19171860494</v>
      </c>
      <c r="R182" s="102">
        <f t="shared" si="223"/>
        <v>47860.208376605624</v>
      </c>
      <c r="S182" s="102">
        <f t="shared" si="223"/>
        <v>47746.444087229516</v>
      </c>
      <c r="T182" s="102">
        <f t="shared" si="223"/>
        <v>47741.213163536617</v>
      </c>
      <c r="U182" s="102">
        <f t="shared" si="223"/>
        <v>47738.986954778418</v>
      </c>
      <c r="V182" s="102">
        <f t="shared" si="223"/>
        <v>39425.413314925034</v>
      </c>
      <c r="W182" s="102">
        <f t="shared" si="221"/>
        <v>47165.292454591967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14767.134437877539</v>
      </c>
      <c r="C183" s="28">
        <f t="shared" si="223"/>
        <v>14788.768215422693</v>
      </c>
      <c r="D183" s="28">
        <f t="shared" si="223"/>
        <v>14687.490573557752</v>
      </c>
      <c r="E183" s="28">
        <f t="shared" si="223"/>
        <v>14359.420988713653</v>
      </c>
      <c r="F183" s="28">
        <f t="shared" si="223"/>
        <v>14437.78162294381</v>
      </c>
      <c r="G183" s="28">
        <f t="shared" si="223"/>
        <v>14388.984232364395</v>
      </c>
      <c r="H183" s="28">
        <f t="shared" si="223"/>
        <v>14616.820455505158</v>
      </c>
      <c r="I183" s="28">
        <f t="shared" si="223"/>
        <v>14581.892298143146</v>
      </c>
      <c r="J183" s="28">
        <f t="shared" si="223"/>
        <v>14386.537560341629</v>
      </c>
      <c r="K183" s="28">
        <f t="shared" si="223"/>
        <v>13920.855581526181</v>
      </c>
      <c r="L183" s="28">
        <f t="shared" si="223"/>
        <v>13777.650020357878</v>
      </c>
      <c r="M183" s="28">
        <f t="shared" si="222"/>
        <v>13919.997788778215</v>
      </c>
      <c r="N183" s="28">
        <f t="shared" si="223"/>
        <v>14102.178734902236</v>
      </c>
      <c r="O183" s="28">
        <f t="shared" si="223"/>
        <v>14190.666585402541</v>
      </c>
      <c r="P183" s="28">
        <f t="shared" si="223"/>
        <v>14261.338187154939</v>
      </c>
      <c r="Q183" s="28">
        <f t="shared" si="223"/>
        <v>14259.860421015652</v>
      </c>
      <c r="R183" s="28">
        <f t="shared" si="223"/>
        <v>14488.903127984249</v>
      </c>
      <c r="S183" s="28">
        <f t="shared" si="223"/>
        <v>14513.463613947573</v>
      </c>
      <c r="T183" s="28">
        <f t="shared" si="223"/>
        <v>13873.068760607906</v>
      </c>
      <c r="U183" s="28">
        <f t="shared" si="223"/>
        <v>13983.515933219398</v>
      </c>
      <c r="V183" s="28">
        <f t="shared" si="223"/>
        <v>14012.497966965086</v>
      </c>
      <c r="W183" s="28">
        <f t="shared" si="221"/>
        <v>13280.901896082967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12773.888546899791</v>
      </c>
      <c r="C184" s="137">
        <f t="shared" si="223"/>
        <v>12664.659366235341</v>
      </c>
      <c r="D184" s="137">
        <f t="shared" si="223"/>
        <v>12600.352352585491</v>
      </c>
      <c r="E184" s="137">
        <f t="shared" si="223"/>
        <v>12527.516982811012</v>
      </c>
      <c r="F184" s="137">
        <f t="shared" si="223"/>
        <v>12447.307019894815</v>
      </c>
      <c r="G184" s="137">
        <f t="shared" si="223"/>
        <v>12392.401472289181</v>
      </c>
      <c r="H184" s="137">
        <f t="shared" si="223"/>
        <v>12425.723379639003</v>
      </c>
      <c r="I184" s="137">
        <f t="shared" si="223"/>
        <v>12397.951359730423</v>
      </c>
      <c r="J184" s="137">
        <f t="shared" si="223"/>
        <v>12327.890212662791</v>
      </c>
      <c r="K184" s="137">
        <f t="shared" si="223"/>
        <v>12288.234585611077</v>
      </c>
      <c r="L184" s="137">
        <f t="shared" si="223"/>
        <v>12102.850786762954</v>
      </c>
      <c r="M184" s="137">
        <f t="shared" si="222"/>
        <v>12049.58662044686</v>
      </c>
      <c r="N184" s="137">
        <f t="shared" si="223"/>
        <v>11992.065827776447</v>
      </c>
      <c r="O184" s="137">
        <f t="shared" si="223"/>
        <v>11683.17860760676</v>
      </c>
      <c r="P184" s="137">
        <f t="shared" si="223"/>
        <v>12085.832461043459</v>
      </c>
      <c r="Q184" s="137">
        <f t="shared" si="223"/>
        <v>11764.530543380011</v>
      </c>
      <c r="R184" s="137">
        <f t="shared" si="223"/>
        <v>12147.184215082469</v>
      </c>
      <c r="S184" s="137">
        <f t="shared" si="223"/>
        <v>11796.347548730839</v>
      </c>
      <c r="T184" s="137">
        <f t="shared" si="223"/>
        <v>11467.56159184454</v>
      </c>
      <c r="U184" s="137">
        <f t="shared" si="223"/>
        <v>11372.070915748191</v>
      </c>
      <c r="V184" s="137">
        <f t="shared" si="223"/>
        <v>11274.889597860865</v>
      </c>
      <c r="W184" s="137">
        <f t="shared" si="221"/>
        <v>11178.986260765449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11775.527181186944</v>
      </c>
      <c r="C185" s="84">
        <f t="shared" si="223"/>
        <v>11669.358597387698</v>
      </c>
      <c r="D185" s="84">
        <f t="shared" si="223"/>
        <v>11597.232264119917</v>
      </c>
      <c r="E185" s="84">
        <f t="shared" si="223"/>
        <v>11519.72035396329</v>
      </c>
      <c r="F185" s="84">
        <f t="shared" si="223"/>
        <v>11437.588643915533</v>
      </c>
      <c r="G185" s="84">
        <f t="shared" si="223"/>
        <v>11377.743372336019</v>
      </c>
      <c r="H185" s="84">
        <f t="shared" si="223"/>
        <v>11510.115441754861</v>
      </c>
      <c r="I185" s="84">
        <f t="shared" si="223"/>
        <v>11588.777074732687</v>
      </c>
      <c r="J185" s="84">
        <f t="shared" si="223"/>
        <v>11617.673139100141</v>
      </c>
      <c r="K185" s="84">
        <f t="shared" si="223"/>
        <v>11676.149320344066</v>
      </c>
      <c r="L185" s="84">
        <f t="shared" si="223"/>
        <v>11498.438673933435</v>
      </c>
      <c r="M185" s="84">
        <f t="shared" si="222"/>
        <v>11438.093978340989</v>
      </c>
      <c r="N185" s="84">
        <f t="shared" si="223"/>
        <v>11379.632951720601</v>
      </c>
      <c r="O185" s="84">
        <f t="shared" si="223"/>
        <v>11295.953056192009</v>
      </c>
      <c r="P185" s="84">
        <f t="shared" si="223"/>
        <v>11346.791839979425</v>
      </c>
      <c r="Q185" s="84">
        <f t="shared" si="223"/>
        <v>11147.894362729603</v>
      </c>
      <c r="R185" s="84">
        <f t="shared" si="223"/>
        <v>11398.320830068298</v>
      </c>
      <c r="S185" s="84">
        <f t="shared" si="223"/>
        <v>11398.663493299939</v>
      </c>
      <c r="T185" s="84">
        <f t="shared" si="223"/>
        <v>11297.891138695652</v>
      </c>
      <c r="U185" s="84">
        <f t="shared" si="223"/>
        <v>11204.613872697555</v>
      </c>
      <c r="V185" s="84">
        <f t="shared" si="223"/>
        <v>11108.364786295422</v>
      </c>
      <c r="W185" s="84">
        <f t="shared" si="221"/>
        <v>11013.510070435976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12951.496805948498</v>
      </c>
      <c r="C186" s="84">
        <f t="shared" si="223"/>
        <v>12834.725636996938</v>
      </c>
      <c r="D186" s="84">
        <f t="shared" si="223"/>
        <v>12755.396367014459</v>
      </c>
      <c r="E186" s="84">
        <f t="shared" si="223"/>
        <v>12670.14368648731</v>
      </c>
      <c r="F186" s="84">
        <f t="shared" si="223"/>
        <v>12579.809847162469</v>
      </c>
      <c r="G186" s="84">
        <f t="shared" si="223"/>
        <v>12513.988093980031</v>
      </c>
      <c r="H186" s="84">
        <f t="shared" si="223"/>
        <v>12535.440594477735</v>
      </c>
      <c r="I186" s="84">
        <f t="shared" si="223"/>
        <v>12494.89833919517</v>
      </c>
      <c r="J186" s="84">
        <f t="shared" si="223"/>
        <v>12400.793236093816</v>
      </c>
      <c r="K186" s="84">
        <f t="shared" si="223"/>
        <v>12338.579047963611</v>
      </c>
      <c r="L186" s="84">
        <f t="shared" si="223"/>
        <v>12150.786240742331</v>
      </c>
      <c r="M186" s="84">
        <f t="shared" si="222"/>
        <v>12087.017974658629</v>
      </c>
      <c r="N186" s="84">
        <f t="shared" si="223"/>
        <v>12020.430148729509</v>
      </c>
      <c r="O186" s="84">
        <f t="shared" si="223"/>
        <v>11698.076631634589</v>
      </c>
      <c r="P186" s="84">
        <f t="shared" si="223"/>
        <v>12109.254116930308</v>
      </c>
      <c r="Q186" s="84">
        <f t="shared" si="223"/>
        <v>11780.354296533946</v>
      </c>
      <c r="R186" s="84">
        <f t="shared" si="223"/>
        <v>12164.245663807587</v>
      </c>
      <c r="S186" s="84">
        <f t="shared" si="223"/>
        <v>11804.443447978483</v>
      </c>
      <c r="T186" s="84">
        <f t="shared" si="223"/>
        <v>11470.670301721428</v>
      </c>
      <c r="U186" s="84">
        <f t="shared" si="223"/>
        <v>11375.966542252059</v>
      </c>
      <c r="V186" s="84">
        <f t="shared" si="223"/>
        <v>11278.245514194055</v>
      </c>
      <c r="W186" s="84">
        <f t="shared" si="221"/>
        <v>11181.940180850865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0</v>
      </c>
      <c r="P189" s="84">
        <f t="shared" si="223"/>
        <v>0</v>
      </c>
      <c r="Q189" s="84">
        <f t="shared" si="223"/>
        <v>0</v>
      </c>
      <c r="R189" s="84">
        <f t="shared" si="223"/>
        <v>0</v>
      </c>
      <c r="S189" s="84">
        <f t="shared" si="223"/>
        <v>0</v>
      </c>
      <c r="T189" s="84">
        <f t="shared" si="223"/>
        <v>0</v>
      </c>
      <c r="U189" s="84">
        <f t="shared" si="223"/>
        <v>0</v>
      </c>
      <c r="V189" s="84">
        <f t="shared" si="223"/>
        <v>0</v>
      </c>
      <c r="W189" s="84">
        <f t="shared" si="221"/>
        <v>0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16342.180261154796</v>
      </c>
      <c r="C190" s="110">
        <f t="shared" si="223"/>
        <v>16527.817396614704</v>
      </c>
      <c r="D190" s="110">
        <f t="shared" si="223"/>
        <v>16524.499802607748</v>
      </c>
      <c r="E190" s="110">
        <f t="shared" si="223"/>
        <v>15721.920875715201</v>
      </c>
      <c r="F190" s="110">
        <f t="shared" si="223"/>
        <v>16005.950358692246</v>
      </c>
      <c r="G190" s="110">
        <f t="shared" si="223"/>
        <v>16272.998052244124</v>
      </c>
      <c r="H190" s="110">
        <f t="shared" si="223"/>
        <v>17090.108544971223</v>
      </c>
      <c r="I190" s="110">
        <f t="shared" si="223"/>
        <v>17129.113387006386</v>
      </c>
      <c r="J190" s="110">
        <f t="shared" si="223"/>
        <v>17246.851766092223</v>
      </c>
      <c r="K190" s="110">
        <f t="shared" si="223"/>
        <v>16535.848037139956</v>
      </c>
      <c r="L190" s="110">
        <f t="shared" si="223"/>
        <v>16410.923483868446</v>
      </c>
      <c r="M190" s="110">
        <f t="shared" si="222"/>
        <v>17126.69131999604</v>
      </c>
      <c r="N190" s="110">
        <f t="shared" si="223"/>
        <v>17863.740428584046</v>
      </c>
      <c r="O190" s="110">
        <f t="shared" si="223"/>
        <v>18667.139563356341</v>
      </c>
      <c r="P190" s="110">
        <f t="shared" si="223"/>
        <v>18173.391254493978</v>
      </c>
      <c r="Q190" s="110">
        <f t="shared" si="223"/>
        <v>19141.202226866382</v>
      </c>
      <c r="R190" s="110">
        <f t="shared" si="223"/>
        <v>19087.066566453042</v>
      </c>
      <c r="S190" s="110">
        <f t="shared" si="223"/>
        <v>20179.60162261255</v>
      </c>
      <c r="T190" s="110">
        <f t="shared" si="223"/>
        <v>18636.240398422364</v>
      </c>
      <c r="U190" s="110">
        <f t="shared" si="223"/>
        <v>19619.344765705657</v>
      </c>
      <c r="V190" s="110">
        <f t="shared" si="223"/>
        <v>19926.782207211068</v>
      </c>
      <c r="W190" s="110">
        <f t="shared" si="221"/>
        <v>17520.76206213074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12874.478035528446</v>
      </c>
      <c r="C191" s="102">
        <f t="shared" si="223"/>
        <v>12801.982510314763</v>
      </c>
      <c r="D191" s="102">
        <f t="shared" si="223"/>
        <v>12650.546027841374</v>
      </c>
      <c r="E191" s="102">
        <f t="shared" si="223"/>
        <v>12622.844700759137</v>
      </c>
      <c r="F191" s="102">
        <f t="shared" si="223"/>
        <v>12370.650485152288</v>
      </c>
      <c r="G191" s="102">
        <f t="shared" si="223"/>
        <v>12199.394808090461</v>
      </c>
      <c r="H191" s="102">
        <f t="shared" si="223"/>
        <v>12140.53590042308</v>
      </c>
      <c r="I191" s="102">
        <f t="shared" si="223"/>
        <v>12219.959266802443</v>
      </c>
      <c r="J191" s="102">
        <f t="shared" si="223"/>
        <v>12122.336642236447</v>
      </c>
      <c r="K191" s="102">
        <f t="shared" si="223"/>
        <v>12132.154962146409</v>
      </c>
      <c r="L191" s="102">
        <f t="shared" si="223"/>
        <v>11113.004942900972</v>
      </c>
      <c r="M191" s="102">
        <f t="shared" si="222"/>
        <v>11257.987085432233</v>
      </c>
      <c r="N191" s="102">
        <f t="shared" si="223"/>
        <v>11530.498487020226</v>
      </c>
      <c r="O191" s="102">
        <f t="shared" si="223"/>
        <v>11737.372518254782</v>
      </c>
      <c r="P191" s="102">
        <f t="shared" si="223"/>
        <v>11956.36775747273</v>
      </c>
      <c r="Q191" s="102">
        <f t="shared" si="223"/>
        <v>12025.111261752483</v>
      </c>
      <c r="R191" s="102">
        <f t="shared" si="223"/>
        <v>11908.891201294948</v>
      </c>
      <c r="S191" s="102">
        <f t="shared" si="223"/>
        <v>12786.48974668275</v>
      </c>
      <c r="T191" s="102">
        <f t="shared" si="223"/>
        <v>12150.47055951832</v>
      </c>
      <c r="U191" s="102">
        <f t="shared" si="223"/>
        <v>13071.895424836601</v>
      </c>
      <c r="V191" s="102">
        <f t="shared" si="223"/>
        <v>12930.2148697471</v>
      </c>
      <c r="W191" s="102">
        <f t="shared" si="221"/>
        <v>10912.14998197332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84975.868132422082</v>
      </c>
      <c r="C192" s="86">
        <f t="shared" si="223"/>
        <v>84984.104770074729</v>
      </c>
      <c r="D192" s="86">
        <f t="shared" si="223"/>
        <v>85018.190920551744</v>
      </c>
      <c r="E192" s="86">
        <f t="shared" si="223"/>
        <v>85014.817508647335</v>
      </c>
      <c r="F192" s="86">
        <f t="shared" si="223"/>
        <v>84977.576936038517</v>
      </c>
      <c r="G192" s="86">
        <f t="shared" si="223"/>
        <v>84994.531555846625</v>
      </c>
      <c r="H192" s="86">
        <f t="shared" si="223"/>
        <v>85009.822688795932</v>
      </c>
      <c r="I192" s="86">
        <f t="shared" si="223"/>
        <v>85001.718335061974</v>
      </c>
      <c r="J192" s="86">
        <f t="shared" si="223"/>
        <v>84994.785355676926</v>
      </c>
      <c r="K192" s="86">
        <f t="shared" si="223"/>
        <v>85018.698620623385</v>
      </c>
      <c r="L192" s="86">
        <f t="shared" si="223"/>
        <v>84996.289944274831</v>
      </c>
      <c r="M192" s="86">
        <f t="shared" si="222"/>
        <v>85014.998928194284</v>
      </c>
      <c r="N192" s="86">
        <f t="shared" si="223"/>
        <v>84991.401048231623</v>
      </c>
      <c r="O192" s="86">
        <f t="shared" si="223"/>
        <v>85006.347942546374</v>
      </c>
      <c r="P192" s="86">
        <f t="shared" si="223"/>
        <v>85011.601527830862</v>
      </c>
      <c r="Q192" s="86">
        <f t="shared" si="223"/>
        <v>85000.954096847141</v>
      </c>
      <c r="R192" s="86">
        <f t="shared" si="223"/>
        <v>85011.18521073481</v>
      </c>
      <c r="S192" s="86">
        <f t="shared" si="223"/>
        <v>85001.280577089594</v>
      </c>
      <c r="T192" s="86">
        <f t="shared" si="223"/>
        <v>84989.409025012515</v>
      </c>
      <c r="U192" s="86">
        <f t="shared" si="223"/>
        <v>84994.383247699472</v>
      </c>
      <c r="V192" s="86">
        <f t="shared" ref="V192:W192" si="224">IF(V55=0,0,V55*1000000/V82)</f>
        <v>85001.22217539222</v>
      </c>
      <c r="W192" s="86">
        <f t="shared" si="224"/>
        <v>84993.475091566157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30504.111968654204</v>
      </c>
      <c r="C195" s="28">
        <f t="shared" si="225"/>
        <v>29904.399432029357</v>
      </c>
      <c r="D195" s="28">
        <f t="shared" si="225"/>
        <v>28659.23090602403</v>
      </c>
      <c r="E195" s="28">
        <f t="shared" si="225"/>
        <v>29368.698956999146</v>
      </c>
      <c r="F195" s="28">
        <f t="shared" si="225"/>
        <v>29550.154091056222</v>
      </c>
      <c r="G195" s="28">
        <f t="shared" si="225"/>
        <v>31037.410607963346</v>
      </c>
      <c r="H195" s="28">
        <f t="shared" si="225"/>
        <v>30019.633820977855</v>
      </c>
      <c r="I195" s="28">
        <f t="shared" si="225"/>
        <v>28170.279340547564</v>
      </c>
      <c r="J195" s="28">
        <f t="shared" si="225"/>
        <v>27173.972000314971</v>
      </c>
      <c r="K195" s="28">
        <f t="shared" si="225"/>
        <v>26676.660223481915</v>
      </c>
      <c r="L195" s="28">
        <f t="shared" si="225"/>
        <v>26411.782930292484</v>
      </c>
      <c r="M195" s="28">
        <f>IF(M4=0,0,M4*1000000/M58)</f>
        <v>26304.572548176129</v>
      </c>
      <c r="N195" s="28">
        <f t="shared" ref="N195:V195" si="226">IF(N4=0,0,N4*1000000/N58)</f>
        <v>26708.695997050432</v>
      </c>
      <c r="O195" s="28">
        <f t="shared" si="226"/>
        <v>25899.480583393608</v>
      </c>
      <c r="P195" s="28">
        <f t="shared" si="226"/>
        <v>19394.290348408911</v>
      </c>
      <c r="Q195" s="28">
        <f t="shared" si="226"/>
        <v>18742.073460914002</v>
      </c>
      <c r="R195" s="28">
        <f t="shared" si="226"/>
        <v>18763.722949968324</v>
      </c>
      <c r="S195" s="28">
        <f t="shared" si="226"/>
        <v>21683.107625165765</v>
      </c>
      <c r="T195" s="28">
        <f t="shared" si="226"/>
        <v>19987.021108663772</v>
      </c>
      <c r="U195" s="28">
        <f t="shared" si="226"/>
        <v>19846.898627104314</v>
      </c>
      <c r="V195" s="28">
        <f t="shared" si="226"/>
        <v>16654.093849897876</v>
      </c>
      <c r="W195" s="28">
        <f t="shared" ref="W195" si="227">IF(W4=0,0,W4*1000000/W58)</f>
        <v>17489.526175261428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3257.9579494582254</v>
      </c>
      <c r="C196" s="137">
        <f t="shared" si="228"/>
        <v>3234.303691698934</v>
      </c>
      <c r="D196" s="137">
        <f t="shared" si="228"/>
        <v>3218.1680195178278</v>
      </c>
      <c r="E196" s="137">
        <f t="shared" si="228"/>
        <v>3194.564528468517</v>
      </c>
      <c r="F196" s="137">
        <f t="shared" si="228"/>
        <v>3183.9349720493324</v>
      </c>
      <c r="G196" s="137">
        <f t="shared" si="228"/>
        <v>2959.4198593490187</v>
      </c>
      <c r="H196" s="137">
        <f t="shared" si="228"/>
        <v>2975.2408456942462</v>
      </c>
      <c r="I196" s="137">
        <f t="shared" si="228"/>
        <v>2908.40074620621</v>
      </c>
      <c r="J196" s="137">
        <f t="shared" si="228"/>
        <v>2904.4905831310493</v>
      </c>
      <c r="K196" s="137">
        <f t="shared" si="228"/>
        <v>2862.0343361582009</v>
      </c>
      <c r="L196" s="137">
        <f t="shared" si="228"/>
        <v>2817.274100451009</v>
      </c>
      <c r="M196" s="137">
        <f>IF(M5=0,0,M5*1000000/M59)</f>
        <v>2804.7608653820175</v>
      </c>
      <c r="N196" s="137">
        <f t="shared" ref="N196:V196" si="229">IF(N5=0,0,N5*1000000/N59)</f>
        <v>2763.8748222128379</v>
      </c>
      <c r="O196" s="137">
        <f t="shared" si="229"/>
        <v>2747.0976549210754</v>
      </c>
      <c r="P196" s="137">
        <f t="shared" si="229"/>
        <v>2654.0287513433327</v>
      </c>
      <c r="Q196" s="137">
        <f t="shared" si="229"/>
        <v>2656.9032574736902</v>
      </c>
      <c r="R196" s="137">
        <f t="shared" si="229"/>
        <v>2713.5116929804562</v>
      </c>
      <c r="S196" s="137">
        <f t="shared" si="229"/>
        <v>2442.4121709823967</v>
      </c>
      <c r="T196" s="137">
        <f t="shared" si="229"/>
        <v>2187.3307293528542</v>
      </c>
      <c r="U196" s="137">
        <f t="shared" si="229"/>
        <v>1995.7079318093861</v>
      </c>
      <c r="V196" s="137">
        <f t="shared" si="229"/>
        <v>1586.1650019012318</v>
      </c>
      <c r="W196" s="137">
        <f t="shared" ref="W196" si="230">IF(W5=0,0,W5*1000000/W59)</f>
        <v>1470.5886326584903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28187.520734089772</v>
      </c>
      <c r="C197" s="110">
        <f t="shared" si="231"/>
        <v>27557.640514819122</v>
      </c>
      <c r="D197" s="110">
        <f t="shared" si="231"/>
        <v>26237.581298659359</v>
      </c>
      <c r="E197" s="110">
        <f t="shared" si="231"/>
        <v>27182.751513095056</v>
      </c>
      <c r="F197" s="110">
        <f t="shared" si="231"/>
        <v>27052.640948622673</v>
      </c>
      <c r="G197" s="110">
        <f t="shared" si="231"/>
        <v>28629.710452605006</v>
      </c>
      <c r="H197" s="110">
        <f t="shared" si="231"/>
        <v>27949.963108201307</v>
      </c>
      <c r="I197" s="110">
        <f t="shared" si="231"/>
        <v>26291.364423621701</v>
      </c>
      <c r="J197" s="110">
        <f t="shared" si="231"/>
        <v>25489.446211236798</v>
      </c>
      <c r="K197" s="110">
        <f t="shared" si="231"/>
        <v>25404.71031725061</v>
      </c>
      <c r="L197" s="110">
        <f t="shared" si="231"/>
        <v>25077.923357911532</v>
      </c>
      <c r="M197" s="110">
        <f>IF(M6=0,0,M6*1000000/M60)</f>
        <v>24820.78213514496</v>
      </c>
      <c r="N197" s="110">
        <f t="shared" ref="N197:V197" si="232">IF(N6=0,0,N6*1000000/N60)</f>
        <v>25403.19614720792</v>
      </c>
      <c r="O197" s="110">
        <f t="shared" si="232"/>
        <v>24510.705275777611</v>
      </c>
      <c r="P197" s="110">
        <f t="shared" si="232"/>
        <v>17734.791410694223</v>
      </c>
      <c r="Q197" s="110">
        <f t="shared" si="232"/>
        <v>17301.254749756292</v>
      </c>
      <c r="R197" s="110">
        <f t="shared" si="232"/>
        <v>17459.151231608263</v>
      </c>
      <c r="S197" s="110">
        <f t="shared" si="232"/>
        <v>20469.851663579317</v>
      </c>
      <c r="T197" s="110">
        <f t="shared" si="232"/>
        <v>18761.886192799109</v>
      </c>
      <c r="U197" s="110">
        <f t="shared" si="232"/>
        <v>18726.755039710297</v>
      </c>
      <c r="V197" s="110">
        <f t="shared" si="232"/>
        <v>16337.016084275027</v>
      </c>
      <c r="W197" s="110">
        <f t="shared" ref="W197:W209" si="233">IF(W6=0,0,W6*1000000/W60)</f>
        <v>17335.956450913694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24293.569245312006</v>
      </c>
      <c r="C198" s="84">
        <f t="shared" si="231"/>
        <v>22341.0234823028</v>
      </c>
      <c r="D198" s="84">
        <f t="shared" si="231"/>
        <v>21157.042838720037</v>
      </c>
      <c r="E198" s="84">
        <f t="shared" si="231"/>
        <v>21051.595115143504</v>
      </c>
      <c r="F198" s="84">
        <f t="shared" si="231"/>
        <v>20115.639551640172</v>
      </c>
      <c r="G198" s="84">
        <f t="shared" si="231"/>
        <v>21020.427004101581</v>
      </c>
      <c r="H198" s="84">
        <f t="shared" si="231"/>
        <v>20458.586451324605</v>
      </c>
      <c r="I198" s="84">
        <f t="shared" si="231"/>
        <v>20532.82751363343</v>
      </c>
      <c r="J198" s="84">
        <f t="shared" si="231"/>
        <v>20143.66646624733</v>
      </c>
      <c r="K198" s="84">
        <f t="shared" si="231"/>
        <v>19081.078988042158</v>
      </c>
      <c r="L198" s="84">
        <f t="shared" si="231"/>
        <v>16401.366158369834</v>
      </c>
      <c r="M198" s="84">
        <f t="shared" ref="M198:M219" si="234">IF(M7=0,0,M7*1000000/M61)</f>
        <v>16243.625654676576</v>
      </c>
      <c r="N198" s="84">
        <f t="shared" si="231"/>
        <v>15101.099447088876</v>
      </c>
      <c r="O198" s="84">
        <f t="shared" si="231"/>
        <v>14283.879202504502</v>
      </c>
      <c r="P198" s="84">
        <f t="shared" si="231"/>
        <v>11180.78793884104</v>
      </c>
      <c r="Q198" s="84">
        <f t="shared" si="231"/>
        <v>11050.498949517776</v>
      </c>
      <c r="R198" s="84">
        <f t="shared" si="231"/>
        <v>10446.751294757007</v>
      </c>
      <c r="S198" s="84">
        <f t="shared" si="231"/>
        <v>12215.904924307122</v>
      </c>
      <c r="T198" s="84">
        <f t="shared" si="231"/>
        <v>11862.932092747269</v>
      </c>
      <c r="U198" s="84">
        <f t="shared" si="231"/>
        <v>12240.421750877378</v>
      </c>
      <c r="V198" s="84">
        <f t="shared" si="231"/>
        <v>11054.267946589216</v>
      </c>
      <c r="W198" s="84">
        <f t="shared" si="233"/>
        <v>11893.426244809096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37481.016045756405</v>
      </c>
      <c r="C199" s="84">
        <f t="shared" si="231"/>
        <v>41476.484977466775</v>
      </c>
      <c r="D199" s="84">
        <f t="shared" si="231"/>
        <v>38167.141296507885</v>
      </c>
      <c r="E199" s="84">
        <f t="shared" si="231"/>
        <v>41484.027815153058</v>
      </c>
      <c r="F199" s="84">
        <f t="shared" si="231"/>
        <v>40187.405428888174</v>
      </c>
      <c r="G199" s="84">
        <f t="shared" si="231"/>
        <v>38011.505979919981</v>
      </c>
      <c r="H199" s="84">
        <f t="shared" si="231"/>
        <v>37480.979699742064</v>
      </c>
      <c r="I199" s="84">
        <f t="shared" si="231"/>
        <v>33968.528792838428</v>
      </c>
      <c r="J199" s="84">
        <f t="shared" si="231"/>
        <v>32397.339226467484</v>
      </c>
      <c r="K199" s="84">
        <f t="shared" si="231"/>
        <v>34298.627336691825</v>
      </c>
      <c r="L199" s="84">
        <f t="shared" si="231"/>
        <v>33767.125077786397</v>
      </c>
      <c r="M199" s="84">
        <f t="shared" si="234"/>
        <v>32342.24241688136</v>
      </c>
      <c r="N199" s="84">
        <f t="shared" si="231"/>
        <v>32404.09316724099</v>
      </c>
      <c r="O199" s="84">
        <f t="shared" si="231"/>
        <v>30548.800649046283</v>
      </c>
      <c r="P199" s="84">
        <f t="shared" si="231"/>
        <v>21053.174013079402</v>
      </c>
      <c r="Q199" s="84">
        <f t="shared" si="231"/>
        <v>20118.674736399029</v>
      </c>
      <c r="R199" s="84">
        <f t="shared" si="231"/>
        <v>20308.077549368922</v>
      </c>
      <c r="S199" s="84">
        <f t="shared" si="231"/>
        <v>23670.14640560549</v>
      </c>
      <c r="T199" s="84">
        <f t="shared" si="231"/>
        <v>21466.483673431212</v>
      </c>
      <c r="U199" s="84">
        <f t="shared" si="231"/>
        <v>21322.085721864249</v>
      </c>
      <c r="V199" s="84">
        <f t="shared" si="231"/>
        <v>18502.681767734721</v>
      </c>
      <c r="W199" s="84">
        <f t="shared" si="233"/>
        <v>19554.788362190662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28563.525024902356</v>
      </c>
      <c r="C200" s="84">
        <f t="shared" si="231"/>
        <v>25681.391832737558</v>
      </c>
      <c r="D200" s="84">
        <f t="shared" si="231"/>
        <v>24471.983127141109</v>
      </c>
      <c r="E200" s="84">
        <f t="shared" si="231"/>
        <v>23527.731603817363</v>
      </c>
      <c r="F200" s="84">
        <f t="shared" si="231"/>
        <v>24121.496518113403</v>
      </c>
      <c r="G200" s="84">
        <f t="shared" si="231"/>
        <v>26735.304942575774</v>
      </c>
      <c r="H200" s="84">
        <f t="shared" si="231"/>
        <v>23738.653965531343</v>
      </c>
      <c r="I200" s="84">
        <f t="shared" si="231"/>
        <v>22989.876693334132</v>
      </c>
      <c r="J200" s="84">
        <f t="shared" si="231"/>
        <v>22177.128072743937</v>
      </c>
      <c r="K200" s="84">
        <f t="shared" si="231"/>
        <v>18649.083154886575</v>
      </c>
      <c r="L200" s="84">
        <f t="shared" si="231"/>
        <v>19747.243224653925</v>
      </c>
      <c r="M200" s="84">
        <f t="shared" si="234"/>
        <v>20321.437079058502</v>
      </c>
      <c r="N200" s="84">
        <f t="shared" si="231"/>
        <v>18753.313229868396</v>
      </c>
      <c r="O200" s="84">
        <f t="shared" si="231"/>
        <v>19099.135852773848</v>
      </c>
      <c r="P200" s="84">
        <f t="shared" si="231"/>
        <v>15312.895110259375</v>
      </c>
      <c r="Q200" s="84">
        <f t="shared" si="231"/>
        <v>14805.082601940296</v>
      </c>
      <c r="R200" s="84">
        <f t="shared" si="231"/>
        <v>14815.328212093415</v>
      </c>
      <c r="S200" s="84">
        <f t="shared" si="231"/>
        <v>17107.202750769815</v>
      </c>
      <c r="T200" s="84">
        <f t="shared" si="231"/>
        <v>15358.740785761669</v>
      </c>
      <c r="U200" s="84">
        <f t="shared" si="231"/>
        <v>15277.51860900923</v>
      </c>
      <c r="V200" s="84">
        <f t="shared" si="231"/>
        <v>13385.463108805863</v>
      </c>
      <c r="W200" s="84">
        <f t="shared" si="233"/>
        <v>14287.482143133775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13141.978931730086</v>
      </c>
      <c r="O201" s="84">
        <f t="shared" si="231"/>
        <v>13654.715507187526</v>
      </c>
      <c r="P201" s="84">
        <f t="shared" si="231"/>
        <v>10947.784650247788</v>
      </c>
      <c r="Q201" s="84">
        <f t="shared" si="231"/>
        <v>10798.562649123989</v>
      </c>
      <c r="R201" s="84">
        <f t="shared" si="231"/>
        <v>10806.035614057158</v>
      </c>
      <c r="S201" s="84">
        <f t="shared" si="231"/>
        <v>12477.687941521084</v>
      </c>
      <c r="T201" s="84">
        <f t="shared" si="231"/>
        <v>11202.391033263619</v>
      </c>
      <c r="U201" s="84">
        <f t="shared" si="231"/>
        <v>11013.34206664968</v>
      </c>
      <c r="V201" s="84">
        <f t="shared" si="231"/>
        <v>9458.3096755275765</v>
      </c>
      <c r="W201" s="84">
        <f t="shared" si="233"/>
        <v>9895.7712853079247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0</v>
      </c>
      <c r="O202" s="84">
        <f t="shared" si="231"/>
        <v>19994.380880419129</v>
      </c>
      <c r="P202" s="84">
        <f t="shared" si="231"/>
        <v>16354.517276018283</v>
      </c>
      <c r="Q202" s="84">
        <f t="shared" si="231"/>
        <v>16131.59968371015</v>
      </c>
      <c r="R202" s="84">
        <f t="shared" si="231"/>
        <v>16142.763287855374</v>
      </c>
      <c r="S202" s="84">
        <f t="shared" si="231"/>
        <v>18639.986949300546</v>
      </c>
      <c r="T202" s="84">
        <f t="shared" si="231"/>
        <v>16734.864955721929</v>
      </c>
      <c r="U202" s="84">
        <f t="shared" si="231"/>
        <v>16452.451235569784</v>
      </c>
      <c r="V202" s="84">
        <f t="shared" si="231"/>
        <v>14129.442068158103</v>
      </c>
      <c r="W202" s="84">
        <f t="shared" si="233"/>
        <v>14782.950854027906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20199.982114606311</v>
      </c>
      <c r="N203" s="84">
        <f t="shared" si="231"/>
        <v>20024.817353754392</v>
      </c>
      <c r="O203" s="84">
        <f t="shared" si="231"/>
        <v>20008.635827307869</v>
      </c>
      <c r="P203" s="84">
        <f t="shared" si="231"/>
        <v>15416.392627736426</v>
      </c>
      <c r="Q203" s="84">
        <f t="shared" si="231"/>
        <v>14775.523193874436</v>
      </c>
      <c r="R203" s="84">
        <f t="shared" si="231"/>
        <v>13417.18821745766</v>
      </c>
      <c r="S203" s="84">
        <f t="shared" si="231"/>
        <v>15312.571495753637</v>
      </c>
      <c r="T203" s="84">
        <f t="shared" si="231"/>
        <v>13632.016360329659</v>
      </c>
      <c r="U203" s="84">
        <f t="shared" si="231"/>
        <v>13610.288615355832</v>
      </c>
      <c r="V203" s="84">
        <f t="shared" si="231"/>
        <v>12379.368376409047</v>
      </c>
      <c r="W203" s="84">
        <f t="shared" si="233"/>
        <v>13622.581719118552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1083366.1030279198</v>
      </c>
      <c r="C204" s="110">
        <f t="shared" si="231"/>
        <v>1072699.7349488831</v>
      </c>
      <c r="D204" s="110">
        <f t="shared" si="231"/>
        <v>1098832.9686360322</v>
      </c>
      <c r="E204" s="110">
        <f t="shared" si="231"/>
        <v>1064504.6329294369</v>
      </c>
      <c r="F204" s="110">
        <f t="shared" si="231"/>
        <v>1243953.7329127234</v>
      </c>
      <c r="G204" s="110">
        <f t="shared" si="231"/>
        <v>1267949.1583648229</v>
      </c>
      <c r="H204" s="110">
        <f t="shared" si="231"/>
        <v>1249070.6319702601</v>
      </c>
      <c r="I204" s="110">
        <f t="shared" si="231"/>
        <v>1227985.0746268656</v>
      </c>
      <c r="J204" s="110">
        <f t="shared" si="231"/>
        <v>1174862.6373626376</v>
      </c>
      <c r="K204" s="110">
        <f t="shared" si="231"/>
        <v>913631.8735594335</v>
      </c>
      <c r="L204" s="110">
        <f t="shared" si="231"/>
        <v>889564.06869220594</v>
      </c>
      <c r="M204" s="110">
        <f t="shared" si="234"/>
        <v>902463.054187192</v>
      </c>
      <c r="N204" s="110">
        <f t="shared" si="231"/>
        <v>909544.39640838047</v>
      </c>
      <c r="O204" s="110">
        <f t="shared" si="231"/>
        <v>822119.54952353449</v>
      </c>
      <c r="P204" s="110">
        <f t="shared" si="231"/>
        <v>875014.71453796339</v>
      </c>
      <c r="Q204" s="110">
        <f t="shared" si="231"/>
        <v>761593.0651872399</v>
      </c>
      <c r="R204" s="110">
        <f t="shared" si="231"/>
        <v>795675.83912912023</v>
      </c>
      <c r="S204" s="110">
        <f t="shared" si="231"/>
        <v>846153.84615384613</v>
      </c>
      <c r="T204" s="110">
        <f t="shared" si="231"/>
        <v>853064.90384615387</v>
      </c>
      <c r="U204" s="110">
        <f t="shared" si="231"/>
        <v>779210.31426269142</v>
      </c>
      <c r="V204" s="110">
        <f t="shared" si="231"/>
        <v>416010.85481682495</v>
      </c>
      <c r="W204" s="110">
        <f t="shared" si="233"/>
        <v>400331.30866924353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263348.76474785834</v>
      </c>
      <c r="E205" s="102">
        <f t="shared" si="231"/>
        <v>261674.07471212247</v>
      </c>
      <c r="F205" s="102">
        <f t="shared" si="231"/>
        <v>276509.613728442</v>
      </c>
      <c r="G205" s="102">
        <f t="shared" si="231"/>
        <v>258638.9815914011</v>
      </c>
      <c r="H205" s="102">
        <f t="shared" si="231"/>
        <v>242697.22282799514</v>
      </c>
      <c r="I205" s="102">
        <f t="shared" si="231"/>
        <v>227521.33352830619</v>
      </c>
      <c r="J205" s="102">
        <f t="shared" si="231"/>
        <v>213770.03586662759</v>
      </c>
      <c r="K205" s="102">
        <f t="shared" si="231"/>
        <v>197442.69698323062</v>
      </c>
      <c r="L205" s="102">
        <f t="shared" si="231"/>
        <v>190350.77565110251</v>
      </c>
      <c r="M205" s="102">
        <f t="shared" si="234"/>
        <v>191873.68045826795</v>
      </c>
      <c r="N205" s="102">
        <f t="shared" si="231"/>
        <v>182586.80874777428</v>
      </c>
      <c r="O205" s="102">
        <f t="shared" si="231"/>
        <v>172005.34910117538</v>
      </c>
      <c r="P205" s="102">
        <f t="shared" si="231"/>
        <v>172673.89893918703</v>
      </c>
      <c r="Q205" s="102">
        <f t="shared" si="231"/>
        <v>164315.2982591883</v>
      </c>
      <c r="R205" s="102">
        <f t="shared" si="231"/>
        <v>170463.32698450075</v>
      </c>
      <c r="S205" s="102">
        <f t="shared" si="231"/>
        <v>179892.42205989794</v>
      </c>
      <c r="T205" s="102">
        <f t="shared" si="231"/>
        <v>179528.4260958737</v>
      </c>
      <c r="U205" s="102">
        <f t="shared" si="231"/>
        <v>162338.22153130965</v>
      </c>
      <c r="V205" s="102">
        <f t="shared" si="231"/>
        <v>96403.981601187115</v>
      </c>
      <c r="W205" s="102">
        <f t="shared" si="233"/>
        <v>96354.816537320468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1083366.1030279198</v>
      </c>
      <c r="C206" s="102">
        <f t="shared" si="231"/>
        <v>1072699.7349488831</v>
      </c>
      <c r="D206" s="102">
        <f t="shared" si="231"/>
        <v>1104413.7720612793</v>
      </c>
      <c r="E206" s="102">
        <f t="shared" si="231"/>
        <v>1072360.0980479321</v>
      </c>
      <c r="F206" s="102">
        <f t="shared" si="231"/>
        <v>1252530.302630354</v>
      </c>
      <c r="G206" s="102">
        <f t="shared" si="231"/>
        <v>1275793.0252806689</v>
      </c>
      <c r="H206" s="102">
        <f t="shared" si="231"/>
        <v>1254409.3923791423</v>
      </c>
      <c r="I206" s="102">
        <f t="shared" si="231"/>
        <v>1227971.4423747475</v>
      </c>
      <c r="J206" s="102">
        <f t="shared" si="231"/>
        <v>1169134.7038060704</v>
      </c>
      <c r="K206" s="102">
        <f t="shared" si="231"/>
        <v>901696.50604004809</v>
      </c>
      <c r="L206" s="102">
        <f t="shared" si="231"/>
        <v>873978.63342513668</v>
      </c>
      <c r="M206" s="102">
        <f t="shared" si="234"/>
        <v>884784.68001959997</v>
      </c>
      <c r="N206" s="102">
        <f t="shared" si="231"/>
        <v>890453.35223017784</v>
      </c>
      <c r="O206" s="102">
        <f t="shared" si="231"/>
        <v>788652.3649422793</v>
      </c>
      <c r="P206" s="102">
        <f t="shared" si="231"/>
        <v>831012.11164575093</v>
      </c>
      <c r="Q206" s="102">
        <f t="shared" si="231"/>
        <v>697832.29170193744</v>
      </c>
      <c r="R206" s="102">
        <f t="shared" si="231"/>
        <v>737552.4066226841</v>
      </c>
      <c r="S206" s="102">
        <f t="shared" si="231"/>
        <v>792999.8810170244</v>
      </c>
      <c r="T206" s="102">
        <f t="shared" si="231"/>
        <v>800992.92864544981</v>
      </c>
      <c r="U206" s="102">
        <f t="shared" si="231"/>
        <v>734090.9564639359</v>
      </c>
      <c r="V206" s="102">
        <f t="shared" si="231"/>
        <v>378982.76995322463</v>
      </c>
      <c r="W206" s="102">
        <f t="shared" si="233"/>
        <v>337735.71026295726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602184.83821153734</v>
      </c>
      <c r="E207" s="102">
        <f t="shared" si="231"/>
        <v>590060.84016462241</v>
      </c>
      <c r="F207" s="102">
        <f t="shared" si="231"/>
        <v>698201.82314273296</v>
      </c>
      <c r="G207" s="102">
        <f t="shared" si="231"/>
        <v>717259.03880721354</v>
      </c>
      <c r="H207" s="102">
        <f t="shared" si="231"/>
        <v>712175.89703242993</v>
      </c>
      <c r="I207" s="102">
        <f t="shared" si="231"/>
        <v>705223.7834842474</v>
      </c>
      <c r="J207" s="102">
        <f t="shared" si="231"/>
        <v>679196.6299792541</v>
      </c>
      <c r="K207" s="102">
        <f t="shared" si="231"/>
        <v>532030.40565821703</v>
      </c>
      <c r="L207" s="102">
        <f t="shared" si="231"/>
        <v>522579.22955786309</v>
      </c>
      <c r="M207" s="102">
        <f t="shared" si="234"/>
        <v>535649.75939596421</v>
      </c>
      <c r="N207" s="102">
        <f t="shared" si="231"/>
        <v>544339.44711291196</v>
      </c>
      <c r="O207" s="102">
        <f t="shared" si="231"/>
        <v>503959.68412144354</v>
      </c>
      <c r="P207" s="102">
        <f t="shared" si="231"/>
        <v>538043.46522748261</v>
      </c>
      <c r="Q207" s="102">
        <f t="shared" si="231"/>
        <v>470976.4162003292</v>
      </c>
      <c r="R207" s="102">
        <f t="shared" si="231"/>
        <v>488833.4998775564</v>
      </c>
      <c r="S207" s="102">
        <f t="shared" si="231"/>
        <v>515770.55212766194</v>
      </c>
      <c r="T207" s="102">
        <f t="shared" si="231"/>
        <v>514401.94673169334</v>
      </c>
      <c r="U207" s="102">
        <f t="shared" si="231"/>
        <v>464506.33227102493</v>
      </c>
      <c r="V207" s="102">
        <f t="shared" si="231"/>
        <v>242147.67516836998</v>
      </c>
      <c r="W207" s="102">
        <f t="shared" si="233"/>
        <v>230714.57005224412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1073368.9776852052</v>
      </c>
      <c r="L208" s="102">
        <f t="shared" si="231"/>
        <v>1045075.3176623964</v>
      </c>
      <c r="M208" s="102">
        <f t="shared" si="234"/>
        <v>1059582.7414735414</v>
      </c>
      <c r="N208" s="102">
        <f t="shared" si="231"/>
        <v>1067807.8339400138</v>
      </c>
      <c r="O208" s="102">
        <f t="shared" si="231"/>
        <v>980754.82142931037</v>
      </c>
      <c r="P208" s="102">
        <f t="shared" si="231"/>
        <v>1036742.5823564298</v>
      </c>
      <c r="Q208" s="102">
        <f t="shared" si="231"/>
        <v>900504.23990955192</v>
      </c>
      <c r="R208" s="102">
        <f t="shared" si="231"/>
        <v>941256.07199266611</v>
      </c>
      <c r="S208" s="102">
        <f t="shared" si="231"/>
        <v>1000770.8020178969</v>
      </c>
      <c r="T208" s="102">
        <f t="shared" si="231"/>
        <v>1008307.6793000688</v>
      </c>
      <c r="U208" s="102">
        <f t="shared" si="231"/>
        <v>919744.43220555165</v>
      </c>
      <c r="V208" s="102">
        <f t="shared" si="231"/>
        <v>490524.1954454474</v>
      </c>
      <c r="W208" s="102">
        <f t="shared" si="233"/>
        <v>471770.55182618543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1256810.3085117699</v>
      </c>
      <c r="G209" s="102">
        <f t="shared" si="231"/>
        <v>1347185.7651489615</v>
      </c>
      <c r="H209" s="102">
        <f t="shared" si="231"/>
        <v>1396019.5442745571</v>
      </c>
      <c r="I209" s="102">
        <f t="shared" si="231"/>
        <v>1444320.4579725063</v>
      </c>
      <c r="J209" s="102">
        <f t="shared" si="231"/>
        <v>1454015.5274980671</v>
      </c>
      <c r="K209" s="102">
        <f t="shared" si="231"/>
        <v>1186996.5603411575</v>
      </c>
      <c r="L209" s="102">
        <f t="shared" si="231"/>
        <v>1186721.9972709611</v>
      </c>
      <c r="M209" s="102">
        <f t="shared" si="234"/>
        <v>1183530.2660556186</v>
      </c>
      <c r="N209" s="102">
        <f t="shared" si="231"/>
        <v>1235817.9681235442</v>
      </c>
      <c r="O209" s="102">
        <f t="shared" si="231"/>
        <v>1185909.0071840391</v>
      </c>
      <c r="P209" s="102">
        <f t="shared" si="231"/>
        <v>1256869.1419424051</v>
      </c>
      <c r="Q209" s="102">
        <f t="shared" si="231"/>
        <v>1145669.4686696446</v>
      </c>
      <c r="R209" s="102">
        <f t="shared" si="231"/>
        <v>1124307.9035021097</v>
      </c>
      <c r="S209" s="102">
        <f t="shared" si="231"/>
        <v>1137123.1615878264</v>
      </c>
      <c r="T209" s="102">
        <f t="shared" si="231"/>
        <v>1148074.3602315048</v>
      </c>
      <c r="U209" s="102">
        <f t="shared" si="231"/>
        <v>1048163.1753150964</v>
      </c>
      <c r="V209" s="102">
        <f t="shared" si="231"/>
        <v>595828.3256506715</v>
      </c>
      <c r="W209" s="102">
        <f t="shared" si="233"/>
        <v>676480.42545808654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64574.605024570337</v>
      </c>
      <c r="C210" s="28">
        <f t="shared" si="231"/>
        <v>65618.435993179111</v>
      </c>
      <c r="D210" s="28">
        <f t="shared" si="231"/>
        <v>64595.981565218492</v>
      </c>
      <c r="E210" s="28">
        <f t="shared" si="231"/>
        <v>62121.964273896592</v>
      </c>
      <c r="F210" s="28">
        <f t="shared" ref="B210:V219" si="235">IF(F19=0,0,F19*1000000/F73)</f>
        <v>68538.831878826255</v>
      </c>
      <c r="G210" s="28">
        <f t="shared" si="235"/>
        <v>68166.03321270406</v>
      </c>
      <c r="H210" s="28">
        <f t="shared" si="235"/>
        <v>69102.076577761734</v>
      </c>
      <c r="I210" s="28">
        <f t="shared" si="235"/>
        <v>70331.612004062437</v>
      </c>
      <c r="J210" s="28">
        <f t="shared" si="235"/>
        <v>66622.671972348428</v>
      </c>
      <c r="K210" s="28">
        <f t="shared" si="235"/>
        <v>58304.365297131022</v>
      </c>
      <c r="L210" s="28">
        <f t="shared" si="235"/>
        <v>62843.745065135459</v>
      </c>
      <c r="M210" s="28">
        <f t="shared" si="234"/>
        <v>62903.782372463364</v>
      </c>
      <c r="N210" s="28">
        <f t="shared" si="235"/>
        <v>63695.722778266776</v>
      </c>
      <c r="O210" s="28">
        <f t="shared" si="235"/>
        <v>66710.920943868943</v>
      </c>
      <c r="P210" s="28">
        <f t="shared" si="235"/>
        <v>63309.576482077871</v>
      </c>
      <c r="Q210" s="28">
        <f t="shared" si="235"/>
        <v>66605.242385743972</v>
      </c>
      <c r="R210" s="28">
        <f t="shared" si="235"/>
        <v>66519.462207807126</v>
      </c>
      <c r="S210" s="28">
        <f t="shared" si="235"/>
        <v>68714.605751527866</v>
      </c>
      <c r="T210" s="28">
        <f t="shared" si="235"/>
        <v>67250.060460645691</v>
      </c>
      <c r="U210" s="28">
        <f t="shared" si="235"/>
        <v>64506.960859511797</v>
      </c>
      <c r="V210" s="28">
        <f t="shared" si="235"/>
        <v>68387.82276787475</v>
      </c>
      <c r="W210" s="28">
        <f t="shared" ref="W210" si="236">IF(W19=0,0,W19*1000000/W73)</f>
        <v>64398.760787603569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1769.0811074653623</v>
      </c>
      <c r="C211" s="137">
        <f t="shared" si="235"/>
        <v>1758.8871183545853</v>
      </c>
      <c r="D211" s="137">
        <f t="shared" si="235"/>
        <v>1756.25416475323</v>
      </c>
      <c r="E211" s="137">
        <f t="shared" si="235"/>
        <v>1751.8082793325652</v>
      </c>
      <c r="F211" s="137">
        <f t="shared" si="235"/>
        <v>1745.7766793891658</v>
      </c>
      <c r="G211" s="137">
        <f t="shared" si="235"/>
        <v>1742.923456644512</v>
      </c>
      <c r="H211" s="137">
        <f t="shared" si="235"/>
        <v>1746.416302412656</v>
      </c>
      <c r="I211" s="137">
        <f t="shared" si="235"/>
        <v>1743.0347000698462</v>
      </c>
      <c r="J211" s="137">
        <f t="shared" si="235"/>
        <v>1740.0592973154594</v>
      </c>
      <c r="K211" s="137">
        <f t="shared" si="235"/>
        <v>1741.721783934059</v>
      </c>
      <c r="L211" s="137">
        <f t="shared" si="235"/>
        <v>1721.5968895221606</v>
      </c>
      <c r="M211" s="137">
        <f t="shared" si="234"/>
        <v>1721.3294869533743</v>
      </c>
      <c r="N211" s="137">
        <f t="shared" si="235"/>
        <v>1719.6461460606079</v>
      </c>
      <c r="O211" s="137">
        <f t="shared" si="235"/>
        <v>1686.5019018971263</v>
      </c>
      <c r="P211" s="137">
        <f t="shared" si="235"/>
        <v>1735.4502900109001</v>
      </c>
      <c r="Q211" s="137">
        <f t="shared" si="235"/>
        <v>1700.407062468551</v>
      </c>
      <c r="R211" s="137">
        <f t="shared" si="235"/>
        <v>1745.5800552980527</v>
      </c>
      <c r="S211" s="137">
        <f t="shared" si="235"/>
        <v>1705.796848402666</v>
      </c>
      <c r="T211" s="137">
        <f t="shared" si="235"/>
        <v>1668.2549474462953</v>
      </c>
      <c r="U211" s="137">
        <f t="shared" si="235"/>
        <v>1655.4275648382263</v>
      </c>
      <c r="V211" s="137">
        <f t="shared" si="235"/>
        <v>1645.1645563310869</v>
      </c>
      <c r="W211" s="137">
        <f t="shared" ref="W211" si="237">IF(W20=0,0,W20*1000000/W74)</f>
        <v>1634.7460797877909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1336.6790516764916</v>
      </c>
      <c r="C212" s="84">
        <f t="shared" si="235"/>
        <v>1327.0290898167211</v>
      </c>
      <c r="D212" s="84">
        <f t="shared" si="235"/>
        <v>1320.4633100511639</v>
      </c>
      <c r="E212" s="84">
        <f t="shared" si="235"/>
        <v>1313.3981605055735</v>
      </c>
      <c r="F212" s="84">
        <f t="shared" si="235"/>
        <v>1305.901536448366</v>
      </c>
      <c r="G212" s="84">
        <f t="shared" si="235"/>
        <v>1300.4323410006145</v>
      </c>
      <c r="H212" s="84">
        <f t="shared" si="235"/>
        <v>1312.5220193626092</v>
      </c>
      <c r="I212" s="84">
        <f t="shared" si="235"/>
        <v>1319.6930861675478</v>
      </c>
      <c r="J212" s="84">
        <f t="shared" si="235"/>
        <v>1322.3249039735047</v>
      </c>
      <c r="K212" s="84">
        <f t="shared" si="235"/>
        <v>1327.6468418583561</v>
      </c>
      <c r="L212" s="84">
        <f t="shared" si="235"/>
        <v>1311.4566906693485</v>
      </c>
      <c r="M212" s="84">
        <f t="shared" si="234"/>
        <v>1305.9476940158452</v>
      </c>
      <c r="N212" s="84">
        <f t="shared" si="235"/>
        <v>1300.6051154607401</v>
      </c>
      <c r="O212" s="84">
        <f t="shared" si="235"/>
        <v>1292.9482943149521</v>
      </c>
      <c r="P212" s="84">
        <f t="shared" si="235"/>
        <v>1297.6014573122338</v>
      </c>
      <c r="Q212" s="84">
        <f t="shared" si="235"/>
        <v>1279.3728501537255</v>
      </c>
      <c r="R212" s="84">
        <f t="shared" si="235"/>
        <v>1302.313540425871</v>
      </c>
      <c r="S212" s="84">
        <f t="shared" si="235"/>
        <v>1302.3448610831133</v>
      </c>
      <c r="T212" s="84">
        <f t="shared" si="235"/>
        <v>1293.1257594629958</v>
      </c>
      <c r="U212" s="84">
        <f t="shared" si="235"/>
        <v>1284.5776756073344</v>
      </c>
      <c r="V212" s="84">
        <f t="shared" si="235"/>
        <v>1275.7423152004749</v>
      </c>
      <c r="W212" s="84">
        <f t="shared" ref="W212" si="238">IF(W21=0,0,W21*1000000/W75)</f>
        <v>1267.0199613515881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1846.0053344790035</v>
      </c>
      <c r="C213" s="84">
        <f t="shared" si="235"/>
        <v>1832.6783648909686</v>
      </c>
      <c r="D213" s="84">
        <f t="shared" si="235"/>
        <v>1823.6107697513346</v>
      </c>
      <c r="E213" s="84">
        <f t="shared" si="235"/>
        <v>1813.8535256816433</v>
      </c>
      <c r="F213" s="84">
        <f t="shared" si="235"/>
        <v>1803.500398666723</v>
      </c>
      <c r="G213" s="84">
        <f t="shared" si="235"/>
        <v>1795.9472287721289</v>
      </c>
      <c r="H213" s="84">
        <f t="shared" si="235"/>
        <v>1798.4098143744575</v>
      </c>
      <c r="I213" s="84">
        <f t="shared" si="235"/>
        <v>1793.7551585798128</v>
      </c>
      <c r="J213" s="84">
        <f t="shared" si="235"/>
        <v>1782.9392862644534</v>
      </c>
      <c r="K213" s="84">
        <f t="shared" si="235"/>
        <v>1775.7797518600862</v>
      </c>
      <c r="L213" s="84">
        <f t="shared" si="235"/>
        <v>1754.1247892943256</v>
      </c>
      <c r="M213" s="84">
        <f t="shared" si="234"/>
        <v>1746.7562900805863</v>
      </c>
      <c r="N213" s="84">
        <f t="shared" si="235"/>
        <v>1739.0536840115133</v>
      </c>
      <c r="O213" s="84">
        <f t="shared" si="235"/>
        <v>1701.643390057131</v>
      </c>
      <c r="P213" s="84">
        <f t="shared" si="235"/>
        <v>1749.3265836781693</v>
      </c>
      <c r="Q213" s="84">
        <f t="shared" si="235"/>
        <v>1711.2113935378129</v>
      </c>
      <c r="R213" s="84">
        <f t="shared" si="235"/>
        <v>1755.6790520795698</v>
      </c>
      <c r="S213" s="84">
        <f t="shared" si="235"/>
        <v>1714.0101689922044</v>
      </c>
      <c r="T213" s="84">
        <f t="shared" si="235"/>
        <v>1675.1280817495865</v>
      </c>
      <c r="U213" s="84">
        <f t="shared" si="235"/>
        <v>1664.0548081665784</v>
      </c>
      <c r="V213" s="84">
        <f t="shared" si="235"/>
        <v>1652.6093936571231</v>
      </c>
      <c r="W213" s="84">
        <f t="shared" ref="W213" si="239">IF(W22=0,0,W22*1000000/W76)</f>
        <v>1641.3103689765735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0</v>
      </c>
      <c r="N216" s="84">
        <f t="shared" si="235"/>
        <v>0</v>
      </c>
      <c r="O216" s="84">
        <f t="shared" si="235"/>
        <v>0</v>
      </c>
      <c r="P216" s="84">
        <f t="shared" si="235"/>
        <v>0</v>
      </c>
      <c r="Q216" s="84">
        <f t="shared" si="235"/>
        <v>0</v>
      </c>
      <c r="R216" s="84">
        <f t="shared" si="235"/>
        <v>0</v>
      </c>
      <c r="S216" s="84">
        <f t="shared" si="235"/>
        <v>0</v>
      </c>
      <c r="T216" s="84">
        <f t="shared" si="235"/>
        <v>0</v>
      </c>
      <c r="U216" s="84">
        <f t="shared" si="235"/>
        <v>0</v>
      </c>
      <c r="V216" s="84">
        <f t="shared" si="235"/>
        <v>0</v>
      </c>
      <c r="W216" s="84">
        <f t="shared" ref="W216" si="242">IF(W25=0,0,W25*1000000/W79)</f>
        <v>0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114202.99185438189</v>
      </c>
      <c r="C217" s="110">
        <f t="shared" si="235"/>
        <v>117901.48929552869</v>
      </c>
      <c r="D217" s="110">
        <f t="shared" si="235"/>
        <v>119904.80492233473</v>
      </c>
      <c r="E217" s="110">
        <f t="shared" si="235"/>
        <v>107022.9691605199</v>
      </c>
      <c r="F217" s="110">
        <f t="shared" si="235"/>
        <v>121160.84512553268</v>
      </c>
      <c r="G217" s="110">
        <f t="shared" si="235"/>
        <v>130844.1546721371</v>
      </c>
      <c r="H217" s="110">
        <f t="shared" si="235"/>
        <v>145132.46069540252</v>
      </c>
      <c r="I217" s="110">
        <f t="shared" si="235"/>
        <v>150329.32050016982</v>
      </c>
      <c r="J217" s="110">
        <f t="shared" si="235"/>
        <v>156771.50632703298</v>
      </c>
      <c r="K217" s="110">
        <f t="shared" si="235"/>
        <v>148901.56233591813</v>
      </c>
      <c r="L217" s="110">
        <f t="shared" si="235"/>
        <v>158945.61064703233</v>
      </c>
      <c r="M217" s="110">
        <f t="shared" si="234"/>
        <v>167796.96266021457</v>
      </c>
      <c r="N217" s="110">
        <f t="shared" si="235"/>
        <v>174176.46293066943</v>
      </c>
      <c r="O217" s="110">
        <f t="shared" si="235"/>
        <v>182795.24809761535</v>
      </c>
      <c r="P217" s="110">
        <f t="shared" si="235"/>
        <v>174033.83077717017</v>
      </c>
      <c r="Q217" s="110">
        <f t="shared" si="235"/>
        <v>193571.49598807524</v>
      </c>
      <c r="R217" s="110">
        <f t="shared" si="235"/>
        <v>193708.46642192898</v>
      </c>
      <c r="S217" s="110">
        <f t="shared" si="235"/>
        <v>208451.42594182771</v>
      </c>
      <c r="T217" s="110">
        <f t="shared" si="235"/>
        <v>197109.32674490428</v>
      </c>
      <c r="U217" s="110">
        <f t="shared" si="235"/>
        <v>200148.52372538476</v>
      </c>
      <c r="V217" s="110">
        <f t="shared" si="235"/>
        <v>212577.56738858501</v>
      </c>
      <c r="W217" s="110">
        <f t="shared" ref="W217" si="243">IF(W26=0,0,W26*1000000/W80)</f>
        <v>191002.62697022766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58760.438213437526</v>
      </c>
      <c r="C218" s="163">
        <f t="shared" si="235"/>
        <v>58429.561200923788</v>
      </c>
      <c r="D218" s="163">
        <f t="shared" si="235"/>
        <v>57738.389562968317</v>
      </c>
      <c r="E218" s="163">
        <f t="shared" si="235"/>
        <v>57611.957865003234</v>
      </c>
      <c r="F218" s="163">
        <f t="shared" si="235"/>
        <v>64872.629202943157</v>
      </c>
      <c r="G218" s="163">
        <f t="shared" si="235"/>
        <v>68068.16372033763</v>
      </c>
      <c r="H218" s="163">
        <f t="shared" si="235"/>
        <v>68428.475075111899</v>
      </c>
      <c r="I218" s="163">
        <f t="shared" si="235"/>
        <v>74420.652832058127</v>
      </c>
      <c r="J218" s="163">
        <f t="shared" si="235"/>
        <v>79166.280112564549</v>
      </c>
      <c r="K218" s="163">
        <f t="shared" si="235"/>
        <v>83404.605784155341</v>
      </c>
      <c r="L218" s="163">
        <f t="shared" si="235"/>
        <v>78131.924322481675</v>
      </c>
      <c r="M218" s="163">
        <f t="shared" si="234"/>
        <v>78434.024138747089</v>
      </c>
      <c r="N218" s="163">
        <f t="shared" si="235"/>
        <v>77655.67765567766</v>
      </c>
      <c r="O218" s="163">
        <f t="shared" si="235"/>
        <v>76639.913101200887</v>
      </c>
      <c r="P218" s="163">
        <f t="shared" si="235"/>
        <v>78424.70604901544</v>
      </c>
      <c r="Q218" s="163">
        <f t="shared" si="235"/>
        <v>85855.757611482797</v>
      </c>
      <c r="R218" s="163">
        <f t="shared" si="235"/>
        <v>85848.0749219563</v>
      </c>
      <c r="S218" s="163">
        <f t="shared" si="235"/>
        <v>96019.300361881789</v>
      </c>
      <c r="T218" s="163">
        <f t="shared" si="235"/>
        <v>98776.816468227073</v>
      </c>
      <c r="U218" s="163">
        <f t="shared" si="235"/>
        <v>100152.12981744422</v>
      </c>
      <c r="V218" s="163">
        <f t="shared" si="235"/>
        <v>108521.44622823458</v>
      </c>
      <c r="W218" s="163">
        <f t="shared" ref="W218" si="244">IF(W27=0,0,W27*1000000/W81)</f>
        <v>92825.381564715775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1211536.8094059315</v>
      </c>
      <c r="C219" s="86">
        <f t="shared" si="235"/>
        <v>1210603.5344849455</v>
      </c>
      <c r="D219" s="86">
        <f t="shared" si="235"/>
        <v>1219042.146020588</v>
      </c>
      <c r="E219" s="86">
        <f t="shared" si="235"/>
        <v>1211814.1730351446</v>
      </c>
      <c r="F219" s="86">
        <f t="shared" si="235"/>
        <v>1189102.9528937736</v>
      </c>
      <c r="G219" s="86">
        <f t="shared" si="235"/>
        <v>1189872.7607611991</v>
      </c>
      <c r="H219" s="86">
        <f t="shared" si="235"/>
        <v>1197690.560385196</v>
      </c>
      <c r="I219" s="86">
        <f t="shared" si="235"/>
        <v>1199821.531707617</v>
      </c>
      <c r="J219" s="86">
        <f t="shared" si="235"/>
        <v>1182740.5169963974</v>
      </c>
      <c r="K219" s="86">
        <f t="shared" si="235"/>
        <v>1167459.8979923713</v>
      </c>
      <c r="L219" s="86">
        <f t="shared" si="235"/>
        <v>1205136.9117638429</v>
      </c>
      <c r="M219" s="86">
        <f t="shared" si="234"/>
        <v>1201534.2948958373</v>
      </c>
      <c r="N219" s="86">
        <f t="shared" si="235"/>
        <v>1197225.0968632717</v>
      </c>
      <c r="O219" s="86">
        <f t="shared" si="235"/>
        <v>1199028.671682586</v>
      </c>
      <c r="P219" s="86">
        <f t="shared" si="235"/>
        <v>1201912.0084440054</v>
      </c>
      <c r="Q219" s="86">
        <f t="shared" si="235"/>
        <v>1190485.6496649452</v>
      </c>
      <c r="R219" s="86">
        <f t="shared" si="235"/>
        <v>1184294.6369377386</v>
      </c>
      <c r="S219" s="86">
        <f t="shared" si="235"/>
        <v>1194239.1795724481</v>
      </c>
      <c r="T219" s="86">
        <f t="shared" si="235"/>
        <v>1203107.6581576027</v>
      </c>
      <c r="U219" s="86">
        <f t="shared" si="235"/>
        <v>1198593.5302390999</v>
      </c>
      <c r="V219" s="86">
        <f t="shared" si="235"/>
        <v>1180394.1384537646</v>
      </c>
      <c r="W219" s="86">
        <f t="shared" ref="W219" si="245">IF(W28=0,0,W28*1000000/W82)</f>
        <v>1193374.2331288343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2.2430672888346546E-3</v>
      </c>
      <c r="C223" s="154">
        <f t="shared" si="250"/>
        <v>2.2656989125575144E-3</v>
      </c>
      <c r="D223" s="154">
        <f t="shared" si="250"/>
        <v>2.325816970246745E-3</v>
      </c>
      <c r="E223" s="154">
        <f t="shared" si="250"/>
        <v>2.1797106100784288E-3</v>
      </c>
      <c r="F223" s="154">
        <f t="shared" si="250"/>
        <v>2.1023737285791465E-3</v>
      </c>
      <c r="G223" s="154">
        <f t="shared" si="250"/>
        <v>1.8442688497780991E-3</v>
      </c>
      <c r="H223" s="154">
        <f t="shared" si="250"/>
        <v>1.740906673431135E-3</v>
      </c>
      <c r="I223" s="154">
        <f t="shared" si="250"/>
        <v>1.9932220087370322E-3</v>
      </c>
      <c r="J223" s="154">
        <f t="shared" si="250"/>
        <v>2.3967541903527848E-3</v>
      </c>
      <c r="K223" s="154">
        <f t="shared" si="250"/>
        <v>2.7424060941719452E-3</v>
      </c>
      <c r="L223" s="154">
        <f t="shared" ref="L223" si="251">IF(L5=0,0,L5/L$4)</f>
        <v>2.975405294733544E-3</v>
      </c>
      <c r="M223" s="154">
        <f t="shared" ref="M223:V223" si="252">IF(M5=0,0,M5/M$4)</f>
        <v>3.2059395113727906E-3</v>
      </c>
      <c r="N223" s="154">
        <f t="shared" si="252"/>
        <v>2.7978654088964424E-3</v>
      </c>
      <c r="O223" s="154">
        <f t="shared" si="252"/>
        <v>2.8428104301247152E-3</v>
      </c>
      <c r="P223" s="154">
        <f t="shared" si="252"/>
        <v>3.645254765559922E-3</v>
      </c>
      <c r="Q223" s="154">
        <f t="shared" si="252"/>
        <v>3.6197399953643659E-3</v>
      </c>
      <c r="R223" s="154">
        <f t="shared" si="252"/>
        <v>3.7688055596206403E-3</v>
      </c>
      <c r="S223" s="154">
        <f t="shared" si="252"/>
        <v>3.0063467195372874E-3</v>
      </c>
      <c r="T223" s="154">
        <f t="shared" si="252"/>
        <v>2.9952463469557185E-3</v>
      </c>
      <c r="U223" s="154">
        <f t="shared" si="252"/>
        <v>3.083004087112433E-3</v>
      </c>
      <c r="V223" s="154">
        <f t="shared" si="252"/>
        <v>3.2028990292901991E-3</v>
      </c>
      <c r="W223" s="154">
        <f t="shared" ref="W223" si="253">IF(W5=0,0,W5/W$4)</f>
        <v>3.1523734086820986E-3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0.90216241524918439</v>
      </c>
      <c r="C224" s="156">
        <f t="shared" si="254"/>
        <v>0.8997014472400896</v>
      </c>
      <c r="D224" s="156">
        <f t="shared" si="254"/>
        <v>0.89406572084147051</v>
      </c>
      <c r="E224" s="156">
        <f t="shared" si="254"/>
        <v>0.90464214813229515</v>
      </c>
      <c r="F224" s="156">
        <f t="shared" si="254"/>
        <v>0.89538992197788791</v>
      </c>
      <c r="G224" s="156">
        <f t="shared" si="254"/>
        <v>0.90242262638784088</v>
      </c>
      <c r="H224" s="156">
        <f t="shared" si="254"/>
        <v>0.91278917095502055</v>
      </c>
      <c r="I224" s="156">
        <f t="shared" si="254"/>
        <v>0.91347331011275901</v>
      </c>
      <c r="J224" s="156">
        <f t="shared" si="254"/>
        <v>0.91518791350264683</v>
      </c>
      <c r="K224" s="156">
        <f t="shared" si="254"/>
        <v>0.92599537334243209</v>
      </c>
      <c r="L224" s="156">
        <f t="shared" ref="L224" si="255">IF(L6=0,0,L6/L$4)</f>
        <v>0.9208649964822736</v>
      </c>
      <c r="M224" s="156">
        <f t="shared" ref="M224:V224" si="256">IF(M6=0,0,M6/M$4)</f>
        <v>0.91291391355627949</v>
      </c>
      <c r="N224" s="156">
        <f t="shared" si="256"/>
        <v>0.92334231121173216</v>
      </c>
      <c r="O224" s="156">
        <f t="shared" si="256"/>
        <v>0.91867365206281348</v>
      </c>
      <c r="P224" s="156">
        <f t="shared" si="256"/>
        <v>0.8878766237151936</v>
      </c>
      <c r="Q224" s="156">
        <f t="shared" si="256"/>
        <v>0.89730198949782558</v>
      </c>
      <c r="R224" s="156">
        <f t="shared" si="256"/>
        <v>0.90420537263295697</v>
      </c>
      <c r="S224" s="156">
        <f t="shared" si="256"/>
        <v>0.91691255016212891</v>
      </c>
      <c r="T224" s="156">
        <f t="shared" si="256"/>
        <v>0.91112282830499547</v>
      </c>
      <c r="U224" s="156">
        <f t="shared" si="256"/>
        <v>0.91260509253484079</v>
      </c>
      <c r="V224" s="156">
        <f t="shared" si="256"/>
        <v>0.945976322878603</v>
      </c>
      <c r="W224" s="156">
        <f t="shared" ref="W224" si="257">IF(W6=0,0,W6/W$4)</f>
        <v>0.95212089707380387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0.44799681489201038</v>
      </c>
      <c r="C225" s="103">
        <f t="shared" si="258"/>
        <v>0.41274164966274679</v>
      </c>
      <c r="D225" s="103">
        <f t="shared" si="258"/>
        <v>0.37694215799885805</v>
      </c>
      <c r="E225" s="103">
        <f t="shared" si="258"/>
        <v>0.34510645111274352</v>
      </c>
      <c r="F225" s="103">
        <f t="shared" si="258"/>
        <v>0.29554635026569093</v>
      </c>
      <c r="G225" s="103">
        <f t="shared" si="258"/>
        <v>0.27398992221660179</v>
      </c>
      <c r="H225" s="103">
        <f t="shared" si="258"/>
        <v>0.2590189718856501</v>
      </c>
      <c r="I225" s="103">
        <f t="shared" si="258"/>
        <v>0.27909463750802183</v>
      </c>
      <c r="J225" s="103">
        <f t="shared" si="258"/>
        <v>0.28163685774433056</v>
      </c>
      <c r="K225" s="103">
        <f t="shared" si="258"/>
        <v>0.26007843042562512</v>
      </c>
      <c r="L225" s="103">
        <f t="shared" ref="L225" si="259">IF(L7=0,0,L7/L$4)</f>
        <v>0.2027693815577446</v>
      </c>
      <c r="M225" s="103">
        <f t="shared" ref="M225:V225" si="260">IF(M7=0,0,M7/M$4)</f>
        <v>0.19218936987185511</v>
      </c>
      <c r="N225" s="103">
        <f t="shared" si="260"/>
        <v>0.15093104771935409</v>
      </c>
      <c r="O225" s="103">
        <f t="shared" si="260"/>
        <v>0.13691686625958963</v>
      </c>
      <c r="P225" s="103">
        <f t="shared" si="260"/>
        <v>0.13836142760638509</v>
      </c>
      <c r="Q225" s="103">
        <f t="shared" si="260"/>
        <v>0.13198341839899622</v>
      </c>
      <c r="R225" s="103">
        <f t="shared" si="260"/>
        <v>0.11956394870512278</v>
      </c>
      <c r="S225" s="103">
        <f t="shared" si="260"/>
        <v>0.11910380540015765</v>
      </c>
      <c r="T225" s="103">
        <f t="shared" si="260"/>
        <v>0.12598739360161409</v>
      </c>
      <c r="U225" s="103">
        <f t="shared" si="260"/>
        <v>0.13279033027263051</v>
      </c>
      <c r="V225" s="103">
        <f t="shared" si="260"/>
        <v>0.14551626215572283</v>
      </c>
      <c r="W225" s="103">
        <f t="shared" ref="W225" si="261">IF(W7=0,0,W7/W$4)</f>
        <v>0.15067396936662394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0.28037888648614223</v>
      </c>
      <c r="C226" s="103">
        <f t="shared" si="262"/>
        <v>0.32290214315680738</v>
      </c>
      <c r="D226" s="103">
        <f t="shared" si="262"/>
        <v>0.33226735757613096</v>
      </c>
      <c r="E226" s="103">
        <f t="shared" si="262"/>
        <v>0.37479931006178624</v>
      </c>
      <c r="F226" s="103">
        <f t="shared" si="262"/>
        <v>0.3898963658539869</v>
      </c>
      <c r="G226" s="103">
        <f t="shared" si="262"/>
        <v>0.4523913811588362</v>
      </c>
      <c r="H226" s="103">
        <f t="shared" si="262"/>
        <v>0.48837198994783698</v>
      </c>
      <c r="I226" s="103">
        <f t="shared" si="262"/>
        <v>0.45824580691928041</v>
      </c>
      <c r="J226" s="103">
        <f t="shared" si="262"/>
        <v>0.46711451881188937</v>
      </c>
      <c r="K226" s="103">
        <f t="shared" si="262"/>
        <v>0.52677377441389817</v>
      </c>
      <c r="L226" s="103">
        <f t="shared" ref="L226" si="263">IF(L8=0,0,L8/L$4)</f>
        <v>0.57107935527778941</v>
      </c>
      <c r="M226" s="103">
        <f t="shared" ref="M226:V226" si="264">IF(M8=0,0,M8/M$4)</f>
        <v>0.5750568069286901</v>
      </c>
      <c r="N226" s="103">
        <f t="shared" si="264"/>
        <v>0.66041088465650732</v>
      </c>
      <c r="O226" s="103">
        <f t="shared" si="264"/>
        <v>0.66424193681759502</v>
      </c>
      <c r="P226" s="103">
        <f t="shared" si="264"/>
        <v>0.63184915077696191</v>
      </c>
      <c r="Q226" s="103">
        <f t="shared" si="264"/>
        <v>0.65927116617235904</v>
      </c>
      <c r="R226" s="103">
        <f t="shared" si="264"/>
        <v>0.69021035634154415</v>
      </c>
      <c r="S226" s="103">
        <f t="shared" si="264"/>
        <v>0.71400980522353641</v>
      </c>
      <c r="T226" s="103">
        <f t="shared" si="264"/>
        <v>0.70948461768467708</v>
      </c>
      <c r="U226" s="103">
        <f t="shared" si="264"/>
        <v>0.70690978377494074</v>
      </c>
      <c r="V226" s="103">
        <f t="shared" si="264"/>
        <v>0.72663480224073662</v>
      </c>
      <c r="W226" s="103">
        <f t="shared" ref="W226" si="265">IF(W8=0,0,W8/W$4)</f>
        <v>0.73318031644652426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0.17378671387103181</v>
      </c>
      <c r="C227" s="103">
        <f t="shared" si="266"/>
        <v>0.16405765442053549</v>
      </c>
      <c r="D227" s="103">
        <f t="shared" si="266"/>
        <v>0.18485620526648144</v>
      </c>
      <c r="E227" s="103">
        <f t="shared" si="266"/>
        <v>0.18473638695776545</v>
      </c>
      <c r="F227" s="103">
        <f t="shared" si="266"/>
        <v>0.20994720585821006</v>
      </c>
      <c r="G227" s="103">
        <f t="shared" si="266"/>
        <v>0.17604132301240299</v>
      </c>
      <c r="H227" s="103">
        <f t="shared" si="266"/>
        <v>0.1653982091215335</v>
      </c>
      <c r="I227" s="103">
        <f t="shared" si="266"/>
        <v>0.17613286568545672</v>
      </c>
      <c r="J227" s="103">
        <f t="shared" si="266"/>
        <v>0.16643653694642685</v>
      </c>
      <c r="K227" s="103">
        <f t="shared" si="266"/>
        <v>0.13914316850290892</v>
      </c>
      <c r="L227" s="103">
        <f t="shared" ref="L227" si="267">IF(L9=0,0,L9/L$4)</f>
        <v>0.14701625964673964</v>
      </c>
      <c r="M227" s="103">
        <f t="shared" ref="M227:V227" si="268">IF(M9=0,0,M9/M$4)</f>
        <v>0.14566650358436029</v>
      </c>
      <c r="N227" s="103">
        <f t="shared" si="268"/>
        <v>0.11199894237401005</v>
      </c>
      <c r="O227" s="103">
        <f t="shared" si="268"/>
        <v>0.11688736713756022</v>
      </c>
      <c r="P227" s="103">
        <f t="shared" si="268"/>
        <v>0.11587294599123074</v>
      </c>
      <c r="Q227" s="103">
        <f t="shared" si="268"/>
        <v>0.10367140451771112</v>
      </c>
      <c r="R227" s="103">
        <f t="shared" si="268"/>
        <v>9.106072898199627E-2</v>
      </c>
      <c r="S227" s="103">
        <f t="shared" si="268"/>
        <v>7.8816175527186158E-2</v>
      </c>
      <c r="T227" s="103">
        <f t="shared" si="268"/>
        <v>6.8086811326926622E-2</v>
      </c>
      <c r="U227" s="103">
        <f t="shared" si="268"/>
        <v>6.2308988503981255E-2</v>
      </c>
      <c r="V227" s="103">
        <f t="shared" si="268"/>
        <v>5.9306837915162038E-2</v>
      </c>
      <c r="W227" s="103">
        <f t="shared" ref="W227" si="269">IF(W9=0,0,W9/W$4)</f>
        <v>5.4200961019957174E-2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3.5490465914186621E-7</v>
      </c>
      <c r="O228" s="103">
        <f t="shared" si="272"/>
        <v>1.8821046305876516E-6</v>
      </c>
      <c r="P228" s="103">
        <f t="shared" si="272"/>
        <v>1.1183756493583363E-5</v>
      </c>
      <c r="Q228" s="103">
        <f t="shared" si="272"/>
        <v>1.4808112867624489E-5</v>
      </c>
      <c r="R228" s="103">
        <f t="shared" si="272"/>
        <v>1.8896254852428166E-5</v>
      </c>
      <c r="S228" s="103">
        <f t="shared" si="272"/>
        <v>2.7361090216958982E-5</v>
      </c>
      <c r="T228" s="103">
        <f t="shared" si="272"/>
        <v>3.3888091244748063E-5</v>
      </c>
      <c r="U228" s="103">
        <f t="shared" si="272"/>
        <v>3.2008129341356286E-5</v>
      </c>
      <c r="V228" s="103">
        <f t="shared" si="272"/>
        <v>5.6753318293216535E-5</v>
      </c>
      <c r="W228" s="103">
        <f t="shared" ref="W228" si="273">IF(W10=0,0,W10/W$4)</f>
        <v>7.844800676607131E-5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0</v>
      </c>
      <c r="O229" s="103">
        <f t="shared" si="276"/>
        <v>6.2229026288926706E-4</v>
      </c>
      <c r="P229" s="103">
        <f t="shared" si="276"/>
        <v>1.7464810491912219E-3</v>
      </c>
      <c r="Q229" s="103">
        <f t="shared" si="276"/>
        <v>2.2790789486529066E-3</v>
      </c>
      <c r="R229" s="103">
        <f t="shared" si="276"/>
        <v>3.1965910725901703E-3</v>
      </c>
      <c r="S229" s="103">
        <f t="shared" si="276"/>
        <v>4.6814111205284326E-3</v>
      </c>
      <c r="T229" s="103">
        <f t="shared" si="276"/>
        <v>7.142069017747177E-3</v>
      </c>
      <c r="U229" s="103">
        <f t="shared" si="276"/>
        <v>1.0026025045738757E-2</v>
      </c>
      <c r="V229" s="103">
        <f t="shared" si="276"/>
        <v>1.3663457096026104E-2</v>
      </c>
      <c r="W229" s="103">
        <f t="shared" ref="W229" si="277">IF(W11=0,0,W11/W$4)</f>
        <v>1.1953002255675126E-2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1.2331713739475791E-6</v>
      </c>
      <c r="N230" s="103">
        <f t="shared" si="280"/>
        <v>1.0815572014277665E-6</v>
      </c>
      <c r="O230" s="103">
        <f t="shared" si="280"/>
        <v>3.3094805488254061E-6</v>
      </c>
      <c r="P230" s="103">
        <f t="shared" si="280"/>
        <v>3.5434534930945609E-5</v>
      </c>
      <c r="Q230" s="103">
        <f t="shared" si="280"/>
        <v>8.2113347238735518E-5</v>
      </c>
      <c r="R230" s="103">
        <f t="shared" si="280"/>
        <v>1.5485127685121961E-4</v>
      </c>
      <c r="S230" s="103">
        <f t="shared" si="280"/>
        <v>2.7399180050328027E-4</v>
      </c>
      <c r="T230" s="103">
        <f t="shared" si="280"/>
        <v>3.8804858278567816E-4</v>
      </c>
      <c r="U230" s="103">
        <f t="shared" si="280"/>
        <v>5.3795680820816513E-4</v>
      </c>
      <c r="V230" s="103">
        <f t="shared" si="280"/>
        <v>7.9821015266214772E-4</v>
      </c>
      <c r="W230" s="103">
        <f t="shared" ref="W230" si="281">IF(W12=0,0,W12/W$4)</f>
        <v>2.0341999782573198E-3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9.5594517461980888E-2</v>
      </c>
      <c r="C231" s="156">
        <f t="shared" si="282"/>
        <v>9.8032853847352844E-2</v>
      </c>
      <c r="D231" s="156">
        <f t="shared" si="282"/>
        <v>0.10360846218828271</v>
      </c>
      <c r="E231" s="156">
        <f t="shared" si="282"/>
        <v>9.3178141257626398E-2</v>
      </c>
      <c r="F231" s="156">
        <f t="shared" si="282"/>
        <v>0.10250770429353304</v>
      </c>
      <c r="G231" s="156">
        <f t="shared" si="282"/>
        <v>9.5733104762380949E-2</v>
      </c>
      <c r="H231" s="156">
        <f t="shared" si="282"/>
        <v>8.5469922371548337E-2</v>
      </c>
      <c r="I231" s="156">
        <f t="shared" si="282"/>
        <v>8.4533467878504021E-2</v>
      </c>
      <c r="J231" s="156">
        <f t="shared" si="282"/>
        <v>8.2415332307000488E-2</v>
      </c>
      <c r="K231" s="156">
        <f t="shared" si="282"/>
        <v>7.1262220563396081E-2</v>
      </c>
      <c r="L231" s="156">
        <f t="shared" ref="L231" si="283">IF(L13=0,0,L13/L$4)</f>
        <v>7.6159598222992772E-2</v>
      </c>
      <c r="M231" s="156">
        <f t="shared" ref="M231:V231" si="284">IF(M13=0,0,M13/M$4)</f>
        <v>8.3880146932347716E-2</v>
      </c>
      <c r="N231" s="156">
        <f t="shared" si="284"/>
        <v>7.38598233793714E-2</v>
      </c>
      <c r="O231" s="156">
        <f t="shared" si="284"/>
        <v>7.8483537507061663E-2</v>
      </c>
      <c r="P231" s="156">
        <f t="shared" si="284"/>
        <v>0.10847812151924656</v>
      </c>
      <c r="Q231" s="156">
        <f t="shared" si="284"/>
        <v>9.9078270506809923E-2</v>
      </c>
      <c r="R231" s="156">
        <f t="shared" si="284"/>
        <v>9.2025821807422456E-2</v>
      </c>
      <c r="S231" s="156">
        <f t="shared" si="284"/>
        <v>8.0081103118333954E-2</v>
      </c>
      <c r="T231" s="156">
        <f t="shared" si="284"/>
        <v>8.588192534804881E-2</v>
      </c>
      <c r="U231" s="156">
        <f t="shared" si="284"/>
        <v>8.4311903378046782E-2</v>
      </c>
      <c r="V231" s="156">
        <f t="shared" si="284"/>
        <v>5.0820778092106854E-2</v>
      </c>
      <c r="W231" s="156">
        <f t="shared" ref="W231" si="285">IF(W13=0,0,W13/W$4)</f>
        <v>4.4726729517513997E-2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1.5394879823765696E-4</v>
      </c>
      <c r="E232" s="103">
        <f t="shared" si="286"/>
        <v>2.1223297667278396E-4</v>
      </c>
      <c r="F232" s="103">
        <f t="shared" si="286"/>
        <v>1.9167787468060305E-4</v>
      </c>
      <c r="G232" s="103">
        <f t="shared" si="286"/>
        <v>1.6770734706261935E-4</v>
      </c>
      <c r="H232" s="103">
        <f t="shared" si="286"/>
        <v>1.5153394087182793E-4</v>
      </c>
      <c r="I232" s="103">
        <f t="shared" si="286"/>
        <v>1.2750918928972882E-4</v>
      </c>
      <c r="J232" s="103">
        <f t="shared" si="286"/>
        <v>8.7543781490374107E-5</v>
      </c>
      <c r="K232" s="103">
        <f t="shared" si="286"/>
        <v>8.113427770094503E-5</v>
      </c>
      <c r="L232" s="103">
        <f t="shared" ref="L232" si="287">IF(L14=0,0,L14/L$4)</f>
        <v>8.6112495366932022E-5</v>
      </c>
      <c r="M232" s="103">
        <f t="shared" ref="M232:V232" si="288">IF(M14=0,0,M14/M$4)</f>
        <v>6.442442416382401E-5</v>
      </c>
      <c r="N232" s="103">
        <f t="shared" si="288"/>
        <v>4.9308334352883626E-5</v>
      </c>
      <c r="O232" s="103">
        <f t="shared" si="288"/>
        <v>8.108288000558989E-4</v>
      </c>
      <c r="P232" s="103">
        <f t="shared" si="288"/>
        <v>6.1108532561656792E-4</v>
      </c>
      <c r="Q232" s="103">
        <f t="shared" si="288"/>
        <v>5.0994885127002819E-4</v>
      </c>
      <c r="R232" s="103">
        <f t="shared" si="288"/>
        <v>5.0078300889947489E-4</v>
      </c>
      <c r="S232" s="103">
        <f t="shared" si="288"/>
        <v>4.2602580200658231E-4</v>
      </c>
      <c r="T232" s="103">
        <f t="shared" si="288"/>
        <v>4.236080511623264E-4</v>
      </c>
      <c r="U232" s="103">
        <f t="shared" si="288"/>
        <v>3.4441718191201536E-4</v>
      </c>
      <c r="V232" s="103">
        <f t="shared" si="288"/>
        <v>2.1732167267982046E-4</v>
      </c>
      <c r="W232" s="103">
        <f t="shared" ref="W232" si="289">IF(W14=0,0,W14/W$4)</f>
        <v>1.8724624584095744E-4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9.5594517461980888E-2</v>
      </c>
      <c r="C233" s="103">
        <f t="shared" si="290"/>
        <v>9.8032853847352844E-2</v>
      </c>
      <c r="D233" s="103">
        <f t="shared" si="290"/>
        <v>0.10341309855762541</v>
      </c>
      <c r="E233" s="103">
        <f t="shared" si="290"/>
        <v>9.2929094908127743E-2</v>
      </c>
      <c r="F233" s="103">
        <f t="shared" si="290"/>
        <v>0.10173117625713994</v>
      </c>
      <c r="G233" s="103">
        <f t="shared" si="290"/>
        <v>9.3711215561930031E-2</v>
      </c>
      <c r="H233" s="103">
        <f t="shared" si="290"/>
        <v>8.2412270210373978E-2</v>
      </c>
      <c r="I233" s="103">
        <f t="shared" si="290"/>
        <v>8.0460745462847691E-2</v>
      </c>
      <c r="J233" s="103">
        <f t="shared" si="290"/>
        <v>7.8126894101202909E-2</v>
      </c>
      <c r="K233" s="103">
        <f t="shared" si="290"/>
        <v>6.5259642822783986E-2</v>
      </c>
      <c r="L233" s="103">
        <f t="shared" ref="L233" si="291">IF(L15=0,0,L15/L$4)</f>
        <v>6.8276813015159726E-2</v>
      </c>
      <c r="M233" s="103">
        <f t="shared" ref="M233:V233" si="292">IF(M15=0,0,M15/M$4)</f>
        <v>7.4080832811853944E-2</v>
      </c>
      <c r="N233" s="103">
        <f t="shared" si="292"/>
        <v>6.5311833056693233E-2</v>
      </c>
      <c r="O233" s="103">
        <f t="shared" si="292"/>
        <v>5.5134820108413758E-2</v>
      </c>
      <c r="P233" s="103">
        <f t="shared" si="292"/>
        <v>7.4189893565276555E-2</v>
      </c>
      <c r="Q233" s="103">
        <f t="shared" si="292"/>
        <v>6.1294541852284751E-2</v>
      </c>
      <c r="R233" s="103">
        <f t="shared" si="292"/>
        <v>5.5690980671121909E-2</v>
      </c>
      <c r="S233" s="103">
        <f t="shared" si="292"/>
        <v>4.854984124939378E-2</v>
      </c>
      <c r="T233" s="103">
        <f t="shared" si="292"/>
        <v>5.265320210728254E-2</v>
      </c>
      <c r="U233" s="103">
        <f t="shared" si="292"/>
        <v>5.2889269134291449E-2</v>
      </c>
      <c r="V233" s="103">
        <f t="shared" si="292"/>
        <v>2.8783507167341384E-2</v>
      </c>
      <c r="W233" s="103">
        <f t="shared" ref="W233" si="293">IF(W15=0,0,W15/W$4)</f>
        <v>2.2304515353808289E-2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4.1414832419646342E-5</v>
      </c>
      <c r="E234" s="103">
        <f t="shared" si="294"/>
        <v>3.6813372825880751E-5</v>
      </c>
      <c r="F234" s="103">
        <f t="shared" si="294"/>
        <v>4.033308877087682E-5</v>
      </c>
      <c r="G234" s="103">
        <f t="shared" si="294"/>
        <v>3.7206954594362313E-5</v>
      </c>
      <c r="H234" s="103">
        <f t="shared" si="294"/>
        <v>3.2938105321563627E-5</v>
      </c>
      <c r="I234" s="103">
        <f t="shared" si="294"/>
        <v>3.2935560922804728E-5</v>
      </c>
      <c r="J234" s="103">
        <f t="shared" si="294"/>
        <v>3.272314741116279E-5</v>
      </c>
      <c r="K234" s="103">
        <f t="shared" si="294"/>
        <v>2.7328120600028082E-5</v>
      </c>
      <c r="L234" s="103">
        <f t="shared" ref="L234" si="295">IF(L16=0,0,L16/L$4)</f>
        <v>2.955110199198691E-5</v>
      </c>
      <c r="M234" s="103">
        <f t="shared" ref="M234:V234" si="296">IF(M16=0,0,M16/M$4)</f>
        <v>1.1445147876887602E-4</v>
      </c>
      <c r="N234" s="103">
        <f t="shared" si="296"/>
        <v>1.0290080729626709E-4</v>
      </c>
      <c r="O234" s="103">
        <f t="shared" si="296"/>
        <v>5.1403018423579682E-4</v>
      </c>
      <c r="P234" s="103">
        <f t="shared" si="296"/>
        <v>2.2770825516482264E-3</v>
      </c>
      <c r="Q234" s="103">
        <f t="shared" si="296"/>
        <v>1.9715478274892791E-3</v>
      </c>
      <c r="R234" s="103">
        <f t="shared" si="296"/>
        <v>1.9489699840642631E-3</v>
      </c>
      <c r="S234" s="103">
        <f t="shared" si="296"/>
        <v>1.7643324381632836E-3</v>
      </c>
      <c r="T234" s="103">
        <f t="shared" si="296"/>
        <v>1.9762537364173961E-3</v>
      </c>
      <c r="U234" s="103">
        <f t="shared" si="296"/>
        <v>2.2004951119623801E-3</v>
      </c>
      <c r="V234" s="103">
        <f t="shared" si="296"/>
        <v>1.2603150180329123E-3</v>
      </c>
      <c r="W234" s="103">
        <f t="shared" ref="W234" si="297">IF(W16=0,0,W16/W$4)</f>
        <v>1.0674939486699578E-3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2.2053744717255219E-3</v>
      </c>
      <c r="L235" s="103">
        <f t="shared" ref="L235" si="299">IF(L17=0,0,L17/L$4)</f>
        <v>3.8413376595528314E-3</v>
      </c>
      <c r="M235" s="103">
        <f t="shared" ref="M235:V235" si="300">IF(M17=0,0,M17/M$4)</f>
        <v>5.4659296110119724E-3</v>
      </c>
      <c r="N235" s="103">
        <f t="shared" si="300"/>
        <v>4.7580388200938071E-3</v>
      </c>
      <c r="O235" s="103">
        <f t="shared" si="300"/>
        <v>7.0835806979186013E-3</v>
      </c>
      <c r="P235" s="103">
        <f t="shared" si="300"/>
        <v>1.1498678875741982E-2</v>
      </c>
      <c r="Q235" s="103">
        <f t="shared" si="300"/>
        <v>1.7483090462894538E-2</v>
      </c>
      <c r="R235" s="103">
        <f t="shared" si="300"/>
        <v>1.7842118362612586E-2</v>
      </c>
      <c r="S235" s="103">
        <f t="shared" si="300"/>
        <v>1.5244400994079942E-2</v>
      </c>
      <c r="T235" s="103">
        <f t="shared" si="300"/>
        <v>1.561706490977618E-2</v>
      </c>
      <c r="U235" s="103">
        <f t="shared" si="300"/>
        <v>1.3097982700206609E-2</v>
      </c>
      <c r="V235" s="103">
        <f t="shared" si="300"/>
        <v>1.1789559968700711E-2</v>
      </c>
      <c r="W235" s="103">
        <f t="shared" ref="W235" si="301">IF(W17=0,0,W17/W$4)</f>
        <v>1.219478051006145E-2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5.4451707294162529E-4</v>
      </c>
      <c r="G236" s="103">
        <f t="shared" si="302"/>
        <v>1.8169748987939534E-3</v>
      </c>
      <c r="H236" s="103">
        <f t="shared" si="302"/>
        <v>2.8731801149809665E-3</v>
      </c>
      <c r="I236" s="103">
        <f t="shared" si="302"/>
        <v>3.9122776654437917E-3</v>
      </c>
      <c r="J236" s="103">
        <f t="shared" si="302"/>
        <v>4.1681712768960382E-3</v>
      </c>
      <c r="K236" s="103">
        <f t="shared" si="302"/>
        <v>3.6887408705856173E-3</v>
      </c>
      <c r="L236" s="103">
        <f t="shared" ref="L236" si="303">IF(L18=0,0,L18/L$4)</f>
        <v>3.92578395092131E-3</v>
      </c>
      <c r="M236" s="103">
        <f t="shared" ref="M236:V236" si="304">IF(M18=0,0,M18/M$4)</f>
        <v>4.1545086065491186E-3</v>
      </c>
      <c r="N236" s="103">
        <f t="shared" si="304"/>
        <v>3.6377423609352056E-3</v>
      </c>
      <c r="O236" s="103">
        <f t="shared" si="304"/>
        <v>1.4940277716437616E-2</v>
      </c>
      <c r="P236" s="103">
        <f t="shared" si="304"/>
        <v>1.9901381200963249E-2</v>
      </c>
      <c r="Q236" s="103">
        <f t="shared" si="304"/>
        <v>1.7819141512871322E-2</v>
      </c>
      <c r="R236" s="103">
        <f t="shared" si="304"/>
        <v>1.6042969780724219E-2</v>
      </c>
      <c r="S236" s="103">
        <f t="shared" si="304"/>
        <v>1.4096502634690368E-2</v>
      </c>
      <c r="T236" s="103">
        <f t="shared" si="304"/>
        <v>1.5211796543410361E-2</v>
      </c>
      <c r="U236" s="103">
        <f t="shared" si="304"/>
        <v>1.5779739249674331E-2</v>
      </c>
      <c r="V236" s="103">
        <f t="shared" si="304"/>
        <v>8.7700742653520243E-3</v>
      </c>
      <c r="W236" s="103">
        <f t="shared" ref="W236" si="305">IF(W18=0,0,W18/W$4)</f>
        <v>8.9726934591333428E-3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1.209257606741021E-2</v>
      </c>
      <c r="C238" s="154">
        <f t="shared" si="310"/>
        <v>1.2066504618679631E-2</v>
      </c>
      <c r="D238" s="154">
        <f t="shared" si="310"/>
        <v>1.2727640085209617E-2</v>
      </c>
      <c r="E238" s="154">
        <f t="shared" si="310"/>
        <v>1.2027851112929488E-2</v>
      </c>
      <c r="F238" s="154">
        <f t="shared" si="310"/>
        <v>1.1224327167501045E-2</v>
      </c>
      <c r="G238" s="154">
        <f t="shared" si="310"/>
        <v>1.2413546646274797E-2</v>
      </c>
      <c r="H238" s="154">
        <f t="shared" si="310"/>
        <v>1.3400992955649194E-2</v>
      </c>
      <c r="I238" s="154">
        <f t="shared" si="310"/>
        <v>1.3343024444135765E-2</v>
      </c>
      <c r="J238" s="154">
        <f t="shared" si="310"/>
        <v>1.5187361018603938E-2</v>
      </c>
      <c r="K238" s="154">
        <f t="shared" si="310"/>
        <v>1.8390907686495993E-2</v>
      </c>
      <c r="L238" s="154">
        <f t="shared" ref="L238" si="311">IF(L20=0,0,L20/L$19)</f>
        <v>1.6744891989179205E-2</v>
      </c>
      <c r="M238" s="154">
        <f t="shared" ref="M238:V238" si="312">IF(M20=0,0,M20/M$19)</f>
        <v>1.728337625415495E-2</v>
      </c>
      <c r="N238" s="154">
        <f t="shared" si="312"/>
        <v>1.7295576003737805E-2</v>
      </c>
      <c r="O238" s="154">
        <f t="shared" si="312"/>
        <v>1.620406824695423E-2</v>
      </c>
      <c r="P238" s="154">
        <f t="shared" si="312"/>
        <v>1.7615879821569889E-2</v>
      </c>
      <c r="Q238" s="154">
        <f t="shared" si="312"/>
        <v>1.6893640642012906E-2</v>
      </c>
      <c r="R238" s="154">
        <f t="shared" si="312"/>
        <v>1.7386947287699933E-2</v>
      </c>
      <c r="S238" s="154">
        <f t="shared" si="312"/>
        <v>1.6778485937479791E-2</v>
      </c>
      <c r="T238" s="154">
        <f t="shared" si="312"/>
        <v>1.6482642969080221E-2</v>
      </c>
      <c r="U238" s="154">
        <f t="shared" si="312"/>
        <v>1.7536825484710559E-2</v>
      </c>
      <c r="V238" s="154">
        <f t="shared" si="312"/>
        <v>1.644453659451689E-2</v>
      </c>
      <c r="W238" s="154">
        <f t="shared" ref="W238" si="313">IF(W20=0,0,W20/W$19)</f>
        <v>1.6971234842497424E-2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1.3799561250060779E-3</v>
      </c>
      <c r="C239" s="103">
        <f t="shared" si="314"/>
        <v>1.3285546268992086E-3</v>
      </c>
      <c r="D239" s="103">
        <f t="shared" si="314"/>
        <v>1.2810667579015939E-3</v>
      </c>
      <c r="E239" s="103">
        <f t="shared" si="314"/>
        <v>1.117998025205383E-3</v>
      </c>
      <c r="F239" s="103">
        <f t="shared" si="314"/>
        <v>9.7399558760617288E-4</v>
      </c>
      <c r="G239" s="103">
        <f t="shared" si="314"/>
        <v>9.9110402594819848E-4</v>
      </c>
      <c r="H239" s="103">
        <f t="shared" si="314"/>
        <v>1.0777274964968136E-3</v>
      </c>
      <c r="I239" s="103">
        <f t="shared" si="314"/>
        <v>1.0808592663317212E-3</v>
      </c>
      <c r="J239" s="103">
        <f t="shared" si="314"/>
        <v>1.0744188424410845E-3</v>
      </c>
      <c r="K239" s="103">
        <f t="shared" si="314"/>
        <v>1.0654150832237379E-3</v>
      </c>
      <c r="L239" s="103">
        <f t="shared" ref="L239" si="315">IF(L21=0,0,L21/L$19)</f>
        <v>9.3730866566285012E-4</v>
      </c>
      <c r="M239" s="103">
        <f t="shared" ref="M239:V239" si="316">IF(M21=0,0,M21/M$19)</f>
        <v>7.563661151671954E-4</v>
      </c>
      <c r="N239" s="103">
        <f t="shared" si="316"/>
        <v>5.7901949306006712E-4</v>
      </c>
      <c r="O239" s="103">
        <f t="shared" si="316"/>
        <v>4.6024334867860638E-4</v>
      </c>
      <c r="P239" s="103">
        <f t="shared" si="316"/>
        <v>4.0460637327034341E-4</v>
      </c>
      <c r="Q239" s="103">
        <f t="shared" si="316"/>
        <v>3.1801233308409698E-4</v>
      </c>
      <c r="R239" s="103">
        <f t="shared" si="316"/>
        <v>2.8895411039905417E-4</v>
      </c>
      <c r="S239" s="103">
        <f t="shared" si="316"/>
        <v>2.5557947091737771E-4</v>
      </c>
      <c r="T239" s="103">
        <f t="shared" si="316"/>
        <v>2.2987620573911287E-4</v>
      </c>
      <c r="U239" s="103">
        <f t="shared" si="316"/>
        <v>3.0937670166912231E-4</v>
      </c>
      <c r="V239" s="103">
        <f t="shared" si="316"/>
        <v>2.519081785834311E-4</v>
      </c>
      <c r="W239" s="103">
        <f t="shared" ref="W239" si="317">IF(W21=0,0,W21/W$19)</f>
        <v>2.3068831884795083E-4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1.0712619942404134E-2</v>
      </c>
      <c r="C240" s="103">
        <f t="shared" si="318"/>
        <v>1.073794999178042E-2</v>
      </c>
      <c r="D240" s="103">
        <f t="shared" si="318"/>
        <v>1.1446573327308023E-2</v>
      </c>
      <c r="E240" s="103">
        <f t="shared" si="318"/>
        <v>1.0909853087724105E-2</v>
      </c>
      <c r="F240" s="103">
        <f t="shared" si="318"/>
        <v>1.0250331579894871E-2</v>
      </c>
      <c r="G240" s="103">
        <f t="shared" si="318"/>
        <v>1.1422442620326599E-2</v>
      </c>
      <c r="H240" s="103">
        <f t="shared" si="318"/>
        <v>1.2323265459152381E-2</v>
      </c>
      <c r="I240" s="103">
        <f t="shared" si="318"/>
        <v>1.2262165177804043E-2</v>
      </c>
      <c r="J240" s="103">
        <f t="shared" si="318"/>
        <v>1.4112942176162853E-2</v>
      </c>
      <c r="K240" s="103">
        <f t="shared" si="318"/>
        <v>1.7325492603272253E-2</v>
      </c>
      <c r="L240" s="103">
        <f t="shared" ref="L240" si="319">IF(L22=0,0,L22/L$19)</f>
        <v>1.5807583323516353E-2</v>
      </c>
      <c r="M240" s="103">
        <f t="shared" ref="M240:V240" si="320">IF(M22=0,0,M22/M$19)</f>
        <v>1.6527010138987754E-2</v>
      </c>
      <c r="N240" s="103">
        <f t="shared" si="320"/>
        <v>1.671655651067774E-2</v>
      </c>
      <c r="O240" s="103">
        <f t="shared" si="320"/>
        <v>1.5743824898275621E-2</v>
      </c>
      <c r="P240" s="103">
        <f t="shared" si="320"/>
        <v>1.7211273448299549E-2</v>
      </c>
      <c r="Q240" s="103">
        <f t="shared" si="320"/>
        <v>1.6575628308928808E-2</v>
      </c>
      <c r="R240" s="103">
        <f t="shared" si="320"/>
        <v>1.7097993177300878E-2</v>
      </c>
      <c r="S240" s="103">
        <f t="shared" si="320"/>
        <v>1.6522906466562411E-2</v>
      </c>
      <c r="T240" s="103">
        <f t="shared" si="320"/>
        <v>1.6252766763341107E-2</v>
      </c>
      <c r="U240" s="103">
        <f t="shared" si="320"/>
        <v>1.7227448783041437E-2</v>
      </c>
      <c r="V240" s="103">
        <f t="shared" si="320"/>
        <v>1.6192628415933458E-2</v>
      </c>
      <c r="W240" s="103">
        <f t="shared" ref="W240" si="321">IF(W22=0,0,W22/W$19)</f>
        <v>1.6740546523649473E-2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0</v>
      </c>
      <c r="N243" s="103">
        <f t="shared" si="332"/>
        <v>0</v>
      </c>
      <c r="O243" s="103">
        <f t="shared" si="332"/>
        <v>0</v>
      </c>
      <c r="P243" s="103">
        <f t="shared" si="332"/>
        <v>0</v>
      </c>
      <c r="Q243" s="103">
        <f t="shared" si="332"/>
        <v>0</v>
      </c>
      <c r="R243" s="103">
        <f t="shared" si="332"/>
        <v>0</v>
      </c>
      <c r="S243" s="103">
        <f t="shared" si="332"/>
        <v>0</v>
      </c>
      <c r="T243" s="103">
        <f t="shared" si="332"/>
        <v>0</v>
      </c>
      <c r="U243" s="103">
        <f t="shared" si="332"/>
        <v>0</v>
      </c>
      <c r="V243" s="103">
        <f t="shared" si="332"/>
        <v>0</v>
      </c>
      <c r="W243" s="103">
        <f t="shared" ref="W243" si="333">IF(W25=0,0,W25/W$19)</f>
        <v>0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0.98790742393258979</v>
      </c>
      <c r="C244" s="156">
        <f t="shared" si="334"/>
        <v>0.98793349538132036</v>
      </c>
      <c r="D244" s="156">
        <f t="shared" si="334"/>
        <v>0.98727235991479045</v>
      </c>
      <c r="E244" s="156">
        <f t="shared" si="334"/>
        <v>0.98797214888707052</v>
      </c>
      <c r="F244" s="156">
        <f t="shared" si="334"/>
        <v>0.98877567283249901</v>
      </c>
      <c r="G244" s="156">
        <f t="shared" si="334"/>
        <v>0.98758645335372519</v>
      </c>
      <c r="H244" s="156">
        <f t="shared" si="334"/>
        <v>0.98659900704435077</v>
      </c>
      <c r="I244" s="156">
        <f t="shared" si="334"/>
        <v>0.98665697555586429</v>
      </c>
      <c r="J244" s="156">
        <f t="shared" si="334"/>
        <v>0.98481263898139604</v>
      </c>
      <c r="K244" s="156">
        <f t="shared" si="334"/>
        <v>0.98160909231350402</v>
      </c>
      <c r="L244" s="156">
        <f t="shared" ref="L244" si="335">IF(L26=0,0,L26/L$19)</f>
        <v>0.98325510801082083</v>
      </c>
      <c r="M244" s="156">
        <f t="shared" ref="M244:V244" si="336">IF(M26=0,0,M26/M$19)</f>
        <v>0.98271662374584512</v>
      </c>
      <c r="N244" s="156">
        <f t="shared" si="336"/>
        <v>0.98270442399626212</v>
      </c>
      <c r="O244" s="156">
        <f t="shared" si="336"/>
        <v>0.9837959317530458</v>
      </c>
      <c r="P244" s="156">
        <f t="shared" si="336"/>
        <v>0.98238412017843013</v>
      </c>
      <c r="Q244" s="156">
        <f t="shared" si="336"/>
        <v>0.98310635935798707</v>
      </c>
      <c r="R244" s="156">
        <f t="shared" si="336"/>
        <v>0.98261305271230004</v>
      </c>
      <c r="S244" s="156">
        <f t="shared" si="336"/>
        <v>0.98322151406252023</v>
      </c>
      <c r="T244" s="156">
        <f t="shared" si="336"/>
        <v>0.9835173570309198</v>
      </c>
      <c r="U244" s="156">
        <f t="shared" si="336"/>
        <v>0.98246317451528953</v>
      </c>
      <c r="V244" s="156">
        <f t="shared" si="336"/>
        <v>0.98355546340548317</v>
      </c>
      <c r="W244" s="156">
        <f t="shared" ref="W244" si="337">IF(W26=0,0,W26/W$19)</f>
        <v>0.98302876515750248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0.48385751525053566</v>
      </c>
      <c r="C245" s="103">
        <f t="shared" si="338"/>
        <v>0.46432785670691606</v>
      </c>
      <c r="D245" s="103">
        <f t="shared" si="338"/>
        <v>0.44995718347853569</v>
      </c>
      <c r="E245" s="103">
        <f t="shared" si="338"/>
        <v>0.50907133714626684</v>
      </c>
      <c r="F245" s="103">
        <f t="shared" si="338"/>
        <v>0.50290898383037708</v>
      </c>
      <c r="G245" s="103">
        <f t="shared" si="338"/>
        <v>0.48501515506604848</v>
      </c>
      <c r="H245" s="103">
        <f t="shared" si="338"/>
        <v>0.43357507484792335</v>
      </c>
      <c r="I245" s="103">
        <f t="shared" si="338"/>
        <v>0.45549953869673065</v>
      </c>
      <c r="J245" s="103">
        <f t="shared" si="338"/>
        <v>0.46233780941122926</v>
      </c>
      <c r="K245" s="103">
        <f t="shared" si="338"/>
        <v>0.51661120939215299</v>
      </c>
      <c r="L245" s="103">
        <f t="shared" ref="L245" si="339">IF(L27=0,0,L27/L$19)</f>
        <v>0.44867457433564262</v>
      </c>
      <c r="M245" s="103">
        <f t="shared" ref="M245:V245" si="340">IF(M27=0,0,M27/M$19)</f>
        <v>0.42280525218744874</v>
      </c>
      <c r="N245" s="103">
        <f t="shared" si="340"/>
        <v>0.40036113396875767</v>
      </c>
      <c r="O245" s="103">
        <f t="shared" si="340"/>
        <v>0.37346102988864838</v>
      </c>
      <c r="P245" s="103">
        <f t="shared" si="340"/>
        <v>0.4050177259047828</v>
      </c>
      <c r="Q245" s="103">
        <f t="shared" si="340"/>
        <v>0.39352243280194088</v>
      </c>
      <c r="R245" s="103">
        <f t="shared" si="340"/>
        <v>0.39271529277758715</v>
      </c>
      <c r="S245" s="103">
        <f t="shared" si="340"/>
        <v>0.40653613844530517</v>
      </c>
      <c r="T245" s="103">
        <f t="shared" si="340"/>
        <v>0.44898097446811358</v>
      </c>
      <c r="U245" s="103">
        <f t="shared" si="340"/>
        <v>0.4468598497187633</v>
      </c>
      <c r="V245" s="103">
        <f t="shared" si="340"/>
        <v>0.45336380250431574</v>
      </c>
      <c r="W245" s="103">
        <f t="shared" ref="W245" si="341">IF(W27=0,0,W27/W$19)</f>
        <v>0.43512402189550425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0.50404990868205413</v>
      </c>
      <c r="C246" s="105">
        <f t="shared" si="342"/>
        <v>0.52360563867440424</v>
      </c>
      <c r="D246" s="105">
        <f t="shared" si="342"/>
        <v>0.5373151764362547</v>
      </c>
      <c r="E246" s="105">
        <f t="shared" si="342"/>
        <v>0.47890081174080373</v>
      </c>
      <c r="F246" s="105">
        <f t="shared" si="342"/>
        <v>0.48586668900212199</v>
      </c>
      <c r="G246" s="105">
        <f t="shared" si="342"/>
        <v>0.50257129828767677</v>
      </c>
      <c r="H246" s="105">
        <f t="shared" si="342"/>
        <v>0.55302393219642743</v>
      </c>
      <c r="I246" s="105">
        <f t="shared" si="342"/>
        <v>0.53115743685913364</v>
      </c>
      <c r="J246" s="105">
        <f t="shared" si="342"/>
        <v>0.52247482957016678</v>
      </c>
      <c r="K246" s="105">
        <f t="shared" si="342"/>
        <v>0.46499788292135108</v>
      </c>
      <c r="L246" s="105">
        <f t="shared" ref="L246" si="343">IF(L28=0,0,L28/L$19)</f>
        <v>0.53458053367517822</v>
      </c>
      <c r="M246" s="105">
        <f t="shared" ref="M246:V246" si="344">IF(M28=0,0,M28/M$19)</f>
        <v>0.55991137155839632</v>
      </c>
      <c r="N246" s="105">
        <f t="shared" si="344"/>
        <v>0.58234329002750451</v>
      </c>
      <c r="O246" s="105">
        <f t="shared" si="344"/>
        <v>0.61033490186439743</v>
      </c>
      <c r="P246" s="105">
        <f t="shared" si="344"/>
        <v>0.57736639427364733</v>
      </c>
      <c r="Q246" s="105">
        <f t="shared" si="344"/>
        <v>0.58958392655604619</v>
      </c>
      <c r="R246" s="105">
        <f t="shared" si="344"/>
        <v>0.58989775993471294</v>
      </c>
      <c r="S246" s="105">
        <f t="shared" si="344"/>
        <v>0.576685375617215</v>
      </c>
      <c r="T246" s="105">
        <f t="shared" si="344"/>
        <v>0.53453638256280622</v>
      </c>
      <c r="U246" s="105">
        <f t="shared" si="344"/>
        <v>0.53560332479652617</v>
      </c>
      <c r="V246" s="105">
        <f t="shared" si="344"/>
        <v>0.53019166090116732</v>
      </c>
      <c r="W246" s="105">
        <f t="shared" ref="W246" si="345">IF(W28=0,0,W28/W$19)</f>
        <v>0.54790474326199823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5.963467580927531E-3</v>
      </c>
      <c r="C250" s="154">
        <f t="shared" si="350"/>
        <v>5.9375784668873029E-3</v>
      </c>
      <c r="D250" s="154">
        <f t="shared" si="350"/>
        <v>5.7437666163854895E-3</v>
      </c>
      <c r="E250" s="154">
        <f t="shared" si="350"/>
        <v>5.2699011013979226E-3</v>
      </c>
      <c r="F250" s="154">
        <f t="shared" si="350"/>
        <v>4.9700285192946086E-3</v>
      </c>
      <c r="G250" s="154">
        <f t="shared" si="350"/>
        <v>4.320841639656822E-3</v>
      </c>
      <c r="H250" s="154">
        <f t="shared" si="350"/>
        <v>4.0067861548334664E-3</v>
      </c>
      <c r="I250" s="154">
        <f t="shared" si="350"/>
        <v>4.1596900604413201E-3</v>
      </c>
      <c r="J250" s="154">
        <f t="shared" si="350"/>
        <v>4.9128958079274676E-3</v>
      </c>
      <c r="K250" s="154">
        <f t="shared" si="350"/>
        <v>5.5282919030634932E-3</v>
      </c>
      <c r="L250" s="154">
        <f t="shared" ref="L250" si="351">IF(L32=0,0,L32/L$31)</f>
        <v>5.4415923782967102E-3</v>
      </c>
      <c r="M250" s="154">
        <f t="shared" ref="M250:V250" si="352">IF(M32=0,0,M32/M$31)</f>
        <v>5.8895005301352055E-3</v>
      </c>
      <c r="N250" s="154">
        <f t="shared" si="352"/>
        <v>5.0608423321244784E-3</v>
      </c>
      <c r="O250" s="154">
        <f t="shared" si="352"/>
        <v>5.1527555717422891E-3</v>
      </c>
      <c r="P250" s="154">
        <f t="shared" si="352"/>
        <v>5.2477700148037178E-3</v>
      </c>
      <c r="Q250" s="154">
        <f t="shared" si="352"/>
        <v>4.9259737819395515E-3</v>
      </c>
      <c r="R250" s="154">
        <f t="shared" si="352"/>
        <v>4.6299192818963532E-3</v>
      </c>
      <c r="S250" s="154">
        <f t="shared" si="352"/>
        <v>4.1692032295056469E-3</v>
      </c>
      <c r="T250" s="154">
        <f t="shared" si="352"/>
        <v>3.7431765345986045E-3</v>
      </c>
      <c r="U250" s="154">
        <f t="shared" si="352"/>
        <v>3.8409496162775149E-3</v>
      </c>
      <c r="V250" s="154">
        <f t="shared" si="352"/>
        <v>3.5895806321486574E-3</v>
      </c>
      <c r="W250" s="154">
        <f t="shared" ref="W250" si="353">IF(W32=0,0,W32/W$31)</f>
        <v>3.7816775827148601E-3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0.98386618609120169</v>
      </c>
      <c r="C251" s="156">
        <f t="shared" si="354"/>
        <v>0.98378183414845755</v>
      </c>
      <c r="D251" s="156">
        <f t="shared" si="354"/>
        <v>0.98401899946059967</v>
      </c>
      <c r="E251" s="156">
        <f t="shared" si="354"/>
        <v>0.98537005703396385</v>
      </c>
      <c r="F251" s="156">
        <f t="shared" si="354"/>
        <v>0.98595167894600211</v>
      </c>
      <c r="G251" s="156">
        <f t="shared" si="354"/>
        <v>0.98782749564037087</v>
      </c>
      <c r="H251" s="156">
        <f t="shared" si="354"/>
        <v>0.98932835178405798</v>
      </c>
      <c r="I251" s="156">
        <f t="shared" si="354"/>
        <v>0.99004186663659177</v>
      </c>
      <c r="J251" s="156">
        <f t="shared" si="354"/>
        <v>0.98956025145565252</v>
      </c>
      <c r="K251" s="156">
        <f t="shared" si="354"/>
        <v>0.98870109497539416</v>
      </c>
      <c r="L251" s="156">
        <f t="shared" ref="L251" si="355">IF(L33=0,0,L33/L$31)</f>
        <v>0.98896467292035617</v>
      </c>
      <c r="M251" s="156">
        <f t="shared" ref="M251:V251" si="356">IF(M33=0,0,M33/M$31)</f>
        <v>0.98790923219744253</v>
      </c>
      <c r="N251" s="156">
        <f t="shared" si="356"/>
        <v>0.98962783099916307</v>
      </c>
      <c r="O251" s="156">
        <f t="shared" si="356"/>
        <v>0.98884918067740069</v>
      </c>
      <c r="P251" s="156">
        <f t="shared" si="356"/>
        <v>0.98823209721792205</v>
      </c>
      <c r="Q251" s="156">
        <f t="shared" si="356"/>
        <v>0.9885147611562457</v>
      </c>
      <c r="R251" s="156">
        <f t="shared" si="356"/>
        <v>0.98977163296451276</v>
      </c>
      <c r="S251" s="156">
        <f t="shared" si="356"/>
        <v>0.9904136536897703</v>
      </c>
      <c r="T251" s="156">
        <f t="shared" si="356"/>
        <v>0.9910806369038323</v>
      </c>
      <c r="U251" s="156">
        <f t="shared" si="356"/>
        <v>0.99061289654184814</v>
      </c>
      <c r="V251" s="156">
        <f t="shared" si="356"/>
        <v>0.99205036451738604</v>
      </c>
      <c r="W251" s="156">
        <f t="shared" ref="W251" si="357">IF(W33=0,0,W33/W$31)</f>
        <v>0.99189197095372883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0.49297543965097274</v>
      </c>
      <c r="C252" s="103">
        <f t="shared" si="358"/>
        <v>0.45666334154388299</v>
      </c>
      <c r="D252" s="103">
        <f t="shared" si="358"/>
        <v>0.41982618855695875</v>
      </c>
      <c r="E252" s="103">
        <f t="shared" si="358"/>
        <v>0.38130021341612153</v>
      </c>
      <c r="F252" s="103">
        <f t="shared" si="358"/>
        <v>0.33028726975780515</v>
      </c>
      <c r="G252" s="103">
        <f t="shared" si="358"/>
        <v>0.30571018575306658</v>
      </c>
      <c r="H252" s="103">
        <f t="shared" si="358"/>
        <v>0.28672646458547629</v>
      </c>
      <c r="I252" s="103">
        <f t="shared" si="358"/>
        <v>0.30834410219713554</v>
      </c>
      <c r="J252" s="103">
        <f t="shared" si="358"/>
        <v>0.31061114947438601</v>
      </c>
      <c r="K252" s="103">
        <f t="shared" si="358"/>
        <v>0.28420396917775204</v>
      </c>
      <c r="L252" s="103">
        <f t="shared" ref="L252" si="359">IF(L34=0,0,L34/L$31)</f>
        <v>0.22344655498515223</v>
      </c>
      <c r="M252" s="103">
        <f t="shared" ref="M252:V252" si="360">IF(M34=0,0,M34/M$31)</f>
        <v>0.21351234841923764</v>
      </c>
      <c r="N252" s="103">
        <f t="shared" si="360"/>
        <v>0.16680766053218973</v>
      </c>
      <c r="O252" s="103">
        <f t="shared" si="360"/>
        <v>0.1520283876151319</v>
      </c>
      <c r="P252" s="103">
        <f t="shared" si="360"/>
        <v>0.15877078366339376</v>
      </c>
      <c r="Q252" s="103">
        <f t="shared" si="360"/>
        <v>0.15007485346668706</v>
      </c>
      <c r="R252" s="103">
        <f t="shared" si="360"/>
        <v>0.1352720277525401</v>
      </c>
      <c r="S252" s="103">
        <f t="shared" si="360"/>
        <v>0.13306216037467469</v>
      </c>
      <c r="T252" s="103">
        <f t="shared" si="360"/>
        <v>0.14173621564765887</v>
      </c>
      <c r="U252" s="103">
        <f t="shared" si="360"/>
        <v>0.14904370918515725</v>
      </c>
      <c r="V252" s="103">
        <f t="shared" si="360"/>
        <v>0.15774126030801264</v>
      </c>
      <c r="W252" s="103">
        <f t="shared" ref="W252" si="361">IF(W34=0,0,W34/W$31)</f>
        <v>0.16224574394283403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0.29550353186281086</v>
      </c>
      <c r="C253" s="103">
        <f t="shared" si="362"/>
        <v>0.34218092400801287</v>
      </c>
      <c r="D253" s="103">
        <f t="shared" si="362"/>
        <v>0.35444553014802788</v>
      </c>
      <c r="E253" s="103">
        <f t="shared" si="362"/>
        <v>0.39662470863697896</v>
      </c>
      <c r="F253" s="103">
        <f t="shared" si="362"/>
        <v>0.41733271850729259</v>
      </c>
      <c r="G253" s="103">
        <f t="shared" si="362"/>
        <v>0.48345566637192927</v>
      </c>
      <c r="H253" s="103">
        <f t="shared" si="362"/>
        <v>0.51779036480621277</v>
      </c>
      <c r="I253" s="103">
        <f t="shared" si="362"/>
        <v>0.48489718873718851</v>
      </c>
      <c r="J253" s="103">
        <f t="shared" si="362"/>
        <v>0.49342134120622322</v>
      </c>
      <c r="K253" s="103">
        <f t="shared" si="362"/>
        <v>0.55133677486017285</v>
      </c>
      <c r="L253" s="103">
        <f t="shared" ref="L253" si="363">IF(L35=0,0,L35/L$31)</f>
        <v>0.60274658696494443</v>
      </c>
      <c r="M253" s="103">
        <f t="shared" ref="M253:V253" si="364">IF(M35=0,0,M35/M$31)</f>
        <v>0.61188723855167759</v>
      </c>
      <c r="N253" s="103">
        <f t="shared" si="364"/>
        <v>0.69906673991681756</v>
      </c>
      <c r="O253" s="103">
        <f t="shared" si="364"/>
        <v>0.70641683871890992</v>
      </c>
      <c r="P253" s="103">
        <f t="shared" si="364"/>
        <v>0.69444198972532822</v>
      </c>
      <c r="Q253" s="103">
        <f t="shared" si="364"/>
        <v>0.71799207397941589</v>
      </c>
      <c r="R253" s="103">
        <f t="shared" si="364"/>
        <v>0.7479218736404174</v>
      </c>
      <c r="S253" s="103">
        <f t="shared" si="364"/>
        <v>0.76401189677776449</v>
      </c>
      <c r="T253" s="103">
        <f t="shared" si="364"/>
        <v>0.76447579300387569</v>
      </c>
      <c r="U253" s="103">
        <f t="shared" si="364"/>
        <v>0.75993807449226169</v>
      </c>
      <c r="V253" s="103">
        <f t="shared" si="364"/>
        <v>0.75442658343949276</v>
      </c>
      <c r="W253" s="103">
        <f t="shared" ref="W253" si="365">IF(W35=0,0,W35/W$31)</f>
        <v>0.75615859551907938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0.19538721457741817</v>
      </c>
      <c r="C254" s="103">
        <f t="shared" si="366"/>
        <v>0.18493756859656169</v>
      </c>
      <c r="D254" s="103">
        <f t="shared" si="366"/>
        <v>0.20974728075561305</v>
      </c>
      <c r="E254" s="103">
        <f t="shared" si="366"/>
        <v>0.20744513498086345</v>
      </c>
      <c r="F254" s="103">
        <f t="shared" si="366"/>
        <v>0.23833169068090446</v>
      </c>
      <c r="G254" s="103">
        <f t="shared" si="366"/>
        <v>0.19866164351537505</v>
      </c>
      <c r="H254" s="103">
        <f t="shared" si="366"/>
        <v>0.18481152239236889</v>
      </c>
      <c r="I254" s="103">
        <f t="shared" si="366"/>
        <v>0.19680057570226769</v>
      </c>
      <c r="J254" s="103">
        <f t="shared" si="366"/>
        <v>0.18552776077504327</v>
      </c>
      <c r="K254" s="103">
        <f t="shared" si="366"/>
        <v>0.1531603509374693</v>
      </c>
      <c r="L254" s="103">
        <f t="shared" ref="L254" si="367">IF(L36=0,0,L36/L$31)</f>
        <v>0.16277153097025951</v>
      </c>
      <c r="M254" s="103">
        <f t="shared" ref="M254:V254" si="368">IF(M36=0,0,M36/M$31)</f>
        <v>0.16250816247580874</v>
      </c>
      <c r="N254" s="103">
        <f t="shared" si="368"/>
        <v>0.12375175040210289</v>
      </c>
      <c r="O254" s="103">
        <f t="shared" si="368"/>
        <v>0.12970736576605332</v>
      </c>
      <c r="P254" s="103">
        <f t="shared" si="368"/>
        <v>0.13295866566307846</v>
      </c>
      <c r="Q254" s="103">
        <f t="shared" si="368"/>
        <v>0.11774209967282831</v>
      </c>
      <c r="R254" s="103">
        <f t="shared" si="368"/>
        <v>0.10276076008464335</v>
      </c>
      <c r="S254" s="103">
        <f t="shared" si="368"/>
        <v>8.7767216433818032E-2</v>
      </c>
      <c r="T254" s="103">
        <f t="shared" si="368"/>
        <v>7.635251104214634E-2</v>
      </c>
      <c r="U254" s="103">
        <f t="shared" si="368"/>
        <v>6.9726851737408738E-2</v>
      </c>
      <c r="V254" s="103">
        <f t="shared" si="368"/>
        <v>6.4118962947631378E-2</v>
      </c>
      <c r="W254" s="103">
        <f t="shared" ref="W254" si="369">IF(W36=0,0,W36/W$31)</f>
        <v>5.8211331111350781E-2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3.9214721017633036E-7</v>
      </c>
      <c r="O255" s="103">
        <f t="shared" si="372"/>
        <v>2.0885305205165285E-6</v>
      </c>
      <c r="P255" s="103">
        <f t="shared" si="372"/>
        <v>1.2832825883275353E-5</v>
      </c>
      <c r="Q255" s="103">
        <f t="shared" si="372"/>
        <v>1.6817928814000682E-5</v>
      </c>
      <c r="R255" s="103">
        <f t="shared" si="372"/>
        <v>2.1324159526249376E-5</v>
      </c>
      <c r="S255" s="103">
        <f t="shared" si="372"/>
        <v>3.0468450300645967E-5</v>
      </c>
      <c r="T255" s="103">
        <f t="shared" si="372"/>
        <v>3.80020860213E-5</v>
      </c>
      <c r="U255" s="103">
        <f t="shared" si="372"/>
        <v>3.5818685916141114E-5</v>
      </c>
      <c r="V255" s="103">
        <f t="shared" si="372"/>
        <v>6.1358252112570747E-5</v>
      </c>
      <c r="W255" s="103">
        <f t="shared" ref="W255" si="373">IF(W37=0,0,W37/W$31)</f>
        <v>8.425243410728131E-5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0</v>
      </c>
      <c r="O256" s="103">
        <f t="shared" si="376"/>
        <v>6.9054195263240506E-4</v>
      </c>
      <c r="P256" s="103">
        <f t="shared" si="376"/>
        <v>2.0040035050450148E-3</v>
      </c>
      <c r="Q256" s="103">
        <f t="shared" si="376"/>
        <v>2.5884046037853354E-3</v>
      </c>
      <c r="R256" s="103">
        <f t="shared" si="376"/>
        <v>3.6073083531331738E-3</v>
      </c>
      <c r="S256" s="103">
        <f t="shared" si="376"/>
        <v>5.2130723202799684E-3</v>
      </c>
      <c r="T256" s="103">
        <f t="shared" si="376"/>
        <v>8.0091120866700692E-3</v>
      </c>
      <c r="U256" s="103">
        <f t="shared" si="376"/>
        <v>1.1219619811916938E-2</v>
      </c>
      <c r="V256" s="103">
        <f t="shared" si="376"/>
        <v>1.4772102679456356E-2</v>
      </c>
      <c r="W256" s="103">
        <f t="shared" ref="W256" si="377">IF(W38=0,0,W38/W$31)</f>
        <v>1.2837413931159431E-2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1.4827507185920372E-6</v>
      </c>
      <c r="N257" s="103">
        <f t="shared" si="380"/>
        <v>1.2880008425836791E-6</v>
      </c>
      <c r="O257" s="103">
        <f t="shared" si="380"/>
        <v>3.9580941523992738E-6</v>
      </c>
      <c r="P257" s="103">
        <f t="shared" si="380"/>
        <v>4.3821835193252854E-5</v>
      </c>
      <c r="Q257" s="103">
        <f t="shared" si="380"/>
        <v>1.0051150471508406E-4</v>
      </c>
      <c r="R257" s="103">
        <f t="shared" si="380"/>
        <v>1.8833897425238932E-4</v>
      </c>
      <c r="S257" s="103">
        <f t="shared" si="380"/>
        <v>3.28839332932519E-4</v>
      </c>
      <c r="T257" s="103">
        <f t="shared" si="380"/>
        <v>4.6900303746010892E-4</v>
      </c>
      <c r="U257" s="103">
        <f t="shared" si="380"/>
        <v>6.488226291874714E-4</v>
      </c>
      <c r="V257" s="103">
        <f t="shared" si="380"/>
        <v>9.3009689068035547E-4</v>
      </c>
      <c r="W257" s="103">
        <f t="shared" ref="W257" si="381">IF(W39=0,0,W39/W$31)</f>
        <v>2.3546340151979462E-3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1.0170346327870694E-2</v>
      </c>
      <c r="C258" s="156">
        <f t="shared" si="382"/>
        <v>1.0280587384655152E-2</v>
      </c>
      <c r="D258" s="156">
        <f t="shared" si="382"/>
        <v>1.0237233923014828E-2</v>
      </c>
      <c r="E258" s="156">
        <f t="shared" si="382"/>
        <v>9.360041864638239E-3</v>
      </c>
      <c r="F258" s="156">
        <f t="shared" si="382"/>
        <v>9.0782925347032365E-3</v>
      </c>
      <c r="G258" s="156">
        <f t="shared" si="382"/>
        <v>7.8516627199723323E-3</v>
      </c>
      <c r="H258" s="156">
        <f t="shared" si="382"/>
        <v>6.6648620611085381E-3</v>
      </c>
      <c r="I258" s="156">
        <f t="shared" si="382"/>
        <v>5.7984433029669748E-3</v>
      </c>
      <c r="J258" s="156">
        <f t="shared" si="382"/>
        <v>5.5268527364200912E-3</v>
      </c>
      <c r="K258" s="156">
        <f t="shared" si="382"/>
        <v>5.7706131215423178E-3</v>
      </c>
      <c r="L258" s="156">
        <f t="shared" ref="L258" si="383">IF(L40=0,0,L40/L$31)</f>
        <v>5.5937347013472203E-3</v>
      </c>
      <c r="M258" s="156">
        <f t="shared" ref="M258:V258" si="384">IF(M40=0,0,M40/M$31)</f>
        <v>6.2012672724223372E-3</v>
      </c>
      <c r="N258" s="156">
        <f t="shared" si="384"/>
        <v>5.3113266687125132E-3</v>
      </c>
      <c r="O258" s="156">
        <f t="shared" si="384"/>
        <v>5.9980637508571331E-3</v>
      </c>
      <c r="P258" s="156">
        <f t="shared" si="384"/>
        <v>6.5201327672741033E-3</v>
      </c>
      <c r="Q258" s="156">
        <f t="shared" si="384"/>
        <v>6.5592650618148448E-3</v>
      </c>
      <c r="R258" s="156">
        <f t="shared" si="384"/>
        <v>5.5984477535908073E-3</v>
      </c>
      <c r="S258" s="156">
        <f t="shared" si="384"/>
        <v>5.4171430807240925E-3</v>
      </c>
      <c r="T258" s="156">
        <f t="shared" si="384"/>
        <v>5.1761865615690796E-3</v>
      </c>
      <c r="U258" s="156">
        <f t="shared" si="384"/>
        <v>5.5461538418742186E-3</v>
      </c>
      <c r="V258" s="156">
        <f t="shared" si="384"/>
        <v>4.360054850465307E-3</v>
      </c>
      <c r="W258" s="156">
        <f t="shared" ref="W258" si="385">IF(W40=0,0,W40/W$31)</f>
        <v>4.3263514635563747E-3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3.954914056962778E-5</v>
      </c>
      <c r="E259" s="103">
        <f t="shared" si="386"/>
        <v>5.3522504310756804E-5</v>
      </c>
      <c r="F259" s="103">
        <f t="shared" si="386"/>
        <v>4.678397056887187E-5</v>
      </c>
      <c r="G259" s="103">
        <f t="shared" si="386"/>
        <v>4.080222869049038E-5</v>
      </c>
      <c r="H259" s="103">
        <f t="shared" si="386"/>
        <v>3.6347230870845312E-5</v>
      </c>
      <c r="I259" s="103">
        <f t="shared" si="386"/>
        <v>2.7865809264046263E-5</v>
      </c>
      <c r="J259" s="103">
        <f t="shared" si="386"/>
        <v>1.8811253986765196E-5</v>
      </c>
      <c r="K259" s="103">
        <f t="shared" si="386"/>
        <v>1.7508310826926276E-5</v>
      </c>
      <c r="L259" s="103">
        <f t="shared" ref="L259" si="387">IF(L41=0,0,L41/L$31)</f>
        <v>1.6832322195802594E-5</v>
      </c>
      <c r="M259" s="103">
        <f t="shared" ref="M259:V259" si="388">IF(M41=0,0,M41/M$31)</f>
        <v>1.2642099449992509E-5</v>
      </c>
      <c r="N259" s="103">
        <f t="shared" si="388"/>
        <v>9.8525225434173681E-6</v>
      </c>
      <c r="O259" s="103">
        <f t="shared" si="388"/>
        <v>1.6323188930112494E-4</v>
      </c>
      <c r="P259" s="103">
        <f t="shared" si="388"/>
        <v>1.0360153523431404E-4</v>
      </c>
      <c r="Q259" s="103">
        <f t="shared" si="388"/>
        <v>8.7776190808330041E-5</v>
      </c>
      <c r="R259" s="103">
        <f t="shared" si="388"/>
        <v>7.9210154128254819E-5</v>
      </c>
      <c r="S259" s="103">
        <f t="shared" si="388"/>
        <v>7.4928926460504381E-5</v>
      </c>
      <c r="T259" s="103">
        <f t="shared" si="388"/>
        <v>6.6381292240168276E-5</v>
      </c>
      <c r="U259" s="103">
        <f t="shared" si="388"/>
        <v>5.8906222731914992E-5</v>
      </c>
      <c r="V259" s="103">
        <f t="shared" si="388"/>
        <v>4.2598882942348054E-5</v>
      </c>
      <c r="W259" s="103">
        <f t="shared" ref="W259" si="389">IF(W41=0,0,W41/W$31)</f>
        <v>3.9470539488421214E-5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1.0170346327870694E-2</v>
      </c>
      <c r="C260" s="103">
        <f t="shared" si="390"/>
        <v>1.0280587384655152E-2</v>
      </c>
      <c r="D260" s="103">
        <f t="shared" si="390"/>
        <v>1.0193602452999204E-2</v>
      </c>
      <c r="E260" s="103">
        <f t="shared" si="390"/>
        <v>9.3028340914664762E-3</v>
      </c>
      <c r="F260" s="103">
        <f t="shared" si="390"/>
        <v>8.9798834235858219E-3</v>
      </c>
      <c r="G260" s="103">
        <f t="shared" si="390"/>
        <v>7.6593123768598217E-3</v>
      </c>
      <c r="H260" s="103">
        <f t="shared" si="390"/>
        <v>6.4027341037609939E-3</v>
      </c>
      <c r="I260" s="103">
        <f t="shared" si="390"/>
        <v>5.5008553199905738E-3</v>
      </c>
      <c r="J260" s="103">
        <f t="shared" si="390"/>
        <v>5.2269857032508551E-3</v>
      </c>
      <c r="K260" s="103">
        <f t="shared" si="390"/>
        <v>5.2745130014232146E-3</v>
      </c>
      <c r="L260" s="103">
        <f t="shared" ref="L260" si="391">IF(L42=0,0,L42/L$31)</f>
        <v>5.0053329001965826E-3</v>
      </c>
      <c r="M260" s="103">
        <f t="shared" ref="M260:V260" si="392">IF(M42=0,0,M42/M$31)</f>
        <v>5.4698389878990823E-3</v>
      </c>
      <c r="N260" s="103">
        <f t="shared" si="392"/>
        <v>4.6910524086952532E-3</v>
      </c>
      <c r="O260" s="103">
        <f t="shared" si="392"/>
        <v>4.1417688452612851E-3</v>
      </c>
      <c r="P260" s="103">
        <f t="shared" si="392"/>
        <v>4.4132274878561743E-3</v>
      </c>
      <c r="Q260" s="103">
        <f t="shared" si="392"/>
        <v>4.0242842607862315E-3</v>
      </c>
      <c r="R260" s="103">
        <f t="shared" si="392"/>
        <v>3.3583351452887733E-3</v>
      </c>
      <c r="S260" s="103">
        <f t="shared" si="392"/>
        <v>3.256084330692105E-3</v>
      </c>
      <c r="T260" s="103">
        <f t="shared" si="392"/>
        <v>3.1482905126735366E-3</v>
      </c>
      <c r="U260" s="103">
        <f t="shared" si="392"/>
        <v>3.4562963509163227E-3</v>
      </c>
      <c r="V260" s="103">
        <f t="shared" si="392"/>
        <v>2.4557912359948831E-3</v>
      </c>
      <c r="W260" s="103">
        <f t="shared" ref="W260" si="393">IF(W42=0,0,W42/W$31)</f>
        <v>2.1467873977701374E-3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4.0823294459957794E-6</v>
      </c>
      <c r="E261" s="103">
        <f t="shared" si="394"/>
        <v>3.6852688610068031E-6</v>
      </c>
      <c r="F261" s="103">
        <f t="shared" si="394"/>
        <v>3.5602304878509886E-6</v>
      </c>
      <c r="G261" s="103">
        <f t="shared" si="394"/>
        <v>3.0410414177322125E-6</v>
      </c>
      <c r="H261" s="103">
        <f t="shared" si="394"/>
        <v>2.5590112942805429E-6</v>
      </c>
      <c r="I261" s="103">
        <f t="shared" si="394"/>
        <v>2.2517036658918359E-6</v>
      </c>
      <c r="J261" s="103">
        <f t="shared" si="394"/>
        <v>2.189302744608717E-6</v>
      </c>
      <c r="K261" s="103">
        <f t="shared" si="394"/>
        <v>2.2087544640833598E-6</v>
      </c>
      <c r="L261" s="103">
        <f t="shared" ref="L261" si="395">IF(L43=0,0,L43/L$31)</f>
        <v>2.1663738611337237E-6</v>
      </c>
      <c r="M261" s="103">
        <f t="shared" ref="M261:V261" si="396">IF(M43=0,0,M43/M$31)</f>
        <v>8.4506496084170464E-6</v>
      </c>
      <c r="N261" s="103">
        <f t="shared" si="396"/>
        <v>7.3908977490315715E-6</v>
      </c>
      <c r="O261" s="103">
        <f t="shared" si="396"/>
        <v>3.8614331168677388E-5</v>
      </c>
      <c r="P261" s="103">
        <f t="shared" si="396"/>
        <v>1.3545353451962686E-4</v>
      </c>
      <c r="Q261" s="103">
        <f t="shared" si="396"/>
        <v>1.2944168684175672E-4</v>
      </c>
      <c r="R261" s="103">
        <f t="shared" si="396"/>
        <v>1.1752880476730269E-4</v>
      </c>
      <c r="S261" s="103">
        <f t="shared" si="396"/>
        <v>1.183281975429116E-4</v>
      </c>
      <c r="T261" s="103">
        <f t="shared" si="396"/>
        <v>1.1816604954664221E-4</v>
      </c>
      <c r="U261" s="103">
        <f t="shared" si="396"/>
        <v>1.4380163216801972E-4</v>
      </c>
      <c r="V261" s="103">
        <f t="shared" si="396"/>
        <v>1.0752930690078371E-4</v>
      </c>
      <c r="W261" s="103">
        <f t="shared" ref="W261" si="397">IF(W43=0,0,W43/W$31)</f>
        <v>1.0274522982671596E-4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1.7824609239298447E-4</v>
      </c>
      <c r="L262" s="103">
        <f t="shared" ref="L262" si="399">IF(L44=0,0,L44/L$31)</f>
        <v>2.8160619863517726E-4</v>
      </c>
      <c r="M262" s="103">
        <f t="shared" ref="M262:V262" si="400">IF(M44=0,0,M44/M$31)</f>
        <v>4.0358286693884616E-4</v>
      </c>
      <c r="N262" s="103">
        <f t="shared" si="400"/>
        <v>3.4174832374237233E-4</v>
      </c>
      <c r="O262" s="103">
        <f t="shared" si="400"/>
        <v>5.3212386999438666E-4</v>
      </c>
      <c r="P262" s="103">
        <f t="shared" si="400"/>
        <v>6.8400537121415513E-4</v>
      </c>
      <c r="Q262" s="103">
        <f t="shared" si="400"/>
        <v>1.1478497702011262E-3</v>
      </c>
      <c r="R262" s="103">
        <f t="shared" si="400"/>
        <v>1.0759338844725163E-3</v>
      </c>
      <c r="S262" s="103">
        <f t="shared" si="400"/>
        <v>1.0223937695827306E-3</v>
      </c>
      <c r="T262" s="103">
        <f t="shared" si="400"/>
        <v>9.3379045002952947E-4</v>
      </c>
      <c r="U262" s="103">
        <f t="shared" si="400"/>
        <v>8.559488635802965E-4</v>
      </c>
      <c r="V262" s="103">
        <f t="shared" si="400"/>
        <v>1.0058780495040543E-3</v>
      </c>
      <c r="W262" s="103">
        <f t="shared" ref="W262" si="401">IF(W44=0,0,W44/W$31)</f>
        <v>1.1737354837034325E-3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4.8064910060693341E-5</v>
      </c>
      <c r="G263" s="103">
        <f t="shared" si="402"/>
        <v>1.4850707300428838E-4</v>
      </c>
      <c r="H263" s="103">
        <f t="shared" si="402"/>
        <v>2.2322171518241794E-4</v>
      </c>
      <c r="I263" s="103">
        <f t="shared" si="402"/>
        <v>2.6747047004646417E-4</v>
      </c>
      <c r="J263" s="103">
        <f t="shared" si="402"/>
        <v>2.7886647643786205E-4</v>
      </c>
      <c r="K263" s="103">
        <f t="shared" si="402"/>
        <v>2.9813696243510975E-4</v>
      </c>
      <c r="L263" s="103">
        <f t="shared" ref="L263" si="403">IF(L45=0,0,L45/L$31)</f>
        <v>2.8779690645852548E-4</v>
      </c>
      <c r="M263" s="103">
        <f t="shared" ref="M263:V263" si="404">IF(M45=0,0,M45/M$31)</f>
        <v>3.0675266852600005E-4</v>
      </c>
      <c r="N263" s="103">
        <f t="shared" si="404"/>
        <v>2.6128251598243923E-4</v>
      </c>
      <c r="O263" s="103">
        <f t="shared" si="404"/>
        <v>1.1223248151316589E-3</v>
      </c>
      <c r="P263" s="103">
        <f t="shared" si="404"/>
        <v>1.1838448384498331E-3</v>
      </c>
      <c r="Q263" s="103">
        <f t="shared" si="404"/>
        <v>1.169913153177401E-3</v>
      </c>
      <c r="R263" s="103">
        <f t="shared" si="404"/>
        <v>9.6743976493395944E-4</v>
      </c>
      <c r="S263" s="103">
        <f t="shared" si="404"/>
        <v>9.4540785644584176E-4</v>
      </c>
      <c r="T263" s="103">
        <f t="shared" si="404"/>
        <v>9.0955825707920307E-4</v>
      </c>
      <c r="U263" s="103">
        <f t="shared" si="404"/>
        <v>1.0312007724776649E-3</v>
      </c>
      <c r="V263" s="103">
        <f t="shared" si="404"/>
        <v>7.482573751232377E-4</v>
      </c>
      <c r="W263" s="103">
        <f t="shared" ref="W263" si="405">IF(W45=0,0,W45/W$31)</f>
        <v>8.6361281276766744E-4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0.3818209341139821</v>
      </c>
      <c r="C265" s="154">
        <f t="shared" si="410"/>
        <v>0.38550578632607485</v>
      </c>
      <c r="D265" s="154">
        <f t="shared" si="410"/>
        <v>0.40160684786141992</v>
      </c>
      <c r="E265" s="154">
        <f t="shared" si="410"/>
        <v>0.37211289520946395</v>
      </c>
      <c r="F265" s="154">
        <f t="shared" si="410"/>
        <v>0.37991221809736175</v>
      </c>
      <c r="G265" s="154">
        <f t="shared" si="410"/>
        <v>0.41812961211296296</v>
      </c>
      <c r="H265" s="154">
        <f t="shared" si="410"/>
        <v>0.45076383946722298</v>
      </c>
      <c r="I265" s="154">
        <f t="shared" si="410"/>
        <v>0.45775686074428196</v>
      </c>
      <c r="J265" s="154">
        <f t="shared" si="410"/>
        <v>0.49827923506982758</v>
      </c>
      <c r="K265" s="154">
        <f t="shared" si="410"/>
        <v>0.54343676752754988</v>
      </c>
      <c r="L265" s="154">
        <f t="shared" ref="L265" si="411">IF(L47=0,0,L47/L$46)</f>
        <v>0.53693964305562081</v>
      </c>
      <c r="M265" s="154">
        <f t="shared" ref="M265:V265" si="412">IF(M47=0,0,M47/M$46)</f>
        <v>0.54673177875363521</v>
      </c>
      <c r="N265" s="154">
        <f t="shared" si="412"/>
        <v>0.54477102255272392</v>
      </c>
      <c r="O265" s="154">
        <f t="shared" si="412"/>
        <v>0.52770642789108269</v>
      </c>
      <c r="P265" s="154">
        <f t="shared" si="412"/>
        <v>0.54460027920551446</v>
      </c>
      <c r="Q265" s="154">
        <f t="shared" si="412"/>
        <v>0.54593142223678204</v>
      </c>
      <c r="R265" s="154">
        <f t="shared" si="412"/>
        <v>0.55548508792078755</v>
      </c>
      <c r="S265" s="154">
        <f t="shared" si="412"/>
        <v>0.54935238030180589</v>
      </c>
      <c r="T265" s="154">
        <f t="shared" si="412"/>
        <v>0.54923177108959043</v>
      </c>
      <c r="U265" s="154">
        <f t="shared" si="412"/>
        <v>0.55573859236225065</v>
      </c>
      <c r="V265" s="154">
        <f t="shared" si="412"/>
        <v>0.55003181170109783</v>
      </c>
      <c r="W265" s="154">
        <f t="shared" ref="W265" si="413">IF(W47=0,0,W47/W$46)</f>
        <v>0.56274999874443321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5.3159884127582185E-2</v>
      </c>
      <c r="C266" s="103">
        <f t="shared" si="414"/>
        <v>5.1836996671291512E-2</v>
      </c>
      <c r="D266" s="103">
        <f t="shared" si="414"/>
        <v>4.9483188893356393E-2</v>
      </c>
      <c r="E266" s="103">
        <f t="shared" si="414"/>
        <v>4.2422359546173273E-2</v>
      </c>
      <c r="F266" s="103">
        <f t="shared" si="414"/>
        <v>4.0496478490912105E-2</v>
      </c>
      <c r="G266" s="103">
        <f t="shared" si="414"/>
        <v>4.1079532993396894E-2</v>
      </c>
      <c r="H266" s="103">
        <f t="shared" si="414"/>
        <v>4.468072699673805E-2</v>
      </c>
      <c r="I266" s="103">
        <f t="shared" si="414"/>
        <v>4.5779442843284737E-2</v>
      </c>
      <c r="J266" s="103">
        <f t="shared" si="414"/>
        <v>4.3713980577260406E-2</v>
      </c>
      <c r="K266" s="103">
        <f t="shared" si="414"/>
        <v>3.9243800422962251E-2</v>
      </c>
      <c r="L266" s="103">
        <f t="shared" ref="L266" si="415">IF(L48=0,0,L48/L$46)</f>
        <v>3.7484736469738648E-2</v>
      </c>
      <c r="M266" s="103">
        <f t="shared" ref="M266:V266" si="416">IF(M48=0,0,M48/M$46)</f>
        <v>2.9936259575320343E-2</v>
      </c>
      <c r="N266" s="103">
        <f t="shared" si="416"/>
        <v>2.2882319037340906E-2</v>
      </c>
      <c r="O266" s="103">
        <f t="shared" si="416"/>
        <v>1.8902679989581582E-2</v>
      </c>
      <c r="P266" s="103">
        <f t="shared" si="416"/>
        <v>1.5706290002771475E-2</v>
      </c>
      <c r="Q266" s="103">
        <f t="shared" si="416"/>
        <v>1.2942936368017658E-2</v>
      </c>
      <c r="R266" s="103">
        <f t="shared" si="416"/>
        <v>1.1610941001490521E-2</v>
      </c>
      <c r="S266" s="103">
        <f t="shared" si="416"/>
        <v>1.0590876151284942E-2</v>
      </c>
      <c r="T266" s="103">
        <f t="shared" si="416"/>
        <v>9.7357807090403467E-3</v>
      </c>
      <c r="U266" s="103">
        <f t="shared" si="416"/>
        <v>1.2448422767891217E-2</v>
      </c>
      <c r="V266" s="103">
        <f t="shared" si="416"/>
        <v>1.0705147481878079E-2</v>
      </c>
      <c r="W266" s="103">
        <f t="shared" ref="W266" si="417">IF(W48=0,0,W48/W$46)</f>
        <v>9.7233930587441487E-3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0.32866104998639989</v>
      </c>
      <c r="C267" s="103">
        <f t="shared" si="418"/>
        <v>0.33366878965478336</v>
      </c>
      <c r="D267" s="103">
        <f t="shared" si="418"/>
        <v>0.35212365896806347</v>
      </c>
      <c r="E267" s="103">
        <f t="shared" si="418"/>
        <v>0.32969053566329071</v>
      </c>
      <c r="F267" s="103">
        <f t="shared" si="418"/>
        <v>0.33941573960644961</v>
      </c>
      <c r="G267" s="103">
        <f t="shared" si="418"/>
        <v>0.37705007911956606</v>
      </c>
      <c r="H267" s="103">
        <f t="shared" si="418"/>
        <v>0.40608311247048495</v>
      </c>
      <c r="I267" s="103">
        <f t="shared" si="418"/>
        <v>0.41197741790099718</v>
      </c>
      <c r="J267" s="103">
        <f t="shared" si="418"/>
        <v>0.45456525449256724</v>
      </c>
      <c r="K267" s="103">
        <f t="shared" si="418"/>
        <v>0.50419296710458761</v>
      </c>
      <c r="L267" s="103">
        <f t="shared" ref="L267" si="419">IF(L49=0,0,L49/L$46)</f>
        <v>0.4994549065858821</v>
      </c>
      <c r="M267" s="103">
        <f t="shared" ref="M267:V267" si="420">IF(M49=0,0,M49/M$46)</f>
        <v>0.51679551917831479</v>
      </c>
      <c r="N267" s="103">
        <f t="shared" si="420"/>
        <v>0.52188870351538297</v>
      </c>
      <c r="O267" s="103">
        <f t="shared" si="420"/>
        <v>0.50880374790150118</v>
      </c>
      <c r="P267" s="103">
        <f t="shared" si="420"/>
        <v>0.528893989202743</v>
      </c>
      <c r="Q267" s="103">
        <f t="shared" si="420"/>
        <v>0.53298848586876435</v>
      </c>
      <c r="R267" s="103">
        <f t="shared" si="420"/>
        <v>0.54387414691929692</v>
      </c>
      <c r="S267" s="103">
        <f t="shared" si="420"/>
        <v>0.53876150415052093</v>
      </c>
      <c r="T267" s="103">
        <f t="shared" si="420"/>
        <v>0.53949599038055018</v>
      </c>
      <c r="U267" s="103">
        <f t="shared" si="420"/>
        <v>0.54329016959435938</v>
      </c>
      <c r="V267" s="103">
        <f t="shared" si="420"/>
        <v>0.53932666421921982</v>
      </c>
      <c r="W267" s="103">
        <f t="shared" ref="W267" si="421">IF(W49=0,0,W49/W$46)</f>
        <v>0.55302660568568907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0</v>
      </c>
      <c r="T268" s="103">
        <f t="shared" si="424"/>
        <v>0</v>
      </c>
      <c r="U268" s="103">
        <f t="shared" si="424"/>
        <v>0</v>
      </c>
      <c r="V268" s="103">
        <f t="shared" si="424"/>
        <v>0</v>
      </c>
      <c r="W268" s="103">
        <f t="shared" ref="W268" si="425">IF(W50=0,0,W50/W$46)</f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0</v>
      </c>
      <c r="N270" s="103">
        <f t="shared" si="432"/>
        <v>0</v>
      </c>
      <c r="O270" s="103">
        <f t="shared" si="432"/>
        <v>0</v>
      </c>
      <c r="P270" s="103">
        <f t="shared" si="432"/>
        <v>0</v>
      </c>
      <c r="Q270" s="103">
        <f t="shared" si="432"/>
        <v>0</v>
      </c>
      <c r="R270" s="103">
        <f t="shared" si="432"/>
        <v>0</v>
      </c>
      <c r="S270" s="103">
        <f t="shared" si="432"/>
        <v>0</v>
      </c>
      <c r="T270" s="103">
        <f t="shared" si="432"/>
        <v>0</v>
      </c>
      <c r="U270" s="103">
        <f t="shared" si="432"/>
        <v>0</v>
      </c>
      <c r="V270" s="103">
        <f t="shared" si="432"/>
        <v>0</v>
      </c>
      <c r="W270" s="103">
        <f t="shared" ref="W270" si="433">IF(W52=0,0,W52/W$46)</f>
        <v>0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0.6181790658860179</v>
      </c>
      <c r="C271" s="156">
        <f t="shared" si="434"/>
        <v>0.6144942136739252</v>
      </c>
      <c r="D271" s="156">
        <f t="shared" si="434"/>
        <v>0.59839315213858013</v>
      </c>
      <c r="E271" s="156">
        <f t="shared" si="434"/>
        <v>0.62788710479053611</v>
      </c>
      <c r="F271" s="156">
        <f t="shared" si="434"/>
        <v>0.62008778190263825</v>
      </c>
      <c r="G271" s="156">
        <f t="shared" si="434"/>
        <v>0.58187038788703704</v>
      </c>
      <c r="H271" s="156">
        <f t="shared" si="434"/>
        <v>0.54923616053277702</v>
      </c>
      <c r="I271" s="156">
        <f t="shared" si="434"/>
        <v>0.5422431392557181</v>
      </c>
      <c r="J271" s="156">
        <f t="shared" si="434"/>
        <v>0.50172076493017237</v>
      </c>
      <c r="K271" s="156">
        <f t="shared" si="434"/>
        <v>0.45656323247245018</v>
      </c>
      <c r="L271" s="156">
        <f t="shared" ref="L271" si="435">IF(L53=0,0,L53/L$46)</f>
        <v>0.46306035694437919</v>
      </c>
      <c r="M271" s="156">
        <f t="shared" ref="M271:V271" si="436">IF(M53=0,0,M53/M$46)</f>
        <v>0.45326822124636484</v>
      </c>
      <c r="N271" s="156">
        <f t="shared" si="436"/>
        <v>0.45522897744727603</v>
      </c>
      <c r="O271" s="156">
        <f t="shared" si="436"/>
        <v>0.47229357210891726</v>
      </c>
      <c r="P271" s="156">
        <f t="shared" si="436"/>
        <v>0.45539972079448554</v>
      </c>
      <c r="Q271" s="156">
        <f t="shared" si="436"/>
        <v>0.45406857776321791</v>
      </c>
      <c r="R271" s="156">
        <f t="shared" si="436"/>
        <v>0.44451491207921251</v>
      </c>
      <c r="S271" s="156">
        <f t="shared" si="436"/>
        <v>0.45064761969819422</v>
      </c>
      <c r="T271" s="156">
        <f t="shared" si="436"/>
        <v>0.45076822891040957</v>
      </c>
      <c r="U271" s="156">
        <f t="shared" si="436"/>
        <v>0.44426140763774941</v>
      </c>
      <c r="V271" s="156">
        <f t="shared" si="436"/>
        <v>0.44996818829890217</v>
      </c>
      <c r="W271" s="156">
        <f t="shared" ref="W271" si="437">IF(W53=0,0,W53/W$46)</f>
        <v>0.43725000125556684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0.46358313213029023</v>
      </c>
      <c r="C272" s="104">
        <f t="shared" si="438"/>
        <v>0.45140172730809019</v>
      </c>
      <c r="D272" s="104">
        <f t="shared" si="438"/>
        <v>0.43358444704750676</v>
      </c>
      <c r="E272" s="104">
        <f t="shared" si="438"/>
        <v>0.48253797910947555</v>
      </c>
      <c r="F272" s="104">
        <f t="shared" si="438"/>
        <v>0.45525702974773907</v>
      </c>
      <c r="G272" s="104">
        <f t="shared" si="438"/>
        <v>0.41180104653150618</v>
      </c>
      <c r="H272" s="104">
        <f t="shared" si="438"/>
        <v>0.36366666135251696</v>
      </c>
      <c r="I272" s="104">
        <f t="shared" si="438"/>
        <v>0.36074548949718827</v>
      </c>
      <c r="J272" s="104">
        <f t="shared" si="438"/>
        <v>0.32784704630405359</v>
      </c>
      <c r="K272" s="104">
        <f t="shared" si="438"/>
        <v>0.31473633554534947</v>
      </c>
      <c r="L272" s="104">
        <f t="shared" ref="L272" si="439">IF(L54=0,0,L54/L$46)</f>
        <v>0.29108602518286508</v>
      </c>
      <c r="M272" s="104">
        <f t="shared" ref="M272:V272" si="440">IF(M54=0,0,M54/M$46)</f>
        <v>0.27424215695372828</v>
      </c>
      <c r="N272" s="104">
        <f t="shared" si="440"/>
        <v>0.26850404656389992</v>
      </c>
      <c r="O272" s="104">
        <f t="shared" si="440"/>
        <v>0.26887802849773335</v>
      </c>
      <c r="P272" s="104">
        <f t="shared" si="440"/>
        <v>0.2741129323838743</v>
      </c>
      <c r="Q272" s="104">
        <f t="shared" si="440"/>
        <v>0.25744372543679539</v>
      </c>
      <c r="R272" s="104">
        <f t="shared" si="440"/>
        <v>0.25011042884961082</v>
      </c>
      <c r="S272" s="104">
        <f t="shared" si="440"/>
        <v>0.25631259392544825</v>
      </c>
      <c r="T272" s="104">
        <f t="shared" si="440"/>
        <v>0.26772328859137395</v>
      </c>
      <c r="U272" s="104">
        <f t="shared" si="440"/>
        <v>0.26905428329032077</v>
      </c>
      <c r="V272" s="104">
        <f t="shared" si="440"/>
        <v>0.26363327589887647</v>
      </c>
      <c r="W272" s="104">
        <f t="shared" ref="W272" si="441">IF(W54=0,0,W54/W$46)</f>
        <v>0.2480313546477331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0.15459593375572767</v>
      </c>
      <c r="C273" s="105">
        <f t="shared" si="442"/>
        <v>0.16309248636583507</v>
      </c>
      <c r="D273" s="105">
        <f t="shared" si="442"/>
        <v>0.1648087050910734</v>
      </c>
      <c r="E273" s="105">
        <f t="shared" si="442"/>
        <v>0.14534912568106056</v>
      </c>
      <c r="F273" s="105">
        <f t="shared" si="442"/>
        <v>0.16483075215489917</v>
      </c>
      <c r="G273" s="105">
        <f t="shared" si="442"/>
        <v>0.17006934135553081</v>
      </c>
      <c r="H273" s="105">
        <f t="shared" si="442"/>
        <v>0.18556949918026006</v>
      </c>
      <c r="I273" s="105">
        <f t="shared" si="442"/>
        <v>0.18149764975852992</v>
      </c>
      <c r="J273" s="105">
        <f t="shared" si="442"/>
        <v>0.17387371862611881</v>
      </c>
      <c r="K273" s="105">
        <f t="shared" si="442"/>
        <v>0.14182689692710079</v>
      </c>
      <c r="L273" s="105">
        <f t="shared" ref="L273" si="443">IF(L55=0,0,L55/L$46)</f>
        <v>0.17197433176151414</v>
      </c>
      <c r="M273" s="105">
        <f t="shared" ref="M273:V273" si="444">IF(M55=0,0,M55/M$46)</f>
        <v>0.17902606429263662</v>
      </c>
      <c r="N273" s="105">
        <f t="shared" si="444"/>
        <v>0.18672493088337619</v>
      </c>
      <c r="O273" s="105">
        <f t="shared" si="444"/>
        <v>0.20341554361118397</v>
      </c>
      <c r="P273" s="105">
        <f t="shared" si="444"/>
        <v>0.18128678841061119</v>
      </c>
      <c r="Q273" s="105">
        <f t="shared" si="444"/>
        <v>0.19662485232642257</v>
      </c>
      <c r="R273" s="105">
        <f t="shared" si="444"/>
        <v>0.1944044832296016</v>
      </c>
      <c r="S273" s="105">
        <f t="shared" si="444"/>
        <v>0.19433502577274603</v>
      </c>
      <c r="T273" s="105">
        <f t="shared" si="444"/>
        <v>0.18304494031903562</v>
      </c>
      <c r="U273" s="105">
        <f t="shared" si="444"/>
        <v>0.17520712434742861</v>
      </c>
      <c r="V273" s="105">
        <f t="shared" si="444"/>
        <v>0.18633491240002567</v>
      </c>
      <c r="W273" s="105">
        <f t="shared" ref="W273" si="445">IF(W55=0,0,W55/W$46)</f>
        <v>0.18921864660783377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948.68873602751501</v>
      </c>
      <c r="C4" s="145">
        <f t="shared" si="0"/>
        <v>1041.0647463456576</v>
      </c>
      <c r="D4" s="145">
        <f t="shared" si="0"/>
        <v>1076.525709372313</v>
      </c>
      <c r="E4" s="145">
        <f t="shared" si="0"/>
        <v>1092.6206362854687</v>
      </c>
      <c r="F4" s="145">
        <f t="shared" si="0"/>
        <v>1206.5370402046547</v>
      </c>
      <c r="G4" s="145">
        <f t="shared" si="0"/>
        <v>1282.0879668639739</v>
      </c>
      <c r="H4" s="145">
        <f t="shared" si="0"/>
        <v>1382.2626645339024</v>
      </c>
      <c r="I4" s="145">
        <f t="shared" si="0"/>
        <v>1659.2994728447486</v>
      </c>
      <c r="J4" s="145">
        <f t="shared" si="0"/>
        <v>1655.1773903278054</v>
      </c>
      <c r="K4" s="145">
        <f t="shared" si="0"/>
        <v>1374.9780951708781</v>
      </c>
      <c r="L4" s="145">
        <f t="shared" ref="L4" si="1">L5+L9+L10+L15</f>
        <v>1402.8225760638704</v>
      </c>
      <c r="M4" s="145">
        <f t="shared" ref="M4:V4" si="2">M5+M9+M10+M15</f>
        <v>1393.3232335243356</v>
      </c>
      <c r="N4" s="145">
        <f t="shared" si="2"/>
        <v>1410.2507868798859</v>
      </c>
      <c r="O4" s="145">
        <f t="shared" si="2"/>
        <v>1417.340465899229</v>
      </c>
      <c r="P4" s="145">
        <f t="shared" si="2"/>
        <v>1576.7943783953567</v>
      </c>
      <c r="Q4" s="145">
        <f t="shared" si="2"/>
        <v>1671.5543928987386</v>
      </c>
      <c r="R4" s="145">
        <f t="shared" si="2"/>
        <v>1786.305541550066</v>
      </c>
      <c r="S4" s="145">
        <f t="shared" si="2"/>
        <v>1873.9100937139374</v>
      </c>
      <c r="T4" s="145">
        <f t="shared" si="2"/>
        <v>1996.35285723835</v>
      </c>
      <c r="U4" s="145">
        <f t="shared" si="2"/>
        <v>2073.9488457397551</v>
      </c>
      <c r="V4" s="145">
        <f t="shared" si="2"/>
        <v>2051.4220688886057</v>
      </c>
      <c r="W4" s="145">
        <f t="shared" ref="W4" si="3">W5+W9+W10+W15</f>
        <v>2070.732612962544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948.68873602751501</v>
      </c>
      <c r="C5" s="97">
        <f t="shared" si="4"/>
        <v>1041.0647463456576</v>
      </c>
      <c r="D5" s="97">
        <f t="shared" si="4"/>
        <v>1076.525709372313</v>
      </c>
      <c r="E5" s="97">
        <f t="shared" si="4"/>
        <v>1092.6206362854687</v>
      </c>
      <c r="F5" s="97">
        <f t="shared" si="4"/>
        <v>1205.4545141874462</v>
      </c>
      <c r="G5" s="97">
        <f t="shared" si="4"/>
        <v>1278.1020636285466</v>
      </c>
      <c r="H5" s="97">
        <f t="shared" si="4"/>
        <v>1361.7809974204642</v>
      </c>
      <c r="I5" s="97">
        <f t="shared" si="4"/>
        <v>1604.6107480653482</v>
      </c>
      <c r="J5" s="97">
        <f t="shared" si="4"/>
        <v>1592.1568357695614</v>
      </c>
      <c r="K5" s="97">
        <f t="shared" si="4"/>
        <v>1320.4607910576096</v>
      </c>
      <c r="L5" s="97">
        <f t="shared" ref="L5" si="5">SUM(L6:L8)</f>
        <v>1354.0628546861562</v>
      </c>
      <c r="M5" s="97">
        <f t="shared" ref="M5:V5" si="6">SUM(M6:M8)</f>
        <v>1343.5540842648325</v>
      </c>
      <c r="N5" s="97">
        <f t="shared" si="6"/>
        <v>1347.9790197764401</v>
      </c>
      <c r="O5" s="97">
        <f t="shared" si="6"/>
        <v>1350.7922613929493</v>
      </c>
      <c r="P5" s="97">
        <f t="shared" si="6"/>
        <v>1504.6942390369738</v>
      </c>
      <c r="Q5" s="97">
        <f t="shared" si="6"/>
        <v>1590.2641444539986</v>
      </c>
      <c r="R5" s="97">
        <f t="shared" si="6"/>
        <v>1716.1179707652623</v>
      </c>
      <c r="S5" s="97">
        <f t="shared" si="6"/>
        <v>1788.0919174548578</v>
      </c>
      <c r="T5" s="97">
        <f t="shared" si="6"/>
        <v>1903.2156491831465</v>
      </c>
      <c r="U5" s="97">
        <f t="shared" si="6"/>
        <v>1981.1145313843508</v>
      </c>
      <c r="V5" s="97">
        <f t="shared" si="6"/>
        <v>1931.3098882201207</v>
      </c>
      <c r="W5" s="97">
        <f t="shared" ref="W5" si="7">SUM(W6:W8)</f>
        <v>1926.0153912295784</v>
      </c>
      <c r="DA5" s="175"/>
    </row>
    <row r="6" spans="1:105" ht="11.45" customHeight="1" x14ac:dyDescent="0.25">
      <c r="A6" s="128" t="s">
        <v>52</v>
      </c>
      <c r="B6" s="97">
        <v>119.8452278589854</v>
      </c>
      <c r="C6" s="97">
        <v>126.50326741186581</v>
      </c>
      <c r="D6" s="97">
        <v>152.02588134135851</v>
      </c>
      <c r="E6" s="97">
        <v>175.32914875322439</v>
      </c>
      <c r="F6" s="97">
        <v>211.9484952708512</v>
      </c>
      <c r="G6" s="97">
        <v>228.59363714531381</v>
      </c>
      <c r="H6" s="97">
        <v>234.14204643164231</v>
      </c>
      <c r="I6" s="97">
        <v>231.7230438521066</v>
      </c>
      <c r="J6" s="97">
        <v>205.113671539123</v>
      </c>
      <c r="K6" s="97">
        <v>184.04797936371449</v>
      </c>
      <c r="L6" s="97">
        <v>174.06947549441099</v>
      </c>
      <c r="M6" s="97">
        <v>162.98220120378329</v>
      </c>
      <c r="N6" s="97">
        <v>153.0036973344798</v>
      </c>
      <c r="O6" s="97">
        <v>146.35141874462599</v>
      </c>
      <c r="P6" s="97">
        <v>143.0251934651763</v>
      </c>
      <c r="Q6" s="97">
        <v>133.31186586414441</v>
      </c>
      <c r="R6" s="97">
        <v>125.66276870163369</v>
      </c>
      <c r="S6" s="97">
        <v>116.4764402407567</v>
      </c>
      <c r="T6" s="97">
        <v>109.16276870163369</v>
      </c>
      <c r="U6" s="97">
        <v>105.119690455718</v>
      </c>
      <c r="V6" s="97">
        <v>96.899656061908843</v>
      </c>
      <c r="W6" s="97">
        <v>92.415563198624227</v>
      </c>
      <c r="DA6" s="175" t="s">
        <v>629</v>
      </c>
    </row>
    <row r="7" spans="1:105" ht="11.45" customHeight="1" x14ac:dyDescent="0.25">
      <c r="A7" s="128" t="s">
        <v>53</v>
      </c>
      <c r="B7" s="97">
        <v>390.4987102321582</v>
      </c>
      <c r="C7" s="97">
        <v>386.29982803095442</v>
      </c>
      <c r="D7" s="97">
        <v>375.80249355116081</v>
      </c>
      <c r="E7" s="97">
        <v>373.70309544282031</v>
      </c>
      <c r="F7" s="97">
        <v>357.95717970765259</v>
      </c>
      <c r="G7" s="97">
        <v>350.60902837489249</v>
      </c>
      <c r="H7" s="97">
        <v>368.45442820292351</v>
      </c>
      <c r="I7" s="97">
        <v>443.96319862424758</v>
      </c>
      <c r="J7" s="97">
        <v>437.54445399828029</v>
      </c>
      <c r="K7" s="97">
        <v>366.93826311263967</v>
      </c>
      <c r="L7" s="97">
        <v>296.33207222699912</v>
      </c>
      <c r="M7" s="97">
        <v>257.81960447119519</v>
      </c>
      <c r="N7" s="97">
        <v>231.07480653482369</v>
      </c>
      <c r="O7" s="97">
        <v>209.67901977644021</v>
      </c>
      <c r="P7" s="97">
        <v>205.39982803095441</v>
      </c>
      <c r="Q7" s="97">
        <v>199.85666380051589</v>
      </c>
      <c r="R7" s="97">
        <v>215.63482373172829</v>
      </c>
      <c r="S7" s="97">
        <v>212.23800515907129</v>
      </c>
      <c r="T7" s="97">
        <v>232.30601891659501</v>
      </c>
      <c r="U7" s="97">
        <v>242.48710232158211</v>
      </c>
      <c r="V7" s="97">
        <v>236.91771281169389</v>
      </c>
      <c r="W7" s="97">
        <v>237.33714531384351</v>
      </c>
      <c r="DA7" s="175" t="s">
        <v>630</v>
      </c>
    </row>
    <row r="8" spans="1:105" ht="11.45" customHeight="1" x14ac:dyDescent="0.25">
      <c r="A8" s="128" t="s">
        <v>54</v>
      </c>
      <c r="B8" s="97">
        <v>438.34479793637138</v>
      </c>
      <c r="C8" s="97">
        <v>528.26165090283746</v>
      </c>
      <c r="D8" s="97">
        <v>548.69733447979365</v>
      </c>
      <c r="E8" s="97">
        <v>543.58839208942391</v>
      </c>
      <c r="F8" s="97">
        <v>635.54883920894235</v>
      </c>
      <c r="G8" s="97">
        <v>698.89939810834039</v>
      </c>
      <c r="H8" s="97">
        <v>759.18452278589848</v>
      </c>
      <c r="I8" s="97">
        <v>928.92450558899395</v>
      </c>
      <c r="J8" s="97">
        <v>949.49871023215815</v>
      </c>
      <c r="K8" s="97">
        <v>769.47454858125536</v>
      </c>
      <c r="L8" s="97">
        <v>883.66130696474625</v>
      </c>
      <c r="M8" s="97">
        <v>922.75227858985386</v>
      </c>
      <c r="N8" s="97">
        <v>963.90051590713665</v>
      </c>
      <c r="O8" s="97">
        <v>994.76182287188306</v>
      </c>
      <c r="P8" s="97">
        <v>1156.2692175408431</v>
      </c>
      <c r="Q8" s="97">
        <v>1257.0956147893382</v>
      </c>
      <c r="R8" s="97">
        <v>1374.8203783319002</v>
      </c>
      <c r="S8" s="97">
        <v>1459.3774720550298</v>
      </c>
      <c r="T8" s="97">
        <v>1561.7468615649179</v>
      </c>
      <c r="U8" s="97">
        <v>1633.5077386070507</v>
      </c>
      <c r="V8" s="97">
        <v>1597.4925193465181</v>
      </c>
      <c r="W8" s="97">
        <v>1596.2626827171107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1.3542562338779021</v>
      </c>
      <c r="L9" s="97">
        <v>2.407566638005159</v>
      </c>
      <c r="M9" s="97">
        <v>3.202923473774721</v>
      </c>
      <c r="N9" s="97">
        <v>2.8804815133276009</v>
      </c>
      <c r="O9" s="97">
        <v>3.998280309544282</v>
      </c>
      <c r="P9" s="97">
        <v>4.6431642304385203</v>
      </c>
      <c r="Q9" s="97">
        <v>7.6741186586414436</v>
      </c>
      <c r="R9" s="97">
        <v>7.7601031814273416</v>
      </c>
      <c r="S9" s="97">
        <v>7.8246775580395527</v>
      </c>
      <c r="T9" s="97">
        <v>7.7170249355116072</v>
      </c>
      <c r="U9" s="97">
        <v>7.4593293207222704</v>
      </c>
      <c r="V9" s="97">
        <v>8.3834049871023204</v>
      </c>
      <c r="W9" s="97">
        <v>10.01719690455718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0.88374892519346515</v>
      </c>
      <c r="G10" s="97">
        <f t="shared" si="8"/>
        <v>3.2960447119518479</v>
      </c>
      <c r="H10" s="97">
        <f t="shared" si="8"/>
        <v>19.298710232158214</v>
      </c>
      <c r="I10" s="97">
        <f t="shared" si="8"/>
        <v>53.143250214961299</v>
      </c>
      <c r="J10" s="97">
        <f t="shared" si="8"/>
        <v>61.431126397248491</v>
      </c>
      <c r="K10" s="97">
        <f t="shared" si="8"/>
        <v>51.542906276870163</v>
      </c>
      <c r="L10" s="97">
        <f t="shared" si="8"/>
        <v>44.78357695614789</v>
      </c>
      <c r="M10" s="97">
        <f t="shared" si="8"/>
        <v>45.022441960447111</v>
      </c>
      <c r="N10" s="97">
        <f t="shared" si="8"/>
        <v>57.872398968185728</v>
      </c>
      <c r="O10" s="97">
        <f t="shared" si="8"/>
        <v>55.937747205503008</v>
      </c>
      <c r="P10" s="97">
        <f t="shared" si="8"/>
        <v>60.595184866723983</v>
      </c>
      <c r="Q10" s="97">
        <f t="shared" si="8"/>
        <v>66.231986242476353</v>
      </c>
      <c r="R10" s="97">
        <f t="shared" si="8"/>
        <v>55.053998280309536</v>
      </c>
      <c r="S10" s="97">
        <f t="shared" si="8"/>
        <v>69.850472914875311</v>
      </c>
      <c r="T10" s="97">
        <f t="shared" si="8"/>
        <v>75.955374032674115</v>
      </c>
      <c r="U10" s="97">
        <f t="shared" si="8"/>
        <v>73.366294067067912</v>
      </c>
      <c r="V10" s="97">
        <f t="shared" si="8"/>
        <v>100.48486672398968</v>
      </c>
      <c r="W10" s="97">
        <f t="shared" si="8"/>
        <v>122.55657781599312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0.64488392089423896</v>
      </c>
      <c r="H12" s="97">
        <v>5.1590713671539117</v>
      </c>
      <c r="I12" s="97">
        <v>11.6079105760963</v>
      </c>
      <c r="J12" s="97">
        <v>15.47721410146174</v>
      </c>
      <c r="K12" s="97">
        <v>13.542562338779019</v>
      </c>
      <c r="L12" s="97">
        <v>10.31814273430782</v>
      </c>
      <c r="M12" s="97">
        <v>9.6732588134135842</v>
      </c>
      <c r="N12" s="97">
        <v>8.3834909716251076</v>
      </c>
      <c r="O12" s="97">
        <v>6.44883920894239</v>
      </c>
      <c r="P12" s="97">
        <v>5.8039552880481509</v>
      </c>
      <c r="Q12" s="97">
        <v>9.6732588134135842</v>
      </c>
      <c r="R12" s="97">
        <v>6.44883920894239</v>
      </c>
      <c r="S12" s="97">
        <v>8.2545141874462598</v>
      </c>
      <c r="T12" s="97">
        <v>7.9965606190885632</v>
      </c>
      <c r="U12" s="97">
        <v>9.737747205503009</v>
      </c>
      <c r="V12" s="97">
        <v>15.735167669819431</v>
      </c>
      <c r="W12" s="97">
        <v>16.50902837489252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0.88374892519346515</v>
      </c>
      <c r="G13" s="97">
        <v>2.6511607910576092</v>
      </c>
      <c r="H13" s="97">
        <v>14.139638865004301</v>
      </c>
      <c r="I13" s="97">
        <v>41.535339638864997</v>
      </c>
      <c r="J13" s="97">
        <v>45.953912295786751</v>
      </c>
      <c r="K13" s="97">
        <v>38.000343938091142</v>
      </c>
      <c r="L13" s="97">
        <v>34.46543422184007</v>
      </c>
      <c r="M13" s="97">
        <v>35.349183147033528</v>
      </c>
      <c r="N13" s="97">
        <v>49.48890799656062</v>
      </c>
      <c r="O13" s="97">
        <v>49.48890799656062</v>
      </c>
      <c r="P13" s="97">
        <v>54.791229578675832</v>
      </c>
      <c r="Q13" s="97">
        <v>56.558727429062763</v>
      </c>
      <c r="R13" s="97">
        <v>48.605159071367147</v>
      </c>
      <c r="S13" s="97">
        <v>61.595958727429057</v>
      </c>
      <c r="T13" s="97">
        <v>67.958813413585546</v>
      </c>
      <c r="U13" s="97">
        <v>63.628546861564907</v>
      </c>
      <c r="V13" s="97">
        <v>84.74969905417025</v>
      </c>
      <c r="W13" s="97">
        <v>106.0475494411006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0.19877709201503291</v>
      </c>
      <c r="G15" s="98">
        <v>0.68985852347535415</v>
      </c>
      <c r="H15" s="98">
        <v>1.1829568812799716</v>
      </c>
      <c r="I15" s="98">
        <v>1.5454745644393109</v>
      </c>
      <c r="J15" s="98">
        <v>1.5894281609952676</v>
      </c>
      <c r="K15" s="98">
        <v>1.6201416025203588</v>
      </c>
      <c r="L15" s="98">
        <v>1.568577783561012</v>
      </c>
      <c r="M15" s="98">
        <v>1.5437838252812806</v>
      </c>
      <c r="N15" s="98">
        <v>1.5188866219325714</v>
      </c>
      <c r="O15" s="98">
        <v>6.6121769912324613</v>
      </c>
      <c r="P15" s="98">
        <v>6.861790261220384</v>
      </c>
      <c r="Q15" s="98">
        <v>7.3841435436223284</v>
      </c>
      <c r="R15" s="98">
        <v>7.3734693230667032</v>
      </c>
      <c r="S15" s="98">
        <v>8.1430257861646762</v>
      </c>
      <c r="T15" s="98">
        <v>9.4648090870177359</v>
      </c>
      <c r="U15" s="98">
        <v>12.008690967614051</v>
      </c>
      <c r="V15" s="98">
        <v>11.243908957393353</v>
      </c>
      <c r="W15" s="98">
        <v>12.143447012415445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948.68873602751501</v>
      </c>
      <c r="C17" s="79">
        <f t="shared" si="9"/>
        <v>1041.0647463456578</v>
      </c>
      <c r="D17" s="79">
        <f t="shared" si="9"/>
        <v>1076.525709372313</v>
      </c>
      <c r="E17" s="79">
        <f t="shared" si="9"/>
        <v>1092.6206362854687</v>
      </c>
      <c r="F17" s="79">
        <f t="shared" si="9"/>
        <v>1206.5370402046547</v>
      </c>
      <c r="G17" s="79">
        <f t="shared" si="9"/>
        <v>1282.0879668639739</v>
      </c>
      <c r="H17" s="79">
        <f t="shared" si="9"/>
        <v>1382.2626645339028</v>
      </c>
      <c r="I17" s="79">
        <f t="shared" si="9"/>
        <v>1659.2994728447486</v>
      </c>
      <c r="J17" s="79">
        <f t="shared" si="9"/>
        <v>1655.1773903278049</v>
      </c>
      <c r="K17" s="79">
        <f t="shared" si="9"/>
        <v>1374.9780951708779</v>
      </c>
      <c r="L17" s="79">
        <f t="shared" ref="L17" si="10">L18+L42</f>
        <v>1402.8225760638702</v>
      </c>
      <c r="M17" s="79">
        <f t="shared" ref="M17:V17" si="11">M18+M42</f>
        <v>1393.3232335243356</v>
      </c>
      <c r="N17" s="79">
        <f t="shared" si="11"/>
        <v>1410.2507868798857</v>
      </c>
      <c r="O17" s="79">
        <f t="shared" si="11"/>
        <v>1417.3404658992292</v>
      </c>
      <c r="P17" s="79">
        <f t="shared" si="11"/>
        <v>1576.7943783953567</v>
      </c>
      <c r="Q17" s="79">
        <f t="shared" si="11"/>
        <v>1671.5543928987386</v>
      </c>
      <c r="R17" s="79">
        <f t="shared" si="11"/>
        <v>1786.3055415500655</v>
      </c>
      <c r="S17" s="79">
        <f t="shared" si="11"/>
        <v>1873.9100937139376</v>
      </c>
      <c r="T17" s="79">
        <f t="shared" si="11"/>
        <v>1996.3528572383502</v>
      </c>
      <c r="U17" s="79">
        <f t="shared" si="11"/>
        <v>2073.9488457397551</v>
      </c>
      <c r="V17" s="79">
        <f t="shared" si="11"/>
        <v>2051.4220688886062</v>
      </c>
      <c r="W17" s="79">
        <f t="shared" ref="W17" si="12">W18+W42</f>
        <v>2070.7326129625444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733.60104636429628</v>
      </c>
      <c r="C18" s="32">
        <f t="shared" si="13"/>
        <v>760.84067359287576</v>
      </c>
      <c r="D18" s="32">
        <f t="shared" si="13"/>
        <v>793.17504473402323</v>
      </c>
      <c r="E18" s="32">
        <f t="shared" si="13"/>
        <v>855.98939277291777</v>
      </c>
      <c r="F18" s="32">
        <f t="shared" si="13"/>
        <v>925.74203145747379</v>
      </c>
      <c r="G18" s="32">
        <f t="shared" si="13"/>
        <v>1018.3703571469025</v>
      </c>
      <c r="H18" s="32">
        <f t="shared" si="13"/>
        <v>1125.2709235408868</v>
      </c>
      <c r="I18" s="32">
        <f t="shared" si="13"/>
        <v>1252.7364017800355</v>
      </c>
      <c r="J18" s="32">
        <f t="shared" si="13"/>
        <v>1226.7047328710933</v>
      </c>
      <c r="K18" s="32">
        <f t="shared" si="13"/>
        <v>1126.8698641229644</v>
      </c>
      <c r="L18" s="32">
        <f t="shared" ref="L18" si="14">L19+L21+L33</f>
        <v>1107.9870745666462</v>
      </c>
      <c r="M18" s="32">
        <f t="shared" ref="M18:V18" si="15">M19+M21+M33</f>
        <v>1038.2921583266323</v>
      </c>
      <c r="N18" s="32">
        <f t="shared" si="15"/>
        <v>1144.4071564638045</v>
      </c>
      <c r="O18" s="32">
        <f t="shared" si="15"/>
        <v>1119.3650468096851</v>
      </c>
      <c r="P18" s="32">
        <f t="shared" si="15"/>
        <v>1102.5193115539887</v>
      </c>
      <c r="Q18" s="32">
        <f t="shared" si="15"/>
        <v>1162.9842647022992</v>
      </c>
      <c r="R18" s="32">
        <f t="shared" si="15"/>
        <v>1301.3300887888302</v>
      </c>
      <c r="S18" s="32">
        <f t="shared" si="15"/>
        <v>1368.5795849790582</v>
      </c>
      <c r="T18" s="32">
        <f t="shared" si="15"/>
        <v>1455.2508322647948</v>
      </c>
      <c r="U18" s="32">
        <f t="shared" si="15"/>
        <v>1507.6634406198564</v>
      </c>
      <c r="V18" s="32">
        <f t="shared" si="15"/>
        <v>1449.2411601546776</v>
      </c>
      <c r="W18" s="32">
        <f t="shared" ref="W18" si="16">W19+W21+W33</f>
        <v>1446.7553533808264</v>
      </c>
      <c r="DA18" s="173" t="s">
        <v>390</v>
      </c>
    </row>
    <row r="19" spans="1:105" ht="11.45" customHeight="1" x14ac:dyDescent="0.25">
      <c r="A19" s="107" t="s">
        <v>181</v>
      </c>
      <c r="B19" s="129">
        <v>2.993306056541333</v>
      </c>
      <c r="C19" s="129">
        <v>3.0105460502969206</v>
      </c>
      <c r="D19" s="129">
        <v>3.0787562054415281</v>
      </c>
      <c r="E19" s="129">
        <v>2.9922109323602801</v>
      </c>
      <c r="F19" s="129">
        <v>3.0833898614521358</v>
      </c>
      <c r="G19" s="129">
        <v>2.9768390835107188</v>
      </c>
      <c r="H19" s="129">
        <v>3.0916604659861853</v>
      </c>
      <c r="I19" s="129">
        <v>3.4152839896710288</v>
      </c>
      <c r="J19" s="129">
        <v>3.8636442317677835</v>
      </c>
      <c r="K19" s="129">
        <v>4.0583864370752742</v>
      </c>
      <c r="L19" s="129">
        <v>3.9652973748236451</v>
      </c>
      <c r="M19" s="129">
        <v>3.9077168442519468</v>
      </c>
      <c r="N19" s="129">
        <v>3.8309585605152829</v>
      </c>
      <c r="O19" s="129">
        <v>3.7676980648291667</v>
      </c>
      <c r="P19" s="129">
        <v>3.5931963010551344</v>
      </c>
      <c r="Q19" s="129">
        <v>3.5529810271443392</v>
      </c>
      <c r="R19" s="129">
        <v>3.9301482993831796</v>
      </c>
      <c r="S19" s="129">
        <v>3.6771219777580848</v>
      </c>
      <c r="T19" s="129">
        <v>3.4637422308224468</v>
      </c>
      <c r="U19" s="129">
        <v>3.5670314718587131</v>
      </c>
      <c r="V19" s="129">
        <v>3.1456557919984247</v>
      </c>
      <c r="W19" s="129">
        <v>2.7083697288748705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5.4653217881571537E-3</v>
      </c>
      <c r="H20" s="97">
        <v>4.2691436485525987E-2</v>
      </c>
      <c r="I20" s="97">
        <v>8.7021126545231711E-2</v>
      </c>
      <c r="J20" s="97">
        <v>0.13199909231225071</v>
      </c>
      <c r="K20" s="97">
        <v>0.1444513038304602</v>
      </c>
      <c r="L20" s="97">
        <v>0.13342401961977771</v>
      </c>
      <c r="M20" s="97">
        <v>0.14131351371332024</v>
      </c>
      <c r="N20" s="97">
        <v>0.13412275473095631</v>
      </c>
      <c r="O20" s="97">
        <v>0.11242085644114024</v>
      </c>
      <c r="P20" s="97">
        <v>9.8742315808826933E-2</v>
      </c>
      <c r="Q20" s="97">
        <v>0.16402862467544477</v>
      </c>
      <c r="R20" s="97">
        <v>0.1141231827430339</v>
      </c>
      <c r="S20" s="97">
        <v>0.13765934383775252</v>
      </c>
      <c r="T20" s="97">
        <v>0.11526311856987681</v>
      </c>
      <c r="U20" s="97">
        <v>0.13771383276532978</v>
      </c>
      <c r="V20" s="97">
        <v>0.19591077380277716</v>
      </c>
      <c r="W20" s="97">
        <v>0.17614034536727483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671.61013507841074</v>
      </c>
      <c r="C21" s="130">
        <f t="shared" si="17"/>
        <v>700.96786195846425</v>
      </c>
      <c r="D21" s="130">
        <f t="shared" si="17"/>
        <v>731.79630738296316</v>
      </c>
      <c r="E21" s="130">
        <f t="shared" si="17"/>
        <v>794.81353685388979</v>
      </c>
      <c r="F21" s="130">
        <f t="shared" si="17"/>
        <v>860.5752144992606</v>
      </c>
      <c r="G21" s="130">
        <f t="shared" si="17"/>
        <v>954.95127959467527</v>
      </c>
      <c r="H21" s="130">
        <f t="shared" si="17"/>
        <v>1063.7205417254554</v>
      </c>
      <c r="I21" s="130">
        <f t="shared" si="17"/>
        <v>1193.8600955969248</v>
      </c>
      <c r="J21" s="130">
        <f t="shared" si="17"/>
        <v>1170.6138390790832</v>
      </c>
      <c r="K21" s="130">
        <f t="shared" si="17"/>
        <v>1071.1048785975665</v>
      </c>
      <c r="L21" s="130">
        <f t="shared" ref="L21" si="18">L22+L24+L26+L27+L29+L32</f>
        <v>1053.6287057275104</v>
      </c>
      <c r="M21" s="130">
        <f t="shared" ref="M21:V21" si="19">M22+M24+M26+M27+M29+M32</f>
        <v>982.93808738833138</v>
      </c>
      <c r="N21" s="130">
        <f t="shared" si="19"/>
        <v>1089.9311540083411</v>
      </c>
      <c r="O21" s="130">
        <f t="shared" si="19"/>
        <v>1064.5687875556289</v>
      </c>
      <c r="P21" s="130">
        <f t="shared" si="19"/>
        <v>1046.1270984832277</v>
      </c>
      <c r="Q21" s="130">
        <f t="shared" si="19"/>
        <v>1104.1350813500376</v>
      </c>
      <c r="R21" s="130">
        <f t="shared" si="19"/>
        <v>1243.9250488173111</v>
      </c>
      <c r="S21" s="130">
        <f t="shared" si="19"/>
        <v>1309.7348370343441</v>
      </c>
      <c r="T21" s="130">
        <f t="shared" si="19"/>
        <v>1394.8609905539493</v>
      </c>
      <c r="U21" s="130">
        <f t="shared" si="19"/>
        <v>1440.0548622097549</v>
      </c>
      <c r="V21" s="130">
        <f t="shared" si="19"/>
        <v>1398.402216901535</v>
      </c>
      <c r="W21" s="130">
        <f t="shared" ref="W21" si="20">W22+W24+W26+W27+W29+W32</f>
        <v>1397.9433431429911</v>
      </c>
      <c r="DA21" s="176" t="s">
        <v>392</v>
      </c>
    </row>
    <row r="22" spans="1:105" ht="11.45" customHeight="1" x14ac:dyDescent="0.25">
      <c r="A22" s="111" t="s">
        <v>110</v>
      </c>
      <c r="B22" s="96">
        <v>382.89860825908448</v>
      </c>
      <c r="C22" s="96">
        <v>378.8679634634662</v>
      </c>
      <c r="D22" s="96">
        <v>368.38866934423413</v>
      </c>
      <c r="E22" s="96">
        <v>366.46617270850959</v>
      </c>
      <c r="F22" s="96">
        <v>350.72987266123812</v>
      </c>
      <c r="G22" s="96">
        <v>344.13155805776574</v>
      </c>
      <c r="H22" s="96">
        <v>365.3468874670782</v>
      </c>
      <c r="I22" s="96">
        <v>446.24887669407082</v>
      </c>
      <c r="J22" s="96">
        <v>443.74147074737289</v>
      </c>
      <c r="K22" s="96">
        <v>371.51941082246549</v>
      </c>
      <c r="L22" s="96">
        <v>298.34623940220325</v>
      </c>
      <c r="M22" s="96">
        <v>259.82977047968416</v>
      </c>
      <c r="N22" s="96">
        <v>232.46872974496648</v>
      </c>
      <c r="O22" s="96">
        <v>208.95309855627235</v>
      </c>
      <c r="P22" s="96">
        <v>204.37743446638783</v>
      </c>
      <c r="Q22" s="96">
        <v>202.96116331746205</v>
      </c>
      <c r="R22" s="96">
        <v>214.73522887979993</v>
      </c>
      <c r="S22" s="96">
        <v>212.86762081228224</v>
      </c>
      <c r="T22" s="96">
        <v>231.49028485112197</v>
      </c>
      <c r="U22" s="96">
        <v>240.60231183588937</v>
      </c>
      <c r="V22" s="96">
        <v>239.98090783431536</v>
      </c>
      <c r="W22" s="96">
        <v>242.71373731875954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0.63180764881233575</v>
      </c>
      <c r="H23" s="96">
        <v>5.0449212043438756</v>
      </c>
      <c r="I23" s="96">
        <v>11.370380936667809</v>
      </c>
      <c r="J23" s="96">
        <v>15.160161714257136</v>
      </c>
      <c r="K23" s="96">
        <v>13.223596156679678</v>
      </c>
      <c r="L23" s="96">
        <v>10.038731206447498</v>
      </c>
      <c r="M23" s="96">
        <v>9.3961408406085543</v>
      </c>
      <c r="N23" s="96">
        <v>8.1387845704097952</v>
      </c>
      <c r="O23" s="96">
        <v>6.2347581710455406</v>
      </c>
      <c r="P23" s="96">
        <v>5.6163647870704629</v>
      </c>
      <c r="Q23" s="96">
        <v>9.3700023240059878</v>
      </c>
      <c r="R23" s="96">
        <v>6.2354562474557937</v>
      </c>
      <c r="S23" s="96">
        <v>7.969063083185576</v>
      </c>
      <c r="T23" s="96">
        <v>7.7033134605498237</v>
      </c>
      <c r="U23" s="96">
        <v>9.2890311724257764</v>
      </c>
      <c r="V23" s="96">
        <v>14.945959908043625</v>
      </c>
      <c r="W23" s="96">
        <v>15.785024127584133</v>
      </c>
      <c r="DA23" s="171" t="s">
        <v>641</v>
      </c>
    </row>
    <row r="24" spans="1:105" ht="11.45" customHeight="1" x14ac:dyDescent="0.25">
      <c r="A24" s="111" t="s">
        <v>111</v>
      </c>
      <c r="B24" s="96">
        <v>168.86629896034083</v>
      </c>
      <c r="C24" s="96">
        <v>195.59663108313217</v>
      </c>
      <c r="D24" s="96">
        <v>211.4001909168893</v>
      </c>
      <c r="E24" s="96">
        <v>253.03694542029567</v>
      </c>
      <c r="F24" s="96">
        <v>297.91683009640735</v>
      </c>
      <c r="G24" s="96">
        <v>382.24528199892768</v>
      </c>
      <c r="H24" s="96">
        <v>464.25004677053465</v>
      </c>
      <c r="I24" s="96">
        <v>515.90586665288265</v>
      </c>
      <c r="J24" s="96">
        <v>521.77566371444516</v>
      </c>
      <c r="K24" s="96">
        <v>515.55380680504538</v>
      </c>
      <c r="L24" s="96">
        <v>581.22904327737217</v>
      </c>
      <c r="M24" s="96">
        <v>560.18414985015716</v>
      </c>
      <c r="N24" s="96">
        <v>704.5168424046069</v>
      </c>
      <c r="O24" s="96">
        <v>709.13303186974088</v>
      </c>
      <c r="P24" s="96">
        <v>698.73363738668479</v>
      </c>
      <c r="Q24" s="96">
        <v>767.51545360120417</v>
      </c>
      <c r="R24" s="96">
        <v>902.23649543417457</v>
      </c>
      <c r="S24" s="96">
        <v>977.85797606663698</v>
      </c>
      <c r="T24" s="96">
        <v>1049.0479289271905</v>
      </c>
      <c r="U24" s="96">
        <v>1085.8923974544825</v>
      </c>
      <c r="V24" s="96">
        <v>1049.2910359756568</v>
      </c>
      <c r="W24" s="96">
        <v>1051.4355213729648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0.41368667051859692</v>
      </c>
      <c r="G25" s="96">
        <v>1.4445055902915136</v>
      </c>
      <c r="H25" s="96">
        <v>8.4884558506268579</v>
      </c>
      <c r="I25" s="96">
        <v>22.080589422099393</v>
      </c>
      <c r="J25" s="96">
        <v>24.087166526839326</v>
      </c>
      <c r="K25" s="96">
        <v>24.262329589046047</v>
      </c>
      <c r="L25" s="96">
        <v>21.818677596743953</v>
      </c>
      <c r="M25" s="96">
        <v>20.668011583262253</v>
      </c>
      <c r="N25" s="96">
        <v>34.405104664978516</v>
      </c>
      <c r="O25" s="96">
        <v>33.607081454793757</v>
      </c>
      <c r="P25" s="96">
        <v>31.612356948371875</v>
      </c>
      <c r="Q25" s="96">
        <v>33.044992082557222</v>
      </c>
      <c r="R25" s="96">
        <v>30.808319246942727</v>
      </c>
      <c r="S25" s="96">
        <v>39.601020186198596</v>
      </c>
      <c r="T25" s="96">
        <v>43.745354488510124</v>
      </c>
      <c r="U25" s="96">
        <v>40.711966322122059</v>
      </c>
      <c r="V25" s="96">
        <v>52.862244536769886</v>
      </c>
      <c r="W25" s="96">
        <v>65.50049358251519</v>
      </c>
      <c r="DA25" s="171" t="s">
        <v>643</v>
      </c>
    </row>
    <row r="26" spans="1:105" ht="11.45" customHeight="1" x14ac:dyDescent="0.25">
      <c r="A26" s="111" t="s">
        <v>112</v>
      </c>
      <c r="B26" s="96">
        <v>119.8452278589854</v>
      </c>
      <c r="C26" s="96">
        <v>126.50326741186581</v>
      </c>
      <c r="D26" s="96">
        <v>152.0074471218397</v>
      </c>
      <c r="E26" s="96">
        <v>175.31041872508453</v>
      </c>
      <c r="F26" s="96">
        <v>211.92851174161513</v>
      </c>
      <c r="G26" s="96">
        <v>228.57443953798173</v>
      </c>
      <c r="H26" s="96">
        <v>234.12360748784238</v>
      </c>
      <c r="I26" s="96">
        <v>231.70535224997141</v>
      </c>
      <c r="J26" s="96">
        <v>205.09670461726509</v>
      </c>
      <c r="K26" s="96">
        <v>184.03166097005575</v>
      </c>
      <c r="L26" s="96">
        <v>174.05342304793496</v>
      </c>
      <c r="M26" s="96">
        <v>162.92384106005525</v>
      </c>
      <c r="N26" s="96">
        <v>152.94474095466373</v>
      </c>
      <c r="O26" s="96">
        <v>146.04597300178565</v>
      </c>
      <c r="P26" s="96">
        <v>142.00286521118397</v>
      </c>
      <c r="Q26" s="96">
        <v>132.26853853345065</v>
      </c>
      <c r="R26" s="96">
        <v>124.58141017620561</v>
      </c>
      <c r="S26" s="96">
        <v>115.32007660849203</v>
      </c>
      <c r="T26" s="96">
        <v>107.92029073303776</v>
      </c>
      <c r="U26" s="96">
        <v>103.53570265562134</v>
      </c>
      <c r="V26" s="96">
        <v>95.743759437999088</v>
      </c>
      <c r="W26" s="96">
        <v>91.306383350976972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5.138113866404192E-4</v>
      </c>
      <c r="O27" s="96">
        <v>2.1581995471365981E-3</v>
      </c>
      <c r="P27" s="96">
        <v>1.1753253661244229E-2</v>
      </c>
      <c r="Q27" s="96">
        <v>1.6448967893061103E-2</v>
      </c>
      <c r="R27" s="96">
        <v>2.3919347960568094E-2</v>
      </c>
      <c r="S27" s="96">
        <v>3.6826257230399062E-2</v>
      </c>
      <c r="T27" s="96">
        <v>4.9805058115635202E-2</v>
      </c>
      <c r="U27" s="96">
        <v>4.8818596134321955E-2</v>
      </c>
      <c r="V27" s="96">
        <v>7.796262619370764E-2</v>
      </c>
      <c r="W27" s="96">
        <v>0.10453099871506036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0.43356258489347965</v>
      </c>
      <c r="P29" s="96">
        <v>0.9913059115357381</v>
      </c>
      <c r="Q29" s="96">
        <v>1.3485475482083504</v>
      </c>
      <c r="R29" s="96">
        <v>2.2957049734923278</v>
      </c>
      <c r="S29" s="96">
        <v>3.5498398619884175</v>
      </c>
      <c r="T29" s="96">
        <v>6.186058677126443</v>
      </c>
      <c r="U29" s="96">
        <v>9.7293205747261204</v>
      </c>
      <c r="V29" s="96">
        <v>12.96262488533722</v>
      </c>
      <c r="W29" s="96">
        <v>11.505012945585168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9.4677283965539875E-3</v>
      </c>
      <c r="P30" s="96">
        <v>1.780185761701333E-2</v>
      </c>
      <c r="Q30" s="96">
        <v>3.954412882211774E-2</v>
      </c>
      <c r="R30" s="96">
        <v>4.2244889415891725E-2</v>
      </c>
      <c r="S30" s="96">
        <v>8.2513505671732712E-2</v>
      </c>
      <c r="T30" s="96">
        <v>0.12554917618417652</v>
      </c>
      <c r="U30" s="96">
        <v>0.22922779495747669</v>
      </c>
      <c r="V30" s="96">
        <v>0.47785836843867008</v>
      </c>
      <c r="W30" s="96">
        <v>0.43727518297968626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0.1162589893929328</v>
      </c>
      <c r="P31" s="96">
        <v>0.34350290613322187</v>
      </c>
      <c r="Q31" s="96">
        <v>0.49199254314179369</v>
      </c>
      <c r="R31" s="96">
        <v>0.84088504729611613</v>
      </c>
      <c r="S31" s="96">
        <v>1.3457597268615129</v>
      </c>
      <c r="T31" s="96">
        <v>2.4132127834031558</v>
      </c>
      <c r="U31" s="96">
        <v>3.7919158680295371</v>
      </c>
      <c r="V31" s="96">
        <v>5.2898567406548613</v>
      </c>
      <c r="W31" s="96">
        <v>4.7813809105679699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3.2599843483874902E-4</v>
      </c>
      <c r="N32" s="96">
        <v>3.2709271754105871E-4</v>
      </c>
      <c r="O32" s="96">
        <v>9.6334338914137328E-4</v>
      </c>
      <c r="P32" s="96">
        <v>1.0102253774096358E-2</v>
      </c>
      <c r="Q32" s="96">
        <v>2.4929381819324657E-2</v>
      </c>
      <c r="R32" s="96">
        <v>5.229000567835633E-2</v>
      </c>
      <c r="S32" s="96">
        <v>0.10249742771395798</v>
      </c>
      <c r="T32" s="96">
        <v>0.166622307356809</v>
      </c>
      <c r="U32" s="96">
        <v>0.2463110929008045</v>
      </c>
      <c r="V32" s="96">
        <v>0.34592614203276922</v>
      </c>
      <c r="W32" s="96">
        <v>0.87815715598964916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58.997605229344238</v>
      </c>
      <c r="C33" s="130">
        <f t="shared" si="21"/>
        <v>56.862265584114574</v>
      </c>
      <c r="D33" s="130">
        <f t="shared" si="21"/>
        <v>58.29998114561846</v>
      </c>
      <c r="E33" s="130">
        <f t="shared" si="21"/>
        <v>58.18364498666763</v>
      </c>
      <c r="F33" s="130">
        <f t="shared" si="21"/>
        <v>62.083427096761007</v>
      </c>
      <c r="G33" s="130">
        <f t="shared" si="21"/>
        <v>60.442238468716532</v>
      </c>
      <c r="H33" s="130">
        <f t="shared" si="21"/>
        <v>58.458721349445064</v>
      </c>
      <c r="I33" s="130">
        <f t="shared" si="21"/>
        <v>55.461022193439604</v>
      </c>
      <c r="J33" s="130">
        <f t="shared" si="21"/>
        <v>52.22724956024237</v>
      </c>
      <c r="K33" s="130">
        <f t="shared" si="21"/>
        <v>51.706599088322584</v>
      </c>
      <c r="L33" s="130">
        <f t="shared" ref="L33" si="22">L34+L36+L38+L39+L41</f>
        <v>50.393071464312158</v>
      </c>
      <c r="M33" s="130">
        <f t="shared" ref="M33:V33" si="23">M34+M36+M38+M39+M41</f>
        <v>51.446354094048921</v>
      </c>
      <c r="N33" s="130">
        <f t="shared" si="23"/>
        <v>50.645043894948273</v>
      </c>
      <c r="O33" s="130">
        <f t="shared" si="23"/>
        <v>51.028561189227005</v>
      </c>
      <c r="P33" s="130">
        <f t="shared" si="23"/>
        <v>52.799016769705965</v>
      </c>
      <c r="Q33" s="130">
        <f t="shared" si="23"/>
        <v>55.296202325117314</v>
      </c>
      <c r="R33" s="130">
        <f t="shared" si="23"/>
        <v>53.474891672135719</v>
      </c>
      <c r="S33" s="130">
        <f t="shared" si="23"/>
        <v>55.167625966955832</v>
      </c>
      <c r="T33" s="130">
        <f t="shared" si="23"/>
        <v>56.926099480023197</v>
      </c>
      <c r="U33" s="130">
        <f t="shared" si="23"/>
        <v>64.04154693824286</v>
      </c>
      <c r="V33" s="130">
        <f t="shared" si="23"/>
        <v>47.693287461144095</v>
      </c>
      <c r="W33" s="130">
        <f t="shared" ref="W33" si="24">W34+W36+W38+W39+W41</f>
        <v>46.103640508960332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6.3833204966333656E-2</v>
      </c>
      <c r="E34" s="97">
        <v>9.7002720616586852E-2</v>
      </c>
      <c r="F34" s="97">
        <v>9.3623721716552116E-2</v>
      </c>
      <c r="G34" s="97">
        <v>9.1819454178757531E-2</v>
      </c>
      <c r="H34" s="97">
        <v>9.3248263448382468E-2</v>
      </c>
      <c r="I34" s="97">
        <v>7.7937401848354043E-2</v>
      </c>
      <c r="J34" s="97">
        <v>5.1851102991891038E-2</v>
      </c>
      <c r="K34" s="97">
        <v>4.5992586280520269E-2</v>
      </c>
      <c r="L34" s="97">
        <v>4.4347125755441433E-2</v>
      </c>
      <c r="M34" s="97">
        <v>3.068968195080099E-2</v>
      </c>
      <c r="N34" s="97">
        <v>2.7608519874941395E-2</v>
      </c>
      <c r="O34" s="97">
        <v>0.35228771417966698</v>
      </c>
      <c r="P34" s="97">
        <v>0.20972851859968331</v>
      </c>
      <c r="Q34" s="97">
        <v>0.18971580802058155</v>
      </c>
      <c r="R34" s="97">
        <v>0.19539599333315891</v>
      </c>
      <c r="S34" s="97">
        <v>0.19609258643174346</v>
      </c>
      <c r="T34" s="97">
        <v>0.18651197670915107</v>
      </c>
      <c r="U34" s="97">
        <v>0.17264137486461684</v>
      </c>
      <c r="V34" s="97">
        <v>0.12179526696469767</v>
      </c>
      <c r="W34" s="97">
        <v>0.11328409891891722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1.6857574407684773E-4</v>
      </c>
      <c r="H35" s="97">
        <v>1.2876259732235429E-3</v>
      </c>
      <c r="I35" s="97">
        <v>1.9858379359853694E-3</v>
      </c>
      <c r="J35" s="97">
        <v>1.7714618944578864E-3</v>
      </c>
      <c r="K35" s="97">
        <v>1.6370272170394757E-3</v>
      </c>
      <c r="L35" s="97">
        <v>1.4921886601601785E-3</v>
      </c>
      <c r="M35" s="97">
        <v>1.1098211472490038E-3</v>
      </c>
      <c r="N35" s="97">
        <v>9.6658073460691109E-4</v>
      </c>
      <c r="O35" s="97">
        <v>1.0511587144275455E-2</v>
      </c>
      <c r="P35" s="97">
        <v>5.763414487431757E-3</v>
      </c>
      <c r="Q35" s="97">
        <v>8.7585109042414566E-3</v>
      </c>
      <c r="R35" s="97">
        <v>5.673885806781514E-3</v>
      </c>
      <c r="S35" s="97">
        <v>7.3410610099204849E-3</v>
      </c>
      <c r="T35" s="97">
        <v>6.206568114343892E-3</v>
      </c>
      <c r="U35" s="97">
        <v>6.6652356767947698E-3</v>
      </c>
      <c r="V35" s="97">
        <v>7.5853833268295793E-3</v>
      </c>
      <c r="W35" s="97">
        <v>7.3674949529464687E-3</v>
      </c>
      <c r="DA35" s="175" t="s">
        <v>652</v>
      </c>
    </row>
    <row r="36" spans="1:105" ht="11.45" customHeight="1" x14ac:dyDescent="0.25">
      <c r="A36" s="111" t="s">
        <v>111</v>
      </c>
      <c r="B36" s="97">
        <v>58.997605229344238</v>
      </c>
      <c r="C36" s="97">
        <v>56.862265584114574</v>
      </c>
      <c r="D36" s="97">
        <v>58.217713721133315</v>
      </c>
      <c r="E36" s="97">
        <v>58.067912237911194</v>
      </c>
      <c r="F36" s="97">
        <v>61.771042753793346</v>
      </c>
      <c r="G36" s="97">
        <v>59.641362883730352</v>
      </c>
      <c r="H36" s="97">
        <v>57.164077260916777</v>
      </c>
      <c r="I36" s="97">
        <v>53.819918625016761</v>
      </c>
      <c r="J36" s="97">
        <v>50.569003374397305</v>
      </c>
      <c r="K36" s="97">
        <v>48.669890271985075</v>
      </c>
      <c r="L36" s="97">
        <v>46.356527470514493</v>
      </c>
      <c r="M36" s="97">
        <v>46.610922967748913</v>
      </c>
      <c r="N36" s="97">
        <v>46.159951764101287</v>
      </c>
      <c r="O36" s="97">
        <v>39.879750963759463</v>
      </c>
      <c r="P36" s="97">
        <v>40.427363919023605</v>
      </c>
      <c r="Q36" s="97">
        <v>39.53826787699338</v>
      </c>
      <c r="R36" s="97">
        <v>37.98165904981547</v>
      </c>
      <c r="S36" s="97">
        <v>39.332549815861064</v>
      </c>
      <c r="T36" s="97">
        <v>40.944915661064371</v>
      </c>
      <c r="U36" s="97">
        <v>46.90394303200992</v>
      </c>
      <c r="V36" s="97">
        <v>32.502027134655307</v>
      </c>
      <c r="W36" s="97">
        <v>28.484601710694207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8.5775137319396552E-2</v>
      </c>
      <c r="G37" s="97">
        <v>0.22538481481740025</v>
      </c>
      <c r="H37" s="97">
        <v>1.0452012863467781</v>
      </c>
      <c r="I37" s="97">
        <v>2.3034735650512985</v>
      </c>
      <c r="J37" s="97">
        <v>2.3344592131878801</v>
      </c>
      <c r="K37" s="97">
        <v>2.2904397237593077</v>
      </c>
      <c r="L37" s="97">
        <v>1.7401713473927098</v>
      </c>
      <c r="M37" s="97">
        <v>1.7197114485685918</v>
      </c>
      <c r="N37" s="97">
        <v>2.2542228605262933</v>
      </c>
      <c r="O37" s="97">
        <v>1.8899726550633169</v>
      </c>
      <c r="P37" s="97">
        <v>1.8290292470672145</v>
      </c>
      <c r="Q37" s="97">
        <v>1.7023002505329918</v>
      </c>
      <c r="R37" s="97">
        <v>1.2969449622763773</v>
      </c>
      <c r="S37" s="97">
        <v>1.5928786565692759</v>
      </c>
      <c r="T37" s="97">
        <v>1.7074051630101696</v>
      </c>
      <c r="U37" s="97">
        <v>1.7585091797034726</v>
      </c>
      <c r="V37" s="97">
        <v>1.6374199792294226</v>
      </c>
      <c r="W37" s="97">
        <v>1.7744839637104168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1.8434219518806992E-2</v>
      </c>
      <c r="E38" s="97">
        <v>1.8730028139846547E-2</v>
      </c>
      <c r="F38" s="97">
        <v>1.9983529236069674E-2</v>
      </c>
      <c r="G38" s="97">
        <v>1.9197607332074526E-2</v>
      </c>
      <c r="H38" s="97">
        <v>1.8438943799932602E-2</v>
      </c>
      <c r="I38" s="97">
        <v>1.769160213517779E-2</v>
      </c>
      <c r="J38" s="97">
        <v>1.6966921857908105E-2</v>
      </c>
      <c r="K38" s="97">
        <v>1.631839365873081E-2</v>
      </c>
      <c r="L38" s="97">
        <v>1.6052446476052348E-2</v>
      </c>
      <c r="M38" s="97">
        <v>5.8360143728037508E-2</v>
      </c>
      <c r="N38" s="97">
        <v>5.8956379816055601E-2</v>
      </c>
      <c r="O38" s="97">
        <v>0.30544574284034248</v>
      </c>
      <c r="P38" s="97">
        <v>1.0223282539923322</v>
      </c>
      <c r="Q38" s="97">
        <v>1.0433273306937563</v>
      </c>
      <c r="R38" s="97">
        <v>1.0813585254280889</v>
      </c>
      <c r="S38" s="97">
        <v>1.1563636322646651</v>
      </c>
      <c r="T38" s="97">
        <v>1.2424779685959377</v>
      </c>
      <c r="U38" s="97">
        <v>1.5839878000966658</v>
      </c>
      <c r="V38" s="97">
        <v>1.1558966239097519</v>
      </c>
      <c r="W38" s="97">
        <v>1.1091798476472585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1.3542562338779021</v>
      </c>
      <c r="L39" s="97">
        <v>2.407566638005159</v>
      </c>
      <c r="M39" s="97">
        <v>3.202923473774721</v>
      </c>
      <c r="N39" s="97">
        <v>2.8799677019409606</v>
      </c>
      <c r="O39" s="97">
        <v>3.9961221099971453</v>
      </c>
      <c r="P39" s="97">
        <v>4.6314109767772758</v>
      </c>
      <c r="Q39" s="97">
        <v>7.6576696907483823</v>
      </c>
      <c r="R39" s="97">
        <v>7.7361838334667734</v>
      </c>
      <c r="S39" s="97">
        <v>7.7878513008091534</v>
      </c>
      <c r="T39" s="97">
        <v>7.6672198773959721</v>
      </c>
      <c r="U39" s="97">
        <v>7.4105107245879482</v>
      </c>
      <c r="V39" s="97">
        <v>8.3054423609086125</v>
      </c>
      <c r="W39" s="97">
        <v>9.91266590584212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0.19877709201503291</v>
      </c>
      <c r="G41" s="97">
        <v>0.68985852347535415</v>
      </c>
      <c r="H41" s="97">
        <v>1.1829568812799716</v>
      </c>
      <c r="I41" s="97">
        <v>1.5454745644393109</v>
      </c>
      <c r="J41" s="97">
        <v>1.5894281609952676</v>
      </c>
      <c r="K41" s="97">
        <v>1.6201416025203588</v>
      </c>
      <c r="L41" s="97">
        <v>1.568577783561012</v>
      </c>
      <c r="M41" s="97">
        <v>1.5434578268464418</v>
      </c>
      <c r="N41" s="97">
        <v>1.5185595292150302</v>
      </c>
      <c r="O41" s="97">
        <v>6.4949546584503866</v>
      </c>
      <c r="P41" s="97">
        <v>6.5081851013130656</v>
      </c>
      <c r="Q41" s="97">
        <v>6.8672216186612101</v>
      </c>
      <c r="R41" s="97">
        <v>6.4802942700922301</v>
      </c>
      <c r="S41" s="97">
        <v>6.6947686315892057</v>
      </c>
      <c r="T41" s="97">
        <v>6.884973996257771</v>
      </c>
      <c r="U41" s="97">
        <v>7.9704640066837094</v>
      </c>
      <c r="V41" s="97">
        <v>5.608126074705722</v>
      </c>
      <c r="W41" s="97">
        <v>6.4839089458578254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215.08768966321873</v>
      </c>
      <c r="C42" s="32">
        <f t="shared" si="25"/>
        <v>280.22407275278198</v>
      </c>
      <c r="D42" s="32">
        <f t="shared" si="25"/>
        <v>283.35066463828991</v>
      </c>
      <c r="E42" s="32">
        <f t="shared" si="25"/>
        <v>236.63124351255084</v>
      </c>
      <c r="F42" s="32">
        <f t="shared" si="25"/>
        <v>280.79500874718093</v>
      </c>
      <c r="G42" s="32">
        <f t="shared" si="25"/>
        <v>263.71760971707141</v>
      </c>
      <c r="H42" s="32">
        <f t="shared" si="25"/>
        <v>256.99174099301609</v>
      </c>
      <c r="I42" s="32">
        <f t="shared" si="25"/>
        <v>406.56307106471314</v>
      </c>
      <c r="J42" s="32">
        <f t="shared" si="25"/>
        <v>428.47265745671177</v>
      </c>
      <c r="K42" s="32">
        <f t="shared" si="25"/>
        <v>248.10823104791339</v>
      </c>
      <c r="L42" s="32">
        <f t="shared" ref="L42" si="26">L43+L52</f>
        <v>294.83550149722407</v>
      </c>
      <c r="M42" s="32">
        <f t="shared" ref="M42:V42" si="27">M43+M52</f>
        <v>355.03107519770322</v>
      </c>
      <c r="N42" s="32">
        <f t="shared" si="27"/>
        <v>265.84363041608111</v>
      </c>
      <c r="O42" s="32">
        <f t="shared" si="27"/>
        <v>297.97541908954418</v>
      </c>
      <c r="P42" s="32">
        <f t="shared" si="27"/>
        <v>474.27506684136802</v>
      </c>
      <c r="Q42" s="32">
        <f t="shared" si="27"/>
        <v>508.57012819643933</v>
      </c>
      <c r="R42" s="32">
        <f t="shared" si="27"/>
        <v>484.97545276123537</v>
      </c>
      <c r="S42" s="32">
        <f t="shared" si="27"/>
        <v>505.3305087348794</v>
      </c>
      <c r="T42" s="32">
        <f t="shared" si="27"/>
        <v>541.10202497355533</v>
      </c>
      <c r="U42" s="32">
        <f t="shared" si="27"/>
        <v>566.28540511989877</v>
      </c>
      <c r="V42" s="32">
        <f t="shared" si="27"/>
        <v>602.18090873392873</v>
      </c>
      <c r="W42" s="32">
        <f t="shared" ref="W42" si="28">W43+W52</f>
        <v>623.97725958171793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33.329073206796515</v>
      </c>
      <c r="C43" s="141">
        <f t="shared" si="29"/>
        <v>33.307928499178935</v>
      </c>
      <c r="D43" s="141">
        <f t="shared" si="29"/>
        <v>33.479870456694172</v>
      </c>
      <c r="E43" s="141">
        <f t="shared" si="29"/>
        <v>34.253063320225095</v>
      </c>
      <c r="F43" s="141">
        <f t="shared" si="29"/>
        <v>36.181846935089467</v>
      </c>
      <c r="G43" s="141">
        <f t="shared" si="29"/>
        <v>37.998559783774382</v>
      </c>
      <c r="H43" s="141">
        <f t="shared" si="29"/>
        <v>45.498344282320261</v>
      </c>
      <c r="I43" s="141">
        <f t="shared" si="29"/>
        <v>52.943060055276831</v>
      </c>
      <c r="J43" s="141">
        <f t="shared" si="29"/>
        <v>54.245393585408024</v>
      </c>
      <c r="K43" s="141">
        <f t="shared" si="29"/>
        <v>56.188124188965467</v>
      </c>
      <c r="L43" s="141">
        <f t="shared" ref="L43" si="30">L44+L46+L48+L49+L51</f>
        <v>52.845944272707492</v>
      </c>
      <c r="M43" s="141">
        <f t="shared" ref="M43:V43" si="31">M44+M46+M48+M49+M51</f>
        <v>58.114090936835076</v>
      </c>
      <c r="N43" s="141">
        <f t="shared" si="31"/>
        <v>63.571869829566594</v>
      </c>
      <c r="O43" s="141">
        <f t="shared" si="31"/>
        <v>66.200909321757692</v>
      </c>
      <c r="P43" s="141">
        <f t="shared" si="31"/>
        <v>74.497723330235402</v>
      </c>
      <c r="Q43" s="141">
        <f t="shared" si="31"/>
        <v>78.032208134088108</v>
      </c>
      <c r="R43" s="141">
        <f t="shared" si="31"/>
        <v>82.919897571423036</v>
      </c>
      <c r="S43" s="141">
        <f t="shared" si="31"/>
        <v>84.828311325390516</v>
      </c>
      <c r="T43" s="141">
        <f t="shared" si="31"/>
        <v>86.471642777888619</v>
      </c>
      <c r="U43" s="141">
        <f t="shared" si="31"/>
        <v>90.167842642935682</v>
      </c>
      <c r="V43" s="141">
        <f t="shared" si="31"/>
        <v>93.538662192645134</v>
      </c>
      <c r="W43" s="141">
        <f t="shared" ref="W43" si="32">W44+W46+W48+W49+W51</f>
        <v>96.73304223014658</v>
      </c>
      <c r="DA43" s="174" t="s">
        <v>399</v>
      </c>
    </row>
    <row r="44" spans="1:105" ht="11.45" customHeight="1" x14ac:dyDescent="0.25">
      <c r="A44" s="111" t="s">
        <v>110</v>
      </c>
      <c r="B44" s="96">
        <v>4.6067959165324224</v>
      </c>
      <c r="C44" s="96">
        <v>4.4213185171912839</v>
      </c>
      <c r="D44" s="96">
        <v>4.271234796518784</v>
      </c>
      <c r="E44" s="96">
        <v>4.1477090813337814</v>
      </c>
      <c r="F44" s="96">
        <v>4.0502934632458123</v>
      </c>
      <c r="G44" s="96">
        <v>4.0536957003315264</v>
      </c>
      <c r="H44" s="96">
        <v>5.0817033735646815</v>
      </c>
      <c r="I44" s="96">
        <v>5.8290111147536443</v>
      </c>
      <c r="J44" s="96">
        <v>5.3647020176094449</v>
      </c>
      <c r="K44" s="96">
        <v>4.8570356055973942</v>
      </c>
      <c r="L44" s="96">
        <v>4.2943310585245635</v>
      </c>
      <c r="M44" s="96">
        <v>3.7246862787219146</v>
      </c>
      <c r="N44" s="96">
        <v>3.1310006810920772</v>
      </c>
      <c r="O44" s="96">
        <v>2.7374710546008938</v>
      </c>
      <c r="P44" s="96">
        <v>2.375621027557397</v>
      </c>
      <c r="Q44" s="96">
        <v>1.9695074562359094</v>
      </c>
      <c r="R44" s="96">
        <v>1.7680698419582392</v>
      </c>
      <c r="S44" s="96">
        <v>1.5476038349185932</v>
      </c>
      <c r="T44" s="96">
        <v>1.3891945833066937</v>
      </c>
      <c r="U44" s="96">
        <v>1.9454601377758434</v>
      </c>
      <c r="V44" s="96">
        <v>1.731753443552474</v>
      </c>
      <c r="W44" s="96">
        <v>1.5871505071655114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7.4423745496692345E-3</v>
      </c>
      <c r="H45" s="96">
        <v>7.0171100351285834E-2</v>
      </c>
      <c r="I45" s="96">
        <v>0.14852267494727392</v>
      </c>
      <c r="J45" s="96">
        <v>0.18328183299789588</v>
      </c>
      <c r="K45" s="96">
        <v>0.17287785105184136</v>
      </c>
      <c r="L45" s="96">
        <v>0.14449531958038447</v>
      </c>
      <c r="M45" s="96">
        <v>0.13469463794446032</v>
      </c>
      <c r="N45" s="96">
        <v>0.10961706574974958</v>
      </c>
      <c r="O45" s="96">
        <v>8.1680865914879955E-2</v>
      </c>
      <c r="P45" s="96">
        <v>6.5282913064415707E-2</v>
      </c>
      <c r="Q45" s="96">
        <v>9.0925225005792268E-2</v>
      </c>
      <c r="R45" s="96">
        <v>5.1341003520888863E-2</v>
      </c>
      <c r="S45" s="96">
        <v>5.7937193741278412E-2</v>
      </c>
      <c r="T45" s="96">
        <v>4.6228295670341986E-2</v>
      </c>
      <c r="U45" s="96">
        <v>7.5109169677628762E-2</v>
      </c>
      <c r="V45" s="96">
        <v>0.10785323620752943</v>
      </c>
      <c r="W45" s="96">
        <v>0.10322122400847974</v>
      </c>
      <c r="DA45" s="171" t="s">
        <v>660</v>
      </c>
    </row>
    <row r="46" spans="1:105" ht="11.45" customHeight="1" x14ac:dyDescent="0.25">
      <c r="A46" s="111" t="s">
        <v>111</v>
      </c>
      <c r="B46" s="96">
        <v>28.722277290264092</v>
      </c>
      <c r="C46" s="96">
        <v>28.88660998198765</v>
      </c>
      <c r="D46" s="96">
        <v>29.208635660175386</v>
      </c>
      <c r="E46" s="96">
        <v>30.105354238891316</v>
      </c>
      <c r="F46" s="96">
        <v>32.131553471843652</v>
      </c>
      <c r="G46" s="96">
        <v>33.944864083442859</v>
      </c>
      <c r="H46" s="96">
        <v>40.416640908755582</v>
      </c>
      <c r="I46" s="96">
        <v>47.11404894052319</v>
      </c>
      <c r="J46" s="96">
        <v>48.880691567798578</v>
      </c>
      <c r="K46" s="96">
        <v>51.331088583368071</v>
      </c>
      <c r="L46" s="96">
        <v>48.551613214182929</v>
      </c>
      <c r="M46" s="96">
        <v>54.389404658113165</v>
      </c>
      <c r="N46" s="96">
        <v>60.440869148474519</v>
      </c>
      <c r="O46" s="96">
        <v>63.463438267156796</v>
      </c>
      <c r="P46" s="96">
        <v>72.122102302678002</v>
      </c>
      <c r="Q46" s="96">
        <v>76.062700677852206</v>
      </c>
      <c r="R46" s="96">
        <v>81.151827729464799</v>
      </c>
      <c r="S46" s="96">
        <v>83.280707490471926</v>
      </c>
      <c r="T46" s="96">
        <v>85.082448194581929</v>
      </c>
      <c r="U46" s="96">
        <v>88.222382505159842</v>
      </c>
      <c r="V46" s="96">
        <v>91.806908749092656</v>
      </c>
      <c r="W46" s="96">
        <v>95.145891722981062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4.4617806150984415E-2</v>
      </c>
      <c r="G47" s="96">
        <v>0.12827770083596837</v>
      </c>
      <c r="H47" s="96">
        <v>0.73898726423647132</v>
      </c>
      <c r="I47" s="96">
        <v>2.0164647039541017</v>
      </c>
      <c r="J47" s="96">
        <v>2.256520262671728</v>
      </c>
      <c r="K47" s="96">
        <v>2.4156776129579476</v>
      </c>
      <c r="L47" s="96">
        <v>1.8225723710377977</v>
      </c>
      <c r="M47" s="96">
        <v>2.0066987717901514</v>
      </c>
      <c r="N47" s="96">
        <v>2.9516319609876498</v>
      </c>
      <c r="O47" s="96">
        <v>3.0076457355569732</v>
      </c>
      <c r="P47" s="96">
        <v>3.2629739286438677</v>
      </c>
      <c r="Q47" s="96">
        <v>3.2748413466910327</v>
      </c>
      <c r="R47" s="96">
        <v>2.7710599480451381</v>
      </c>
      <c r="S47" s="96">
        <v>3.372678915722557</v>
      </c>
      <c r="T47" s="96">
        <v>3.5479426195794033</v>
      </c>
      <c r="U47" s="96">
        <v>3.3076082619484328</v>
      </c>
      <c r="V47" s="96">
        <v>4.6251412563978542</v>
      </c>
      <c r="W47" s="96">
        <v>5.9272325725365693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0</v>
      </c>
      <c r="P51" s="96">
        <v>0</v>
      </c>
      <c r="Q51" s="96">
        <v>0</v>
      </c>
      <c r="R51" s="96">
        <v>0</v>
      </c>
      <c r="S51" s="96">
        <v>0</v>
      </c>
      <c r="T51" s="96">
        <v>0</v>
      </c>
      <c r="U51" s="96">
        <v>0</v>
      </c>
      <c r="V51" s="96">
        <v>0</v>
      </c>
      <c r="W51" s="96">
        <v>0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181.7586164564222</v>
      </c>
      <c r="C52" s="130">
        <f t="shared" si="33"/>
        <v>246.91614425360305</v>
      </c>
      <c r="D52" s="130">
        <f t="shared" si="33"/>
        <v>249.87079418159573</v>
      </c>
      <c r="E52" s="130">
        <f t="shared" si="33"/>
        <v>202.37818019232574</v>
      </c>
      <c r="F52" s="130">
        <f t="shared" si="33"/>
        <v>244.61316181209145</v>
      </c>
      <c r="G52" s="130">
        <f t="shared" si="33"/>
        <v>225.71904993329701</v>
      </c>
      <c r="H52" s="130">
        <f t="shared" si="33"/>
        <v>211.49339671069583</v>
      </c>
      <c r="I52" s="130">
        <f t="shared" si="33"/>
        <v>353.62001100943633</v>
      </c>
      <c r="J52" s="130">
        <f t="shared" si="33"/>
        <v>374.22726387130376</v>
      </c>
      <c r="K52" s="130">
        <f t="shared" si="33"/>
        <v>191.92010685894792</v>
      </c>
      <c r="L52" s="130">
        <f t="shared" ref="L52" si="34">L53+L55</f>
        <v>241.98955722451657</v>
      </c>
      <c r="M52" s="130">
        <f t="shared" ref="M52:V52" si="35">M53+M55</f>
        <v>296.91698426086816</v>
      </c>
      <c r="N52" s="130">
        <f t="shared" si="35"/>
        <v>202.27176058651452</v>
      </c>
      <c r="O52" s="130">
        <f t="shared" si="35"/>
        <v>231.77450976778647</v>
      </c>
      <c r="P52" s="130">
        <f t="shared" si="35"/>
        <v>399.77734351113264</v>
      </c>
      <c r="Q52" s="130">
        <f t="shared" si="35"/>
        <v>430.53792006235125</v>
      </c>
      <c r="R52" s="130">
        <f t="shared" si="35"/>
        <v>402.05555518981237</v>
      </c>
      <c r="S52" s="130">
        <f t="shared" si="35"/>
        <v>420.50219740948887</v>
      </c>
      <c r="T52" s="130">
        <f t="shared" si="35"/>
        <v>454.63038219566675</v>
      </c>
      <c r="U52" s="130">
        <f t="shared" si="35"/>
        <v>476.11756247696309</v>
      </c>
      <c r="V52" s="130">
        <f t="shared" si="35"/>
        <v>508.64224654128361</v>
      </c>
      <c r="W52" s="130">
        <f t="shared" ref="W52" si="36">W53+W55</f>
        <v>527.24421735157136</v>
      </c>
      <c r="DA52" s="176" t="s">
        <v>400</v>
      </c>
    </row>
    <row r="53" spans="1:105" ht="11.45" customHeight="1" x14ac:dyDescent="0.25">
      <c r="A53" s="128" t="s">
        <v>27</v>
      </c>
      <c r="B53" s="97">
        <v>110.93295408712279</v>
      </c>
      <c r="C53" s="97">
        <v>126.64647077961709</v>
      </c>
      <c r="D53" s="97">
        <v>126.07676397932623</v>
      </c>
      <c r="E53" s="97">
        <v>134.1321177548424</v>
      </c>
      <c r="F53" s="97">
        <v>141.29693314004422</v>
      </c>
      <c r="G53" s="97">
        <v>126.44092583220254</v>
      </c>
      <c r="H53" s="97">
        <v>120.85371260690395</v>
      </c>
      <c r="I53" s="97">
        <v>164.12738766752494</v>
      </c>
      <c r="J53" s="97">
        <v>157.9643842526385</v>
      </c>
      <c r="K53" s="97">
        <v>115.9998037948219</v>
      </c>
      <c r="L53" s="97">
        <v>112.52551877474914</v>
      </c>
      <c r="M53" s="97">
        <v>123.43416138948818</v>
      </c>
      <c r="N53" s="97">
        <v>106.6041600988771</v>
      </c>
      <c r="O53" s="97">
        <v>115.89826304927568</v>
      </c>
      <c r="P53" s="97">
        <v>161.78218128045427</v>
      </c>
      <c r="Q53" s="97">
        <v>160.03103289426025</v>
      </c>
      <c r="R53" s="97">
        <v>154.53452894894079</v>
      </c>
      <c r="S53" s="97">
        <v>161.85586260918458</v>
      </c>
      <c r="T53" s="97">
        <v>178.20371916001454</v>
      </c>
      <c r="U53" s="97">
        <v>188.58652685435084</v>
      </c>
      <c r="V53" s="97">
        <v>194.47497719834834</v>
      </c>
      <c r="W53" s="97">
        <v>191.1807065332732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0.19620461793406621</v>
      </c>
      <c r="G54" s="97">
        <v>0.47782048021920026</v>
      </c>
      <c r="H54" s="97">
        <v>2.2097173947191955</v>
      </c>
      <c r="I54" s="97">
        <v>7.024594396494269</v>
      </c>
      <c r="J54" s="97">
        <v>7.2922420369633656</v>
      </c>
      <c r="K54" s="97">
        <v>5.45903344090505</v>
      </c>
      <c r="L54" s="97">
        <v>4.2240800661108242</v>
      </c>
      <c r="M54" s="97">
        <v>4.5541072128702744</v>
      </c>
      <c r="N54" s="97">
        <v>5.2060178907938823</v>
      </c>
      <c r="O54" s="97">
        <v>5.4926257722000846</v>
      </c>
      <c r="P54" s="97">
        <v>7.3194072660532665</v>
      </c>
      <c r="Q54" s="97">
        <v>6.8900556857087221</v>
      </c>
      <c r="R54" s="97">
        <v>5.2768305501140471</v>
      </c>
      <c r="S54" s="97">
        <v>6.5547936810039502</v>
      </c>
      <c r="T54" s="97">
        <v>7.4311045766973631</v>
      </c>
      <c r="U54" s="97">
        <v>7.0704319765919834</v>
      </c>
      <c r="V54" s="97">
        <v>9.7974569956969884</v>
      </c>
      <c r="W54" s="97">
        <v>11.90984172289669</v>
      </c>
      <c r="DA54" s="175" t="s">
        <v>668</v>
      </c>
    </row>
    <row r="55" spans="1:105" ht="11.45" customHeight="1" x14ac:dyDescent="0.25">
      <c r="A55" s="128" t="s">
        <v>116</v>
      </c>
      <c r="B55" s="97">
        <v>70.825662369299408</v>
      </c>
      <c r="C55" s="97">
        <v>120.26967347398596</v>
      </c>
      <c r="D55" s="97">
        <v>123.7940302022695</v>
      </c>
      <c r="E55" s="97">
        <v>68.246062437483346</v>
      </c>
      <c r="F55" s="97">
        <v>103.31622867204723</v>
      </c>
      <c r="G55" s="97">
        <v>99.278124101094477</v>
      </c>
      <c r="H55" s="97">
        <v>90.639684103791879</v>
      </c>
      <c r="I55" s="97">
        <v>189.49262334191138</v>
      </c>
      <c r="J55" s="97">
        <v>216.26287961866529</v>
      </c>
      <c r="K55" s="97">
        <v>75.920303064126031</v>
      </c>
      <c r="L55" s="97">
        <v>129.46403844976743</v>
      </c>
      <c r="M55" s="97">
        <v>173.48282287137997</v>
      </c>
      <c r="N55" s="97">
        <v>95.667600487637415</v>
      </c>
      <c r="O55" s="97">
        <v>115.8762467185108</v>
      </c>
      <c r="P55" s="97">
        <v>237.99516223067837</v>
      </c>
      <c r="Q55" s="97">
        <v>270.506887168091</v>
      </c>
      <c r="R55" s="97">
        <v>247.52102624087161</v>
      </c>
      <c r="S55" s="97">
        <v>258.64633480030426</v>
      </c>
      <c r="T55" s="97">
        <v>276.42666303565221</v>
      </c>
      <c r="U55" s="97">
        <v>287.53103562261225</v>
      </c>
      <c r="V55" s="97">
        <v>314.16726934293524</v>
      </c>
      <c r="W55" s="97">
        <v>336.06351081829814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0.14346469327042102</v>
      </c>
      <c r="G56" s="98">
        <v>0.37517220489352648</v>
      </c>
      <c r="H56" s="98">
        <v>1.6572770690749989</v>
      </c>
      <c r="I56" s="98">
        <v>8.1102175512659365</v>
      </c>
      <c r="J56" s="98">
        <v>9.9835242561244542</v>
      </c>
      <c r="K56" s="98">
        <v>3.572863571422789</v>
      </c>
      <c r="L56" s="98">
        <v>4.8599328405547819</v>
      </c>
      <c r="M56" s="98">
        <v>6.4006541305422608</v>
      </c>
      <c r="N56" s="98">
        <v>4.6719306192742831</v>
      </c>
      <c r="O56" s="98">
        <v>5.4915823789464904</v>
      </c>
      <c r="P56" s="98">
        <v>10.767462188539612</v>
      </c>
      <c r="Q56" s="98">
        <v>11.646538063572793</v>
      </c>
      <c r="R56" s="98">
        <v>8.4520043639888609</v>
      </c>
      <c r="S56" s="98">
        <v>10.474587287934675</v>
      </c>
      <c r="T56" s="98">
        <v>11.527006565788485</v>
      </c>
      <c r="U56" s="98">
        <v>10.780031121198959</v>
      </c>
      <c r="V56" s="98">
        <v>15.827436286076102</v>
      </c>
      <c r="W56" s="98">
        <v>20.935497599441728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9.3829458138892452</v>
      </c>
      <c r="C60" s="79">
        <f>IF(C17=0,0,C17/TrRoad_act!C30*100)</f>
        <v>10.122323629488426</v>
      </c>
      <c r="D60" s="79">
        <f>IF(D17=0,0,D17/TrRoad_act!D30*100)</f>
        <v>9.81798625719364</v>
      </c>
      <c r="E60" s="79">
        <f>IF(E17=0,0,E17/TrRoad_act!E30*100)</f>
        <v>8.8351110248753297</v>
      </c>
      <c r="F60" s="79">
        <f>IF(F17=0,0,F17/TrRoad_act!F30*100)</f>
        <v>8.8696833628741079</v>
      </c>
      <c r="G60" s="79">
        <f>IF(G17=0,0,G17/TrRoad_act!G30*100)</f>
        <v>8.4422636980708461</v>
      </c>
      <c r="H60" s="79">
        <f>IF(H17=0,0,H17/TrRoad_act!H30*100)</f>
        <v>7.9617451643945802</v>
      </c>
      <c r="I60" s="79">
        <f>IF(I17=0,0,I17/TrRoad_act!I30*100)</f>
        <v>8.7449112696909062</v>
      </c>
      <c r="J60" s="79">
        <f>IF(J17=0,0,J17/TrRoad_act!J30*100)</f>
        <v>8.8523688112469436</v>
      </c>
      <c r="K60" s="79">
        <f>IF(K17=0,0,K17/TrRoad_act!K30*100)</f>
        <v>7.6807728357307532</v>
      </c>
      <c r="L60" s="79">
        <f>IF(L17=0,0,L17/TrRoad_act!L30*100)</f>
        <v>7.857287732937837</v>
      </c>
      <c r="M60" s="79">
        <f>IF(M17=0,0,M17/TrRoad_act!M30*100)</f>
        <v>8.3637668575587973</v>
      </c>
      <c r="N60" s="79">
        <f>IF(N17=0,0,N17/TrRoad_act!N30*100)</f>
        <v>7.3496579010451226</v>
      </c>
      <c r="O60" s="79">
        <f>IF(O17=0,0,O17/TrRoad_act!O30*100)</f>
        <v>7.5007408551270665</v>
      </c>
      <c r="P60" s="79">
        <f>IF(P17=0,0,P17/TrRoad_act!P30*100)</f>
        <v>8.7098429743626244</v>
      </c>
      <c r="Q60" s="79">
        <f>IF(Q17=0,0,Q17/TrRoad_act!Q30*100)</f>
        <v>8.6745129145125883</v>
      </c>
      <c r="R60" s="79">
        <f>IF(R17=0,0,R17/TrRoad_act!R30*100)</f>
        <v>8.1822621734168557</v>
      </c>
      <c r="S60" s="79">
        <f>IF(S17=0,0,S17/TrRoad_act!S30*100)</f>
        <v>8.1235127535364029</v>
      </c>
      <c r="T60" s="79">
        <f>IF(T17=0,0,T17/TrRoad_act!T30*100)</f>
        <v>8.094437891310438</v>
      </c>
      <c r="U60" s="79">
        <f>IF(U17=0,0,U17/TrRoad_act!U30*100)</f>
        <v>8.0682257205677725</v>
      </c>
      <c r="V60" s="79">
        <f>IF(V17=0,0,V17/TrRoad_act!V30*100)</f>
        <v>8.140647920057857</v>
      </c>
      <c r="W60" s="79">
        <f>IF(W17=0,0,W17/TrRoad_act!W30*100)</f>
        <v>8.180056422420229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7.8160988095114279</v>
      </c>
      <c r="C61" s="32">
        <f>IF(C18=0,0,C18/TrRoad_act!C31*100)</f>
        <v>7.9685588512081074</v>
      </c>
      <c r="D61" s="32">
        <f>IF(D18=0,0,D18/TrRoad_act!D31*100)</f>
        <v>7.7779427673108126</v>
      </c>
      <c r="E61" s="32">
        <f>IF(E18=0,0,E18/TrRoad_act!E31*100)</f>
        <v>7.4578138227150719</v>
      </c>
      <c r="F61" s="32">
        <f>IF(F18=0,0,F18/TrRoad_act!F31*100)</f>
        <v>7.3031179331005891</v>
      </c>
      <c r="G61" s="32">
        <f>IF(G18=0,0,G18/TrRoad_act!G31*100)</f>
        <v>7.1432094866112417</v>
      </c>
      <c r="H61" s="32">
        <f>IF(H18=0,0,H18/TrRoad_act!H31*100)</f>
        <v>6.9152146577918598</v>
      </c>
      <c r="I61" s="32">
        <f>IF(I18=0,0,I18/TrRoad_act!I31*100)</f>
        <v>7.0601865225755063</v>
      </c>
      <c r="J61" s="32">
        <f>IF(J18=0,0,J18/TrRoad_act!J31*100)</f>
        <v>7.0089862721857159</v>
      </c>
      <c r="K61" s="32">
        <f>IF(K18=0,0,K18/TrRoad_act!K31*100)</f>
        <v>6.7539245696580554</v>
      </c>
      <c r="L61" s="32">
        <f>IF(L18=0,0,L18/TrRoad_act!L31*100)</f>
        <v>6.6212391943452342</v>
      </c>
      <c r="M61" s="32">
        <f>IF(M18=0,0,M18/TrRoad_act!M31*100)</f>
        <v>6.7226070590654778</v>
      </c>
      <c r="N61" s="32">
        <f>IF(N18=0,0,N18/TrRoad_act!N31*100)</f>
        <v>6.4149217333377191</v>
      </c>
      <c r="O61" s="32">
        <f>IF(O18=0,0,O18/TrRoad_act!O31*100)</f>
        <v>6.4149737749894022</v>
      </c>
      <c r="P61" s="32">
        <f>IF(P18=0,0,P18/TrRoad_act!P31*100)</f>
        <v>6.6560854535330076</v>
      </c>
      <c r="Q61" s="32">
        <f>IF(Q18=0,0,Q18/TrRoad_act!Q31*100)</f>
        <v>6.5761397025019139</v>
      </c>
      <c r="R61" s="32">
        <f>IF(R18=0,0,R18/TrRoad_act!R31*100)</f>
        <v>6.4472818692565941</v>
      </c>
      <c r="S61" s="32">
        <f>IF(S18=0,0,S18/TrRoad_act!S31*100)</f>
        <v>6.391199507922031</v>
      </c>
      <c r="T61" s="32">
        <f>IF(T18=0,0,T18/TrRoad_act!T31*100)</f>
        <v>6.3299578165388652</v>
      </c>
      <c r="U61" s="32">
        <f>IF(U18=0,0,U18/TrRoad_act!U31*100)</f>
        <v>6.2870175815391853</v>
      </c>
      <c r="V61" s="32">
        <f>IF(V18=0,0,V18/TrRoad_act!V31*100)</f>
        <v>6.1948734802219318</v>
      </c>
      <c r="W61" s="32">
        <f>IF(W18=0,0,W18/TrRoad_act!W31*100)</f>
        <v>6.1606025004991718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5.3478887060254374</v>
      </c>
      <c r="C62" s="141">
        <f>IF(C19=0,0,C19/TrRoad_act!C32*100)</f>
        <v>5.3103356913138917</v>
      </c>
      <c r="D62" s="141">
        <f>IF(D19=0,0,D19/TrRoad_act!D32*100)</f>
        <v>5.2562282548317398</v>
      </c>
      <c r="E62" s="141">
        <f>IF(E19=0,0,E19/TrRoad_act!E32*100)</f>
        <v>4.9468973046883518</v>
      </c>
      <c r="F62" s="141">
        <f>IF(F19=0,0,F19/TrRoad_act!F32*100)</f>
        <v>4.8942696213525965</v>
      </c>
      <c r="G62" s="141">
        <f>IF(G19=0,0,G19/TrRoad_act!G32*100)</f>
        <v>4.8325309797251927</v>
      </c>
      <c r="H62" s="141">
        <f>IF(H19=0,0,H19/TrRoad_act!H32*100)</f>
        <v>4.741810530653658</v>
      </c>
      <c r="I62" s="141">
        <f>IF(I19=0,0,I19/TrRoad_act!I32*100)</f>
        <v>4.6272432154826193</v>
      </c>
      <c r="J62" s="141">
        <f>IF(J19=0,0,J19/TrRoad_act!J32*100)</f>
        <v>4.4933965140365091</v>
      </c>
      <c r="K62" s="141">
        <f>IF(K19=0,0,K19/TrRoad_act!K32*100)</f>
        <v>4.3999209379266757</v>
      </c>
      <c r="L62" s="141">
        <f>IF(L19=0,0,L19/TrRoad_act!L32*100)</f>
        <v>4.3546608741031996</v>
      </c>
      <c r="M62" s="141">
        <f>IF(M19=0,0,M19/TrRoad_act!M32*100)</f>
        <v>4.2959851837325091</v>
      </c>
      <c r="N62" s="141">
        <f>IF(N19=0,0,N19/TrRoad_act!N32*100)</f>
        <v>4.2432189703126015</v>
      </c>
      <c r="O62" s="141">
        <f>IF(O19=0,0,O19/TrRoad_act!O32*100)</f>
        <v>4.1904406520670801</v>
      </c>
      <c r="P62" s="141">
        <f>IF(P19=0,0,P19/TrRoad_act!P32*100)</f>
        <v>4.1336988493786402</v>
      </c>
      <c r="Q62" s="141">
        <f>IF(Q19=0,0,Q19/TrRoad_act!Q32*100)</f>
        <v>4.0784766886378732</v>
      </c>
      <c r="R62" s="141">
        <f>IF(R19=0,0,R19/TrRoad_act!R32*100)</f>
        <v>4.2055684386142307</v>
      </c>
      <c r="S62" s="141">
        <f>IF(S19=0,0,S19/TrRoad_act!S32*100)</f>
        <v>4.1187676063203522</v>
      </c>
      <c r="T62" s="141">
        <f>IF(T19=0,0,T19/TrRoad_act!T32*100)</f>
        <v>4.0250215925285104</v>
      </c>
      <c r="U62" s="141">
        <f>IF(U19=0,0,U19/TrRoad_act!U32*100)</f>
        <v>3.8726531525863868</v>
      </c>
      <c r="V62" s="141">
        <f>IF(V19=0,0,V19/TrRoad_act!V32*100)</f>
        <v>3.7459266299151057</v>
      </c>
      <c r="W62" s="141">
        <f>IF(W19=0,0,W19/TrRoad_act!W32*100)</f>
        <v>3.0496608301936066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7.2729617813236311</v>
      </c>
      <c r="C63" s="130">
        <f>IF(C21=0,0,C21/TrRoad_act!C33*100)</f>
        <v>7.4625176444038068</v>
      </c>
      <c r="D63" s="130">
        <f>IF(D21=0,0,D21/TrRoad_act!D33*100)</f>
        <v>7.2926006399597458</v>
      </c>
      <c r="E63" s="130">
        <f>IF(E21=0,0,E21/TrRoad_act!E33*100)</f>
        <v>7.0276325962597115</v>
      </c>
      <c r="F63" s="130">
        <f>IF(F21=0,0,F21/TrRoad_act!F33*100)</f>
        <v>6.8857544946966982</v>
      </c>
      <c r="G63" s="130">
        <f>IF(G21=0,0,G21/TrRoad_act!G33*100)</f>
        <v>6.7809062812648229</v>
      </c>
      <c r="H63" s="130">
        <f>IF(H21=0,0,H21/TrRoad_act!H33*100)</f>
        <v>6.6074769939974312</v>
      </c>
      <c r="I63" s="130">
        <f>IF(I21=0,0,I21/TrRoad_act!I33*100)</f>
        <v>6.7960466840970719</v>
      </c>
      <c r="J63" s="130">
        <f>IF(J21=0,0,J21/TrRoad_act!J33*100)</f>
        <v>6.7590643360917122</v>
      </c>
      <c r="K63" s="130">
        <f>IF(K21=0,0,K21/TrRoad_act!K33*100)</f>
        <v>6.4930601119045086</v>
      </c>
      <c r="L63" s="130">
        <f>IF(L21=0,0,L21/TrRoad_act!L33*100)</f>
        <v>6.3666562079580196</v>
      </c>
      <c r="M63" s="130">
        <f>IF(M21=0,0,M21/TrRoad_act!M33*100)</f>
        <v>6.4420971929870801</v>
      </c>
      <c r="N63" s="130">
        <f>IF(N21=0,0,N21/TrRoad_act!N33*100)</f>
        <v>6.1735925498588271</v>
      </c>
      <c r="O63" s="130">
        <f>IF(O21=0,0,O21/TrRoad_act!O33*100)</f>
        <v>6.1697393146297452</v>
      </c>
      <c r="P63" s="130">
        <f>IF(P21=0,0,P21/TrRoad_act!P33*100)</f>
        <v>6.3908434667922034</v>
      </c>
      <c r="Q63" s="130">
        <f>IF(Q21=0,0,Q21/TrRoad_act!Q33*100)</f>
        <v>6.315914495657454</v>
      </c>
      <c r="R63" s="130">
        <f>IF(R21=0,0,R21/TrRoad_act!R33*100)</f>
        <v>6.2265631441698073</v>
      </c>
      <c r="S63" s="130">
        <f>IF(S21=0,0,S21/TrRoad_act!S33*100)</f>
        <v>6.1755988516998439</v>
      </c>
      <c r="T63" s="130">
        <f>IF(T21=0,0,T21/TrRoad_act!T33*100)</f>
        <v>6.1218811925851471</v>
      </c>
      <c r="U63" s="130">
        <f>IF(U21=0,0,U21/TrRoad_act!U33*100)</f>
        <v>6.0619916150501263</v>
      </c>
      <c r="V63" s="130">
        <f>IF(V21=0,0,V21/TrRoad_act!V33*100)</f>
        <v>6.0254593907748708</v>
      </c>
      <c r="W63" s="130">
        <f>IF(W21=0,0,W21/TrRoad_act!W33*100)</f>
        <v>6.001409830197777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8.2753925433710602</v>
      </c>
      <c r="C64" s="96">
        <f>IF(C22=0,0,C22/TrRoad_act!C34*100)</f>
        <v>8.6891600412837686</v>
      </c>
      <c r="D64" s="96">
        <f>IF(D22=0,0,D22/TrRoad_act!D34*100)</f>
        <v>8.6046347320482877</v>
      </c>
      <c r="E64" s="96">
        <f>IF(E22=0,0,E22/TrRoad_act!E34*100)</f>
        <v>8.3735573390001967</v>
      </c>
      <c r="F64" s="96">
        <f>IF(F22=0,0,F22/TrRoad_act!F34*100)</f>
        <v>8.3772071341427576</v>
      </c>
      <c r="G64" s="96">
        <f>IF(G22=0,0,G22/TrRoad_act!G34*100)</f>
        <v>7.8959107227032126</v>
      </c>
      <c r="H64" s="96">
        <f>IF(H22=0,0,H22/TrRoad_act!H34*100)</f>
        <v>7.8304406225511851</v>
      </c>
      <c r="I64" s="96">
        <f>IF(I22=0,0,I22/TrRoad_act!I34*100)</f>
        <v>8.1563896994696368</v>
      </c>
      <c r="J64" s="96">
        <f>IF(J22=0,0,J22/TrRoad_act!J34*100)</f>
        <v>8.1625930707179055</v>
      </c>
      <c r="K64" s="96">
        <f>IF(K22=0,0,K22/TrRoad_act!K34*100)</f>
        <v>7.8349063836854178</v>
      </c>
      <c r="L64" s="96">
        <f>IF(L22=0,0,L22/TrRoad_act!L34*100)</f>
        <v>7.9790555359632807</v>
      </c>
      <c r="M64" s="96">
        <f>IF(M22=0,0,M22/TrRoad_act!M34*100)</f>
        <v>7.8792352153674088</v>
      </c>
      <c r="N64" s="96">
        <f>IF(N22=0,0,N22/TrRoad_act!N34*100)</f>
        <v>7.8119480793501257</v>
      </c>
      <c r="O64" s="96">
        <f>IF(O22=0,0,O22/TrRoad_act!O34*100)</f>
        <v>7.8767537777483891</v>
      </c>
      <c r="P64" s="96">
        <f>IF(P22=0,0,P22/TrRoad_act!P34*100)</f>
        <v>7.7713244061702129</v>
      </c>
      <c r="Q64" s="96">
        <f>IF(Q22=0,0,Q22/TrRoad_act!Q34*100)</f>
        <v>7.6471957544990889</v>
      </c>
      <c r="R64" s="96">
        <f>IF(R22=0,0,R22/TrRoad_act!R34*100)</f>
        <v>7.8647420909120704</v>
      </c>
      <c r="S64" s="96">
        <f>IF(S22=0,0,S22/TrRoad_act!S34*100)</f>
        <v>7.4708041815431763</v>
      </c>
      <c r="T64" s="96">
        <f>IF(T22=0,0,T22/TrRoad_act!T34*100)</f>
        <v>7.1041953634268147</v>
      </c>
      <c r="U64" s="96">
        <f>IF(U22=0,0,U22/TrRoad_act!U34*100)</f>
        <v>6.7317257873615697</v>
      </c>
      <c r="V64" s="96">
        <f>IF(V22=0,0,V22/TrRoad_act!V34*100)</f>
        <v>6.5031409426670361</v>
      </c>
      <c r="W64" s="96">
        <f>IF(W22=0,0,W22/TrRoad_act!W34*100)</f>
        <v>6.3701423034291906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6.0885013688022021</v>
      </c>
      <c r="C65" s="96">
        <f>IF(C24=0,0,C24/TrRoad_act!C35*100)</f>
        <v>5.9867571099422667</v>
      </c>
      <c r="D65" s="96">
        <f>IF(D24=0,0,D24/TrRoad_act!D35*100)</f>
        <v>5.8485953234178396</v>
      </c>
      <c r="E65" s="96">
        <f>IF(E24=0,0,E24/TrRoad_act!E35*100)</f>
        <v>5.5583683593592577</v>
      </c>
      <c r="F65" s="96">
        <f>IF(F24=0,0,F24/TrRoad_act!F35*100)</f>
        <v>5.6315887847971826</v>
      </c>
      <c r="G65" s="96">
        <f>IF(G24=0,0,G24/TrRoad_act!G35*100)</f>
        <v>5.5459138157887917</v>
      </c>
      <c r="H65" s="96">
        <f>IF(H24=0,0,H24/TrRoad_act!H35*100)</f>
        <v>5.5099360733523239</v>
      </c>
      <c r="I65" s="96">
        <f>IF(I24=0,0,I24/TrRoad_act!I35*100)</f>
        <v>5.9962161227119992</v>
      </c>
      <c r="J65" s="96">
        <f>IF(J24=0,0,J24/TrRoad_act!J35*100)</f>
        <v>6.0420046927195745</v>
      </c>
      <c r="K65" s="96">
        <f>IF(K24=0,0,K24/TrRoad_act!K35*100)</f>
        <v>5.6045336083707324</v>
      </c>
      <c r="L65" s="96">
        <f>IF(L24=0,0,L24/TrRoad_act!L35*100)</f>
        <v>5.7625821620325324</v>
      </c>
      <c r="M65" s="96">
        <f>IF(M24=0,0,M24/TrRoad_act!M35*100)</f>
        <v>5.9275820464487765</v>
      </c>
      <c r="N65" s="96">
        <f>IF(N24=0,0,N24/TrRoad_act!N35*100)</f>
        <v>5.6491556014302846</v>
      </c>
      <c r="O65" s="96">
        <f>IF(O24=0,0,O24/TrRoad_act!O35*100)</f>
        <v>5.7529396266343049</v>
      </c>
      <c r="P65" s="96">
        <f>IF(P24=0,0,P24/TrRoad_act!P35*100)</f>
        <v>6.0744695849699806</v>
      </c>
      <c r="Q65" s="96">
        <f>IF(Q24=0,0,Q24/TrRoad_act!Q35*100)</f>
        <v>6.0445596892740783</v>
      </c>
      <c r="R65" s="96">
        <f>IF(R24=0,0,R24/TrRoad_act!R35*100)</f>
        <v>5.9765883192237172</v>
      </c>
      <c r="S65" s="96">
        <f>IF(S24=0,0,S24/TrRoad_act!S35*100)</f>
        <v>5.977064998099892</v>
      </c>
      <c r="T65" s="96">
        <f>IF(T24=0,0,T24/TrRoad_act!T35*100)</f>
        <v>5.9689034238108434</v>
      </c>
      <c r="U65" s="96">
        <f>IF(U24=0,0,U24/TrRoad_act!U35*100)</f>
        <v>5.958663487378816</v>
      </c>
      <c r="V65" s="96">
        <f>IF(V24=0,0,V24/TrRoad_act!V35*100)</f>
        <v>5.9452587494810434</v>
      </c>
      <c r="W65" s="96">
        <f>IF(W24=0,0,W24/TrRoad_act!W35*100)</f>
        <v>5.921037906518885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6.5351370945854583</v>
      </c>
      <c r="C66" s="96">
        <f>IF(C26=0,0,C26/TrRoad_act!C36*100)</f>
        <v>7.1641168761835887</v>
      </c>
      <c r="D66" s="96">
        <f>IF(D26=0,0,D26/TrRoad_act!D36*100)</f>
        <v>7.1066385524440401</v>
      </c>
      <c r="E66" s="96">
        <f>IF(E26=0,0,E26/TrRoad_act!E36*100)</f>
        <v>7.3628783865685801</v>
      </c>
      <c r="F66" s="96">
        <f>IF(F26=0,0,F26/TrRoad_act!F36*100)</f>
        <v>7.0149717415819017</v>
      </c>
      <c r="G66" s="96">
        <f>IF(G26=0,0,G26/TrRoad_act!G36*100)</f>
        <v>8.0705155179546111</v>
      </c>
      <c r="H66" s="96">
        <f>IF(H26=0,0,H26/TrRoad_act!H36*100)</f>
        <v>7.7851096077078772</v>
      </c>
      <c r="I66" s="96">
        <f>IF(I26=0,0,I26/TrRoad_act!I36*100)</f>
        <v>6.6353857970002661</v>
      </c>
      <c r="J66" s="96">
        <f>IF(J26=0,0,J26/TrRoad_act!J36*100)</f>
        <v>6.3163319801256863</v>
      </c>
      <c r="K66" s="96">
        <f>IF(K26=0,0,K26/TrRoad_act!K36*100)</f>
        <v>7.2015940092569686</v>
      </c>
      <c r="L66" s="96">
        <f>IF(L26=0,0,L26/TrRoad_act!L36*100)</f>
        <v>6.3901154353166456</v>
      </c>
      <c r="M66" s="96">
        <f>IF(M26=0,0,M26/TrRoad_act!M36*100)</f>
        <v>6.491239212779309</v>
      </c>
      <c r="N66" s="96">
        <f>IF(N26=0,0,N26/TrRoad_act!N36*100)</f>
        <v>6.9277785183996254</v>
      </c>
      <c r="O66" s="96">
        <f>IF(O26=0,0,O26/TrRoad_act!O36*100)</f>
        <v>6.4527983093913805</v>
      </c>
      <c r="P66" s="96">
        <f>IF(P26=0,0,P26/TrRoad_act!P36*100)</f>
        <v>6.4478235334267424</v>
      </c>
      <c r="Q66" s="96">
        <f>IF(Q26=0,0,Q26/TrRoad_act!Q36*100)</f>
        <v>6.3521679277943726</v>
      </c>
      <c r="R66" s="96">
        <f>IF(R26=0,0,R26/TrRoad_act!R36*100)</f>
        <v>6.0064120285346361</v>
      </c>
      <c r="S66" s="96">
        <f>IF(S26=0,0,S26/TrRoad_act!S36*100)</f>
        <v>6.1359938377773693</v>
      </c>
      <c r="T66" s="96">
        <f>IF(T26=0,0,T26/TrRoad_act!T36*100)</f>
        <v>6.1481257494131247</v>
      </c>
      <c r="U66" s="96">
        <f>IF(U26=0,0,U26/TrRoad_act!U36*100)</f>
        <v>6.1919914740393356</v>
      </c>
      <c r="V66" s="96">
        <f>IF(V26=0,0,V26/TrRoad_act!V36*100)</f>
        <v>6.3828665996002538</v>
      </c>
      <c r="W66" s="96">
        <f>IF(W26=0,0,W26/TrRoad_act!W36*100)</f>
        <v>6.6791577381483433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7.3445533843301725</v>
      </c>
      <c r="O67" s="96">
        <f>IF(O27=0,0,O27/TrRoad_act!O37*100)</f>
        <v>5.9220751560350182</v>
      </c>
      <c r="P67" s="96">
        <f>IF(P27=0,0,P27/TrRoad_act!P37*100)</f>
        <v>5.5292788324860096</v>
      </c>
      <c r="Q67" s="96">
        <f>IF(Q27=0,0,Q27/TrRoad_act!Q37*100)</f>
        <v>5.530486480412498</v>
      </c>
      <c r="R67" s="96">
        <f>IF(R27=0,0,R27/TrRoad_act!R37*100)</f>
        <v>5.5573352915752601</v>
      </c>
      <c r="S67" s="96">
        <f>IF(S27=0,0,S27/TrRoad_act!S37*100)</f>
        <v>5.6444227574961028</v>
      </c>
      <c r="T67" s="96">
        <f>IF(T27=0,0,T27/TrRoad_act!T37*100)</f>
        <v>5.7007103332714149</v>
      </c>
      <c r="U67" s="96">
        <f>IF(U27=0,0,U27/TrRoad_act!U37*100)</f>
        <v>5.6835005801449476</v>
      </c>
      <c r="V67" s="96">
        <f>IF(V27=0,0,V27/TrRoad_act!V37*100)</f>
        <v>5.4313183796474522</v>
      </c>
      <c r="W67" s="96">
        <f>IF(W27=0,0,W27/TrRoad_act!W37*100)</f>
        <v>5.2831231317835945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3.5981964614041733</v>
      </c>
      <c r="P68" s="96">
        <f>IF(P29=0,0,P29/TrRoad_act!P38*100)</f>
        <v>2.9863582332977789</v>
      </c>
      <c r="Q68" s="96">
        <f>IF(Q29=0,0,Q29/TrRoad_act!Q38*100)</f>
        <v>2.9459901618160433</v>
      </c>
      <c r="R68" s="96">
        <f>IF(R29=0,0,R29/TrRoad_act!R38*100)</f>
        <v>3.1529856469995301</v>
      </c>
      <c r="S68" s="96">
        <f>IF(S29=0,0,S29/TrRoad_act!S38*100)</f>
        <v>3.1800015331154481</v>
      </c>
      <c r="T68" s="96">
        <f>IF(T29=0,0,T29/TrRoad_act!T38*100)</f>
        <v>3.3596390693264357</v>
      </c>
      <c r="U68" s="96">
        <f>IF(U29=0,0,U29/TrRoad_act!U38*100)</f>
        <v>3.6161350691960519</v>
      </c>
      <c r="V68" s="96">
        <f>IF(V29=0,0,V29/TrRoad_act!V38*100)</f>
        <v>3.7509598615708475</v>
      </c>
      <c r="W68" s="96">
        <f>IF(W29=0,0,W29/TrRoad_act!W38*100)</f>
        <v>3.8162573746320634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1.4235263973337706</v>
      </c>
      <c r="N69" s="96">
        <f>IF(N32=0,0,N32/TrRoad_act!N39*100)</f>
        <v>1.4235263973337706</v>
      </c>
      <c r="O69" s="96">
        <f>IF(O32=0,0,O32/TrRoad_act!O39*100)</f>
        <v>1.3948199308523999</v>
      </c>
      <c r="P69" s="96">
        <f>IF(P32=0,0,P32/TrRoad_act!P39*100)</f>
        <v>1.3917473291510591</v>
      </c>
      <c r="Q69" s="96">
        <f>IF(Q32=0,0,Q32/TrRoad_act!Q39*100)</f>
        <v>1.4024678897554854</v>
      </c>
      <c r="R69" s="96">
        <f>IF(R32=0,0,R32/TrRoad_act!R39*100)</f>
        <v>1.3755224226668394</v>
      </c>
      <c r="S69" s="96">
        <f>IF(S32=0,0,S32/TrRoad_act!S39*100)</f>
        <v>1.4555982515134334</v>
      </c>
      <c r="T69" s="96">
        <f>IF(T32=0,0,T32/TrRoad_act!T39*100)</f>
        <v>1.5453271980308212</v>
      </c>
      <c r="U69" s="96">
        <f>IF(U32=0,0,U32/TrRoad_act!U39*100)</f>
        <v>1.5830632017244706</v>
      </c>
      <c r="V69" s="96">
        <f>IF(V32=0,0,V32/TrRoad_act!V39*100)</f>
        <v>1.5898163971247325</v>
      </c>
      <c r="W69" s="96">
        <f>IF(W32=0,0,W32/TrRoad_act!W39*100)</f>
        <v>1.5880966179273026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61.805730006078129</v>
      </c>
      <c r="C70" s="130">
        <f>IF(C33=0,0,C33/TrRoad_act!C40*100)</f>
        <v>57.92850140717816</v>
      </c>
      <c r="D70" s="130">
        <f>IF(D33=0,0,D33/TrRoad_act!D40*100)</f>
        <v>55.844639092248762</v>
      </c>
      <c r="E70" s="130">
        <f>IF(E33=0,0,E33/TrRoad_act!E40*100)</f>
        <v>54.158457654506307</v>
      </c>
      <c r="F70" s="130">
        <f>IF(F33=0,0,F33/TrRoad_act!F40*100)</f>
        <v>53.949800226521219</v>
      </c>
      <c r="G70" s="130">
        <f>IF(G33=0,0,G33/TrRoad_act!G40*100)</f>
        <v>53.996615832310937</v>
      </c>
      <c r="H70" s="130">
        <f>IF(H33=0,0,H33/TrRoad_act!H40*100)</f>
        <v>53.902227801918009</v>
      </c>
      <c r="I70" s="130">
        <f>IF(I33=0,0,I33/TrRoad_act!I40*100)</f>
        <v>53.905481826820335</v>
      </c>
      <c r="J70" s="130">
        <f>IF(J33=0,0,J33/TrRoad_act!J40*100)</f>
        <v>53.992623558483253</v>
      </c>
      <c r="K70" s="130">
        <f>IF(K33=0,0,K33/TrRoad_act!K40*100)</f>
        <v>53.703977975034235</v>
      </c>
      <c r="L70" s="130">
        <f>IF(L33=0,0,L33/TrRoad_act!L40*100)</f>
        <v>53.83609461323924</v>
      </c>
      <c r="M70" s="130">
        <f>IF(M33=0,0,M33/TrRoad_act!M40*100)</f>
        <v>53.714595057785864</v>
      </c>
      <c r="N70" s="130">
        <f>IF(N33=0,0,N33/TrRoad_act!N40*100)</f>
        <v>53.449634011632128</v>
      </c>
      <c r="O70" s="130">
        <f>IF(O33=0,0,O33/TrRoad_act!O40*100)</f>
        <v>48.755699247919267</v>
      </c>
      <c r="P70" s="130">
        <f>IF(P33=0,0,P33/TrRoad_act!P40*100)</f>
        <v>48.887978490468491</v>
      </c>
      <c r="Q70" s="130">
        <f>IF(Q33=0,0,Q33/TrRoad_act!Q40*100)</f>
        <v>47.669139935445962</v>
      </c>
      <c r="R70" s="130">
        <f>IF(R33=0,0,R33/TrRoad_act!R40*100)</f>
        <v>47.322912984190893</v>
      </c>
      <c r="S70" s="130">
        <f>IF(S33=0,0,S33/TrRoad_act!S40*100)</f>
        <v>47.558298247375724</v>
      </c>
      <c r="T70" s="130">
        <f>IF(T33=0,0,T33/TrRoad_act!T40*100)</f>
        <v>47.837058386574114</v>
      </c>
      <c r="U70" s="130">
        <f>IF(U33=0,0,U33/TrRoad_act!U40*100)</f>
        <v>48.151539051310408</v>
      </c>
      <c r="V70" s="130">
        <f>IF(V33=0,0,V33/TrRoad_act!V40*100)</f>
        <v>46.758124961905978</v>
      </c>
      <c r="W70" s="130">
        <f>IF(W33=0,0,W33/TrRoad_act!W40*100)</f>
        <v>45.377598926142056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15.827244127655554</v>
      </c>
      <c r="E71" s="97">
        <f>IF(E34=0,0,E34/TrRoad_act!E41*100)</f>
        <v>15.790309537654201</v>
      </c>
      <c r="F71" s="97">
        <f>IF(F34=0,0,F34/TrRoad_act!F41*100)</f>
        <v>15.787274299966223</v>
      </c>
      <c r="G71" s="97">
        <f>IF(G34=0,0,G34/TrRoad_act!G41*100)</f>
        <v>15.784777280931591</v>
      </c>
      <c r="H71" s="97">
        <f>IF(H34=0,0,H34/TrRoad_act!H41*100)</f>
        <v>15.765871840351497</v>
      </c>
      <c r="I71" s="97">
        <f>IF(I34=0,0,I34/TrRoad_act!I41*100)</f>
        <v>15.762704764930721</v>
      </c>
      <c r="J71" s="97">
        <f>IF(J34=0,0,J34/TrRoad_act!J41*100)</f>
        <v>15.749088393150798</v>
      </c>
      <c r="K71" s="97">
        <f>IF(K34=0,0,K34/TrRoad_act!K41*100)</f>
        <v>15.744396739602736</v>
      </c>
      <c r="L71" s="97">
        <f>IF(L34=0,0,L34/TrRoad_act!L41*100)</f>
        <v>15.744396739602736</v>
      </c>
      <c r="M71" s="97">
        <f>IF(M34=0,0,M34/TrRoad_act!M41*100)</f>
        <v>15.717784803678736</v>
      </c>
      <c r="N71" s="97">
        <f>IF(N34=0,0,N34/TrRoad_act!N41*100)</f>
        <v>15.707478865930774</v>
      </c>
      <c r="O71" s="97">
        <f>IF(O34=0,0,O34/TrRoad_act!O41*100)</f>
        <v>12.368460148546029</v>
      </c>
      <c r="P71" s="97">
        <f>IF(P34=0,0,P34/TrRoad_act!P41*100)</f>
        <v>12.22148507867626</v>
      </c>
      <c r="Q71" s="97">
        <f>IF(Q34=0,0,Q34/TrRoad_act!Q41*100)</f>
        <v>12.22148507867626</v>
      </c>
      <c r="R71" s="97">
        <f>IF(R34=0,0,R34/TrRoad_act!R41*100)</f>
        <v>12.221485078676258</v>
      </c>
      <c r="S71" s="97">
        <f>IF(S34=0,0,S34/TrRoad_act!S41*100)</f>
        <v>12.221485078676258</v>
      </c>
      <c r="T71" s="97">
        <f>IF(T34=0,0,T34/TrRoad_act!T41*100)</f>
        <v>12.22148507867626</v>
      </c>
      <c r="U71" s="97">
        <f>IF(U34=0,0,U34/TrRoad_act!U41*100)</f>
        <v>12.22148507867626</v>
      </c>
      <c r="V71" s="97">
        <f>IF(V34=0,0,V34/TrRoad_act!V41*100)</f>
        <v>12.221485078676258</v>
      </c>
      <c r="W71" s="97">
        <f>IF(W34=0,0,W34/TrRoad_act!W41*100)</f>
        <v>12.221485078676261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61.805730006078129</v>
      </c>
      <c r="C72" s="97">
        <f>IF(C36=0,0,C36/TrRoad_act!C42*100)</f>
        <v>57.92850140717816</v>
      </c>
      <c r="D72" s="97">
        <f>IF(D36=0,0,D36/TrRoad_act!D42*100)</f>
        <v>56.004529794019653</v>
      </c>
      <c r="E72" s="97">
        <f>IF(E36=0,0,E36/TrRoad_act!E42*100)</f>
        <v>54.383116325543391</v>
      </c>
      <c r="F72" s="97">
        <f>IF(F36=0,0,F36/TrRoad_act!F42*100)</f>
        <v>54.266594135475756</v>
      </c>
      <c r="G72" s="97">
        <f>IF(G36=0,0,G36/TrRoad_act!G42*100)</f>
        <v>54.619210007385256</v>
      </c>
      <c r="H72" s="97">
        <f>IF(H36=0,0,H36/TrRoad_act!H42*100)</f>
        <v>54.866379064284544</v>
      </c>
      <c r="I72" s="97">
        <f>IF(I36=0,0,I36/TrRoad_act!I42*100)</f>
        <v>55.14032122044069</v>
      </c>
      <c r="J72" s="97">
        <f>IF(J36=0,0,J36/TrRoad_act!J42*100)</f>
        <v>55.277481870742506</v>
      </c>
      <c r="K72" s="97">
        <f>IF(K36=0,0,K36/TrRoad_act!K42*100)</f>
        <v>55.304496294273122</v>
      </c>
      <c r="L72" s="97">
        <f>IF(L36=0,0,L36/TrRoad_act!L42*100)</f>
        <v>55.345525026397937</v>
      </c>
      <c r="M72" s="97">
        <f>IF(M36=0,0,M36/TrRoad_act!M42*100)</f>
        <v>55.173598908824786</v>
      </c>
      <c r="N72" s="97">
        <f>IF(N36=0,0,N36/TrRoad_act!N42*100)</f>
        <v>55.157663175309445</v>
      </c>
      <c r="O72" s="97">
        <f>IF(O36=0,0,O36/TrRoad_act!O42*100)</f>
        <v>55.181020048985808</v>
      </c>
      <c r="P72" s="97">
        <f>IF(P36=0,0,P36/TrRoad_act!P42*100)</f>
        <v>55.303395033214855</v>
      </c>
      <c r="Q72" s="97">
        <f>IF(Q36=0,0,Q36/TrRoad_act!Q42*100)</f>
        <v>55.555387527678505</v>
      </c>
      <c r="R72" s="97">
        <f>IF(R36=0,0,R36/TrRoad_act!R42*100)</f>
        <v>56.032381666241939</v>
      </c>
      <c r="S72" s="97">
        <f>IF(S36=0,0,S36/TrRoad_act!S42*100)</f>
        <v>56.411646321841388</v>
      </c>
      <c r="T72" s="97">
        <f>IF(T36=0,0,T36/TrRoad_act!T42*100)</f>
        <v>56.570255438096559</v>
      </c>
      <c r="U72" s="97">
        <f>IF(U36=0,0,U36/TrRoad_act!U42*100)</f>
        <v>56.589864230178897</v>
      </c>
      <c r="V72" s="97">
        <f>IF(V36=0,0,V36/TrRoad_act!V42*100)</f>
        <v>56.573205162339015</v>
      </c>
      <c r="W72" s="97">
        <f>IF(W36=0,0,W36/TrRoad_act!W42*100)</f>
        <v>56.500098351632232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44.280488838574378</v>
      </c>
      <c r="E73" s="97">
        <f>IF(E38=0,0,E38/TrRoad_act!E43*100)</f>
        <v>44.280488838574378</v>
      </c>
      <c r="F73" s="97">
        <f>IF(F38=0,0,F38/TrRoad_act!F43*100)</f>
        <v>44.280488838574378</v>
      </c>
      <c r="G73" s="97">
        <f>IF(G38=0,0,G38/TrRoad_act!G43*100)</f>
        <v>44.280488838574378</v>
      </c>
      <c r="H73" s="97">
        <f>IF(H38=0,0,H38/TrRoad_act!H43*100)</f>
        <v>44.280488838574385</v>
      </c>
      <c r="I73" s="97">
        <f>IF(I38=0,0,I38/TrRoad_act!I43*100)</f>
        <v>44.280488838574378</v>
      </c>
      <c r="J73" s="97">
        <f>IF(J38=0,0,J38/TrRoad_act!J43*100)</f>
        <v>44.280488838574378</v>
      </c>
      <c r="K73" s="97">
        <f>IF(K38=0,0,K38/TrRoad_act!K43*100)</f>
        <v>44.280488838574378</v>
      </c>
      <c r="L73" s="97">
        <f>IF(L38=0,0,L38/TrRoad_act!L43*100)</f>
        <v>44.280488838574385</v>
      </c>
      <c r="M73" s="97">
        <f>IF(M38=0,0,M38/TrRoad_act!M43*100)</f>
        <v>44.714091495309013</v>
      </c>
      <c r="N73" s="97">
        <f>IF(N38=0,0,N38/TrRoad_act!N43*100)</f>
        <v>44.714091495309013</v>
      </c>
      <c r="O73" s="97">
        <f>IF(O38=0,0,O38/TrRoad_act!O43*100)</f>
        <v>45.332399075377275</v>
      </c>
      <c r="P73" s="97">
        <f>IF(P38=0,0,P38/TrRoad_act!P43*100)</f>
        <v>45.565139608813283</v>
      </c>
      <c r="Q73" s="97">
        <f>IF(Q38=0,0,Q38/TrRoad_act!Q43*100)</f>
        <v>45.576777194835607</v>
      </c>
      <c r="R73" s="97">
        <f>IF(R38=0,0,R38/TrRoad_act!R43*100)</f>
        <v>45.584224958971895</v>
      </c>
      <c r="S73" s="97">
        <f>IF(S38=0,0,S38/TrRoad_act!S43*100)</f>
        <v>45.637147644983344</v>
      </c>
      <c r="T73" s="97">
        <f>IF(T38=0,0,T38/TrRoad_act!T43*100)</f>
        <v>45.736080061346541</v>
      </c>
      <c r="U73" s="97">
        <f>IF(U38=0,0,U38/TrRoad_act!U43*100)</f>
        <v>45.933367728741878</v>
      </c>
      <c r="V73" s="97">
        <f>IF(V38=0,0,V38/TrRoad_act!V43*100)</f>
        <v>45.949832207908528</v>
      </c>
      <c r="W73" s="97">
        <f>IF(W38=0,0,W38/TrRoad_act!W43*100)</f>
        <v>45.969353099837882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45.536879542587592</v>
      </c>
      <c r="L74" s="97">
        <f>IF(L39=0,0,L39/TrRoad_act!L44*100)</f>
        <v>51.090563129828382</v>
      </c>
      <c r="M74" s="97">
        <f>IF(M39=0,0,M39/TrRoad_act!M44*100)</f>
        <v>51.384483370318215</v>
      </c>
      <c r="N74" s="97">
        <f>IF(N39=0,0,N39/TrRoad_act!N44*100)</f>
        <v>47.238056503710006</v>
      </c>
      <c r="O74" s="97">
        <f>IF(O39=0,0,O39/TrRoad_act!O44*100)</f>
        <v>43.037709853443467</v>
      </c>
      <c r="P74" s="97">
        <f>IF(P39=0,0,P39/TrRoad_act!P44*100)</f>
        <v>40.877703785554985</v>
      </c>
      <c r="Q74" s="97">
        <f>IF(Q39=0,0,Q39/TrRoad_act!Q44*100)</f>
        <v>37.72322115949811</v>
      </c>
      <c r="R74" s="97">
        <f>IF(R39=0,0,R39/TrRoad_act!R44*100)</f>
        <v>35.622991098590909</v>
      </c>
      <c r="S74" s="97">
        <f>IF(S39=0,0,S39/TrRoad_act!S44*100)</f>
        <v>35.57228586464916</v>
      </c>
      <c r="T74" s="97">
        <f>IF(T39=0,0,T39/TrRoad_act!T44*100)</f>
        <v>35.715065375395547</v>
      </c>
      <c r="U74" s="97">
        <f>IF(U39=0,0,U39/TrRoad_act!U44*100)</f>
        <v>36.102775566644155</v>
      </c>
      <c r="V74" s="97">
        <f>IF(V39=0,0,V39/TrRoad_act!V44*100)</f>
        <v>35.294677560559229</v>
      </c>
      <c r="W74" s="97">
        <f>IF(W39=0,0,W39/TrRoad_act!W44*100)</f>
        <v>35.962371632231097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32.625451477340306</v>
      </c>
      <c r="G75" s="97">
        <f>IF(G41=0,0,G41/TrRoad_act!G45*100)</f>
        <v>32.583710125454438</v>
      </c>
      <c r="H75" s="97">
        <f>IF(H41=0,0,H41/TrRoad_act!H45*100)</f>
        <v>32.567246608619079</v>
      </c>
      <c r="I75" s="97">
        <f>IF(I41=0,0,I41/TrRoad_act!I45*100)</f>
        <v>32.564356339825672</v>
      </c>
      <c r="J75" s="97">
        <f>IF(J41=0,0,J41/TrRoad_act!J45*100)</f>
        <v>32.565650877281975</v>
      </c>
      <c r="K75" s="97">
        <f>IF(K41=0,0,K41/TrRoad_act!K45*100)</f>
        <v>32.570137575713794</v>
      </c>
      <c r="L75" s="97">
        <f>IF(L41=0,0,L41/TrRoad_act!L45*100)</f>
        <v>32.57050718075488</v>
      </c>
      <c r="M75" s="97">
        <f>IF(M41=0,0,M41/TrRoad_act!M45*100)</f>
        <v>32.578011411989451</v>
      </c>
      <c r="N75" s="97">
        <f>IF(N41=0,0,N41/TrRoad_act!N45*100)</f>
        <v>32.578588871750227</v>
      </c>
      <c r="O75" s="97">
        <f>IF(O41=0,0,O41/TrRoad_act!O45*100)</f>
        <v>33.165053471951197</v>
      </c>
      <c r="P75" s="97">
        <f>IF(P41=0,0,P41/TrRoad_act!P45*100)</f>
        <v>33.189277254004566</v>
      </c>
      <c r="Q75" s="97">
        <f>IF(Q41=0,0,Q41/TrRoad_act!Q45*100)</f>
        <v>33.191328180251119</v>
      </c>
      <c r="R75" s="97">
        <f>IF(R41=0,0,R41/TrRoad_act!R45*100)</f>
        <v>33.186387460791487</v>
      </c>
      <c r="S75" s="97">
        <f>IF(S41=0,0,S41/TrRoad_act!S45*100)</f>
        <v>33.069580282380961</v>
      </c>
      <c r="T75" s="97">
        <f>IF(T41=0,0,T41/TrRoad_act!T45*100)</f>
        <v>32.925679242946224</v>
      </c>
      <c r="U75" s="97">
        <f>IF(U41=0,0,U41/TrRoad_act!U45*100)</f>
        <v>32.231509576176492</v>
      </c>
      <c r="V75" s="97">
        <f>IF(V41=0,0,V41/TrRoad_act!V45*100)</f>
        <v>32.037494399301423</v>
      </c>
      <c r="W75" s="97">
        <f>IF(W41=0,0,W41/TrRoad_act!W45*100)</f>
        <v>31.970241736844752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29.666971591783199</v>
      </c>
      <c r="C76" s="32">
        <f>IF(C42=0,0,C42/TrRoad_act!C46*100)</f>
        <v>38.032272937327519</v>
      </c>
      <c r="D76" s="32">
        <f>IF(D42=0,0,D42/TrRoad_act!D46*100)</f>
        <v>36.938695554368245</v>
      </c>
      <c r="E76" s="32">
        <f>IF(E42=0,0,E42/TrRoad_act!E46*100)</f>
        <v>26.616214927437877</v>
      </c>
      <c r="F76" s="32">
        <f>IF(F42=0,0,F42/TrRoad_act!F46*100)</f>
        <v>30.292393755979148</v>
      </c>
      <c r="G76" s="32">
        <f>IF(G42=0,0,G42/TrRoad_act!G46*100)</f>
        <v>28.354879287278674</v>
      </c>
      <c r="H76" s="32">
        <f>IF(H42=0,0,H42/TrRoad_act!H46*100)</f>
        <v>23.600840515682052</v>
      </c>
      <c r="I76" s="32">
        <f>IF(I42=0,0,I42/TrRoad_act!I46*100)</f>
        <v>33.032836505117139</v>
      </c>
      <c r="J76" s="32">
        <f>IF(J42=0,0,J42/TrRoad_act!J46*100)</f>
        <v>35.835075298273338</v>
      </c>
      <c r="K76" s="32">
        <f>IF(K42=0,0,K42/TrRoad_act!K46*100)</f>
        <v>20.388688109310486</v>
      </c>
      <c r="L76" s="32">
        <f>IF(L42=0,0,L42/TrRoad_act!L46*100)</f>
        <v>26.325918470436694</v>
      </c>
      <c r="M76" s="32">
        <f>IF(M42=0,0,M42/TrRoad_act!M46*100)</f>
        <v>29.238584939285111</v>
      </c>
      <c r="N76" s="32">
        <f>IF(N42=0,0,N42/TrRoad_act!N46*100)</f>
        <v>19.7182570497115</v>
      </c>
      <c r="O76" s="32">
        <f>IF(O42=0,0,O42/TrRoad_act!O46*100)</f>
        <v>20.596155070843828</v>
      </c>
      <c r="P76" s="32">
        <f>IF(P42=0,0,P42/TrRoad_act!P46*100)</f>
        <v>30.806855291100799</v>
      </c>
      <c r="Q76" s="32">
        <f>IF(Q42=0,0,Q42/TrRoad_act!Q46*100)</f>
        <v>32.090242266852933</v>
      </c>
      <c r="R76" s="32">
        <f>IF(R42=0,0,R42/TrRoad_act!R46*100)</f>
        <v>29.44112098826378</v>
      </c>
      <c r="S76" s="32">
        <f>IF(S42=0,0,S42/TrRoad_act!S46*100)</f>
        <v>30.547776764977197</v>
      </c>
      <c r="T76" s="32">
        <f>IF(T42=0,0,T42/TrRoad_act!T46*100)</f>
        <v>32.336074461913391</v>
      </c>
      <c r="U76" s="32">
        <f>IF(U42=0,0,U42/TrRoad_act!U46*100)</f>
        <v>32.836533149203298</v>
      </c>
      <c r="V76" s="32">
        <f>IF(V42=0,0,V42/TrRoad_act!V46*100)</f>
        <v>33.351875137245379</v>
      </c>
      <c r="W76" s="32">
        <f>IF(W42=0,0,W42/TrRoad_act!W46*100)</f>
        <v>34.089410784897289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12.039852392049159</v>
      </c>
      <c r="C77" s="141">
        <f>IF(C43=0,0,C43/TrRoad_act!C47*100)</f>
        <v>11.726369181169497</v>
      </c>
      <c r="D77" s="141">
        <f>IF(D43=0,0,D43/TrRoad_act!D47*100)</f>
        <v>10.867758487652626</v>
      </c>
      <c r="E77" s="141">
        <f>IF(E43=0,0,E43/TrRoad_act!E47*100)</f>
        <v>10.3537793604693</v>
      </c>
      <c r="F77" s="141">
        <f>IF(F43=0,0,F43/TrRoad_act!F47*100)</f>
        <v>10.274286710785061</v>
      </c>
      <c r="G77" s="141">
        <f>IF(G43=0,0,G43/TrRoad_act!G47*100)</f>
        <v>9.7711320568308722</v>
      </c>
      <c r="H77" s="141">
        <f>IF(H43=0,0,H43/TrRoad_act!H47*100)</f>
        <v>9.2694683695435991</v>
      </c>
      <c r="I77" s="141">
        <f>IF(I43=0,0,I43/TrRoad_act!I47*100)</f>
        <v>9.3970625339261016</v>
      </c>
      <c r="J77" s="141">
        <f>IF(J43=0,0,J43/TrRoad_act!J47*100)</f>
        <v>9.1049021715647118</v>
      </c>
      <c r="K77" s="141">
        <f>IF(K43=0,0,K43/TrRoad_act!K47*100)</f>
        <v>8.496569719421311</v>
      </c>
      <c r="L77" s="141">
        <f>IF(L43=0,0,L43/TrRoad_act!L47*100)</f>
        <v>8.7879979800509833</v>
      </c>
      <c r="M77" s="141">
        <f>IF(M43=0,0,M43/TrRoad_act!M47*100)</f>
        <v>8.7538099419933602</v>
      </c>
      <c r="N77" s="141">
        <f>IF(N43=0,0,N43/TrRoad_act!N47*100)</f>
        <v>8.655521741923824</v>
      </c>
      <c r="O77" s="141">
        <f>IF(O43=0,0,O43/TrRoad_act!O47*100)</f>
        <v>8.671161686360227</v>
      </c>
      <c r="P77" s="141">
        <f>IF(P43=0,0,P43/TrRoad_act!P47*100)</f>
        <v>8.885507050110677</v>
      </c>
      <c r="Q77" s="141">
        <f>IF(Q43=0,0,Q43/TrRoad_act!Q47*100)</f>
        <v>9.0189909929579084</v>
      </c>
      <c r="R77" s="141">
        <f>IF(R43=0,0,R43/TrRoad_act!R47*100)</f>
        <v>9.0619348818926451</v>
      </c>
      <c r="S77" s="141">
        <f>IF(S43=0,0,S43/TrRoad_act!S47*100)</f>
        <v>9.3345610443812994</v>
      </c>
      <c r="T77" s="141">
        <f>IF(T43=0,0,T43/TrRoad_act!T47*100)</f>
        <v>9.4086257781303573</v>
      </c>
      <c r="U77" s="141">
        <f>IF(U43=0,0,U43/TrRoad_act!U47*100)</f>
        <v>9.4081244139228133</v>
      </c>
      <c r="V77" s="141">
        <f>IF(V43=0,0,V43/TrRoad_act!V47*100)</f>
        <v>9.4188226524430387</v>
      </c>
      <c r="W77" s="141">
        <f>IF(W43=0,0,W43/TrRoad_act!W47*100)</f>
        <v>9.3909618464512796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11.952881353426273</v>
      </c>
      <c r="C78" s="96">
        <f>IF(C44=0,0,C44/TrRoad_act!C48*100)</f>
        <v>11.576007833216057</v>
      </c>
      <c r="D78" s="96">
        <f>IF(D44=0,0,D44/TrRoad_act!D48*100)</f>
        <v>11.252605295877082</v>
      </c>
      <c r="E78" s="96">
        <f>IF(E44=0,0,E44/TrRoad_act!E48*100)</f>
        <v>10.997340602063153</v>
      </c>
      <c r="F78" s="96">
        <f>IF(F44=0,0,F44/TrRoad_act!F48*100)</f>
        <v>10.789801160959437</v>
      </c>
      <c r="G78" s="96">
        <f>IF(G44=0,0,G44/TrRoad_act!G48*100)</f>
        <v>10.609973973541171</v>
      </c>
      <c r="H78" s="96">
        <f>IF(H44=0,0,H44/TrRoad_act!H48*100)</f>
        <v>10.444733991828672</v>
      </c>
      <c r="I78" s="96">
        <f>IF(I44=0,0,I44/TrRoad_act!I48*100)</f>
        <v>10.345281682980435</v>
      </c>
      <c r="J78" s="96">
        <f>IF(J44=0,0,J44/TrRoad_act!J48*100)</f>
        <v>10.263853803404407</v>
      </c>
      <c r="K78" s="96">
        <f>IF(K44=0,0,K44/TrRoad_act!K48*100)</f>
        <v>10.170641324388525</v>
      </c>
      <c r="L78" s="96">
        <f>IF(L44=0,0,L44/TrRoad_act!L48*100)</f>
        <v>10.229274095757896</v>
      </c>
      <c r="M78" s="96">
        <f>IF(M44=0,0,M44/TrRoad_act!M48*100)</f>
        <v>10.246655748366841</v>
      </c>
      <c r="N78" s="96">
        <f>IF(N44=0,0,N44/TrRoad_act!N48*100)</f>
        <v>10.149049958636571</v>
      </c>
      <c r="O78" s="96">
        <f>IF(O44=0,0,O44/TrRoad_act!O48*100)</f>
        <v>10.0099490610224</v>
      </c>
      <c r="P78" s="96">
        <f>IF(P44=0,0,P44/TrRoad_act!P48*100)</f>
        <v>9.8247299833053638</v>
      </c>
      <c r="Q78" s="96">
        <f>IF(Q44=0,0,Q44/TrRoad_act!Q48*100)</f>
        <v>9.6016741122280038</v>
      </c>
      <c r="R78" s="96">
        <f>IF(R44=0,0,R44/TrRoad_act!R48*100)</f>
        <v>9.2441414656460399</v>
      </c>
      <c r="S78" s="96">
        <f>IF(S44=0,0,S44/TrRoad_act!S48*100)</f>
        <v>8.833483393762668</v>
      </c>
      <c r="T78" s="96">
        <f>IF(T44=0,0,T44/TrRoad_act!T48*100)</f>
        <v>8.5270819166588652</v>
      </c>
      <c r="U78" s="96">
        <f>IF(U44=0,0,U44/TrRoad_act!U48*100)</f>
        <v>9.0621226784373476</v>
      </c>
      <c r="V78" s="96">
        <f>IF(V44=0,0,V44/TrRoad_act!V48*100)</f>
        <v>8.9595599252436422</v>
      </c>
      <c r="W78" s="96">
        <f>IF(W44=0,0,W44/TrRoad_act!W48*100)</f>
        <v>8.9176618969477026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12.053919682151955</v>
      </c>
      <c r="C79" s="96">
        <f>IF(C46=0,0,C46/TrRoad_act!C49*100)</f>
        <v>11.749728515140822</v>
      </c>
      <c r="D79" s="96">
        <f>IF(D46=0,0,D46/TrRoad_act!D49*100)</f>
        <v>10.813676784190312</v>
      </c>
      <c r="E79" s="96">
        <f>IF(E46=0,0,E46/TrRoad_act!E49*100)</f>
        <v>10.270970230610752</v>
      </c>
      <c r="F79" s="96">
        <f>IF(F46=0,0,F46/TrRoad_act!F49*100)</f>
        <v>10.212779487026234</v>
      </c>
      <c r="G79" s="96">
        <f>IF(G46=0,0,G46/TrRoad_act!G49*100)</f>
        <v>9.6797403926938195</v>
      </c>
      <c r="H79" s="96">
        <f>IF(H46=0,0,H46/TrRoad_act!H49*100)</f>
        <v>9.1401556234446399</v>
      </c>
      <c r="I79" s="96">
        <f>IF(I46=0,0,I46/TrRoad_act!I49*100)</f>
        <v>9.2916952432668047</v>
      </c>
      <c r="J79" s="96">
        <f>IF(J46=0,0,J46/TrRoad_act!J49*100)</f>
        <v>8.9934497703450464</v>
      </c>
      <c r="K79" s="96">
        <f>IF(K46=0,0,K46/TrRoad_act!K49*100)</f>
        <v>8.3662685525161926</v>
      </c>
      <c r="L79" s="96">
        <f>IF(L46=0,0,L46/TrRoad_act!L49*100)</f>
        <v>8.6798283441839423</v>
      </c>
      <c r="M79" s="96">
        <f>IF(M46=0,0,M46/TrRoad_act!M49*100)</f>
        <v>8.6673343091616744</v>
      </c>
      <c r="N79" s="96">
        <f>IF(N46=0,0,N46/TrRoad_act!N49*100)</f>
        <v>8.5900376858101541</v>
      </c>
      <c r="O79" s="96">
        <f>IF(O46=0,0,O46/TrRoad_act!O49*100)</f>
        <v>8.6214241020328615</v>
      </c>
      <c r="P79" s="96">
        <f>IF(P46=0,0,P46/TrRoad_act!P49*100)</f>
        <v>8.85761543465056</v>
      </c>
      <c r="Q79" s="96">
        <f>IF(Q46=0,0,Q46/TrRoad_act!Q49*100)</f>
        <v>9.0048412866595857</v>
      </c>
      <c r="R79" s="96">
        <f>IF(R46=0,0,R46/TrRoad_act!R49*100)</f>
        <v>9.0580450299737283</v>
      </c>
      <c r="S79" s="96">
        <f>IF(S46=0,0,S46/TrRoad_act!S49*100)</f>
        <v>9.3444111381593373</v>
      </c>
      <c r="T79" s="96">
        <f>IF(T46=0,0,T46/TrRoad_act!T49*100)</f>
        <v>9.4245341775878462</v>
      </c>
      <c r="U79" s="96">
        <f>IF(U46=0,0,U46/TrRoad_act!U49*100)</f>
        <v>9.4160523613122606</v>
      </c>
      <c r="V79" s="96">
        <f>IF(V46=0,0,V46/TrRoad_act!V49*100)</f>
        <v>9.4279386030417669</v>
      </c>
      <c r="W79" s="96">
        <f>IF(W46=0,0,W46/TrRoad_act!W49*100)</f>
        <v>9.3992834740120372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0</v>
      </c>
      <c r="P82" s="96">
        <f>IF(P51=0,0,P51/TrRoad_act!P52*100)</f>
        <v>0</v>
      </c>
      <c r="Q82" s="96">
        <f>IF(Q51=0,0,Q51/TrRoad_act!Q52*100)</f>
        <v>0</v>
      </c>
      <c r="R82" s="96">
        <f>IF(R51=0,0,R51/TrRoad_act!R52*100)</f>
        <v>0</v>
      </c>
      <c r="S82" s="96">
        <f>IF(S51=0,0,S51/TrRoad_act!S52*100)</f>
        <v>0</v>
      </c>
      <c r="T82" s="96">
        <f>IF(T51=0,0,T51/TrRoad_act!T52*100)</f>
        <v>0</v>
      </c>
      <c r="U82" s="96">
        <f>IF(U51=0,0,U51/TrRoad_act!U52*100)</f>
        <v>0</v>
      </c>
      <c r="V82" s="96">
        <f>IF(V51=0,0,V51/TrRoad_act!V52*100)</f>
        <v>0</v>
      </c>
      <c r="W82" s="96">
        <f>IF(W51=0,0,W51/TrRoad_act!W52*100)</f>
        <v>0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40.554436874895735</v>
      </c>
      <c r="C83" s="130">
        <f>IF(C52=0,0,C52/TrRoad_act!C53*100)</f>
        <v>54.53540329538977</v>
      </c>
      <c r="D83" s="130">
        <f>IF(D52=0,0,D52/TrRoad_act!D53*100)</f>
        <v>54.43599949031357</v>
      </c>
      <c r="E83" s="130">
        <f>IF(E52=0,0,E52/TrRoad_act!E53*100)</f>
        <v>36.254033471267995</v>
      </c>
      <c r="F83" s="130">
        <f>IF(F52=0,0,F52/TrRoad_act!F53*100)</f>
        <v>42.556985434136436</v>
      </c>
      <c r="G83" s="130">
        <f>IF(G52=0,0,G52/TrRoad_act!G53*100)</f>
        <v>41.709081843090843</v>
      </c>
      <c r="H83" s="130">
        <f>IF(H52=0,0,H52/TrRoad_act!H53*100)</f>
        <v>35.362746955273558</v>
      </c>
      <c r="I83" s="130">
        <f>IF(I52=0,0,I52/TrRoad_act!I53*100)</f>
        <v>52.985947777607464</v>
      </c>
      <c r="J83" s="130">
        <f>IF(J52=0,0,J52/TrRoad_act!J53*100)</f>
        <v>62.38189406650617</v>
      </c>
      <c r="K83" s="130">
        <f>IF(K52=0,0,K52/TrRoad_act!K53*100)</f>
        <v>34.543604487177745</v>
      </c>
      <c r="L83" s="130">
        <f>IF(L52=0,0,L52/TrRoad_act!L53*100)</f>
        <v>46.661938660514565</v>
      </c>
      <c r="M83" s="130">
        <f>IF(M52=0,0,M52/TrRoad_act!M53*100)</f>
        <v>53.947304736232795</v>
      </c>
      <c r="N83" s="130">
        <f>IF(N52=0,0,N52/TrRoad_act!N53*100)</f>
        <v>32.956996067707379</v>
      </c>
      <c r="O83" s="130">
        <f>IF(O52=0,0,O52/TrRoad_act!O53*100)</f>
        <v>33.920273867233895</v>
      </c>
      <c r="P83" s="130">
        <f>IF(P52=0,0,P52/TrRoad_act!P53*100)</f>
        <v>57.022006129966009</v>
      </c>
      <c r="Q83" s="130">
        <f>IF(Q52=0,0,Q52/TrRoad_act!Q53*100)</f>
        <v>59.829050098007755</v>
      </c>
      <c r="R83" s="130">
        <f>IF(R52=0,0,R52/TrRoad_act!R53*100)</f>
        <v>54.907834653956009</v>
      </c>
      <c r="S83" s="130">
        <f>IF(S52=0,0,S52/TrRoad_act!S53*100)</f>
        <v>56.407295467793361</v>
      </c>
      <c r="T83" s="130">
        <f>IF(T52=0,0,T52/TrRoad_act!T53*100)</f>
        <v>60.271679590070313</v>
      </c>
      <c r="U83" s="130">
        <f>IF(U52=0,0,U52/TrRoad_act!U53*100)</f>
        <v>62.143762334522933</v>
      </c>
      <c r="V83" s="130">
        <f>IF(V52=0,0,V52/TrRoad_act!V53*100)</f>
        <v>62.607143754165527</v>
      </c>
      <c r="W83" s="130">
        <f>IF(W52=0,0,W52/TrRoad_act!W53*100)</f>
        <v>65.87683690082342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33.005826609681172</v>
      </c>
      <c r="C84" s="97">
        <f>IF(C53=0,0,C53/TrRoad_act!C54*100)</f>
        <v>38.078226747021795</v>
      </c>
      <c r="D84" s="97">
        <f>IF(D53=0,0,D53/TrRoad_act!D54*100)</f>
        <v>37.906935556771842</v>
      </c>
      <c r="E84" s="97">
        <f>IF(E53=0,0,E53/TrRoad_act!E54*100)</f>
        <v>31.266227914881679</v>
      </c>
      <c r="F84" s="97">
        <f>IF(F53=0,0,F53/TrRoad_act!F54*100)</f>
        <v>33.482685578209534</v>
      </c>
      <c r="G84" s="97">
        <f>IF(G53=0,0,G53/TrRoad_act!G54*100)</f>
        <v>33.013296561932776</v>
      </c>
      <c r="H84" s="97">
        <f>IF(H53=0,0,H53/TrRoad_act!H54*100)</f>
        <v>30.518614294672712</v>
      </c>
      <c r="I84" s="97">
        <f>IF(I53=0,0,I53/TrRoad_act!I54*100)</f>
        <v>36.965627853046158</v>
      </c>
      <c r="J84" s="97">
        <f>IF(J53=0,0,J53/TrRoad_act!J54*100)</f>
        <v>40.297036799142475</v>
      </c>
      <c r="K84" s="97">
        <f>IF(K53=0,0,K53/TrRoad_act!K54*100)</f>
        <v>30.287155037812507</v>
      </c>
      <c r="L84" s="97">
        <f>IF(L53=0,0,L53/TrRoad_act!L54*100)</f>
        <v>34.517030299002805</v>
      </c>
      <c r="M84" s="97">
        <f>IF(M53=0,0,M53/TrRoad_act!M54*100)</f>
        <v>37.067315732579033</v>
      </c>
      <c r="N84" s="97">
        <f>IF(N53=0,0,N53/TrRoad_act!N54*100)</f>
        <v>29.44866301073953</v>
      </c>
      <c r="O84" s="97">
        <f>IF(O53=0,0,O53/TrRoad_act!O54*100)</f>
        <v>29.793897956112005</v>
      </c>
      <c r="P84" s="97">
        <f>IF(P53=0,0,P53/TrRoad_act!P54*100)</f>
        <v>38.337009782098171</v>
      </c>
      <c r="Q84" s="97">
        <f>IF(Q53=0,0,Q53/TrRoad_act!Q54*100)</f>
        <v>39.223292376044178</v>
      </c>
      <c r="R84" s="97">
        <f>IF(R53=0,0,R53/TrRoad_act!R54*100)</f>
        <v>37.508380812849708</v>
      </c>
      <c r="S84" s="97">
        <f>IF(S53=0,0,S53/TrRoad_act!S54*100)</f>
        <v>38.173552502166174</v>
      </c>
      <c r="T84" s="97">
        <f>IF(T53=0,0,T53/TrRoad_act!T54*100)</f>
        <v>39.777615883931816</v>
      </c>
      <c r="U84" s="97">
        <f>IF(U53=0,0,U53/TrRoad_act!U54*100)</f>
        <v>40.643648028954921</v>
      </c>
      <c r="V84" s="97">
        <f>IF(V53=0,0,V53/TrRoad_act!V54*100)</f>
        <v>40.856087646711835</v>
      </c>
      <c r="W84" s="97">
        <f>IF(W53=0,0,W53/TrRoad_act!W54*100)</f>
        <v>42.110287782659292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63.190274085907625</v>
      </c>
      <c r="C85" s="98">
        <f>IF(C55=0,0,C55/TrRoad_act!C55*100)</f>
        <v>100.08500576992594</v>
      </c>
      <c r="D85" s="98">
        <f>IF(D55=0,0,D55/TrRoad_act!D55*100)</f>
        <v>97.921233124527404</v>
      </c>
      <c r="E85" s="98">
        <f>IF(E55=0,0,E55/TrRoad_act!E55*100)</f>
        <v>52.812823227258107</v>
      </c>
      <c r="F85" s="98">
        <f>IF(F55=0,0,F55/TrRoad_act!F55*100)</f>
        <v>67.619898424834886</v>
      </c>
      <c r="G85" s="98">
        <f>IF(G55=0,0,G55/TrRoad_act!G55*100)</f>
        <v>62.764807999566031</v>
      </c>
      <c r="H85" s="98">
        <f>IF(H55=0,0,H55/TrRoad_act!H55*100)</f>
        <v>44.855953325993731</v>
      </c>
      <c r="I85" s="98">
        <f>IF(I55=0,0,I55/TrRoad_act!I55*100)</f>
        <v>84.828002816757177</v>
      </c>
      <c r="J85" s="98">
        <f>IF(J55=0,0,J55/TrRoad_act!J55*100)</f>
        <v>104.02392760879775</v>
      </c>
      <c r="K85" s="98">
        <f>IF(K55=0,0,K55/TrRoad_act!K55*100)</f>
        <v>43.989339613257691</v>
      </c>
      <c r="L85" s="98">
        <f>IF(L55=0,0,L55/TrRoad_act!L55*100)</f>
        <v>67.218570949483507</v>
      </c>
      <c r="M85" s="98">
        <f>IF(M55=0,0,M55/TrRoad_act!M55*100)</f>
        <v>79.805017757004464</v>
      </c>
      <c r="N85" s="98">
        <f>IF(N55=0,0,N55/TrRoad_act!N55*100)</f>
        <v>38.001858679428544</v>
      </c>
      <c r="O85" s="98">
        <f>IF(O55=0,0,O55/TrRoad_act!O55*100)</f>
        <v>39.374585765560191</v>
      </c>
      <c r="P85" s="98">
        <f>IF(P55=0,0,P55/TrRoad_act!P55*100)</f>
        <v>85.274473865757415</v>
      </c>
      <c r="Q85" s="98">
        <f>IF(Q55=0,0,Q55/TrRoad_act!Q55*100)</f>
        <v>86.808462774608898</v>
      </c>
      <c r="R85" s="98">
        <f>IF(R55=0,0,R55/TrRoad_act!R55*100)</f>
        <v>77.293043007450763</v>
      </c>
      <c r="S85" s="98">
        <f>IF(S55=0,0,S55/TrRoad_act!S55*100)</f>
        <v>80.456166420963669</v>
      </c>
      <c r="T85" s="98">
        <f>IF(T55=0,0,T55/TrRoad_act!T55*100)</f>
        <v>90.246494094341728</v>
      </c>
      <c r="U85" s="98">
        <f>IF(U55=0,0,U55/TrRoad_act!U55*100)</f>
        <v>95.160101519873379</v>
      </c>
      <c r="V85" s="98">
        <f>IF(V55=0,0,V55/TrRoad_act!V55*100)</f>
        <v>93.381313242907524</v>
      </c>
      <c r="W85" s="98">
        <f>IF(W55=0,0,W55/TrRoad_act!W55*100)</f>
        <v>97.030475713691246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25.454895839128557</v>
      </c>
      <c r="C88" s="29">
        <f>IF(TrRoad_act!C4=0,0,C18/TrRoad_act!C4*1000)</f>
        <v>26.328055967332112</v>
      </c>
      <c r="D88" s="29">
        <f>IF(TrRoad_act!D4=0,0,D18/TrRoad_act!D4*1000)</f>
        <v>27.275023773984234</v>
      </c>
      <c r="E88" s="29">
        <f>IF(TrRoad_act!E4=0,0,E18/TrRoad_act!E4*1000)</f>
        <v>26.702209760570732</v>
      </c>
      <c r="F88" s="29">
        <f>IF(TrRoad_act!F4=0,0,F18/TrRoad_act!F4*1000)</f>
        <v>26.738712429624481</v>
      </c>
      <c r="G88" s="29">
        <f>IF(TrRoad_act!G4=0,0,G18/TrRoad_act!G4*1000)</f>
        <v>26.413372009658016</v>
      </c>
      <c r="H88" s="29">
        <f>IF(TrRoad_act!H4=0,0,H18/TrRoad_act!H4*1000)</f>
        <v>26.021866472402625</v>
      </c>
      <c r="I88" s="29">
        <f>IF(TrRoad_act!I4=0,0,I18/TrRoad_act!I4*1000)</f>
        <v>29.252825165079788</v>
      </c>
      <c r="J88" s="29">
        <f>IF(TrRoad_act!J4=0,0,J18/TrRoad_act!J4*1000)</f>
        <v>29.550823746679939</v>
      </c>
      <c r="K88" s="29">
        <f>IF(TrRoad_act!K4=0,0,K18/TrRoad_act!K4*1000)</f>
        <v>28.941236459211765</v>
      </c>
      <c r="L88" s="29">
        <f>IF(TrRoad_act!L4=0,0,L18/TrRoad_act!L4*1000)</f>
        <v>31.327535801627906</v>
      </c>
      <c r="M88" s="29">
        <f>IF(TrRoad_act!M4=0,0,M18/TrRoad_act!M4*1000)</f>
        <v>31.692903493137692</v>
      </c>
      <c r="N88" s="29">
        <f>IF(TrRoad_act!N4=0,0,N18/TrRoad_act!N4*1000)</f>
        <v>30.905195777150002</v>
      </c>
      <c r="O88" s="29">
        <f>IF(TrRoad_act!O4=0,0,O18/TrRoad_act!O4*1000)</f>
        <v>30.857649678743154</v>
      </c>
      <c r="P88" s="29">
        <f>IF(TrRoad_act!P4=0,0,P18/TrRoad_act!P4*1000)</f>
        <v>40.224405157928786</v>
      </c>
      <c r="Q88" s="29">
        <f>IF(TrRoad_act!Q4=0,0,Q18/TrRoad_act!Q4*1000)</f>
        <v>41.968553970321295</v>
      </c>
      <c r="R88" s="29">
        <f>IF(TrRoad_act!R4=0,0,R18/TrRoad_act!R4*1000)</f>
        <v>45.512093210017142</v>
      </c>
      <c r="S88" s="29">
        <f>IF(TrRoad_act!S4=0,0,S18/TrRoad_act!S4*1000)</f>
        <v>40.013641062561021</v>
      </c>
      <c r="T88" s="29">
        <f>IF(TrRoad_act!T4=0,0,T18/TrRoad_act!T4*1000)</f>
        <v>44.022452743660089</v>
      </c>
      <c r="U88" s="29">
        <f>IF(TrRoad_act!U4=0,0,U18/TrRoad_act!U4*1000)</f>
        <v>43.817295529870705</v>
      </c>
      <c r="V88" s="29">
        <f>IF(TrRoad_act!V4=0,0,V18/TrRoad_act!V4*1000)</f>
        <v>48.044072669385748</v>
      </c>
      <c r="W88" s="29">
        <f>IF(TrRoad_act!W4=0,0,W18/TrRoad_act!W4*1000)</f>
        <v>44.626645081847997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46.304180732123051</v>
      </c>
      <c r="C89" s="152">
        <f>IF(TrRoad_act!C5=0,0,C19/TrRoad_act!C5*1000)</f>
        <v>45.979913466179092</v>
      </c>
      <c r="D89" s="152">
        <f>IF(TrRoad_act!D5=0,0,D19/TrRoad_act!D5*1000)</f>
        <v>45.519330020148821</v>
      </c>
      <c r="E89" s="152">
        <f>IF(TrRoad_act!E5=0,0,E19/TrRoad_act!E5*1000)</f>
        <v>42.82251669175897</v>
      </c>
      <c r="F89" s="152">
        <f>IF(TrRoad_act!F5=0,0,F19/TrRoad_act!F5*1000)</f>
        <v>42.361275394798348</v>
      </c>
      <c r="G89" s="152">
        <f>IF(TrRoad_act!G5=0,0,G19/TrRoad_act!G5*1000)</f>
        <v>41.864819854761258</v>
      </c>
      <c r="H89" s="152">
        <f>IF(TrRoad_act!H5=0,0,H19/TrRoad_act!H5*1000)</f>
        <v>41.067441713999031</v>
      </c>
      <c r="I89" s="152">
        <f>IF(TrRoad_act!I5=0,0,I19/TrRoad_act!I5*1000)</f>
        <v>40.010987165522501</v>
      </c>
      <c r="J89" s="152">
        <f>IF(TrRoad_act!J5=0,0,J19/TrRoad_act!J5*1000)</f>
        <v>38.833200465199951</v>
      </c>
      <c r="K89" s="152">
        <f>IF(TrRoad_act!K5=0,0,K19/TrRoad_act!K5*1000)</f>
        <v>38.007118897089867</v>
      </c>
      <c r="L89" s="152">
        <f>IF(TrRoad_act!L5=0,0,L19/TrRoad_act!L5*1000)</f>
        <v>37.680891724721043</v>
      </c>
      <c r="M89" s="152">
        <f>IF(TrRoad_act!M5=0,0,M19/TrRoad_act!M5*1000)</f>
        <v>37.205763155832358</v>
      </c>
      <c r="N89" s="152">
        <f>IF(TrRoad_act!N5=0,0,N19/TrRoad_act!N5*1000)</f>
        <v>36.976991155913829</v>
      </c>
      <c r="O89" s="152">
        <f>IF(TrRoad_act!O5=0,0,O19/TrRoad_act!O5*1000)</f>
        <v>36.535856651064805</v>
      </c>
      <c r="P89" s="152">
        <f>IF(TrRoad_act!P5=0,0,P19/TrRoad_act!P5*1000)</f>
        <v>35.963047176580211</v>
      </c>
      <c r="Q89" s="152">
        <f>IF(TrRoad_act!Q5=0,0,Q19/TrRoad_act!Q5*1000)</f>
        <v>35.421396471037944</v>
      </c>
      <c r="R89" s="152">
        <f>IF(TrRoad_act!R5=0,0,R19/TrRoad_act!R5*1000)</f>
        <v>36.470737461221432</v>
      </c>
      <c r="S89" s="152">
        <f>IF(TrRoad_act!S5=0,0,S19/TrRoad_act!S5*1000)</f>
        <v>35.760780195106172</v>
      </c>
      <c r="T89" s="152">
        <f>IF(TrRoad_act!T5=0,0,T19/TrRoad_act!T5*1000)</f>
        <v>34.982383548452404</v>
      </c>
      <c r="U89" s="152">
        <f>IF(TrRoad_act!U5=0,0,U19/TrRoad_act!U5*1000)</f>
        <v>33.625906857206978</v>
      </c>
      <c r="V89" s="152">
        <f>IF(TrRoad_act!V5=0,0,V19/TrRoad_act!V5*1000)</f>
        <v>32.558703763154099</v>
      </c>
      <c r="W89" s="152">
        <f>IF(TrRoad_act!W5=0,0,W19/TrRoad_act!W5*1000)</f>
        <v>26.501437793129043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25.831159041477335</v>
      </c>
      <c r="C90" s="116">
        <f>IF(TrRoad_act!C6=0,0,C21/TrRoad_act!C6*1000)</f>
        <v>26.960302383017854</v>
      </c>
      <c r="D90" s="116">
        <f>IF(TrRoad_act!D6=0,0,D21/TrRoad_act!D6*1000)</f>
        <v>28.146011822421659</v>
      </c>
      <c r="E90" s="116">
        <f>IF(TrRoad_act!E6=0,0,E21/TrRoad_act!E6*1000)</f>
        <v>27.407363339789303</v>
      </c>
      <c r="F90" s="116">
        <f>IF(TrRoad_act!F6=0,0,F21/TrRoad_act!F6*1000)</f>
        <v>27.760490790298729</v>
      </c>
      <c r="G90" s="116">
        <f>IF(TrRoad_act!G6=0,0,G21/TrRoad_act!G6*1000)</f>
        <v>27.446649601778383</v>
      </c>
      <c r="H90" s="116">
        <f>IF(TrRoad_act!H6=0,0,H21/TrRoad_act!H6*1000)</f>
        <v>26.948736869817981</v>
      </c>
      <c r="I90" s="116">
        <f>IF(TrRoad_act!I6=0,0,I21/TrRoad_act!I6*1000)</f>
        <v>30.51867623397645</v>
      </c>
      <c r="J90" s="116">
        <f>IF(TrRoad_act!J6=0,0,J21/TrRoad_act!J6*1000)</f>
        <v>30.812925142246403</v>
      </c>
      <c r="K90" s="116">
        <f>IF(TrRoad_act!K6=0,0,K21/TrRoad_act!K6*1000)</f>
        <v>29.707526795106549</v>
      </c>
      <c r="L90" s="116">
        <f>IF(TrRoad_act!L6=0,0,L21/TrRoad_act!L6*1000)</f>
        <v>32.350661847999952</v>
      </c>
      <c r="M90" s="116">
        <f>IF(TrRoad_act!M6=0,0,M21/TrRoad_act!M6*1000)</f>
        <v>32.865390109279502</v>
      </c>
      <c r="N90" s="116">
        <f>IF(TrRoad_act!N6=0,0,N21/TrRoad_act!N6*1000)</f>
        <v>31.877720862459157</v>
      </c>
      <c r="O90" s="116">
        <f>IF(TrRoad_act!O6=0,0,O21/TrRoad_act!O6*1000)</f>
        <v>31.945049889141153</v>
      </c>
      <c r="P90" s="116">
        <f>IF(TrRoad_act!P6=0,0,P21/TrRoad_act!P6*1000)</f>
        <v>42.98681371150672</v>
      </c>
      <c r="Q90" s="116">
        <f>IF(TrRoad_act!Q6=0,0,Q21/TrRoad_act!Q6*1000)</f>
        <v>44.405191286951037</v>
      </c>
      <c r="R90" s="116">
        <f>IF(TrRoad_act!R6=0,0,R21/TrRoad_act!R6*1000)</f>
        <v>48.113446616280307</v>
      </c>
      <c r="S90" s="116">
        <f>IF(TrRoad_act!S6=0,0,S21/TrRoad_act!S6*1000)</f>
        <v>41.763171998161539</v>
      </c>
      <c r="T90" s="116">
        <f>IF(TrRoad_act!T6=0,0,T21/TrRoad_act!T6*1000)</f>
        <v>46.31166342023139</v>
      </c>
      <c r="U90" s="116">
        <f>IF(TrRoad_act!U6=0,0,U21/TrRoad_act!U6*1000)</f>
        <v>45.860344727796168</v>
      </c>
      <c r="V90" s="116">
        <f>IF(TrRoad_act!V6=0,0,V21/TrRoad_act!V6*1000)</f>
        <v>49.006195984249935</v>
      </c>
      <c r="W90" s="116">
        <f>IF(TrRoad_act!W6=0,0,W21/TrRoad_act!W6*1000)</f>
        <v>45.289404899016404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29.656523794863489</v>
      </c>
      <c r="C91" s="87">
        <f>IF(TrRoad_act!C7=0,0,C22/TrRoad_act!C7*1000)</f>
        <v>31.763961354472439</v>
      </c>
      <c r="D91" s="87">
        <f>IF(TrRoad_act!D7=0,0,D22/TrRoad_act!D7*1000)</f>
        <v>33.606837610927258</v>
      </c>
      <c r="E91" s="87">
        <f>IF(TrRoad_act!E7=0,0,E22/TrRoad_act!E7*1000)</f>
        <v>33.125285878474479</v>
      </c>
      <c r="F91" s="87">
        <f>IF(TrRoad_act!F7=0,0,F22/TrRoad_act!F7*1000)</f>
        <v>34.276594368268775</v>
      </c>
      <c r="G91" s="87">
        <f>IF(TrRoad_act!G7=0,0,G22/TrRoad_act!G7*1000)</f>
        <v>32.576769159226771</v>
      </c>
      <c r="H91" s="87">
        <f>IF(TrRoad_act!H7=0,0,H22/TrRoad_act!H7*1000)</f>
        <v>32.617838908304201</v>
      </c>
      <c r="I91" s="87">
        <f>IF(TrRoad_act!I7=0,0,I22/TrRoad_act!I7*1000)</f>
        <v>37.336513602736233</v>
      </c>
      <c r="J91" s="87">
        <f>IF(TrRoad_act!J7=0,0,J22/TrRoad_act!J7*1000)</f>
        <v>37.955094669707222</v>
      </c>
      <c r="K91" s="87">
        <f>IF(TrRoad_act!K7=0,0,K22/TrRoad_act!K7*1000)</f>
        <v>36.687700385023007</v>
      </c>
      <c r="L91" s="87">
        <f>IF(TrRoad_act!L7=0,0,L22/TrRoad_act!L7*1000)</f>
        <v>41.601571109179098</v>
      </c>
      <c r="M91" s="87">
        <f>IF(TrRoad_act!M7=0,0,M22/TrRoad_act!M7*1000)</f>
        <v>41.266914765969624</v>
      </c>
      <c r="N91" s="87">
        <f>IF(TrRoad_act!N7=0,0,N22/TrRoad_act!N7*1000)</f>
        <v>41.594594029784844</v>
      </c>
      <c r="O91" s="87">
        <f>IF(TrRoad_act!O7=0,0,O22/TrRoad_act!O7*1000)</f>
        <v>42.071012870725582</v>
      </c>
      <c r="P91" s="87">
        <f>IF(TrRoad_act!P7=0,0,P22/TrRoad_act!P7*1000)</f>
        <v>53.891631807941458</v>
      </c>
      <c r="Q91" s="87">
        <f>IF(TrRoad_act!Q7=0,0,Q22/TrRoad_act!Q7*1000)</f>
        <v>55.493707162542165</v>
      </c>
      <c r="R91" s="87">
        <f>IF(TrRoad_act!R7=0,0,R22/TrRoad_act!R7*1000)</f>
        <v>62.811966245503903</v>
      </c>
      <c r="S91" s="87">
        <f>IF(TrRoad_act!S7=0,0,S22/TrRoad_act!S7*1000)</f>
        <v>52.254293862072174</v>
      </c>
      <c r="T91" s="87">
        <f>IF(TrRoad_act!T7=0,0,T22/TrRoad_act!T7*1000)</f>
        <v>55.583009482755401</v>
      </c>
      <c r="U91" s="87">
        <f>IF(TrRoad_act!U7=0,0,U22/TrRoad_act!U7*1000)</f>
        <v>52.65923066208515</v>
      </c>
      <c r="V91" s="87">
        <f>IF(TrRoad_act!V7=0,0,V22/TrRoad_act!V7*1000)</f>
        <v>54.67191881138001</v>
      </c>
      <c r="W91" s="87">
        <f>IF(TrRoad_act!W7=0,0,W22/TrRoad_act!W7*1000)</f>
        <v>49.688429353170321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20.898208633862254</v>
      </c>
      <c r="C92" s="87">
        <f>IF(TrRoad_act!C8=0,0,C24/TrRoad_act!C8*1000)</f>
        <v>20.961169695412764</v>
      </c>
      <c r="D92" s="87">
        <f>IF(TrRoad_act!D8=0,0,D24/TrRoad_act!D8*1000)</f>
        <v>21.878311102901879</v>
      </c>
      <c r="E92" s="87">
        <f>IF(TrRoad_act!E8=0,0,E24/TrRoad_act!E8*1000)</f>
        <v>21.060271891229835</v>
      </c>
      <c r="F92" s="87">
        <f>IF(TrRoad_act!F8=0,0,F24/TrRoad_act!F8*1000)</f>
        <v>22.069696414746392</v>
      </c>
      <c r="G92" s="87">
        <f>IF(TrRoad_act!G8=0,0,G24/TrRoad_act!G8*1000)</f>
        <v>21.9152238045736</v>
      </c>
      <c r="H92" s="87">
        <f>IF(TrRoad_act!H8=0,0,H24/TrRoad_act!H8*1000)</f>
        <v>21.982777066924502</v>
      </c>
      <c r="I92" s="87">
        <f>IF(TrRoad_act!I8=0,0,I24/TrRoad_act!I8*1000)</f>
        <v>26.289364326175388</v>
      </c>
      <c r="J92" s="87">
        <f>IF(TrRoad_act!J8=0,0,J24/TrRoad_act!J8*1000)</f>
        <v>26.908531896018633</v>
      </c>
      <c r="K92" s="87">
        <f>IF(TrRoad_act!K8=0,0,K24/TrRoad_act!K8*1000)</f>
        <v>25.135826472968397</v>
      </c>
      <c r="L92" s="87">
        <f>IF(TrRoad_act!L8=0,0,L24/TrRoad_act!L8*1000)</f>
        <v>28.77679265979107</v>
      </c>
      <c r="M92" s="87">
        <f>IF(TrRoad_act!M8=0,0,M24/TrRoad_act!M8*1000)</f>
        <v>29.734628859743619</v>
      </c>
      <c r="N92" s="87">
        <f>IF(TrRoad_act!N8=0,0,N24/TrRoad_act!N8*1000)</f>
        <v>28.808993894027374</v>
      </c>
      <c r="O92" s="87">
        <f>IF(TrRoad_act!O8=0,0,O24/TrRoad_act!O8*1000)</f>
        <v>29.430153484106945</v>
      </c>
      <c r="P92" s="87">
        <f>IF(TrRoad_act!P8=0,0,P24/TrRoad_act!P8*1000)</f>
        <v>40.346110160566042</v>
      </c>
      <c r="Q92" s="87">
        <f>IF(TrRoad_act!Q8=0,0,Q24/TrRoad_act!Q8*1000)</f>
        <v>42.01198616386668</v>
      </c>
      <c r="R92" s="87">
        <f>IF(TrRoad_act!R8=0,0,R24/TrRoad_act!R8*1000)</f>
        <v>45.717056196873756</v>
      </c>
      <c r="S92" s="87">
        <f>IF(TrRoad_act!S8=0,0,S24/TrRoad_act!S8*1000)</f>
        <v>40.041433901338571</v>
      </c>
      <c r="T92" s="87">
        <f>IF(TrRoad_act!T8=0,0,T24/TrRoad_act!T8*1000)</f>
        <v>44.728952367414195</v>
      </c>
      <c r="U92" s="87">
        <f>IF(TrRoad_act!U8=0,0,U24/TrRoad_act!U8*1000)</f>
        <v>44.644088987594934</v>
      </c>
      <c r="V92" s="87">
        <f>IF(TrRoad_act!V8=0,0,V24/TrRoad_act!V8*1000)</f>
        <v>47.871708054406078</v>
      </c>
      <c r="W92" s="87">
        <f>IF(TrRoad_act!W8=0,0,W24/TrRoad_act!W8*1000)</f>
        <v>44.235504921128481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23.928504485364019</v>
      </c>
      <c r="C93" s="87">
        <f>IF(TrRoad_act!C9=0,0,C26/TrRoad_act!C9*1000)</f>
        <v>26.682733338485807</v>
      </c>
      <c r="D93" s="87">
        <f>IF(TrRoad_act!D9=0,0,D26/TrRoad_act!D9*1000)</f>
        <v>28.276583035559682</v>
      </c>
      <c r="E93" s="87">
        <f>IF(TrRoad_act!E9=0,0,E26/TrRoad_act!E9*1000)</f>
        <v>29.60288934002805</v>
      </c>
      <c r="F93" s="87">
        <f>IF(TrRoad_act!F9=0,0,F26/TrRoad_act!F9*1000)</f>
        <v>29.156124584185914</v>
      </c>
      <c r="G93" s="87">
        <f>IF(TrRoad_act!G9=0,0,G26/TrRoad_act!G9*1000)</f>
        <v>33.676824874834367</v>
      </c>
      <c r="H93" s="87">
        <f>IF(TrRoad_act!H9=0,0,H26/TrRoad_act!H9*1000)</f>
        <v>32.733749262022535</v>
      </c>
      <c r="I93" s="87">
        <f>IF(TrRoad_act!I9=0,0,I26/TrRoad_act!I9*1000)</f>
        <v>30.718767220651834</v>
      </c>
      <c r="J93" s="87">
        <f>IF(TrRoad_act!J9=0,0,J26/TrRoad_act!J9*1000)</f>
        <v>29.685171500101603</v>
      </c>
      <c r="K93" s="87">
        <f>IF(TrRoad_act!K9=0,0,K26/TrRoad_act!K9*1000)</f>
        <v>33.968312640339619</v>
      </c>
      <c r="L93" s="87">
        <f>IF(TrRoad_act!L9=0,0,L26/TrRoad_act!L9*1000)</f>
        <v>33.474086988254726</v>
      </c>
      <c r="M93" s="87">
        <f>IF(TrRoad_act!M9=0,0,M26/TrRoad_act!M9*1000)</f>
        <v>34.140305144453869</v>
      </c>
      <c r="N93" s="87">
        <f>IF(TrRoad_act!N9=0,0,N26/TrRoad_act!N9*1000)</f>
        <v>36.878356712950492</v>
      </c>
      <c r="O93" s="87">
        <f>IF(TrRoad_act!O9=0,0,O26/TrRoad_act!O9*1000)</f>
        <v>34.443962904004962</v>
      </c>
      <c r="P93" s="87">
        <f>IF(TrRoad_act!P9=0,0,P26/TrRoad_act!P9*1000)</f>
        <v>44.711422140630631</v>
      </c>
      <c r="Q93" s="87">
        <f>IF(TrRoad_act!Q9=0,0,Q26/TrRoad_act!Q9*1000)</f>
        <v>46.041317183510948</v>
      </c>
      <c r="R93" s="87">
        <f>IF(TrRoad_act!R9=0,0,R26/TrRoad_act!R9*1000)</f>
        <v>47.847743196637019</v>
      </c>
      <c r="S93" s="87">
        <f>IF(TrRoad_act!S9=0,0,S26/TrRoad_act!S9*1000)</f>
        <v>42.778699690744936</v>
      </c>
      <c r="T93" s="87">
        <f>IF(TrRoad_act!T9=0,0,T26/TrRoad_act!T9*1000)</f>
        <v>47.948661768934151</v>
      </c>
      <c r="U93" s="87">
        <f>IF(TrRoad_act!U9=0,0,U26/TrRoad_act!U9*1000)</f>
        <v>48.292601253393322</v>
      </c>
      <c r="V93" s="87">
        <f>IF(TrRoad_act!V9=0,0,V26/TrRoad_act!V9*1000)</f>
        <v>53.518614559995669</v>
      </c>
      <c r="W93" s="87">
        <f>IF(TrRoad_act!W9=0,0,W26/TrRoad_act!W9*1000)</f>
        <v>51.962889708222797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39.096957110459932</v>
      </c>
      <c r="O94" s="87">
        <f>IF(TrRoad_act!O10=0,0,O27/TrRoad_act!O10*1000)</f>
        <v>31.611051083423476</v>
      </c>
      <c r="P94" s="87">
        <f>IF(TrRoad_act!P10=0,0,P27/TrRoad_act!P10*1000)</f>
        <v>38.341917816281708</v>
      </c>
      <c r="Q94" s="87">
        <f>IF(TrRoad_act!Q10=0,0,Q27/TrRoad_act!Q10*1000)</f>
        <v>40.085666046332783</v>
      </c>
      <c r="R94" s="87">
        <f>IF(TrRoad_act!R10=0,0,R27/TrRoad_act!R10*1000)</f>
        <v>44.270348192175732</v>
      </c>
      <c r="S94" s="87">
        <f>IF(TrRoad_act!S10=0,0,S27/TrRoad_act!S10*1000)</f>
        <v>39.351582230075429</v>
      </c>
      <c r="T94" s="87">
        <f>IF(TrRoad_act!T10=0,0,T27/TrRoad_act!T10*1000)</f>
        <v>44.459310488044423</v>
      </c>
      <c r="U94" s="87">
        <f>IF(TrRoad_act!U10=0,0,U27/TrRoad_act!U10*1000)</f>
        <v>44.326777320531221</v>
      </c>
      <c r="V94" s="87">
        <f>IF(TrRoad_act!V10=0,0,V27/TrRoad_act!V10*1000)</f>
        <v>45.540139430640266</v>
      </c>
      <c r="W94" s="87">
        <f>IF(TrRoad_act!W10=0,0,W27/TrRoad_act!W10*1000)</f>
        <v>41.101940600064076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19.206573566316344</v>
      </c>
      <c r="P95" s="87">
        <f>IF(TrRoad_act!P11=0,0,P29/TrRoad_act!P11*1000)</f>
        <v>20.708433309303427</v>
      </c>
      <c r="Q95" s="87">
        <f>IF(TrRoad_act!Q11=0,0,Q29/TrRoad_act!Q11*1000)</f>
        <v>21.35290958952525</v>
      </c>
      <c r="R95" s="87">
        <f>IF(TrRoad_act!R11=0,0,R29/TrRoad_act!R11*1000)</f>
        <v>25.117032734952339</v>
      </c>
      <c r="S95" s="87">
        <f>IF(TrRoad_act!S11=0,0,S29/TrRoad_act!S11*1000)</f>
        <v>22.170219559824471</v>
      </c>
      <c r="T95" s="87">
        <f>IF(TrRoad_act!T11=0,0,T29/TrRoad_act!T11*1000)</f>
        <v>26.20151310604</v>
      </c>
      <c r="U95" s="87">
        <f>IF(TrRoad_act!U11=0,0,U29/TrRoad_act!U11*1000)</f>
        <v>28.202973099569775</v>
      </c>
      <c r="V95" s="87">
        <f>IF(TrRoad_act!V11=0,0,V29/TrRoad_act!V11*1000)</f>
        <v>31.450786559442939</v>
      </c>
      <c r="W95" s="87">
        <f>IF(TrRoad_act!W11=0,0,W29/TrRoad_act!W11*1000)</f>
        <v>29.689935292825318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8.0692753337396361</v>
      </c>
      <c r="N96" s="87">
        <f>IF(TrRoad_act!N12=0,0,N32/TrRoad_act!N12*1000)</f>
        <v>8.1671835443665888</v>
      </c>
      <c r="O96" s="87">
        <f>IF(TrRoad_act!O12=0,0,O32/TrRoad_act!O12*1000)</f>
        <v>8.0243967109658225</v>
      </c>
      <c r="P96" s="87">
        <f>IF(TrRoad_act!P12=0,0,P32/TrRoad_act!P12*1000)</f>
        <v>10.401475778514245</v>
      </c>
      <c r="Q96" s="87">
        <f>IF(TrRoad_act!Q12=0,0,Q32/TrRoad_act!Q12*1000)</f>
        <v>10.955896491705852</v>
      </c>
      <c r="R96" s="87">
        <f>IF(TrRoad_act!R12=0,0,R32/TrRoad_act!R12*1000)</f>
        <v>11.809818875128697</v>
      </c>
      <c r="S96" s="87">
        <f>IF(TrRoad_act!S12=0,0,S32/TrRoad_act!S12*1000)</f>
        <v>10.937382861878884</v>
      </c>
      <c r="T96" s="87">
        <f>IF(TrRoad_act!T12=0,0,T32/TrRoad_act!T12*1000)</f>
        <v>12.989230455649002</v>
      </c>
      <c r="U96" s="87">
        <f>IF(TrRoad_act!U12=0,0,U32/TrRoad_act!U12*1000)</f>
        <v>13.306925579582554</v>
      </c>
      <c r="V96" s="87">
        <f>IF(TrRoad_act!V12=0,0,V32/TrRoad_act!V12*1000)</f>
        <v>14.366973515331047</v>
      </c>
      <c r="W96" s="87">
        <f>IF(TrRoad_act!W12=0,0,W32/TrRoad_act!W12*1000)</f>
        <v>13.316121226893985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21.414738740233844</v>
      </c>
      <c r="C97" s="116">
        <f>IF(TrRoad_act!C13=0,0,C33/TrRoad_act!C13*1000)</f>
        <v>20.071396252776058</v>
      </c>
      <c r="D97" s="116">
        <f>IF(TrRoad_act!D13=0,0,D33/TrRoad_act!D13*1000)</f>
        <v>19.349479304884984</v>
      </c>
      <c r="E97" s="116">
        <f>IF(TrRoad_act!E13=0,0,E33/TrRoad_act!E13*1000)</f>
        <v>19.478957143176306</v>
      </c>
      <c r="F97" s="116">
        <f>IF(TrRoad_act!F13=0,0,F33/TrRoad_act!F13*1000)</f>
        <v>17.493216989788959</v>
      </c>
      <c r="G97" s="116">
        <f>IF(TrRoad_act!G13=0,0,G33/TrRoad_act!G13*1000)</f>
        <v>16.375572600573431</v>
      </c>
      <c r="H97" s="116">
        <f>IF(TrRoad_act!H13=0,0,H33/TrRoad_act!H13*1000)</f>
        <v>15.816753611862845</v>
      </c>
      <c r="I97" s="116">
        <f>IF(TrRoad_act!I13=0,0,I33/TrRoad_act!I13*1000)</f>
        <v>15.320301150089668</v>
      </c>
      <c r="J97" s="116">
        <f>IF(TrRoad_act!J13=0,0,J33/TrRoad_act!J13*1000)</f>
        <v>15.265769192167184</v>
      </c>
      <c r="K97" s="116">
        <f>IF(TrRoad_act!K13=0,0,K33/TrRoad_act!K13*1000)</f>
        <v>18.635023277587699</v>
      </c>
      <c r="L97" s="116">
        <f>IF(TrRoad_act!L13=0,0,L33/TrRoad_act!L13*1000)</f>
        <v>18.708446489572381</v>
      </c>
      <c r="M97" s="116">
        <f>IF(TrRoad_act!M13=0,0,M33/TrRoad_act!M13*1000)</f>
        <v>18.721380674690295</v>
      </c>
      <c r="N97" s="116">
        <f>IF(TrRoad_act!N13=0,0,N33/TrRoad_act!N13*1000)</f>
        <v>18.517383508207779</v>
      </c>
      <c r="O97" s="116">
        <f>IF(TrRoad_act!O13=0,0,O33/TrRoad_act!O13*1000)</f>
        <v>17.923625285994735</v>
      </c>
      <c r="P97" s="116">
        <f>IF(TrRoad_act!P13=0,0,P33/TrRoad_act!P13*1000)</f>
        <v>17.7577159283308</v>
      </c>
      <c r="Q97" s="116">
        <f>IF(TrRoad_act!Q13=0,0,Q33/TrRoad_act!Q13*1000)</f>
        <v>20.140351954100634</v>
      </c>
      <c r="R97" s="116">
        <f>IF(TrRoad_act!R13=0,0,R33/TrRoad_act!R13*1000)</f>
        <v>20.322613032393001</v>
      </c>
      <c r="S97" s="116">
        <f>IF(TrRoad_act!S13=0,0,S33/TrRoad_act!S13*1000)</f>
        <v>20.141520980998845</v>
      </c>
      <c r="T97" s="116">
        <f>IF(TrRoad_act!T13=0,0,T33/TrRoad_act!T13*1000)</f>
        <v>20.051461599162803</v>
      </c>
      <c r="U97" s="116">
        <f>IF(TrRoad_act!U13=0,0,U33/TrRoad_act!U13*1000)</f>
        <v>22.075679744309845</v>
      </c>
      <c r="V97" s="116">
        <f>IF(TrRoad_act!V13=0,0,V33/TrRoad_act!V13*1000)</f>
        <v>31.111081187960924</v>
      </c>
      <c r="W97" s="116">
        <f>IF(TrRoad_act!W13=0,0,W33/TrRoad_act!W13*1000)</f>
        <v>31.795614144110569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14.25825715711799</v>
      </c>
      <c r="E98" s="101">
        <f>IF(TrRoad_act!E14=0,0,E34/TrRoad_act!E14*1000)</f>
        <v>14.25771304999626</v>
      </c>
      <c r="F98" s="101">
        <f>IF(TrRoad_act!F14=0,0,F34/TrRoad_act!F14*1000)</f>
        <v>14.107966635429426</v>
      </c>
      <c r="G98" s="101">
        <f>IF(TrRoad_act!G14=0,0,G34/TrRoad_act!G14*1000)</f>
        <v>14.200404535123676</v>
      </c>
      <c r="H98" s="101">
        <f>IF(TrRoad_act!H14=0,0,H34/TrRoad_act!H14*1000)</f>
        <v>14.230238594138338</v>
      </c>
      <c r="I98" s="101">
        <f>IF(TrRoad_act!I14=0,0,I34/TrRoad_act!I14*1000)</f>
        <v>14.272910998376366</v>
      </c>
      <c r="J98" s="101">
        <f>IF(TrRoad_act!J14=0,0,J34/TrRoad_act!J14*1000)</f>
        <v>14.26797197984706</v>
      </c>
      <c r="K98" s="101">
        <f>IF(TrRoad_act!K14=0,0,K34/TrRoad_act!K14*1000)</f>
        <v>14.558840040443023</v>
      </c>
      <c r="L98" s="101">
        <f>IF(TrRoad_act!L14=0,0,L34/TrRoad_act!L14*1000)</f>
        <v>14.560987998259497</v>
      </c>
      <c r="M98" s="101">
        <f>IF(TrRoad_act!M14=0,0,M34/TrRoad_act!M14*1000)</f>
        <v>14.540665920270737</v>
      </c>
      <c r="N98" s="101">
        <f>IF(TrRoad_act!N14=0,0,N34/TrRoad_act!N14*1000)</f>
        <v>15.120763687304406</v>
      </c>
      <c r="O98" s="101">
        <f>IF(TrRoad_act!O14=0,0,O34/TrRoad_act!O14*1000)</f>
        <v>11.977313973034137</v>
      </c>
      <c r="P98" s="101">
        <f>IF(TrRoad_act!P14=0,0,P34/TrRoad_act!P14*1000)</f>
        <v>12.52157789665055</v>
      </c>
      <c r="Q98" s="101">
        <f>IF(TrRoad_act!Q14=0,0,Q34/TrRoad_act!Q14*1000)</f>
        <v>13.425394902679578</v>
      </c>
      <c r="R98" s="101">
        <f>IF(TrRoad_act!R14=0,0,R34/TrRoad_act!R14*1000)</f>
        <v>13.646001277372724</v>
      </c>
      <c r="S98" s="101">
        <f>IF(TrRoad_act!S14=0,0,S34/TrRoad_act!S14*1000)</f>
        <v>13.45746586246352</v>
      </c>
      <c r="T98" s="101">
        <f>IF(TrRoad_act!T14=0,0,T34/TrRoad_act!T14*1000)</f>
        <v>13.319223259395683</v>
      </c>
      <c r="U98" s="101">
        <f>IF(TrRoad_act!U14=0,0,U34/TrRoad_act!U14*1000)</f>
        <v>14.568043916602038</v>
      </c>
      <c r="V98" s="101">
        <f>IF(TrRoad_act!V14=0,0,V34/TrRoad_act!V14*1000)</f>
        <v>18.579179380137255</v>
      </c>
      <c r="W98" s="101">
        <f>IF(TrRoad_act!W14=0,0,W34/TrRoad_act!W14*1000)</f>
        <v>18.661862114633408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21.414738740233844</v>
      </c>
      <c r="C99" s="101">
        <f>IF(TrRoad_act!C15=0,0,C36/TrRoad_act!C15*1000)</f>
        <v>20.071396252776058</v>
      </c>
      <c r="D99" s="101">
        <f>IF(TrRoad_act!D15=0,0,D36/TrRoad_act!D15*1000)</f>
        <v>19.358677780151613</v>
      </c>
      <c r="E99" s="101">
        <f>IF(TrRoad_act!E15=0,0,E36/TrRoad_act!E15*1000)</f>
        <v>19.492310672136771</v>
      </c>
      <c r="F99" s="101">
        <f>IF(TrRoad_act!F15=0,0,F36/TrRoad_act!F15*1000)</f>
        <v>17.538052861228152</v>
      </c>
      <c r="G99" s="101">
        <f>IF(TrRoad_act!G15=0,0,G36/TrRoad_act!G15*1000)</f>
        <v>16.507225592897647</v>
      </c>
      <c r="H99" s="101">
        <f>IF(TrRoad_act!H15=0,0,H36/TrRoad_act!H15*1000)</f>
        <v>16.040306651497787</v>
      </c>
      <c r="I99" s="101">
        <f>IF(TrRoad_act!I15=0,0,I36/TrRoad_act!I15*1000)</f>
        <v>15.619499124026605</v>
      </c>
      <c r="J99" s="101">
        <f>IF(TrRoad_act!J15=0,0,J36/TrRoad_act!J15*1000)</f>
        <v>15.592415020287618</v>
      </c>
      <c r="K99" s="101">
        <f>IF(TrRoad_act!K15=0,0,K36/TrRoad_act!K15*1000)</f>
        <v>19.153978319186283</v>
      </c>
      <c r="L99" s="101">
        <f>IF(TrRoad_act!L15=0,0,L36/TrRoad_act!L15*1000)</f>
        <v>19.19681570656083</v>
      </c>
      <c r="M99" s="101">
        <f>IF(TrRoad_act!M15=0,0,M36/TrRoad_act!M15*1000)</f>
        <v>19.205441746006752</v>
      </c>
      <c r="N99" s="101">
        <f>IF(TrRoad_act!N15=0,0,N36/TrRoad_act!N15*1000)</f>
        <v>19.086416975555064</v>
      </c>
      <c r="O99" s="101">
        <f>IF(TrRoad_act!O15=0,0,O36/TrRoad_act!O15*1000)</f>
        <v>19.939652182763453</v>
      </c>
      <c r="P99" s="101">
        <f>IF(TrRoad_act!P15=0,0,P36/TrRoad_act!P15*1000)</f>
        <v>19.880811203532907</v>
      </c>
      <c r="Q99" s="101">
        <f>IF(TrRoad_act!Q15=0,0,Q36/TrRoad_act!Q15*1000)</f>
        <v>23.278018196442613</v>
      </c>
      <c r="R99" s="101">
        <f>IF(TrRoad_act!R15=0,0,R36/TrRoad_act!R15*1000)</f>
        <v>23.852197907979967</v>
      </c>
      <c r="S99" s="101">
        <f>IF(TrRoad_act!S15=0,0,S36/TrRoad_act!S15*1000)</f>
        <v>23.686576863084461</v>
      </c>
      <c r="T99" s="101">
        <f>IF(TrRoad_act!T15=0,0,T36/TrRoad_act!T15*1000)</f>
        <v>23.524021763200885</v>
      </c>
      <c r="U99" s="101">
        <f>IF(TrRoad_act!U15=0,0,U36/TrRoad_act!U15*1000)</f>
        <v>25.774066995294515</v>
      </c>
      <c r="V99" s="101">
        <f>IF(TrRoad_act!V15=0,0,V36/TrRoad_act!V15*1000)</f>
        <v>37.433970492079993</v>
      </c>
      <c r="W99" s="101">
        <f>IF(TrRoad_act!W15=0,0,W36/TrRoad_act!W15*1000)</f>
        <v>39.392768248444355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15.306113961251349</v>
      </c>
      <c r="E100" s="101">
        <f>IF(TrRoad_act!E16=0,0,E38/TrRoad_act!E16*1000)</f>
        <v>15.871268575136263</v>
      </c>
      <c r="F100" s="101">
        <f>IF(TrRoad_act!F16=0,0,F38/TrRoad_act!F16*1000)</f>
        <v>14.310711153775127</v>
      </c>
      <c r="G100" s="101">
        <f>IF(TrRoad_act!G16=0,0,G38/TrRoad_act!G16*1000)</f>
        <v>13.38261792001934</v>
      </c>
      <c r="H100" s="101">
        <f>IF(TrRoad_act!H16=0,0,H38/TrRoad_act!H16*1000)</f>
        <v>12.94549835003259</v>
      </c>
      <c r="I100" s="101">
        <f>IF(TrRoad_act!I16=0,0,I38/TrRoad_act!I16*1000)</f>
        <v>12.5432540347478</v>
      </c>
      <c r="J100" s="101">
        <f>IF(TrRoad_act!J16=0,0,J38/TrRoad_act!J16*1000)</f>
        <v>12.490434366868366</v>
      </c>
      <c r="K100" s="101">
        <f>IF(TrRoad_act!K16=0,0,K38/TrRoad_act!K16*1000)</f>
        <v>15.33595964176336</v>
      </c>
      <c r="L100" s="101">
        <f>IF(TrRoad_act!L16=0,0,L38/TrRoad_act!L16*1000)</f>
        <v>15.358863850782772</v>
      </c>
      <c r="M100" s="101">
        <f>IF(TrRoad_act!M16=0,0,M38/TrRoad_act!M16*1000)</f>
        <v>15.564579734192748</v>
      </c>
      <c r="N100" s="101">
        <f>IF(TrRoad_act!N16=0,0,N38/TrRoad_act!N16*1000)</f>
        <v>15.472587956638002</v>
      </c>
      <c r="O100" s="101">
        <f>IF(TrRoad_act!O16=0,0,O38/TrRoad_act!O16*1000)</f>
        <v>16.380854673777705</v>
      </c>
      <c r="P100" s="101">
        <f>IF(TrRoad_act!P16=0,0,P38/TrRoad_act!P16*1000)</f>
        <v>16.380042083878852</v>
      </c>
      <c r="Q100" s="101">
        <f>IF(TrRoad_act!Q16=0,0,Q38/TrRoad_act!Q16*1000)</f>
        <v>19.096924638461388</v>
      </c>
      <c r="R100" s="101">
        <f>IF(TrRoad_act!R16=0,0,R38/TrRoad_act!R16*1000)</f>
        <v>19.404564340664784</v>
      </c>
      <c r="S100" s="101">
        <f>IF(TrRoad_act!S16=0,0,S38/TrRoad_act!S16*1000)</f>
        <v>19.16249349181459</v>
      </c>
      <c r="T100" s="101">
        <f>IF(TrRoad_act!T16=0,0,T38/TrRoad_act!T16*1000)</f>
        <v>19.01876762610593</v>
      </c>
      <c r="U100" s="101">
        <f>IF(TrRoad_act!U16=0,0,U38/TrRoad_act!U16*1000)</f>
        <v>20.920525491007162</v>
      </c>
      <c r="V100" s="101">
        <f>IF(TrRoad_act!V16=0,0,V38/TrRoad_act!V16*1000)</f>
        <v>30.404582134793756</v>
      </c>
      <c r="W100" s="101">
        <f>IF(TrRoad_act!W16=0,0,W38/TrRoad_act!W16*1000)</f>
        <v>32.05056497287508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15.771093887938351</v>
      </c>
      <c r="L101" s="101">
        <f>IF(TrRoad_act!L17=0,0,L39/TrRoad_act!L17*1000)</f>
        <v>17.72096523214714</v>
      </c>
      <c r="M101" s="101">
        <f>IF(TrRoad_act!M17=0,0,M39/TrRoad_act!M17*1000)</f>
        <v>17.886484143405315</v>
      </c>
      <c r="N101" s="101">
        <f>IF(TrRoad_act!N17=0,0,N39/TrRoad_act!N17*1000)</f>
        <v>16.345965213918472</v>
      </c>
      <c r="O101" s="101">
        <f>IF(TrRoad_act!O17=0,0,O39/TrRoad_act!O17*1000)</f>
        <v>15.551669114825046</v>
      </c>
      <c r="P101" s="101">
        <f>IF(TrRoad_act!P17=0,0,P39/TrRoad_act!P17*1000)</f>
        <v>14.694973263512477</v>
      </c>
      <c r="Q101" s="101">
        <f>IF(TrRoad_act!Q17=0,0,Q39/TrRoad_act!Q17*1000)</f>
        <v>15.806240720429372</v>
      </c>
      <c r="R101" s="101">
        <f>IF(TrRoad_act!R17=0,0,R39/TrRoad_act!R17*1000)</f>
        <v>15.164206990503725</v>
      </c>
      <c r="S101" s="101">
        <f>IF(TrRoad_act!S17=0,0,S39/TrRoad_act!S17*1000)</f>
        <v>14.936378181935707</v>
      </c>
      <c r="T101" s="101">
        <f>IF(TrRoad_act!T17=0,0,T39/TrRoad_act!T17*1000)</f>
        <v>14.85165602768606</v>
      </c>
      <c r="U101" s="101">
        <f>IF(TrRoad_act!U17=0,0,U39/TrRoad_act!U17*1000)</f>
        <v>16.443145231554244</v>
      </c>
      <c r="V101" s="101">
        <f>IF(TrRoad_act!V17=0,0,V39/TrRoad_act!V17*1000)</f>
        <v>23.354164123071339</v>
      </c>
      <c r="W101" s="101">
        <f>IF(TrRoad_act!W17=0,0,W39/TrRoad_act!W17*1000)</f>
        <v>25.07353814777888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10.54399860073349</v>
      </c>
      <c r="G102" s="101">
        <f>IF(TrRoad_act!G18=0,0,G41/TrRoad_act!G18*1000)</f>
        <v>9.8475729257477891</v>
      </c>
      <c r="H102" s="101">
        <f>IF(TrRoad_act!H18=0,0,H41/TrRoad_act!H18*1000)</f>
        <v>9.5211062094172707</v>
      </c>
      <c r="I102" s="101">
        <f>IF(TrRoad_act!I18=0,0,I41/TrRoad_act!I18*1000)</f>
        <v>9.2244463591525694</v>
      </c>
      <c r="J102" s="101">
        <f>IF(TrRoad_act!J18=0,0,J41/TrRoad_act!J18*1000)</f>
        <v>9.1859673541520763</v>
      </c>
      <c r="K102" s="101">
        <f>IF(TrRoad_act!K18=0,0,K41/TrRoad_act!K18*1000)</f>
        <v>11.280234895525792</v>
      </c>
      <c r="L102" s="101">
        <f>IF(TrRoad_act!L18=0,0,L41/TrRoad_act!L18*1000)</f>
        <v>11.297210090968413</v>
      </c>
      <c r="M102" s="101">
        <f>IF(TrRoad_act!M18=0,0,M41/TrRoad_act!M18*1000)</f>
        <v>11.340117606024654</v>
      </c>
      <c r="N102" s="101">
        <f>IF(TrRoad_act!N18=0,0,N41/TrRoad_act!N18*1000)</f>
        <v>11.273293607546206</v>
      </c>
      <c r="O102" s="101">
        <f>IF(TrRoad_act!O18=0,0,O41/TrRoad_act!O18*1000)</f>
        <v>11.984186415300107</v>
      </c>
      <c r="P102" s="101">
        <f>IF(TrRoad_act!P18=0,0,P41/TrRoad_act!P18*1000)</f>
        <v>11.931089486862144</v>
      </c>
      <c r="Q102" s="101">
        <f>IF(TrRoad_act!Q18=0,0,Q41/TrRoad_act!Q18*1000)</f>
        <v>13.907352207003314</v>
      </c>
      <c r="R102" s="101">
        <f>IF(TrRoad_act!R18=0,0,R41/TrRoad_act!R18*1000)</f>
        <v>14.126979043666148</v>
      </c>
      <c r="S102" s="101">
        <f>IF(TrRoad_act!S18=0,0,S41/TrRoad_act!S18*1000)</f>
        <v>13.885521984584944</v>
      </c>
      <c r="T102" s="101">
        <f>IF(TrRoad_act!T18=0,0,T41/TrRoad_act!T18*1000)</f>
        <v>13.691725255276658</v>
      </c>
      <c r="U102" s="101">
        <f>IF(TrRoad_act!U18=0,0,U41/TrRoad_act!U18*1000)</f>
        <v>14.679962542352673</v>
      </c>
      <c r="V102" s="101">
        <f>IF(TrRoad_act!V18=0,0,V41/TrRoad_act!V18*1000)</f>
        <v>21.19891592746453</v>
      </c>
      <c r="W102" s="101">
        <f>IF(TrRoad_act!W18=0,0,W41/TrRoad_act!W18*1000)</f>
        <v>22.290161616150279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67.843412699754452</v>
      </c>
      <c r="C103" s="29">
        <f>IF(TrRoad_act!C19=0,0,C42/TrRoad_act!C19*1000)</f>
        <v>85.715311659408542</v>
      </c>
      <c r="D103" s="29">
        <f>IF(TrRoad_act!D19=0,0,D42/TrRoad_act!D19*1000)</f>
        <v>83.989240446255636</v>
      </c>
      <c r="E103" s="29">
        <f>IF(TrRoad_act!E19=0,0,E42/TrRoad_act!E19*1000)</f>
        <v>61.523076376669117</v>
      </c>
      <c r="F103" s="29">
        <f>IF(TrRoad_act!F19=0,0,F42/TrRoad_act!F19*1000)</f>
        <v>63.811266386663625</v>
      </c>
      <c r="G103" s="29">
        <f>IF(TrRoad_act!G19=0,0,G42/TrRoad_act!G19*1000)</f>
        <v>59.853550477572789</v>
      </c>
      <c r="H103" s="29">
        <f>IF(TrRoad_act!H19=0,0,H42/TrRoad_act!H19*1000)</f>
        <v>49.921690562878624</v>
      </c>
      <c r="I103" s="29">
        <f>IF(TrRoad_act!I19=0,0,I42/TrRoad_act!I19*1000)</f>
        <v>68.487163950112048</v>
      </c>
      <c r="J103" s="29">
        <f>IF(TrRoad_act!J19=0,0,J42/TrRoad_act!J19*1000)</f>
        <v>77.382464781696925</v>
      </c>
      <c r="K103" s="29">
        <f>IF(TrRoad_act!K19=0,0,K42/TrRoad_act!K19*1000)</f>
        <v>48.680400038667017</v>
      </c>
      <c r="L103" s="29">
        <f>IF(TrRoad_act!L19=0,0,L42/TrRoad_act!L19*1000)</f>
        <v>57.71605285048112</v>
      </c>
      <c r="M103" s="29">
        <f>IF(TrRoad_act!M19=0,0,M42/TrRoad_act!M19*1000)</f>
        <v>64.702156587649128</v>
      </c>
      <c r="N103" s="29">
        <f>IF(TrRoad_act!N19=0,0,N42/TrRoad_act!N19*1000)</f>
        <v>43.656053048299242</v>
      </c>
      <c r="O103" s="29">
        <f>IF(TrRoad_act!O19=0,0,O42/TrRoad_act!O19*1000)</f>
        <v>43.811892478221573</v>
      </c>
      <c r="P103" s="29">
        <f>IF(TrRoad_act!P19=0,0,P42/TrRoad_act!P19*1000)</f>
        <v>69.396607306874898</v>
      </c>
      <c r="Q103" s="29">
        <f>IF(TrRoad_act!Q19=0,0,Q42/TrRoad_act!Q19*1000)</f>
        <v>68.703657431602394</v>
      </c>
      <c r="R103" s="29">
        <f>IF(TrRoad_act!R19=0,0,R42/TrRoad_act!R19*1000)</f>
        <v>64.127029266354029</v>
      </c>
      <c r="S103" s="29">
        <f>IF(TrRoad_act!S19=0,0,S42/TrRoad_act!S19*1000)</f>
        <v>64.521078410703339</v>
      </c>
      <c r="T103" s="29">
        <f>IF(TrRoad_act!T19=0,0,T42/TrRoad_act!T19*1000)</f>
        <v>66.706346639016033</v>
      </c>
      <c r="U103" s="29">
        <f>IF(TrRoad_act!U19=0,0,U42/TrRoad_act!U19*1000)</f>
        <v>71.181493960564538</v>
      </c>
      <c r="V103" s="29">
        <f>IF(TrRoad_act!V19=0,0,V42/TrRoad_act!V19*1000)</f>
        <v>68.337178117426362</v>
      </c>
      <c r="W103" s="29">
        <f>IF(TrRoad_act!W19=0,0,W42/TrRoad_act!W19*1000)</f>
        <v>70.302303148765461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869.3537674906861</v>
      </c>
      <c r="C104" s="152">
        <f>IF(TrRoad_act!C20=0,0,C43/TrRoad_act!C20*1000)</f>
        <v>844.34339038858423</v>
      </c>
      <c r="D104" s="152">
        <f>IF(TrRoad_act!D20=0,0,D43/TrRoad_act!D20*1000)</f>
        <v>779.71394445897704</v>
      </c>
      <c r="E104" s="152">
        <f>IF(TrRoad_act!E20=0,0,E43/TrRoad_act!E20*1000)</f>
        <v>740.41861946203062</v>
      </c>
      <c r="F104" s="152">
        <f>IF(TrRoad_act!F20=0,0,F43/TrRoad_act!F20*1000)</f>
        <v>732.55189285902065</v>
      </c>
      <c r="G104" s="152">
        <f>IF(TrRoad_act!G20=0,0,G43/TrRoad_act!G20*1000)</f>
        <v>694.73958150819738</v>
      </c>
      <c r="H104" s="152">
        <f>IF(TrRoad_act!H20=0,0,H43/TrRoad_act!H20*1000)</f>
        <v>659.52115585008198</v>
      </c>
      <c r="I104" s="152">
        <f>IF(TrRoad_act!I20=0,0,I43/TrRoad_act!I20*1000)</f>
        <v>668.39933946979022</v>
      </c>
      <c r="J104" s="152">
        <f>IF(TrRoad_act!J20=0,0,J43/TrRoad_act!J20*1000)</f>
        <v>645.0598237729813</v>
      </c>
      <c r="K104" s="152">
        <f>IF(TrRoad_act!K20=0,0,K43/TrRoad_act!K20*1000)</f>
        <v>599.45189207785427</v>
      </c>
      <c r="L104" s="152">
        <f>IF(TrRoad_act!L20=0,0,L43/TrRoad_act!L20*1000)</f>
        <v>617.79751644679209</v>
      </c>
      <c r="M104" s="152">
        <f>IF(TrRoad_act!M20=0,0,M43/TrRoad_act!M20*1000)</f>
        <v>612.78094609108985</v>
      </c>
      <c r="N104" s="152">
        <f>IF(TrRoad_act!N20=0,0,N43/TrRoad_act!N20*1000)</f>
        <v>603.59851787346986</v>
      </c>
      <c r="O104" s="152">
        <f>IF(TrRoad_act!O20=0,0,O43/TrRoad_act!O20*1000)</f>
        <v>600.69147033409456</v>
      </c>
      <c r="P104" s="152">
        <f>IF(TrRoad_act!P20=0,0,P43/TrRoad_act!P20*1000)</f>
        <v>618.79473101118697</v>
      </c>
      <c r="Q104" s="152">
        <f>IF(TrRoad_act!Q20=0,0,Q43/TrRoad_act!Q20*1000)</f>
        <v>623.9929093983335</v>
      </c>
      <c r="R104" s="152">
        <f>IF(TrRoad_act!R20=0,0,R43/TrRoad_act!R20*1000)</f>
        <v>630.60409072236007</v>
      </c>
      <c r="S104" s="152">
        <f>IF(TrRoad_act!S20=0,0,S43/TrRoad_act!S20*1000)</f>
        <v>645.52661354415022</v>
      </c>
      <c r="T104" s="152">
        <f>IF(TrRoad_act!T20=0,0,T43/TrRoad_act!T20*1000)</f>
        <v>646.74764352107195</v>
      </c>
      <c r="U104" s="152">
        <f>IF(TrRoad_act!U20=0,0,U43/TrRoad_act!U20*1000)</f>
        <v>646.29742969012068</v>
      </c>
      <c r="V104" s="152">
        <f>IF(TrRoad_act!V20=0,0,V43/TrRoad_act!V20*1000)</f>
        <v>645.50494441088892</v>
      </c>
      <c r="W104" s="152">
        <f>IF(TrRoad_act!W20=0,0,W43/TrRoad_act!W20*1000)</f>
        <v>642.18801167260904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1052.993828954229</v>
      </c>
      <c r="C105" s="87">
        <f>IF(TrRoad_act!C21=0,0,C44/TrRoad_act!C21*1000)</f>
        <v>1017.9474404033144</v>
      </c>
      <c r="D105" s="87">
        <f>IF(TrRoad_act!D21=0,0,D44/TrRoad_act!D21*1000)</f>
        <v>988.28249296601723</v>
      </c>
      <c r="E105" s="87">
        <f>IF(TrRoad_act!E21=0,0,E44/TrRoad_act!E21*1000)</f>
        <v>964.56879705304095</v>
      </c>
      <c r="F105" s="87">
        <f>IF(TrRoad_act!F21=0,0,F44/TrRoad_act!F21*1000)</f>
        <v>945.01234422566097</v>
      </c>
      <c r="G105" s="87">
        <f>IF(TrRoad_act!G21=0,0,G44/TrRoad_act!G21*1000)</f>
        <v>928.28790281568888</v>
      </c>
      <c r="H105" s="87">
        <f>IF(TrRoad_act!H21=0,0,H44/TrRoad_act!H21*1000)</f>
        <v>915.94725445254414</v>
      </c>
      <c r="I105" s="87">
        <f>IF(TrRoad_act!I21=0,0,I44/TrRoad_act!I21*1000)</f>
        <v>908.46246340154391</v>
      </c>
      <c r="J105" s="87">
        <f>IF(TrRoad_act!J21=0,0,J44/TrRoad_act!J21*1000)</f>
        <v>901.76096870857577</v>
      </c>
      <c r="K105" s="87">
        <f>IF(TrRoad_act!K21=0,0,K44/TrRoad_act!K21*1000)</f>
        <v>894.4692447051516</v>
      </c>
      <c r="L105" s="87">
        <f>IF(TrRoad_act!L21=0,0,L44/TrRoad_act!L21*1000)</f>
        <v>896.87049298514137</v>
      </c>
      <c r="M105" s="87">
        <f>IF(TrRoad_act!M21=0,0,M44/TrRoad_act!M21*1000)</f>
        <v>897.44950697930335</v>
      </c>
      <c r="N105" s="87">
        <f>IF(TrRoad_act!N21=0,0,N44/TrRoad_act!N21*1000)</f>
        <v>887.99022827959618</v>
      </c>
      <c r="O105" s="87">
        <f>IF(TrRoad_act!O21=0,0,O44/TrRoad_act!O21*1000)</f>
        <v>874.52773777076413</v>
      </c>
      <c r="P105" s="87">
        <f>IF(TrRoad_act!P21=0,0,P44/TrRoad_act!P21*1000)</f>
        <v>859.11714553312152</v>
      </c>
      <c r="Q105" s="87">
        <f>IF(TrRoad_act!Q21=0,0,Q44/TrRoad_act!Q21*1000)</f>
        <v>836.64780517745021</v>
      </c>
      <c r="R105" s="87">
        <f>IF(TrRoad_act!R21=0,0,R44/TrRoad_act!R21*1000)</f>
        <v>809.0808162027937</v>
      </c>
      <c r="S105" s="87">
        <f>IF(TrRoad_act!S21=0,0,S44/TrRoad_act!S21*1000)</f>
        <v>773.14317956776517</v>
      </c>
      <c r="T105" s="87">
        <f>IF(TrRoad_act!T21=0,0,T44/TrRoad_act!T21*1000)</f>
        <v>745.00134669932652</v>
      </c>
      <c r="U105" s="87">
        <f>IF(TrRoad_act!U21=0,0,U44/TrRoad_act!U21*1000)</f>
        <v>790.43554474742336</v>
      </c>
      <c r="V105" s="87">
        <f>IF(TrRoad_act!V21=0,0,V44/TrRoad_act!V21*1000)</f>
        <v>780.14234370394956</v>
      </c>
      <c r="W105" s="87">
        <f>IF(TrRoad_act!W21=0,0,W44/TrRoad_act!W21*1000)</f>
        <v>775.16347100014525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845.69800176992089</v>
      </c>
      <c r="C106" s="87">
        <f>IF(TrRoad_act!C22=0,0,C46/TrRoad_act!C22*1000)</f>
        <v>822.86420077864375</v>
      </c>
      <c r="D106" s="87">
        <f>IF(TrRoad_act!D22=0,0,D46/TrRoad_act!D22*1000)</f>
        <v>756.37156708576606</v>
      </c>
      <c r="E106" s="87">
        <f>IF(TrRoad_act!E22=0,0,E46/TrRoad_act!E22*1000)</f>
        <v>717.4486075030095</v>
      </c>
      <c r="F106" s="87">
        <f>IF(TrRoad_act!F22=0,0,F46/TrRoad_act!F22*1000)</f>
        <v>712.36371254904805</v>
      </c>
      <c r="G106" s="87">
        <f>IF(TrRoad_act!G22=0,0,G46/TrRoad_act!G22*1000)</f>
        <v>674.475029590958</v>
      </c>
      <c r="H106" s="87">
        <f>IF(TrRoad_act!H22=0,0,H46/TrRoad_act!H22*1000)</f>
        <v>637.09548805940494</v>
      </c>
      <c r="I106" s="87">
        <f>IF(TrRoad_act!I22=0,0,I46/TrRoad_act!I22*1000)</f>
        <v>647.23876560345093</v>
      </c>
      <c r="J106" s="87">
        <f>IF(TrRoad_act!J22=0,0,J46/TrRoad_act!J22*1000)</f>
        <v>625.51715552193127</v>
      </c>
      <c r="K106" s="87">
        <f>IF(TrRoad_act!K22=0,0,K46/TrRoad_act!K22*1000)</f>
        <v>581.31007386239457</v>
      </c>
      <c r="L106" s="87">
        <f>IF(TrRoad_act!L22=0,0,L46/TrRoad_act!L22*1000)</f>
        <v>601.24991939110669</v>
      </c>
      <c r="M106" s="87">
        <f>IF(TrRoad_act!M22=0,0,M46/TrRoad_act!M22*1000)</f>
        <v>599.75296028491425</v>
      </c>
      <c r="N106" s="87">
        <f>IF(TrRoad_act!N22=0,0,N46/TrRoad_act!N22*1000)</f>
        <v>593.74790396954427</v>
      </c>
      <c r="O106" s="87">
        <f>IF(TrRoad_act!O22=0,0,O46/TrRoad_act!O22*1000)</f>
        <v>592.68634314746612</v>
      </c>
      <c r="P106" s="87">
        <f>IF(TrRoad_act!P22=0,0,P46/TrRoad_act!P22*1000)</f>
        <v>613.1451792306417</v>
      </c>
      <c r="Q106" s="87">
        <f>IF(TrRoad_act!Q22=0,0,Q46/TrRoad_act!Q22*1000)</f>
        <v>619.91301099037742</v>
      </c>
      <c r="R106" s="87">
        <f>IF(TrRoad_act!R22=0,0,R46/TrRoad_act!R22*1000)</f>
        <v>627.58785467036535</v>
      </c>
      <c r="S106" s="87">
        <f>IF(TrRoad_act!S22=0,0,S46/TrRoad_act!S22*1000)</f>
        <v>643.55261614299002</v>
      </c>
      <c r="T106" s="87">
        <f>IF(TrRoad_act!T22=0,0,T46/TrRoad_act!T22*1000)</f>
        <v>645.35796084025117</v>
      </c>
      <c r="U106" s="87">
        <f>IF(TrRoad_act!U22=0,0,U46/TrRoad_act!U22*1000)</f>
        <v>643.70894574320403</v>
      </c>
      <c r="V106" s="87">
        <f>IF(TrRoad_act!V22=0,0,V46/TrRoad_act!V22*1000)</f>
        <v>643.41039489403897</v>
      </c>
      <c r="W106" s="87">
        <f>IF(TrRoad_act!W22=0,0,W46/TrRoad_act!W22*1000)</f>
        <v>640.35558134442545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0</v>
      </c>
      <c r="P109" s="87">
        <f>IF(TrRoad_act!P25=0,0,P51/TrRoad_act!P25*1000)</f>
        <v>0</v>
      </c>
      <c r="Q109" s="87">
        <f>IF(TrRoad_act!Q25=0,0,Q51/TrRoad_act!Q25*1000)</f>
        <v>0</v>
      </c>
      <c r="R109" s="87">
        <f>IF(TrRoad_act!R25=0,0,R51/TrRoad_act!R25*1000)</f>
        <v>0</v>
      </c>
      <c r="S109" s="87">
        <f>IF(TrRoad_act!S25=0,0,S51/TrRoad_act!S25*1000)</f>
        <v>0</v>
      </c>
      <c r="T109" s="87">
        <f>IF(TrRoad_act!T25=0,0,T51/TrRoad_act!T25*1000)</f>
        <v>0</v>
      </c>
      <c r="U109" s="87">
        <f>IF(TrRoad_act!U25=0,0,U51/TrRoad_act!U25*1000)</f>
        <v>0</v>
      </c>
      <c r="V109" s="87">
        <f>IF(TrRoad_act!V25=0,0,V51/TrRoad_act!V25*1000)</f>
        <v>0</v>
      </c>
      <c r="W109" s="87">
        <f>IF(TrRoad_act!W25=0,0,W51/TrRoad_act!W25*1000)</f>
        <v>0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58.032447927828976</v>
      </c>
      <c r="C110" s="116">
        <f>IF(TrRoad_act!C26=0,0,C52/TrRoad_act!C26*1000)</f>
        <v>76.449516685717114</v>
      </c>
      <c r="D110" s="116">
        <f>IF(TrRoad_act!D26=0,0,D52/TrRoad_act!D26*1000)</f>
        <v>75.020151478924291</v>
      </c>
      <c r="E110" s="116">
        <f>IF(TrRoad_act!E26=0,0,E52/TrRoad_act!E26*1000)</f>
        <v>53.258010886047167</v>
      </c>
      <c r="F110" s="116">
        <f>IF(TrRoad_act!F26=0,0,F52/TrRoad_act!F26*1000)</f>
        <v>56.219894766220328</v>
      </c>
      <c r="G110" s="116">
        <f>IF(TrRoad_act!G26=0,0,G52/TrRoad_act!G26*1000)</f>
        <v>51.873299903556337</v>
      </c>
      <c r="H110" s="116">
        <f>IF(TrRoad_act!H26=0,0,H52/TrRoad_act!H26*1000)</f>
        <v>41.641489506773063</v>
      </c>
      <c r="I110" s="116">
        <f>IF(TrRoad_act!I26=0,0,I52/TrRoad_act!I26*1000)</f>
        <v>60.374270593447669</v>
      </c>
      <c r="J110" s="116">
        <f>IF(TrRoad_act!J26=0,0,J52/TrRoad_act!J26*1000)</f>
        <v>68.627986364354911</v>
      </c>
      <c r="K110" s="116">
        <f>IF(TrRoad_act!K26=0,0,K52/TrRoad_act!K26*1000)</f>
        <v>38.361437280718839</v>
      </c>
      <c r="L110" s="116">
        <f>IF(TrRoad_act!L26=0,0,L52/TrRoad_act!L26*1000)</f>
        <v>48.177832772443729</v>
      </c>
      <c r="M110" s="116">
        <f>IF(TrRoad_act!M26=0,0,M52/TrRoad_act!M26*1000)</f>
        <v>55.062905854510404</v>
      </c>
      <c r="N110" s="116">
        <f>IF(TrRoad_act!N26=0,0,N52/TrRoad_act!N26*1000)</f>
        <v>33.801078122348507</v>
      </c>
      <c r="O110" s="116">
        <f>IF(TrRoad_act!O26=0,0,O52/TrRoad_act!O26*1000)</f>
        <v>34.639548505592927</v>
      </c>
      <c r="P110" s="116">
        <f>IF(TrRoad_act!P26=0,0,P52/TrRoad_act!P26*1000)</f>
        <v>59.544930022419905</v>
      </c>
      <c r="Q110" s="116">
        <f>IF(TrRoad_act!Q26=0,0,Q52/TrRoad_act!Q26*1000)</f>
        <v>59.161600271862078</v>
      </c>
      <c r="R110" s="116">
        <f>IF(TrRoad_act!R26=0,0,R52/TrRoad_act!R26*1000)</f>
        <v>54.103442891188585</v>
      </c>
      <c r="S110" s="116">
        <f>IF(TrRoad_act!S26=0,0,S52/TrRoad_act!S26*1000)</f>
        <v>54.606330755766869</v>
      </c>
      <c r="T110" s="116">
        <f>IF(TrRoad_act!T26=0,0,T52/TrRoad_act!T26*1000)</f>
        <v>56.985507921241762</v>
      </c>
      <c r="U110" s="116">
        <f>IF(TrRoad_act!U26=0,0,U52/TrRoad_act!U26*1000)</f>
        <v>60.915757737584833</v>
      </c>
      <c r="V110" s="116">
        <f>IF(TrRoad_act!V26=0,0,V52/TrRoad_act!V26*1000)</f>
        <v>58.687232784271792</v>
      </c>
      <c r="W110" s="116">
        <f>IF(TrRoad_act!W26=0,0,W52/TrRoad_act!W26*1000)</f>
        <v>60.429136659205888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72.316136953795819</v>
      </c>
      <c r="C111" s="101">
        <f>IF(TrRoad_act!C27=0,0,C53/TrRoad_act!C27*1000)</f>
        <v>83.42982264796909</v>
      </c>
      <c r="D111" s="101">
        <f>IF(TrRoad_act!D27=0,0,D53/TrRoad_act!D27*1000)</f>
        <v>83.05452172551135</v>
      </c>
      <c r="E111" s="101">
        <f>IF(TrRoad_act!E27=0,0,E53/TrRoad_act!E27*1000)</f>
        <v>68.504656667437374</v>
      </c>
      <c r="F111" s="101">
        <f>IF(TrRoad_act!F27=0,0,F53/TrRoad_act!F27*1000)</f>
        <v>63.848591568027203</v>
      </c>
      <c r="G111" s="101">
        <f>IF(TrRoad_act!G27=0,0,G53/TrRoad_act!G27*1000)</f>
        <v>59.167489860646953</v>
      </c>
      <c r="H111" s="101">
        <f>IF(TrRoad_act!H27=0,0,H53/TrRoad_act!H27*1000)</f>
        <v>54.145928587322558</v>
      </c>
      <c r="I111" s="101">
        <f>IF(TrRoad_act!I27=0,0,I53/TrRoad_act!I27*1000)</f>
        <v>60.697998397753302</v>
      </c>
      <c r="J111" s="101">
        <f>IF(TrRoad_act!J27=0,0,J53/TrRoad_act!J27*1000)</f>
        <v>61.704837598686908</v>
      </c>
      <c r="K111" s="101">
        <f>IF(TrRoad_act!K27=0,0,K53/TrRoad_act!K27*1000)</f>
        <v>44.056135129062632</v>
      </c>
      <c r="L111" s="101">
        <f>IF(TrRoad_act!L27=0,0,L53/TrRoad_act!L27*1000)</f>
        <v>49.094903479384442</v>
      </c>
      <c r="M111" s="101">
        <f>IF(TrRoad_act!M27=0,0,M53/TrRoad_act!M27*1000)</f>
        <v>53.204379909262151</v>
      </c>
      <c r="N111" s="101">
        <f>IF(TrRoad_act!N27=0,0,N53/TrRoad_act!N27*1000)</f>
        <v>43.72607059018749</v>
      </c>
      <c r="O111" s="101">
        <f>IF(TrRoad_act!O27=0,0,O53/TrRoad_act!O27*1000)</f>
        <v>45.629237420974682</v>
      </c>
      <c r="P111" s="101">
        <f>IF(TrRoad_act!P27=0,0,P53/TrRoad_act!P27*1000)</f>
        <v>58.447319826753713</v>
      </c>
      <c r="Q111" s="101">
        <f>IF(TrRoad_act!Q27=0,0,Q53/TrRoad_act!Q27*1000)</f>
        <v>54.936846170360539</v>
      </c>
      <c r="R111" s="101">
        <f>IF(TrRoad_act!R27=0,0,R53/TrRoad_act!R27*1000)</f>
        <v>52.031827928936295</v>
      </c>
      <c r="S111" s="101">
        <f>IF(TrRoad_act!S27=0,0,S53/TrRoad_act!S27*1000)</f>
        <v>50.834127703889635</v>
      </c>
      <c r="T111" s="101">
        <f>IF(TrRoad_act!T27=0,0,T53/TrRoad_act!T27*1000)</f>
        <v>48.930180988471861</v>
      </c>
      <c r="U111" s="101">
        <f>IF(TrRoad_act!U27=0,0,U53/TrRoad_act!U27*1000)</f>
        <v>53.048249466765355</v>
      </c>
      <c r="V111" s="101">
        <f>IF(TrRoad_act!V27=0,0,V53/TrRoad_act!V27*1000)</f>
        <v>48.679593791826875</v>
      </c>
      <c r="W111" s="101">
        <f>IF(TrRoad_act!W27=0,0,W53/TrRoad_act!W27*1000)</f>
        <v>49.503031210065558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44.320967850813084</v>
      </c>
      <c r="C112" s="88">
        <f>IF(TrRoad_act!C28=0,0,C55/TrRoad_act!C28*1000)</f>
        <v>70.259456328810941</v>
      </c>
      <c r="D112" s="88">
        <f>IF(TrRoad_act!D28=0,0,D55/TrRoad_act!D28*1000)</f>
        <v>68.292028459665147</v>
      </c>
      <c r="E112" s="88">
        <f>IF(TrRoad_act!E28=0,0,E55/TrRoad_act!E28*1000)</f>
        <v>37.050833607073073</v>
      </c>
      <c r="F112" s="88">
        <f>IF(TrRoad_act!F28=0,0,F55/TrRoad_act!F28*1000)</f>
        <v>48.323613248287359</v>
      </c>
      <c r="G112" s="88">
        <f>IF(TrRoad_act!G28=0,0,G55/TrRoad_act!G28*1000)</f>
        <v>44.833915272612991</v>
      </c>
      <c r="H112" s="88">
        <f>IF(TrRoad_act!H28=0,0,H55/TrRoad_act!H28*1000)</f>
        <v>31.83791176873974</v>
      </c>
      <c r="I112" s="88">
        <f>IF(TrRoad_act!I28=0,0,I55/TrRoad_act!I28*1000)</f>
        <v>60.096654475717152</v>
      </c>
      <c r="J112" s="88">
        <f>IF(TrRoad_act!J28=0,0,J55/TrRoad_act!J28*1000)</f>
        <v>74.754278490580944</v>
      </c>
      <c r="K112" s="88">
        <f>IF(TrRoad_act!K28=0,0,K55/TrRoad_act!K28*1000)</f>
        <v>32.034645588522331</v>
      </c>
      <c r="L112" s="88">
        <f>IF(TrRoad_act!L28=0,0,L55/TrRoad_act!L28*1000)</f>
        <v>47.408133385442987</v>
      </c>
      <c r="M112" s="88">
        <f>IF(TrRoad_act!M28=0,0,M55/TrRoad_act!M28*1000)</f>
        <v>56.466332487533606</v>
      </c>
      <c r="N112" s="88">
        <f>IF(TrRoad_act!N28=0,0,N55/TrRoad_act!N28*1000)</f>
        <v>26.9776437201633</v>
      </c>
      <c r="O112" s="88">
        <f>IF(TrRoad_act!O28=0,0,O55/TrRoad_act!O28*1000)</f>
        <v>27.91501001376308</v>
      </c>
      <c r="P112" s="88">
        <f>IF(TrRoad_act!P28=0,0,P55/TrRoad_act!P28*1000)</f>
        <v>60.314894450186593</v>
      </c>
      <c r="Q112" s="88">
        <f>IF(TrRoad_act!Q28=0,0,Q55/TrRoad_act!Q28*1000)</f>
        <v>61.981445652865389</v>
      </c>
      <c r="R112" s="88">
        <f>IF(TrRoad_act!R28=0,0,R55/TrRoad_act!R28*1000)</f>
        <v>55.482588451113038</v>
      </c>
      <c r="S112" s="88">
        <f>IF(TrRoad_act!S28=0,0,S55/TrRoad_act!S28*1000)</f>
        <v>57.265556959484009</v>
      </c>
      <c r="T112" s="88">
        <f>IF(TrRoad_act!T28=0,0,T55/TrRoad_act!T28*1000)</f>
        <v>63.751536677964069</v>
      </c>
      <c r="U112" s="88">
        <f>IF(TrRoad_act!U28=0,0,U55/TrRoad_act!U28*1000)</f>
        <v>67.479707961185696</v>
      </c>
      <c r="V112" s="88">
        <f>IF(TrRoad_act!V28=0,0,V55/TrRoad_act!V28*1000)</f>
        <v>67.24470662305977</v>
      </c>
      <c r="W112" s="88">
        <f>IF(TrRoad_act!W28=0,0,W55/TrRoad_act!W28*1000)</f>
        <v>69.106212382952535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150.85707370937067</v>
      </c>
      <c r="C116" s="152">
        <f>IF(C19=0,0,1000000*C19/TrRoad_act!C59)</f>
        <v>148.71300386766055</v>
      </c>
      <c r="D116" s="152">
        <f>IF(D19=0,0,1000000*D19/TrRoad_act!D59)</f>
        <v>146.48885214072075</v>
      </c>
      <c r="E116" s="152">
        <f>IF(E19=0,0,1000000*E19/TrRoad_act!E59)</f>
        <v>136.79929284324419</v>
      </c>
      <c r="F116" s="152">
        <f>IF(F19=0,0,1000000*F19/TrRoad_act!F59)</f>
        <v>134.87554619011135</v>
      </c>
      <c r="G116" s="152">
        <f>IF(G19=0,0,1000000*G19/TrRoad_act!G59)</f>
        <v>123.89557928624959</v>
      </c>
      <c r="H116" s="152">
        <f>IF(H19=0,0,1000000*H19/TrRoad_act!H59)</f>
        <v>122.18553001565763</v>
      </c>
      <c r="I116" s="152">
        <f>IF(I19=0,0,1000000*I19/TrRoad_act!I59)</f>
        <v>116.36798492865272</v>
      </c>
      <c r="J116" s="152">
        <f>IF(J19=0,0,1000000*J19/TrRoad_act!J59)</f>
        <v>112.79066506401352</v>
      </c>
      <c r="K116" s="152">
        <f>IF(K19=0,0,1000000*K19/TrRoad_act!K59)</f>
        <v>108.77767930191841</v>
      </c>
      <c r="L116" s="152">
        <f>IF(L19=0,0,1000000*L19/TrRoad_act!L59)</f>
        <v>106.15740033795532</v>
      </c>
      <c r="M116" s="152">
        <f>IF(M19=0,0,1000000*M19/TrRoad_act!M59)</f>
        <v>104.35326846615074</v>
      </c>
      <c r="N116" s="152">
        <f>IF(N19=0,0,1000000*N19/TrRoad_act!N59)</f>
        <v>102.19977485701702</v>
      </c>
      <c r="O116" s="152">
        <f>IF(O19=0,0,1000000*O19/TrRoad_act!O59)</f>
        <v>100.3675661266727</v>
      </c>
      <c r="P116" s="152">
        <f>IF(P19=0,0,1000000*P19/TrRoad_act!P59)</f>
        <v>95.446961192560551</v>
      </c>
      <c r="Q116" s="152">
        <f>IF(Q19=0,0,1000000*Q19/TrRoad_act!Q59)</f>
        <v>94.111223668167796</v>
      </c>
      <c r="R116" s="152">
        <f>IF(R19=0,0,1000000*R19/TrRoad_act!R59)</f>
        <v>98.963772552644713</v>
      </c>
      <c r="S116" s="152">
        <f>IF(S19=0,0,1000000*S19/TrRoad_act!S59)</f>
        <v>87.342564792353556</v>
      </c>
      <c r="T116" s="152">
        <f>IF(T19=0,0,1000000*T19/TrRoad_act!T59)</f>
        <v>76.518042521537694</v>
      </c>
      <c r="U116" s="152">
        <f>IF(U19=0,0,1000000*U19/TrRoad_act!U59)</f>
        <v>67.107489029211592</v>
      </c>
      <c r="V116" s="152">
        <f>IF(V19=0,0,1000000*V19/TrRoad_act!V59)</f>
        <v>51.643476416384964</v>
      </c>
      <c r="W116" s="152">
        <f>IF(W19=0,0,1000000*W19/TrRoad_act!W59)</f>
        <v>38.972713167681675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728.11633106721285</v>
      </c>
      <c r="C117" s="116">
        <f>IF(C21=0,0,1000000*C21/TrRoad_act!C60)</f>
        <v>742.96232124202743</v>
      </c>
      <c r="D117" s="116">
        <f>IF(D21=0,0,1000000*D21/TrRoad_act!D60)</f>
        <v>738.48327342381583</v>
      </c>
      <c r="E117" s="116">
        <f>IF(E21=0,0,1000000*E21/TrRoad_act!E60)</f>
        <v>745.00754729460368</v>
      </c>
      <c r="F117" s="116">
        <f>IF(F21=0,0,1000000*F21/TrRoad_act!F60)</f>
        <v>750.99458990749793</v>
      </c>
      <c r="G117" s="116">
        <f>IF(G21=0,0,1000000*G21/TrRoad_act!G60)</f>
        <v>785.78963099302155</v>
      </c>
      <c r="H117" s="116">
        <f>IF(H21=0,0,1000000*H21/TrRoad_act!H60)</f>
        <v>753.216201324037</v>
      </c>
      <c r="I117" s="116">
        <f>IF(I21=0,0,1000000*I21/TrRoad_act!I60)</f>
        <v>802.37763859399763</v>
      </c>
      <c r="J117" s="116">
        <f>IF(J21=0,0,1000000*J21/TrRoad_act!J60)</f>
        <v>785.40439802415574</v>
      </c>
      <c r="K117" s="116">
        <f>IF(K21=0,0,1000000*K21/TrRoad_act!K60)</f>
        <v>754.71111247164231</v>
      </c>
      <c r="L117" s="116">
        <f>IF(L21=0,0,1000000*L21/TrRoad_act!L60)</f>
        <v>811.28741840185535</v>
      </c>
      <c r="M117" s="116">
        <f>IF(M21=0,0,1000000*M21/TrRoad_act!M60)</f>
        <v>815.74468768897452</v>
      </c>
      <c r="N117" s="116">
        <f>IF(N21=0,0,1000000*N21/TrRoad_act!N60)</f>
        <v>809.79599579499211</v>
      </c>
      <c r="O117" s="116">
        <f>IF(O21=0,0,1000000*O21/TrRoad_act!O60)</f>
        <v>782.99570285275104</v>
      </c>
      <c r="P117" s="116">
        <f>IF(P21=0,0,1000000*P21/TrRoad_act!P60)</f>
        <v>762.36217458394196</v>
      </c>
      <c r="Q117" s="116">
        <f>IF(Q21=0,0,1000000*Q21/TrRoad_act!Q60)</f>
        <v>768.2655266671984</v>
      </c>
      <c r="R117" s="116">
        <f>IF(R21=0,0,1000000*R21/TrRoad_act!R60)</f>
        <v>840.01994074754873</v>
      </c>
      <c r="S117" s="116">
        <f>IF(S21=0,0,1000000*S21/TrRoad_act!S60)</f>
        <v>854.88593580291615</v>
      </c>
      <c r="T117" s="116">
        <f>IF(T21=0,0,1000000*T21/TrRoad_act!T60)</f>
        <v>868.89415848959891</v>
      </c>
      <c r="U117" s="116">
        <f>IF(U21=0,0,1000000*U21/TrRoad_act!U60)</f>
        <v>858.81544175410841</v>
      </c>
      <c r="V117" s="116">
        <f>IF(V21=0,0,1000000*V21/TrRoad_act!V60)</f>
        <v>800.61501202382544</v>
      </c>
      <c r="W117" s="116">
        <f>IF(W21=0,0,1000000*W21/TrRoad_act!W60)</f>
        <v>785.13515101714563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720.46281438575943</v>
      </c>
      <c r="C118" s="87">
        <f>IF(C22=0,0,1000000*C22/TrRoad_act!C61)</f>
        <v>709.63940651122743</v>
      </c>
      <c r="D118" s="87">
        <f>IF(D22=0,0,1000000*D22/TrRoad_act!D61)</f>
        <v>711.02130300829572</v>
      </c>
      <c r="E118" s="87">
        <f>IF(E22=0,0,1000000*E22/TrRoad_act!E61)</f>
        <v>697.34010638702534</v>
      </c>
      <c r="F118" s="87">
        <f>IF(F22=0,0,1000000*F22/TrRoad_act!F61)</f>
        <v>689.49561736987425</v>
      </c>
      <c r="G118" s="87">
        <f>IF(G22=0,0,1000000*G22/TrRoad_act!G61)</f>
        <v>684.77759814099375</v>
      </c>
      <c r="H118" s="87">
        <f>IF(H22=0,0,1000000*H22/TrRoad_act!H61)</f>
        <v>667.31487716092079</v>
      </c>
      <c r="I118" s="87">
        <f>IF(I22=0,0,1000000*I22/TrRoad_act!I61)</f>
        <v>766.62419376541118</v>
      </c>
      <c r="J118" s="87">
        <f>IF(J22=0,0,1000000*J22/TrRoad_act!J61)</f>
        <v>764.55476772142424</v>
      </c>
      <c r="K118" s="87">
        <f>IF(K22=0,0,1000000*K22/TrRoad_act!K61)</f>
        <v>700.04090893624868</v>
      </c>
      <c r="L118" s="87">
        <f>IF(L22=0,0,1000000*L22/TrRoad_act!L61)</f>
        <v>682.32260052510628</v>
      </c>
      <c r="M118" s="87">
        <f>IF(M22=0,0,1000000*M22/TrRoad_act!M61)</f>
        <v>670.32431538185574</v>
      </c>
      <c r="N118" s="87">
        <f>IF(N22=0,0,1000000*N22/TrRoad_act!N61)</f>
        <v>628.12410090507024</v>
      </c>
      <c r="O118" s="87">
        <f>IF(O22=0,0,1000000*O22/TrRoad_act!O61)</f>
        <v>600.93726577245639</v>
      </c>
      <c r="P118" s="87">
        <f>IF(P22=0,0,1000000*P22/TrRoad_act!P61)</f>
        <v>602.55090692269414</v>
      </c>
      <c r="Q118" s="87">
        <f>IF(Q22=0,0,1000000*Q22/TrRoad_act!Q61)</f>
        <v>613.23315270451928</v>
      </c>
      <c r="R118" s="87">
        <f>IF(R22=0,0,1000000*R22/TrRoad_act!R61)</f>
        <v>656.18098970145127</v>
      </c>
      <c r="S118" s="87">
        <f>IF(S22=0,0,1000000*S22/TrRoad_act!S61)</f>
        <v>638.33348570587884</v>
      </c>
      <c r="T118" s="87">
        <f>IF(T22=0,0,1000000*T22/TrRoad_act!T61)</f>
        <v>659.37746700445484</v>
      </c>
      <c r="U118" s="87">
        <f>IF(U22=0,0,1000000*U22/TrRoad_act!U61)</f>
        <v>644.57119238065604</v>
      </c>
      <c r="V118" s="87">
        <f>IF(V22=0,0,1000000*V22/TrRoad_act!V61)</f>
        <v>604.35803969516621</v>
      </c>
      <c r="W118" s="87">
        <f>IF(W22=0,0,1000000*W22/TrRoad_act!W61)</f>
        <v>590.96566973233848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783.28609313335608</v>
      </c>
      <c r="C119" s="87">
        <f>IF(C24=0,0,1000000*C24/TrRoad_act!C62)</f>
        <v>869.3956399819192</v>
      </c>
      <c r="D119" s="87">
        <f>IF(D24=0,0,1000000*D24/TrRoad_act!D62)</f>
        <v>835.0325911934134</v>
      </c>
      <c r="E119" s="87">
        <f>IF(E24=0,0,1000000*E24/TrRoad_act!E62)</f>
        <v>873.66490493046456</v>
      </c>
      <c r="F119" s="87">
        <f>IF(F24=0,0,1000000*F24/TrRoad_act!F62)</f>
        <v>886.923837511893</v>
      </c>
      <c r="G119" s="87">
        <f>IF(G24=0,0,1000000*G24/TrRoad_act!G62)</f>
        <v>833.03066069883391</v>
      </c>
      <c r="H119" s="87">
        <f>IF(H24=0,0,1000000*H24/TrRoad_act!H62)</f>
        <v>823.93602098935253</v>
      </c>
      <c r="I119" s="87">
        <f>IF(I24=0,0,1000000*I24/TrRoad_act!I62)</f>
        <v>893.01102905910807</v>
      </c>
      <c r="J119" s="87">
        <f>IF(J24=0,0,1000000*J24/TrRoad_act!J62)</f>
        <v>871.76483592153613</v>
      </c>
      <c r="K119" s="87">
        <f>IF(K24=0,0,1000000*K24/TrRoad_act!K62)</f>
        <v>862.12434499609594</v>
      </c>
      <c r="L119" s="87">
        <f>IF(L24=0,0,1000000*L24/TrRoad_act!L62)</f>
        <v>971.7095570806905</v>
      </c>
      <c r="M119" s="87">
        <f>IF(M24=0,0,1000000*M24/TrRoad_act!M62)</f>
        <v>961.68457475782463</v>
      </c>
      <c r="N119" s="87">
        <f>IF(N24=0,0,1000000*N24/TrRoad_act!N62)</f>
        <v>933.52932219653997</v>
      </c>
      <c r="O119" s="87">
        <f>IF(O24=0,0,1000000*O24/TrRoad_act!O62)</f>
        <v>899.05589185681811</v>
      </c>
      <c r="P119" s="87">
        <f>IF(P24=0,0,1000000*P24/TrRoad_act!P62)</f>
        <v>849.41367796126804</v>
      </c>
      <c r="Q119" s="87">
        <f>IF(Q24=0,0,1000000*Q24/TrRoad_act!Q62)</f>
        <v>845.22548466093008</v>
      </c>
      <c r="R119" s="87">
        <f>IF(R24=0,0,1000000*R24/TrRoad_act!R62)</f>
        <v>928.42552257496925</v>
      </c>
      <c r="S119" s="87">
        <f>IF(S24=0,0,1000000*S24/TrRoad_act!S62)</f>
        <v>947.78660273505898</v>
      </c>
      <c r="T119" s="87">
        <f>IF(T24=0,0,1000000*T24/TrRoad_act!T62)</f>
        <v>960.17332572477915</v>
      </c>
      <c r="U119" s="87">
        <f>IF(U24=0,0,1000000*U24/TrRoad_act!U62)</f>
        <v>951.90509236803507</v>
      </c>
      <c r="V119" s="87">
        <f>IF(V24=0,0,1000000*V24/TrRoad_act!V62)</f>
        <v>885.7549798085787</v>
      </c>
      <c r="W119" s="87">
        <f>IF(W24=0,0,1000000*W24/TrRoad_act!W62)</f>
        <v>865.01593682731095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683.48243667618351</v>
      </c>
      <c r="C120" s="87">
        <f>IF(C26=0,0,1000000*C26/TrRoad_act!C63)</f>
        <v>685.24973003410344</v>
      </c>
      <c r="D120" s="87">
        <f>IF(D26=0,0,1000000*D26/TrRoad_act!D63)</f>
        <v>691.98406293942116</v>
      </c>
      <c r="E120" s="87">
        <f>IF(E26=0,0,1000000*E26/TrRoad_act!E63)</f>
        <v>696.48883508968618</v>
      </c>
      <c r="F120" s="87">
        <f>IF(F26=0,0,1000000*F26/TrRoad_act!F63)</f>
        <v>703.28935763912114</v>
      </c>
      <c r="G120" s="87">
        <f>IF(G26=0,0,1000000*G26/TrRoad_act!G63)</f>
        <v>900.36018252641793</v>
      </c>
      <c r="H120" s="87">
        <f>IF(H26=0,0,1000000*H26/TrRoad_act!H63)</f>
        <v>777.05514672561992</v>
      </c>
      <c r="I120" s="87">
        <f>IF(I26=0,0,1000000*I26/TrRoad_act!I63)</f>
        <v>706.22067057402012</v>
      </c>
      <c r="J120" s="87">
        <f>IF(J26=0,0,1000000*J26/TrRoad_act!J63)</f>
        <v>658.33185021912141</v>
      </c>
      <c r="K120" s="87">
        <f>IF(K26=0,0,1000000*K26/TrRoad_act!K63)</f>
        <v>633.47788706087829</v>
      </c>
      <c r="L120" s="87">
        <f>IF(L26=0,0,1000000*L26/TrRoad_act!L63)</f>
        <v>661.02093748028915</v>
      </c>
      <c r="M120" s="87">
        <f>IF(M26=0,0,1000000*M26/TrRoad_act!M63)</f>
        <v>693.78006285287654</v>
      </c>
      <c r="N120" s="87">
        <f>IF(N26=0,0,1000000*N26/TrRoad_act!N63)</f>
        <v>691.5913748407803</v>
      </c>
      <c r="O120" s="87">
        <f>IF(O26=0,0,1000000*O26/TrRoad_act!O63)</f>
        <v>657.84992681149379</v>
      </c>
      <c r="P120" s="87">
        <f>IF(P26=0,0,1000000*P26/TrRoad_act!P63)</f>
        <v>684.66131747000554</v>
      </c>
      <c r="Q120" s="87">
        <f>IF(Q26=0,0,1000000*Q26/TrRoad_act!Q63)</f>
        <v>681.64550400401276</v>
      </c>
      <c r="R120" s="87">
        <f>IF(R26=0,0,1000000*R26/TrRoad_act!R63)</f>
        <v>708.88001966613717</v>
      </c>
      <c r="S120" s="87">
        <f>IF(S26=0,0,1000000*S26/TrRoad_act!S63)</f>
        <v>731.82388902386765</v>
      </c>
      <c r="T120" s="87">
        <f>IF(T26=0,0,1000000*T26/TrRoad_act!T63)</f>
        <v>736.43106713322015</v>
      </c>
      <c r="U120" s="87">
        <f>IF(U26=0,0,1000000*U26/TrRoad_act!U63)</f>
        <v>737.7911143261789</v>
      </c>
      <c r="V120" s="87">
        <f>IF(V26=0,0,1000000*V26/TrRoad_act!V63)</f>
        <v>716.37144082722227</v>
      </c>
      <c r="W120" s="87">
        <f>IF(W26=0,0,1000000*W26/TrRoad_act!W63)</f>
        <v>742.41885881186306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513.81138664041919</v>
      </c>
      <c r="O121" s="87">
        <f>IF(O27=0,0,1000000*O27/TrRoad_act!O64)</f>
        <v>431.63990942731959</v>
      </c>
      <c r="P121" s="87">
        <f>IF(P27=0,0,1000000*P27/TrRoad_act!P64)</f>
        <v>419.75905933015105</v>
      </c>
      <c r="Q121" s="87">
        <f>IF(Q27=0,0,1000000*Q27/TrRoad_act!Q64)</f>
        <v>432.86757613318696</v>
      </c>
      <c r="R121" s="87">
        <f>IF(R27=0,0,1000000*R27/TrRoad_act!R64)</f>
        <v>478.3869592113619</v>
      </c>
      <c r="S121" s="87">
        <f>IF(S27=0,0,1000000*S27/TrRoad_act!S64)</f>
        <v>491.01676307198744</v>
      </c>
      <c r="T121" s="87">
        <f>IF(T27=0,0,1000000*T27/TrRoad_act!T64)</f>
        <v>498.05058115635205</v>
      </c>
      <c r="U121" s="87">
        <f>IF(U27=0,0,1000000*U27/TrRoad_act!U64)</f>
        <v>488.18596134321956</v>
      </c>
      <c r="V121" s="87">
        <f>IF(V27=0,0,1000000*V27/TrRoad_act!V64)</f>
        <v>430.73274140169963</v>
      </c>
      <c r="W121" s="87">
        <f>IF(W27=0,0,1000000*W27/TrRoad_act!W64)</f>
        <v>406.7354035605461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384.02354729271889</v>
      </c>
      <c r="P122" s="87">
        <f>IF(P29=0,0,1000000*P29/TrRoad_act!P65)</f>
        <v>338.6764303162754</v>
      </c>
      <c r="Q122" s="87">
        <f>IF(Q29=0,0,1000000*Q29/TrRoad_act!Q65)</f>
        <v>344.45658958067702</v>
      </c>
      <c r="R122" s="87">
        <f>IF(R29=0,0,1000000*R29/TrRoad_act!R65)</f>
        <v>405.45831393365023</v>
      </c>
      <c r="S122" s="87">
        <f>IF(S29=0,0,1000000*S29/TrRoad_act!S65)</f>
        <v>413.25260325825582</v>
      </c>
      <c r="T122" s="87">
        <f>IF(T29=0,0,1000000*T29/TrRoad_act!T65)</f>
        <v>438.47878346515756</v>
      </c>
      <c r="U122" s="87">
        <f>IF(U29=0,0,1000000*U29/TrRoad_act!U65)</f>
        <v>464.00803961875812</v>
      </c>
      <c r="V122" s="87">
        <f>IF(V29=0,0,1000000*V29/TrRoad_act!V65)</f>
        <v>444.38206668965444</v>
      </c>
      <c r="W122" s="87">
        <f>IF(W29=0,0,1000000*W29/TrRoad_act!W65)</f>
        <v>438.9048542931053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162.9992174193745</v>
      </c>
      <c r="N123" s="87">
        <f>IF(N32=0,0,1000000*N32/TrRoad_act!N66)</f>
        <v>163.54635877052937</v>
      </c>
      <c r="O123" s="87">
        <f>IF(O32=0,0,1000000*O32/TrRoad_act!O66)</f>
        <v>160.55723152356222</v>
      </c>
      <c r="P123" s="87">
        <f>IF(P32=0,0,1000000*P32/TrRoad_act!P66)</f>
        <v>160.35323450946601</v>
      </c>
      <c r="Q123" s="87">
        <f>IF(Q32=0,0,1000000*Q32/TrRoad_act!Q66)</f>
        <v>161.87910272288738</v>
      </c>
      <c r="R123" s="87">
        <f>IF(R32=0,0,1000000*R32/TrRoad_act!R66)</f>
        <v>158.45456266168583</v>
      </c>
      <c r="S123" s="87">
        <f>IF(S32=0,0,1000000*S32/TrRoad_act!S66)</f>
        <v>167.47945704895093</v>
      </c>
      <c r="T123" s="87">
        <f>IF(T32=0,0,1000000*T32/TrRoad_act!T66)</f>
        <v>177.06940207949947</v>
      </c>
      <c r="U123" s="87">
        <f>IF(U32=0,0,1000000*U32/TrRoad_act!U66)</f>
        <v>181.11109772117979</v>
      </c>
      <c r="V123" s="87">
        <f>IF(V32=0,0,1000000*V32/TrRoad_act!V66)</f>
        <v>177.85405760039549</v>
      </c>
      <c r="W123" s="87">
        <f>IF(W32=0,0,1000000*W32/TrRoad_act!W66)</f>
        <v>181.3999495950525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23200.002056368165</v>
      </c>
      <c r="C124" s="116">
        <f>IF(C33=0,0,1000000*C33/TrRoad_act!C67)</f>
        <v>21530.581440406881</v>
      </c>
      <c r="D124" s="116">
        <f>IF(D33=0,0,1000000*D33/TrRoad_act!D67)</f>
        <v>21261.845786148235</v>
      </c>
      <c r="E124" s="116">
        <f>IF(E33=0,0,1000000*E33/TrRoad_act!E67)</f>
        <v>20735.44012354513</v>
      </c>
      <c r="F124" s="116">
        <f>IF(F33=0,0,1000000*F33/TrRoad_act!F67)</f>
        <v>21760.752575100247</v>
      </c>
      <c r="G124" s="116">
        <f>IF(G33=0,0,1000000*G33/TrRoad_act!G67)</f>
        <v>20763.393496639139</v>
      </c>
      <c r="H124" s="116">
        <f>IF(H33=0,0,1000000*H33/TrRoad_act!H67)</f>
        <v>19756.242429687416</v>
      </c>
      <c r="I124" s="116">
        <f>IF(I33=0,0,1000000*I33/TrRoad_act!I67)</f>
        <v>18813.101151098916</v>
      </c>
      <c r="J124" s="116">
        <f>IF(J33=0,0,1000000*J33/TrRoad_act!J67)</f>
        <v>17935.181854478837</v>
      </c>
      <c r="K124" s="116">
        <f>IF(K33=0,0,1000000*K33/TrRoad_act!K67)</f>
        <v>17025.551230926107</v>
      </c>
      <c r="L124" s="116">
        <f>IF(L33=0,0,1000000*L33/TrRoad_act!L67)</f>
        <v>16642.361778174425</v>
      </c>
      <c r="M124" s="116">
        <f>IF(M33=0,0,1000000*M33/TrRoad_act!M67)</f>
        <v>16895.354382282076</v>
      </c>
      <c r="N124" s="116">
        <f>IF(N33=0,0,1000000*N33/TrRoad_act!N67)</f>
        <v>16842.382406035344</v>
      </c>
      <c r="O124" s="116">
        <f>IF(O33=0,0,1000000*O33/TrRoad_act!O67)</f>
        <v>14735.362745950622</v>
      </c>
      <c r="P124" s="116">
        <f>IF(P33=0,0,1000000*P33/TrRoad_act!P67)</f>
        <v>15538.262733874622</v>
      </c>
      <c r="Q124" s="116">
        <f>IF(Q33=0,0,1000000*Q33/TrRoad_act!Q67)</f>
        <v>15338.752378673318</v>
      </c>
      <c r="R124" s="116">
        <f>IF(R33=0,0,1000000*R33/TrRoad_act!R67)</f>
        <v>16170.212177845697</v>
      </c>
      <c r="S124" s="116">
        <f>IF(S33=0,0,1000000*S33/TrRoad_act!S67)</f>
        <v>17042.825445460559</v>
      </c>
      <c r="T124" s="116">
        <f>IF(T33=0,0,1000000*T33/TrRoad_act!T67)</f>
        <v>17105.198161064662</v>
      </c>
      <c r="U124" s="116">
        <f>IF(U33=0,0,1000000*U33/TrRoad_act!U67)</f>
        <v>17201.597351126205</v>
      </c>
      <c r="V124" s="116">
        <f>IF(V33=0,0,1000000*V33/TrRoad_act!V67)</f>
        <v>12942.547479279267</v>
      </c>
      <c r="W124" s="116">
        <f>IF(W33=0,0,1000000*W33/TrRoad_act!W67)</f>
        <v>12728.779820254094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3754.8944097843328</v>
      </c>
      <c r="E125" s="101">
        <f>IF(E34=0,0,1000000*E34/TrRoad_act!E68)</f>
        <v>3730.8738698687253</v>
      </c>
      <c r="F125" s="101">
        <f>IF(F34=0,0,1000000*F34/TrRoad_act!F68)</f>
        <v>3900.9884048563381</v>
      </c>
      <c r="G125" s="101">
        <f>IF(G34=0,0,1000000*G34/TrRoad_act!G68)</f>
        <v>3672.7781671503012</v>
      </c>
      <c r="H125" s="101">
        <f>IF(H34=0,0,1000000*H34/TrRoad_act!H68)</f>
        <v>3453.6393869771282</v>
      </c>
      <c r="I125" s="101">
        <f>IF(I34=0,0,1000000*I34/TrRoad_act!I68)</f>
        <v>3247.3917436814186</v>
      </c>
      <c r="J125" s="101">
        <f>IF(J34=0,0,1000000*J34/TrRoad_act!J68)</f>
        <v>3050.0648818759432</v>
      </c>
      <c r="K125" s="101">
        <f>IF(K34=0,0,1000000*K34/TrRoad_act!K68)</f>
        <v>2874.5366425325169</v>
      </c>
      <c r="L125" s="101">
        <f>IF(L34=0,0,1000000*L34/TrRoad_act!L68)</f>
        <v>2771.6953597150896</v>
      </c>
      <c r="M125" s="101">
        <f>IF(M34=0,0,1000000*M34/TrRoad_act!M68)</f>
        <v>2789.9710864364538</v>
      </c>
      <c r="N125" s="101">
        <f>IF(N34=0,0,1000000*N34/TrRoad_act!N68)</f>
        <v>2760.8519874941394</v>
      </c>
      <c r="O125" s="101">
        <f>IF(O34=0,0,1000000*O34/TrRoad_act!O68)</f>
        <v>2060.1620712261229</v>
      </c>
      <c r="P125" s="101">
        <f>IF(P34=0,0,1000000*P34/TrRoad_act!P68)</f>
        <v>2162.1496762853949</v>
      </c>
      <c r="Q125" s="101">
        <f>IF(Q34=0,0,1000000*Q34/TrRoad_act!Q68)</f>
        <v>2205.9977676811809</v>
      </c>
      <c r="R125" s="101">
        <f>IF(R34=0,0,1000000*R34/TrRoad_act!R68)</f>
        <v>2326.1427777757012</v>
      </c>
      <c r="S125" s="101">
        <f>IF(S34=0,0,1000000*S34/TrRoad_act!S68)</f>
        <v>2420.8961287869565</v>
      </c>
      <c r="T125" s="101">
        <f>IF(T34=0,0,1000000*T34/TrRoad_act!T68)</f>
        <v>2391.1791885788598</v>
      </c>
      <c r="U125" s="101">
        <f>IF(U34=0,0,1000000*U34/TrRoad_act!U68)</f>
        <v>2364.9503406111894</v>
      </c>
      <c r="V125" s="101">
        <f>IF(V34=0,0,1000000*V34/TrRoad_act!V68)</f>
        <v>1791.106867127907</v>
      </c>
      <c r="W125" s="101">
        <f>IF(W34=0,0,1000000*W34/TrRoad_act!W68)</f>
        <v>1798.1603003002733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23200.002056368165</v>
      </c>
      <c r="C126" s="101">
        <f>IF(C36=0,0,1000000*C36/TrRoad_act!C69)</f>
        <v>21530.581440406881</v>
      </c>
      <c r="D126" s="101">
        <f>IF(D36=0,0,1000000*D36/TrRoad_act!D69)</f>
        <v>21379.990349296113</v>
      </c>
      <c r="E126" s="101">
        <f>IF(E36=0,0,1000000*E36/TrRoad_act!E69)</f>
        <v>20902.776183553346</v>
      </c>
      <c r="F126" s="101">
        <f>IF(F36=0,0,1000000*F36/TrRoad_act!F69)</f>
        <v>21966.942657821248</v>
      </c>
      <c r="G126" s="101">
        <f>IF(G36=0,0,1000000*G36/TrRoad_act!G69)</f>
        <v>21059.803278153373</v>
      </c>
      <c r="H126" s="101">
        <f>IF(H36=0,0,1000000*H36/TrRoad_act!H69)</f>
        <v>20121.111320280455</v>
      </c>
      <c r="I126" s="101">
        <f>IF(I36=0,0,1000000*I36/TrRoad_act!I69)</f>
        <v>19180.298868502054</v>
      </c>
      <c r="J126" s="101">
        <f>IF(J36=0,0,1000000*J36/TrRoad_act!J69)</f>
        <v>18229.633516365288</v>
      </c>
      <c r="K126" s="101">
        <f>IF(K36=0,0,1000000*K36/TrRoad_act!K69)</f>
        <v>17271.075327177103</v>
      </c>
      <c r="L126" s="101">
        <f>IF(L36=0,0,1000000*L36/TrRoad_act!L69)</f>
        <v>16777.606757334233</v>
      </c>
      <c r="M126" s="101">
        <f>IF(M36=0,0,1000000*M36/TrRoad_act!M69)</f>
        <v>16992.680629875649</v>
      </c>
      <c r="N126" s="101">
        <f>IF(N36=0,0,1000000*N36/TrRoad_act!N69)</f>
        <v>16995.563977945982</v>
      </c>
      <c r="O126" s="101">
        <f>IF(O36=0,0,1000000*O36/TrRoad_act!O69)</f>
        <v>15725.453850062879</v>
      </c>
      <c r="P126" s="101">
        <f>IF(P36=0,0,1000000*P36/TrRoad_act!P69)</f>
        <v>16521.194899478382</v>
      </c>
      <c r="Q126" s="101">
        <f>IF(Q36=0,0,1000000*Q36/TrRoad_act!Q69)</f>
        <v>16244.152784302951</v>
      </c>
      <c r="R126" s="101">
        <f>IF(R36=0,0,1000000*R36/TrRoad_act!R69)</f>
        <v>17592.245970271175</v>
      </c>
      <c r="S126" s="101">
        <f>IF(S36=0,0,1000000*S36/TrRoad_act!S69)</f>
        <v>18783.452634126581</v>
      </c>
      <c r="T126" s="101">
        <f>IF(T36=0,0,1000000*T36/TrRoad_act!T69)</f>
        <v>18842.575085625573</v>
      </c>
      <c r="U126" s="101">
        <f>IF(U36=0,0,1000000*U36/TrRoad_act!U69)</f>
        <v>18920.509492541314</v>
      </c>
      <c r="V126" s="101">
        <f>IF(V36=0,0,1000000*V36/TrRoad_act!V69)</f>
        <v>14186.829827435751</v>
      </c>
      <c r="W126" s="101">
        <f>IF(W36=0,0,1000000*W36/TrRoad_act!W69)</f>
        <v>13304.344563612429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9217.1097594034964</v>
      </c>
      <c r="E127" s="101">
        <f>IF(E38=0,0,1000000*E38/TrRoad_act!E70)</f>
        <v>9365.0140699232743</v>
      </c>
      <c r="F127" s="101">
        <f>IF(F38=0,0,1000000*F38/TrRoad_act!F70)</f>
        <v>9991.7646180348365</v>
      </c>
      <c r="G127" s="101">
        <f>IF(G38=0,0,1000000*G38/TrRoad_act!G70)</f>
        <v>9598.8036660372636</v>
      </c>
      <c r="H127" s="101">
        <f>IF(H38=0,0,1000000*H38/TrRoad_act!H70)</f>
        <v>9219.4718999663019</v>
      </c>
      <c r="I127" s="101">
        <f>IF(I38=0,0,1000000*I38/TrRoad_act!I70)</f>
        <v>8845.8010675888945</v>
      </c>
      <c r="J127" s="101">
        <f>IF(J38=0,0,1000000*J38/TrRoad_act!J70)</f>
        <v>8483.4609289540531</v>
      </c>
      <c r="K127" s="101">
        <f>IF(K38=0,0,1000000*K38/TrRoad_act!K70)</f>
        <v>8159.1968293654054</v>
      </c>
      <c r="L127" s="101">
        <f>IF(L38=0,0,1000000*L38/TrRoad_act!L70)</f>
        <v>8026.2232380261739</v>
      </c>
      <c r="M127" s="101">
        <f>IF(M38=0,0,1000000*M38/TrRoad_act!M70)</f>
        <v>8337.1633897196443</v>
      </c>
      <c r="N127" s="101">
        <f>IF(N38=0,0,1000000*N38/TrRoad_act!N70)</f>
        <v>8422.3399737222298</v>
      </c>
      <c r="O127" s="101">
        <f>IF(O38=0,0,1000000*O38/TrRoad_act!O70)</f>
        <v>8255.2903470362835</v>
      </c>
      <c r="P127" s="101">
        <f>IF(P38=0,0,1000000*P38/TrRoad_act!P70)</f>
        <v>8813.1746033821728</v>
      </c>
      <c r="Q127" s="101">
        <f>IF(Q38=0,0,1000000*Q38/TrRoad_act!Q70)</f>
        <v>8994.2011266703121</v>
      </c>
      <c r="R127" s="101">
        <f>IF(R38=0,0,1000000*R38/TrRoad_act!R70)</f>
        <v>9485.6011002463929</v>
      </c>
      <c r="S127" s="101">
        <f>IF(S38=0,0,1000000*S38/TrRoad_act!S70)</f>
        <v>9883.4498484159412</v>
      </c>
      <c r="T127" s="101">
        <f>IF(T38=0,0,1000000*T38/TrRoad_act!T70)</f>
        <v>9783.2910913065971</v>
      </c>
      <c r="U127" s="101">
        <f>IF(U38=0,0,1000000*U38/TrRoad_act!U70)</f>
        <v>9717.7165650102197</v>
      </c>
      <c r="V127" s="101">
        <f>IF(V38=0,0,1000000*V38/TrRoad_act!V70)</f>
        <v>7362.398878406063</v>
      </c>
      <c r="W127" s="101">
        <f>IF(W38=0,0,1000000*W38/TrRoad_act!W70)</f>
        <v>7394.5323176483907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16928.202923473778</v>
      </c>
      <c r="L128" s="101">
        <f>IF(L39=0,0,1000000*L39/TrRoad_act!L71)</f>
        <v>18519.743369270454</v>
      </c>
      <c r="M128" s="101">
        <f>IF(M39=0,0,1000000*M39/TrRoad_act!M71)</f>
        <v>18952.209903992432</v>
      </c>
      <c r="N128" s="101">
        <f>IF(N39=0,0,1000000*N39/TrRoad_act!N71)</f>
        <v>17454.349708733094</v>
      </c>
      <c r="O128" s="101">
        <f>IF(O39=0,0,1000000*O39/TrRoad_act!O71)</f>
        <v>15252.374465637959</v>
      </c>
      <c r="P128" s="101">
        <f>IF(P39=0,0,1000000*P39/TrRoad_act!P71)</f>
        <v>15234.904528872619</v>
      </c>
      <c r="Q128" s="101">
        <f>IF(Q39=0,0,1000000*Q39/TrRoad_act!Q71)</f>
        <v>14233.586785777663</v>
      </c>
      <c r="R128" s="101">
        <f>IF(R39=0,0,1000000*R39/TrRoad_act!R71)</f>
        <v>14273.401906765266</v>
      </c>
      <c r="S128" s="101">
        <f>IF(S39=0,0,1000000*S39/TrRoad_act!S71)</f>
        <v>14947.891172378413</v>
      </c>
      <c r="T128" s="101">
        <f>IF(T39=0,0,1000000*T39/TrRoad_act!T71)</f>
        <v>14975.038823039007</v>
      </c>
      <c r="U128" s="101">
        <f>IF(U39=0,0,1000000*U39/TrRoad_act!U71)</f>
        <v>15123.491274669283</v>
      </c>
      <c r="V128" s="101">
        <f>IF(V39=0,0,1000000*V39/TrRoad_act!V71)</f>
        <v>11455.7825667705</v>
      </c>
      <c r="W128" s="101">
        <f>IF(W39=0,0,1000000*W39/TrRoad_act!W71)</f>
        <v>11828.956928212554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13251.806134335528</v>
      </c>
      <c r="G129" s="101">
        <f>IF(G41=0,0,1000000*G41/TrRoad_act!G72)</f>
        <v>13266.510066833735</v>
      </c>
      <c r="H129" s="101">
        <f>IF(H41=0,0,1000000*H41/TrRoad_act!H72)</f>
        <v>13291.650351460354</v>
      </c>
      <c r="I129" s="101">
        <f>IF(I41=0,0,1000000*I41/TrRoad_act!I72)</f>
        <v>13323.056589994059</v>
      </c>
      <c r="J129" s="101">
        <f>IF(J41=0,0,1000000*J41/TrRoad_act!J72)</f>
        <v>13356.539168027459</v>
      </c>
      <c r="K129" s="101">
        <f>IF(K41=0,0,1000000*K41/TrRoad_act!K72)</f>
        <v>13389.600020829412</v>
      </c>
      <c r="L129" s="101">
        <f>IF(L41=0,0,1000000*L41/TrRoad_act!L72)</f>
        <v>13406.647722743692</v>
      </c>
      <c r="M129" s="101">
        <f>IF(M41=0,0,1000000*M41/TrRoad_act!M72)</f>
        <v>13421.372407360364</v>
      </c>
      <c r="N129" s="101">
        <f>IF(N41=0,0,1000000*N41/TrRoad_act!N72)</f>
        <v>13931.738800137891</v>
      </c>
      <c r="O129" s="101">
        <f>IF(O41=0,0,1000000*O41/TrRoad_act!O72)</f>
        <v>14212.154613676994</v>
      </c>
      <c r="P129" s="101">
        <f>IF(P41=0,0,1000000*P41/TrRoad_act!P72)</f>
        <v>14995.818205790474</v>
      </c>
      <c r="Q129" s="101">
        <f>IF(Q41=0,0,1000000*Q41/TrRoad_act!Q72)</f>
        <v>15933.228813599095</v>
      </c>
      <c r="R129" s="101">
        <f>IF(R41=0,0,1000000*R41/TrRoad_act!R72)</f>
        <v>15883.074191402526</v>
      </c>
      <c r="S129" s="101">
        <f>IF(S41=0,0,1000000*S41/TrRoad_act!S72)</f>
        <v>15789.548659408505</v>
      </c>
      <c r="T129" s="101">
        <f>IF(T41=0,0,1000000*T41/TrRoad_act!T72)</f>
        <v>15719.118712917285</v>
      </c>
      <c r="U129" s="101">
        <f>IF(U41=0,0,1000000*U41/TrRoad_act!U72)</f>
        <v>15386.996151899053</v>
      </c>
      <c r="V129" s="101">
        <f>IF(V41=0,0,1000000*V41/TrRoad_act!V72)</f>
        <v>12630.914582670544</v>
      </c>
      <c r="W129" s="101">
        <f>IF(W41=0,0,1000000*W41/TrRoad_act!W72)</f>
        <v>15078.85801362285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1537.9573257716079</v>
      </c>
      <c r="C131" s="152">
        <f>IF(C43=0,0,1000000*C43/TrRoad_act!C74)</f>
        <v>1485.1047128223174</v>
      </c>
      <c r="D131" s="152">
        <f>IF(D43=0,0,1000000*D43/TrRoad_act!D74)</f>
        <v>1369.3758622722471</v>
      </c>
      <c r="E131" s="152">
        <f>IF(E43=0,0,1000000*E43/TrRoad_act!E74)</f>
        <v>1297.0714677455733</v>
      </c>
      <c r="F131" s="152">
        <f>IF(F43=0,0,1000000*F43/TrRoad_act!F74)</f>
        <v>1278.8720109956691</v>
      </c>
      <c r="G131" s="152">
        <f>IF(G43=0,0,1000000*G43/TrRoad_act!G74)</f>
        <v>1210.8779128700291</v>
      </c>
      <c r="H131" s="152">
        <f>IF(H43=0,0,1000000*H43/TrRoad_act!H74)</f>
        <v>1151.7984983626211</v>
      </c>
      <c r="I131" s="152">
        <f>IF(I43=0,0,1000000*I43/TrRoad_act!I74)</f>
        <v>1165.043242199609</v>
      </c>
      <c r="J131" s="152">
        <f>IF(J43=0,0,1000000*J43/TrRoad_act!J74)</f>
        <v>1122.4423436808481</v>
      </c>
      <c r="K131" s="152">
        <f>IF(K43=0,0,1000000*K43/TrRoad_act!K74)</f>
        <v>1044.0784188524876</v>
      </c>
      <c r="L131" s="152">
        <f>IF(L43=0,0,1000000*L43/TrRoad_act!L74)</f>
        <v>1063.5982826693132</v>
      </c>
      <c r="M131" s="152">
        <f>IF(M43=0,0,1000000*M43/TrRoad_act!M74)</f>
        <v>1054.797911549779</v>
      </c>
      <c r="N131" s="152">
        <f>IF(N43=0,0,1000000*N43/TrRoad_act!N74)</f>
        <v>1037.9758650290075</v>
      </c>
      <c r="O131" s="152">
        <f>IF(O43=0,0,1000000*O43/TrRoad_act!O74)</f>
        <v>1013.0673071718318</v>
      </c>
      <c r="P131" s="152">
        <f>IF(P43=0,0,1000000*P43/TrRoad_act!P74)</f>
        <v>1073.8874953905813</v>
      </c>
      <c r="Q131" s="152">
        <f>IF(Q43=0,0,1000000*Q43/TrRoad_act!Q74)</f>
        <v>1061.0419500712251</v>
      </c>
      <c r="R131" s="152">
        <f>IF(R43=0,0,1000000*R43/TrRoad_act!R74)</f>
        <v>1100.7699235543155</v>
      </c>
      <c r="S131" s="152">
        <f>IF(S43=0,0,1000000*S43/TrRoad_act!S74)</f>
        <v>1101.1372629436571</v>
      </c>
      <c r="T131" s="152">
        <f>IF(T43=0,0,1000000*T43/TrRoad_act!T74)</f>
        <v>1078.9399560532613</v>
      </c>
      <c r="U131" s="152">
        <f>IF(U43=0,0,1000000*U43/TrRoad_act!U74)</f>
        <v>1069.8985801931212</v>
      </c>
      <c r="V131" s="152">
        <f>IF(V43=0,0,1000000*V43/TrRoad_act!V74)</f>
        <v>1061.961855481263</v>
      </c>
      <c r="W131" s="152">
        <f>IF(W43=0,0,1000000*W43/TrRoad_act!W74)</f>
        <v>1049.8143345685139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1407.5147927077367</v>
      </c>
      <c r="C132" s="87">
        <f>IF(C44=0,0,1000000*C44/TrRoad_act!C75)</f>
        <v>1350.8458653196712</v>
      </c>
      <c r="D132" s="87">
        <f>IF(D44=0,0,1000000*D44/TrRoad_act!D75)</f>
        <v>1304.9907719275234</v>
      </c>
      <c r="E132" s="87">
        <f>IF(E44=0,0,1000000*E44/TrRoad_act!E75)</f>
        <v>1266.862883730538</v>
      </c>
      <c r="F132" s="87">
        <f>IF(F44=0,0,1000000*F44/TrRoad_act!F75)</f>
        <v>1234.093072286963</v>
      </c>
      <c r="G132" s="87">
        <f>IF(G44=0,0,1000000*G44/TrRoad_act!G75)</f>
        <v>1207.1756105811573</v>
      </c>
      <c r="H132" s="87">
        <f>IF(H44=0,0,1000000*H44/TrRoad_act!H75)</f>
        <v>1202.2009400436907</v>
      </c>
      <c r="I132" s="87">
        <f>IF(I44=0,0,1000000*I44/TrRoad_act!I75)</f>
        <v>1198.8916319937564</v>
      </c>
      <c r="J132" s="87">
        <f>IF(J44=0,0,1000000*J44/TrRoad_act!J75)</f>
        <v>1192.4209863546221</v>
      </c>
      <c r="K132" s="87">
        <f>IF(K44=0,0,1000000*K44/TrRoad_act!K75)</f>
        <v>1187.5392678722235</v>
      </c>
      <c r="L132" s="87">
        <f>IF(L44=0,0,1000000*L44/TrRoad_act!L75)</f>
        <v>1176.2068086892807</v>
      </c>
      <c r="M132" s="87">
        <f>IF(M44=0,0,1000000*M44/TrRoad_act!M75)</f>
        <v>1172.0221141352783</v>
      </c>
      <c r="N132" s="87">
        <f>IF(N44=0,0,1000000*N44/TrRoad_act!N75)</f>
        <v>1154.9246333795934</v>
      </c>
      <c r="O132" s="87">
        <f>IF(O44=0,0,1000000*O44/TrRoad_act!O75)</f>
        <v>1130.7191468818232</v>
      </c>
      <c r="P132" s="87">
        <f>IF(P44=0,0,1000000*P44/TrRoad_act!P75)</f>
        <v>1114.7916600457047</v>
      </c>
      <c r="Q132" s="87">
        <f>IF(Q44=0,0,1000000*Q44/TrRoad_act!Q75)</f>
        <v>1070.3844870847333</v>
      </c>
      <c r="R132" s="87">
        <f>IF(R44=0,0,1000000*R44/TrRoad_act!R75)</f>
        <v>1053.6769022397134</v>
      </c>
      <c r="S132" s="87">
        <f>IF(S44=0,0,1000000*S44/TrRoad_act!S75)</f>
        <v>1006.8990467915376</v>
      </c>
      <c r="T132" s="87">
        <f>IF(T44=0,0,1000000*T44/TrRoad_act!T75)</f>
        <v>963.38043225152126</v>
      </c>
      <c r="U132" s="87">
        <f>IF(U44=0,0,1000000*U44/TrRoad_act!U75)</f>
        <v>1015.3758547890623</v>
      </c>
      <c r="V132" s="87">
        <f>IF(V44=0,0,1000000*V44/TrRoad_act!V75)</f>
        <v>995.26059974280122</v>
      </c>
      <c r="W132" s="87">
        <f>IF(W44=0,0,1000000*W44/TrRoad_act!W75)</f>
        <v>982.14759106776694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1561.1630226255079</v>
      </c>
      <c r="C133" s="87">
        <f>IF(C46=0,0,1000000*C46/TrRoad_act!C76)</f>
        <v>1508.0454180103186</v>
      </c>
      <c r="D133" s="87">
        <f>IF(D46=0,0,1000000*D46/TrRoad_act!D76)</f>
        <v>1379.3273356712971</v>
      </c>
      <c r="E133" s="87">
        <f>IF(E46=0,0,1000000*E46/TrRoad_act!E76)</f>
        <v>1301.3466862147193</v>
      </c>
      <c r="F133" s="87">
        <f>IF(F46=0,0,1000000*F46/TrRoad_act!F76)</f>
        <v>1284.748239577915</v>
      </c>
      <c r="G133" s="87">
        <f>IF(G46=0,0,1000000*G46/TrRoad_act!G76)</f>
        <v>1211.3215602698804</v>
      </c>
      <c r="H133" s="87">
        <f>IF(H46=0,0,1000000*H46/TrRoad_act!H76)</f>
        <v>1145.758778419719</v>
      </c>
      <c r="I133" s="87">
        <f>IF(I46=0,0,1000000*I46/TrRoad_act!I76)</f>
        <v>1160.9878746340207</v>
      </c>
      <c r="J133" s="87">
        <f>IF(J46=0,0,1000000*J46/TrRoad_act!J76)</f>
        <v>1115.2591108124434</v>
      </c>
      <c r="K133" s="87">
        <f>IF(K46=0,0,1000000*K46/TrRoad_act!K76)</f>
        <v>1032.2786587171313</v>
      </c>
      <c r="L133" s="87">
        <f>IF(L46=0,0,1000000*L46/TrRoad_act!L76)</f>
        <v>1054.6673881651554</v>
      </c>
      <c r="M133" s="87">
        <f>IF(M46=0,0,1000000*M46/TrRoad_act!M76)</f>
        <v>1047.6222558721261</v>
      </c>
      <c r="N133" s="87">
        <f>IF(N46=0,0,1000000*N46/TrRoad_act!N76)</f>
        <v>1032.5594797723502</v>
      </c>
      <c r="O133" s="87">
        <f>IF(O46=0,0,1000000*O46/TrRoad_act!O76)</f>
        <v>1008.5407981940183</v>
      </c>
      <c r="P133" s="87">
        <f>IF(P46=0,0,1000000*P46/TrRoad_act!P76)</f>
        <v>1072.5911616822773</v>
      </c>
      <c r="Q133" s="87">
        <f>IF(Q46=0,0,1000000*Q46/TrRoad_act!Q76)</f>
        <v>1060.8022074090652</v>
      </c>
      <c r="R133" s="87">
        <f>IF(R46=0,0,1000000*R46/TrRoad_act!R76)</f>
        <v>1101.8428497843179</v>
      </c>
      <c r="S133" s="87">
        <f>IF(S46=0,0,1000000*S46/TrRoad_act!S76)</f>
        <v>1103.0557283506216</v>
      </c>
      <c r="T133" s="87">
        <f>IF(T46=0,0,1000000*T46/TrRoad_act!T76)</f>
        <v>1081.0572429841548</v>
      </c>
      <c r="U133" s="87">
        <f>IF(U46=0,0,1000000*U46/TrRoad_act!U76)</f>
        <v>1071.1669662238176</v>
      </c>
      <c r="V133" s="87">
        <f>IF(V46=0,0,1000000*V46/TrRoad_act!V76)</f>
        <v>1063.3060625785276</v>
      </c>
      <c r="W133" s="87">
        <f>IF(W46=0,0,1000000*W46/TrRoad_act!W76)</f>
        <v>1051.0222554926272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0</v>
      </c>
      <c r="P136" s="87">
        <f>IF(P51=0,0,1000000*P51/TrRoad_act!P79)</f>
        <v>0</v>
      </c>
      <c r="Q136" s="87">
        <f>IF(Q51=0,0,1000000*Q51/TrRoad_act!Q79)</f>
        <v>0</v>
      </c>
      <c r="R136" s="87">
        <f>IF(R51=0,0,1000000*R51/TrRoad_act!R79)</f>
        <v>0</v>
      </c>
      <c r="S136" s="87">
        <f>IF(S51=0,0,1000000*S51/TrRoad_act!S79)</f>
        <v>0</v>
      </c>
      <c r="T136" s="87">
        <f>IF(T51=0,0,1000000*T51/TrRoad_act!T79)</f>
        <v>0</v>
      </c>
      <c r="U136" s="87">
        <f>IF(U51=0,0,1000000*U51/TrRoad_act!U79)</f>
        <v>0</v>
      </c>
      <c r="V136" s="87">
        <f>IF(V51=0,0,1000000*V51/TrRoad_act!V79)</f>
        <v>0</v>
      </c>
      <c r="W136" s="87">
        <f>IF(W51=0,0,1000000*W51/TrRoad_act!W79)</f>
        <v>0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6627.4791779916941</v>
      </c>
      <c r="C137" s="116">
        <f>IF(C52=0,0,1000000*C52/TrRoad_act!C80)</f>
        <v>9013.5118731694183</v>
      </c>
      <c r="D137" s="116">
        <f>IF(D52=0,0,1000000*D52/TrRoad_act!D80)</f>
        <v>8995.2766283244182</v>
      </c>
      <c r="E137" s="116">
        <f>IF(E52=0,0,1000000*E52/TrRoad_act!E80)</f>
        <v>5699.8304566080587</v>
      </c>
      <c r="F137" s="116">
        <f>IF(F52=0,0,1000000*F52/TrRoad_act!F80)</f>
        <v>6811.6499627437679</v>
      </c>
      <c r="G137" s="116">
        <f>IF(G52=0,0,1000000*G52/TrRoad_act!G80)</f>
        <v>6787.3180759350798</v>
      </c>
      <c r="H137" s="116">
        <f>IF(H52=0,0,1000000*H52/TrRoad_act!H80)</f>
        <v>6043.5318391397577</v>
      </c>
      <c r="I137" s="116">
        <f>IF(I52=0,0,1000000*I52/TrRoad_act!I80)</f>
        <v>9076.0230740063726</v>
      </c>
      <c r="J137" s="116">
        <f>IF(J52=0,0,1000000*J52/TrRoad_act!J80)</f>
        <v>10758.912798530999</v>
      </c>
      <c r="K137" s="116">
        <f>IF(K52=0,0,1000000*K52/TrRoad_act!K80)</f>
        <v>5712.0779445503704</v>
      </c>
      <c r="L137" s="116">
        <f>IF(L52=0,0,1000000*L52/TrRoad_act!L80)</f>
        <v>7657.6550496666741</v>
      </c>
      <c r="M137" s="116">
        <f>IF(M52=0,0,1000000*M52/TrRoad_act!M80)</f>
        <v>9239.388357632195</v>
      </c>
      <c r="N137" s="116">
        <f>IF(N52=0,0,1000000*N52/TrRoad_act!N80)</f>
        <v>5887.3522305938968</v>
      </c>
      <c r="O137" s="116">
        <f>IF(O52=0,0,1000000*O52/TrRoad_act!O80)</f>
        <v>6331.9448630692405</v>
      </c>
      <c r="P137" s="116">
        <f>IF(P52=0,0,1000000*P52/TrRoad_act!P80)</f>
        <v>10362.832275160265</v>
      </c>
      <c r="Q137" s="116">
        <f>IF(Q52=0,0,1000000*Q52/TrRoad_act!Q80)</f>
        <v>11451.999469672861</v>
      </c>
      <c r="R137" s="116">
        <f>IF(R52=0,0,1000000*R52/TrRoad_act!R80)</f>
        <v>10480.294950598554</v>
      </c>
      <c r="S137" s="116">
        <f>IF(S52=0,0,1000000*S52/TrRoad_act!S80)</f>
        <v>11382.767511490685</v>
      </c>
      <c r="T137" s="116">
        <f>IF(T52=0,0,1000000*T52/TrRoad_act!T80)</f>
        <v>11232.375100572372</v>
      </c>
      <c r="U137" s="116">
        <f>IF(U52=0,0,1000000*U52/TrRoad_act!U80)</f>
        <v>12192.198982790789</v>
      </c>
      <c r="V137" s="116">
        <f>IF(V52=0,0,1000000*V52/TrRoad_act!V80)</f>
        <v>12475.589182048112</v>
      </c>
      <c r="W137" s="116">
        <f>IF(W52=0,0,1000000*W52/TrRoad_act!W80)</f>
        <v>11542.123847451212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4249.327897308006</v>
      </c>
      <c r="C138" s="101">
        <f>IF(C53=0,0,1000000*C53/TrRoad_act!C81)</f>
        <v>4874.7679283917278</v>
      </c>
      <c r="D138" s="101">
        <f>IF(D53=0,0,1000000*D53/TrRoad_act!D81)</f>
        <v>4795.4343303535898</v>
      </c>
      <c r="E138" s="101">
        <f>IF(E53=0,0,1000000*E53/TrRoad_act!E81)</f>
        <v>3946.6873934809155</v>
      </c>
      <c r="F138" s="101">
        <f>IF(F53=0,0,1000000*F53/TrRoad_act!F81)</f>
        <v>4142.0260059227921</v>
      </c>
      <c r="G138" s="101">
        <f>IF(G53=0,0,1000000*G53/TrRoad_act!G81)</f>
        <v>4027.4223867559335</v>
      </c>
      <c r="H138" s="101">
        <f>IF(H53=0,0,1000000*H53/TrRoad_act!H81)</f>
        <v>3705.123324756391</v>
      </c>
      <c r="I138" s="101">
        <f>IF(I53=0,0,1000000*I53/TrRoad_act!I81)</f>
        <v>4517.184666360019</v>
      </c>
      <c r="J138" s="101">
        <f>IF(J53=0,0,1000000*J53/TrRoad_act!J81)</f>
        <v>4884.9424576379533</v>
      </c>
      <c r="K138" s="101">
        <f>IF(K53=0,0,1000000*K53/TrRoad_act!K81)</f>
        <v>3674.4845828129464</v>
      </c>
      <c r="L138" s="101">
        <f>IF(L53=0,0,1000000*L53/TrRoad_act!L81)</f>
        <v>3835.8792832708077</v>
      </c>
      <c r="M138" s="101">
        <f>IF(M53=0,0,1000000*M53/TrRoad_act!M81)</f>
        <v>4173.0336180901377</v>
      </c>
      <c r="N138" s="101">
        <f>IF(N53=0,0,1000000*N53/TrRoad_act!N81)</f>
        <v>3395.5776429010066</v>
      </c>
      <c r="O138" s="101">
        <f>IF(O53=0,0,1000000*O53/TrRoad_act!O81)</f>
        <v>3497.0207908175635</v>
      </c>
      <c r="P138" s="101">
        <f>IF(P53=0,0,1000000*P53/TrRoad_act!P81)</f>
        <v>4583.7138767659517</v>
      </c>
      <c r="Q138" s="101">
        <f>IF(Q53=0,0,1000000*Q53/TrRoad_act!Q81)</f>
        <v>4716.6445487417923</v>
      </c>
      <c r="R138" s="101">
        <f>IF(R53=0,0,1000000*R53/TrRoad_act!R81)</f>
        <v>4466.8322623696604</v>
      </c>
      <c r="S138" s="101">
        <f>IF(S53=0,0,1000000*S53/TrRoad_act!S81)</f>
        <v>4881.0573766340349</v>
      </c>
      <c r="T138" s="101">
        <f>IF(T53=0,0,1000000*T53/TrRoad_act!T81)</f>
        <v>4833.167507255419</v>
      </c>
      <c r="U138" s="101">
        <f>IF(U53=0,0,1000000*U53/TrRoad_act!U81)</f>
        <v>5312.8951671836503</v>
      </c>
      <c r="V138" s="101">
        <f>IF(V53=0,0,1000000*V53/TrRoad_act!V81)</f>
        <v>5282.7799200920417</v>
      </c>
      <c r="W138" s="101">
        <f>IF(W53=0,0,1000000*W53/TrRoad_act!W81)</f>
        <v>4595.1377606843698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53696.483979756944</v>
      </c>
      <c r="C139" s="88">
        <f>IF(C55=0,0,1000000*C55/TrRoad_act!C82)</f>
        <v>85056.346162649192</v>
      </c>
      <c r="D139" s="88">
        <f>IF(D55=0,0,1000000*D55/TrRoad_act!D82)</f>
        <v>83250.860929569259</v>
      </c>
      <c r="E139" s="88">
        <f>IF(E55=0,0,1000000*E55/TrRoad_act!E82)</f>
        <v>44898.725287817986</v>
      </c>
      <c r="F139" s="88">
        <f>IF(F55=0,0,1000000*F55/TrRoad_act!F82)</f>
        <v>57461.751208035166</v>
      </c>
      <c r="G139" s="88">
        <f>IF(G55=0,0,1000000*G55/TrRoad_act!G82)</f>
        <v>53346.654541157695</v>
      </c>
      <c r="H139" s="88">
        <f>IF(H55=0,0,1000000*H55/TrRoad_act!H82)</f>
        <v>38131.966387796332</v>
      </c>
      <c r="I139" s="88">
        <f>IF(I55=0,0,1000000*I55/TrRoad_act!I82)</f>
        <v>72105.260023558367</v>
      </c>
      <c r="J139" s="88">
        <f>IF(J55=0,0,1000000*J55/TrRoad_act!J82)</f>
        <v>88414.913989642402</v>
      </c>
      <c r="K139" s="88">
        <f>IF(K55=0,0,1000000*K55/TrRoad_act!K82)</f>
        <v>37399.164070998042</v>
      </c>
      <c r="L139" s="88">
        <f>IF(L55=0,0,1000000*L55/TrRoad_act!L82)</f>
        <v>57133.291460621105</v>
      </c>
      <c r="M139" s="88">
        <f>IF(M55=0,0,1000000*M55/TrRoad_act!M82)</f>
        <v>67846.234990762605</v>
      </c>
      <c r="N139" s="88">
        <f>IF(N55=0,0,1000000*N55/TrRoad_act!N82)</f>
        <v>32298.312116015331</v>
      </c>
      <c r="O139" s="88">
        <f>IF(O55=0,0,1000000*O55/TrRoad_act!O82)</f>
        <v>33470.89737680844</v>
      </c>
      <c r="P139" s="88">
        <f>IF(P55=0,0,1000000*P55/TrRoad_act!P82)</f>
        <v>72493.19592771196</v>
      </c>
      <c r="Q139" s="88">
        <f>IF(Q55=0,0,1000000*Q55/TrRoad_act!Q82)</f>
        <v>73788.021595223952</v>
      </c>
      <c r="R139" s="88">
        <f>IF(R55=0,0,1000000*R55/TrRoad_act!R82)</f>
        <v>65707.731946076878</v>
      </c>
      <c r="S139" s="88">
        <f>IF(S55=0,0,1000000*S55/TrRoad_act!S82)</f>
        <v>68388.771761053475</v>
      </c>
      <c r="T139" s="88">
        <f>IF(T55=0,0,1000000*T55/TrRoad_act!T82)</f>
        <v>76699.961996573868</v>
      </c>
      <c r="U139" s="88">
        <f>IF(U55=0,0,1000000*U55/TrRoad_act!U82)</f>
        <v>80880.741384701047</v>
      </c>
      <c r="V139" s="88">
        <f>IF(V55=0,0,1000000*V55/TrRoad_act!V82)</f>
        <v>79375.257539902799</v>
      </c>
      <c r="W139" s="88">
        <f>IF(W55=0,0,1000000*W55/TrRoad_act!W82)</f>
        <v>82469.573206944333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0.77327896759493042</v>
      </c>
      <c r="C142" s="46">
        <f t="shared" si="41"/>
        <v>0.73082935164558815</v>
      </c>
      <c r="D142" s="46">
        <f t="shared" si="41"/>
        <v>0.73679154880239472</v>
      </c>
      <c r="E142" s="46">
        <f t="shared" si="41"/>
        <v>0.78342781048231425</v>
      </c>
      <c r="F142" s="46">
        <f t="shared" si="41"/>
        <v>0.76727195320953268</v>
      </c>
      <c r="G142" s="46">
        <f t="shared" si="41"/>
        <v>0.79430615017615935</v>
      </c>
      <c r="H142" s="46">
        <f t="shared" si="41"/>
        <v>0.81407893912863993</v>
      </c>
      <c r="I142" s="46">
        <f t="shared" si="41"/>
        <v>0.75497908742917264</v>
      </c>
      <c r="J142" s="46">
        <f t="shared" si="41"/>
        <v>0.74113188111405182</v>
      </c>
      <c r="K142" s="46">
        <f t="shared" si="41"/>
        <v>0.81955477551292966</v>
      </c>
      <c r="L142" s="46">
        <f t="shared" ref="L142" si="42">IF(L18=0,0,L18/L$17)</f>
        <v>0.78982694851939694</v>
      </c>
      <c r="M142" s="46">
        <f t="shared" ref="M142:V142" si="43">IF(M18=0,0,M18/M$17)</f>
        <v>0.74519116120695739</v>
      </c>
      <c r="N142" s="46">
        <f t="shared" si="43"/>
        <v>0.81149194675916625</v>
      </c>
      <c r="O142" s="46">
        <f t="shared" si="43"/>
        <v>0.78976440293723349</v>
      </c>
      <c r="P142" s="46">
        <f t="shared" si="43"/>
        <v>0.69921565339164915</v>
      </c>
      <c r="Q142" s="46">
        <f t="shared" si="43"/>
        <v>0.69575017698676345</v>
      </c>
      <c r="R142" s="46">
        <f t="shared" si="43"/>
        <v>0.72850363978583521</v>
      </c>
      <c r="S142" s="46">
        <f t="shared" si="43"/>
        <v>0.7303336427771967</v>
      </c>
      <c r="T142" s="46">
        <f t="shared" si="43"/>
        <v>0.72895471709240445</v>
      </c>
      <c r="U142" s="46">
        <f t="shared" si="43"/>
        <v>0.72695305080299077</v>
      </c>
      <c r="V142" s="46">
        <f t="shared" si="43"/>
        <v>0.70645684383215657</v>
      </c>
      <c r="W142" s="46">
        <f t="shared" ref="W142" si="44">IF(W18=0,0,W18/W$17)</f>
        <v>0.69866835743268196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3.1552035381755788E-3</v>
      </c>
      <c r="C143" s="154">
        <f t="shared" si="45"/>
        <v>2.891795213376046E-3</v>
      </c>
      <c r="D143" s="154">
        <f t="shared" si="45"/>
        <v>2.8599003058056554E-3</v>
      </c>
      <c r="E143" s="154">
        <f t="shared" si="45"/>
        <v>2.7385634436969449E-3</v>
      </c>
      <c r="F143" s="154">
        <f t="shared" si="45"/>
        <v>2.5555699980243677E-3</v>
      </c>
      <c r="G143" s="154">
        <f t="shared" si="45"/>
        <v>2.3218680468487336E-3</v>
      </c>
      <c r="H143" s="154">
        <f t="shared" si="45"/>
        <v>2.2366664059675586E-3</v>
      </c>
      <c r="I143" s="154">
        <f t="shared" si="45"/>
        <v>2.0582685919954954E-3</v>
      </c>
      <c r="J143" s="154">
        <f t="shared" si="45"/>
        <v>2.3342780383210741E-3</v>
      </c>
      <c r="K143" s="154">
        <f t="shared" si="45"/>
        <v>2.9516007937354892E-3</v>
      </c>
      <c r="L143" s="154">
        <f t="shared" ref="L143" si="46">IF(L19=0,0,L19/L$17)</f>
        <v>2.8266563730031573E-3</v>
      </c>
      <c r="M143" s="154">
        <f t="shared" ref="M143:V143" si="47">IF(M19=0,0,M19/M$17)</f>
        <v>2.8046017967902456E-3</v>
      </c>
      <c r="N143" s="154">
        <f t="shared" si="47"/>
        <v>2.7165087204036246E-3</v>
      </c>
      <c r="O143" s="154">
        <f t="shared" si="47"/>
        <v>2.6582872326577911E-3</v>
      </c>
      <c r="P143" s="154">
        <f t="shared" si="47"/>
        <v>2.2787982696334782E-3</v>
      </c>
      <c r="Q143" s="154">
        <f t="shared" si="47"/>
        <v>2.125555137325152E-3</v>
      </c>
      <c r="R143" s="154">
        <f t="shared" si="47"/>
        <v>2.200154569286504E-3</v>
      </c>
      <c r="S143" s="154">
        <f t="shared" si="47"/>
        <v>1.9622723577257264E-3</v>
      </c>
      <c r="T143" s="154">
        <f t="shared" si="47"/>
        <v>1.7350350757200338E-3</v>
      </c>
      <c r="U143" s="154">
        <f t="shared" si="47"/>
        <v>1.7199225907553141E-3</v>
      </c>
      <c r="V143" s="154">
        <f t="shared" si="47"/>
        <v>1.533402530715017E-3</v>
      </c>
      <c r="W143" s="154">
        <f t="shared" ref="W143" si="48">IF(W19=0,0,W19/W$17)</f>
        <v>1.3079282723036244E-3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0.70793518418978241</v>
      </c>
      <c r="C144" s="156">
        <f t="shared" si="49"/>
        <v>0.67331822004250885</v>
      </c>
      <c r="D144" s="156">
        <f t="shared" si="49"/>
        <v>0.6797759691309645</v>
      </c>
      <c r="E144" s="156">
        <f t="shared" si="49"/>
        <v>0.72743778623473587</v>
      </c>
      <c r="F144" s="156">
        <f t="shared" si="49"/>
        <v>0.71326050160324006</v>
      </c>
      <c r="G144" s="156">
        <f t="shared" si="49"/>
        <v>0.74484068509785262</v>
      </c>
      <c r="H144" s="156">
        <f t="shared" si="49"/>
        <v>0.76955022299190912</v>
      </c>
      <c r="I144" s="156">
        <f t="shared" si="49"/>
        <v>0.71949645927997452</v>
      </c>
      <c r="J144" s="156">
        <f t="shared" si="49"/>
        <v>0.70724373467139079</v>
      </c>
      <c r="K144" s="156">
        <f t="shared" si="49"/>
        <v>0.77899777629872213</v>
      </c>
      <c r="L144" s="156">
        <f t="shared" ref="L144" si="50">IF(L21=0,0,L21/L$17)</f>
        <v>0.75107766563313338</v>
      </c>
      <c r="M144" s="156">
        <f t="shared" ref="M144:V144" si="51">IF(M21=0,0,M21/M$17)</f>
        <v>0.70546307112244355</v>
      </c>
      <c r="N144" s="156">
        <f t="shared" si="51"/>
        <v>0.77286335462344469</v>
      </c>
      <c r="O144" s="156">
        <f t="shared" si="51"/>
        <v>0.75110307873712967</v>
      </c>
      <c r="P144" s="156">
        <f t="shared" si="51"/>
        <v>0.66345181896692906</v>
      </c>
      <c r="Q144" s="156">
        <f t="shared" si="51"/>
        <v>0.66054391412013425</v>
      </c>
      <c r="R144" s="156">
        <f t="shared" si="51"/>
        <v>0.69636745779666331</v>
      </c>
      <c r="S144" s="156">
        <f t="shared" si="51"/>
        <v>0.69893152367761469</v>
      </c>
      <c r="T144" s="156">
        <f t="shared" si="51"/>
        <v>0.69870463304945341</v>
      </c>
      <c r="U144" s="156">
        <f t="shared" si="51"/>
        <v>0.69435408938261589</v>
      </c>
      <c r="V144" s="156">
        <f t="shared" si="51"/>
        <v>0.68167455060047388</v>
      </c>
      <c r="W144" s="156">
        <f t="shared" ref="W144" si="52">IF(W21=0,0,W21/W$17)</f>
        <v>0.67509601886406245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0.40360825813365536</v>
      </c>
      <c r="C145" s="103">
        <f t="shared" si="53"/>
        <v>0.36392353577754633</v>
      </c>
      <c r="D145" s="103">
        <f t="shared" si="53"/>
        <v>0.34220145987877015</v>
      </c>
      <c r="E145" s="103">
        <f t="shared" si="53"/>
        <v>0.33540110861750472</v>
      </c>
      <c r="F145" s="103">
        <f t="shared" si="53"/>
        <v>0.29069134305379202</v>
      </c>
      <c r="G145" s="103">
        <f t="shared" si="53"/>
        <v>0.26841493481880341</v>
      </c>
      <c r="H145" s="103">
        <f t="shared" si="53"/>
        <v>0.26431075427351769</v>
      </c>
      <c r="I145" s="103">
        <f t="shared" si="53"/>
        <v>0.26893811755933933</v>
      </c>
      <c r="J145" s="103">
        <f t="shared" si="53"/>
        <v>0.26809299917967744</v>
      </c>
      <c r="K145" s="103">
        <f t="shared" si="53"/>
        <v>0.27020023964548634</v>
      </c>
      <c r="L145" s="103">
        <f t="shared" ref="L145" si="54">IF(L22=0,0,L22/L$17)</f>
        <v>0.21267567580735855</v>
      </c>
      <c r="M145" s="103">
        <f t="shared" ref="M145:V145" si="55">IF(M22=0,0,M22/M$17)</f>
        <v>0.18648204826274148</v>
      </c>
      <c r="N145" s="103">
        <f t="shared" si="55"/>
        <v>0.1648421202155772</v>
      </c>
      <c r="O145" s="103">
        <f t="shared" si="55"/>
        <v>0.14742618558040141</v>
      </c>
      <c r="P145" s="103">
        <f t="shared" si="55"/>
        <v>0.129615780768051</v>
      </c>
      <c r="Q145" s="103">
        <f t="shared" si="55"/>
        <v>0.12142061555382319</v>
      </c>
      <c r="R145" s="103">
        <f t="shared" si="55"/>
        <v>0.12021192561126109</v>
      </c>
      <c r="S145" s="103">
        <f t="shared" si="55"/>
        <v>0.11359542889829677</v>
      </c>
      <c r="T145" s="103">
        <f t="shared" si="55"/>
        <v>0.11595659755828611</v>
      </c>
      <c r="U145" s="103">
        <f t="shared" si="55"/>
        <v>0.11601169061142833</v>
      </c>
      <c r="V145" s="103">
        <f t="shared" si="55"/>
        <v>0.11698270749535673</v>
      </c>
      <c r="W145" s="103">
        <f t="shared" ref="W145" si="56">IF(W22=0,0,W22/W$17)</f>
        <v>0.11721152977424505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0.17799968793499321</v>
      </c>
      <c r="C146" s="103">
        <f t="shared" si="57"/>
        <v>0.18788133184772113</v>
      </c>
      <c r="D146" s="103">
        <f t="shared" si="57"/>
        <v>0.19637263567086555</v>
      </c>
      <c r="E146" s="103">
        <f t="shared" si="57"/>
        <v>0.23158719231272581</v>
      </c>
      <c r="F146" s="103">
        <f t="shared" si="57"/>
        <v>0.24691892595843906</v>
      </c>
      <c r="G146" s="103">
        <f t="shared" si="57"/>
        <v>0.2981427888555192</v>
      </c>
      <c r="H146" s="103">
        <f t="shared" si="57"/>
        <v>0.33586239336579288</v>
      </c>
      <c r="I146" s="103">
        <f t="shared" si="57"/>
        <v>0.31091787534193538</v>
      </c>
      <c r="J146" s="103">
        <f t="shared" si="57"/>
        <v>0.31523851568024891</v>
      </c>
      <c r="K146" s="103">
        <f t="shared" si="57"/>
        <v>0.37495419644556155</v>
      </c>
      <c r="L146" s="103">
        <f t="shared" ref="L146" si="58">IF(L24=0,0,L24/L$17)</f>
        <v>0.41432826445395682</v>
      </c>
      <c r="M146" s="103">
        <f t="shared" ref="M146:V146" si="59">IF(M24=0,0,M24/M$17)</f>
        <v>0.40204895488120279</v>
      </c>
      <c r="N146" s="103">
        <f t="shared" si="59"/>
        <v>0.49956848027244688</v>
      </c>
      <c r="O146" s="103">
        <f t="shared" si="59"/>
        <v>0.50032652628726904</v>
      </c>
      <c r="P146" s="103">
        <f t="shared" si="59"/>
        <v>0.44313554573790354</v>
      </c>
      <c r="Q146" s="103">
        <f t="shared" si="59"/>
        <v>0.45916271517208096</v>
      </c>
      <c r="R146" s="103">
        <f t="shared" si="59"/>
        <v>0.5050852020820914</v>
      </c>
      <c r="S146" s="103">
        <f t="shared" si="59"/>
        <v>0.52182758358945702</v>
      </c>
      <c r="T146" s="103">
        <f t="shared" si="59"/>
        <v>0.52548221879892931</v>
      </c>
      <c r="U146" s="103">
        <f t="shared" si="59"/>
        <v>0.52358687615901944</v>
      </c>
      <c r="V146" s="103">
        <f t="shared" si="59"/>
        <v>0.51149446615056093</v>
      </c>
      <c r="W146" s="103">
        <f t="shared" ref="W146" si="60">IF(W24=0,0,W24/W$17)</f>
        <v>0.50776015927459739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0.12632723812113386</v>
      </c>
      <c r="C147" s="103">
        <f t="shared" si="61"/>
        <v>0.12151335241724127</v>
      </c>
      <c r="D147" s="103">
        <f t="shared" si="61"/>
        <v>0.14120187358132885</v>
      </c>
      <c r="E147" s="103">
        <f t="shared" si="61"/>
        <v>0.16044948530450528</v>
      </c>
      <c r="F147" s="103">
        <f t="shared" si="61"/>
        <v>0.17565023259100895</v>
      </c>
      <c r="G147" s="103">
        <f t="shared" si="61"/>
        <v>0.1782829614235299</v>
      </c>
      <c r="H147" s="103">
        <f t="shared" si="61"/>
        <v>0.16937707535259847</v>
      </c>
      <c r="I147" s="103">
        <f t="shared" si="61"/>
        <v>0.13964046637869978</v>
      </c>
      <c r="J147" s="103">
        <f t="shared" si="61"/>
        <v>0.12391221981146447</v>
      </c>
      <c r="K147" s="103">
        <f t="shared" si="61"/>
        <v>0.13384334020767427</v>
      </c>
      <c r="L147" s="103">
        <f t="shared" ref="L147" si="62">IF(L26=0,0,L26/L$17)</f>
        <v>0.12407372537181804</v>
      </c>
      <c r="M147" s="103">
        <f t="shared" ref="M147:V147" si="63">IF(M26=0,0,M26/M$17)</f>
        <v>0.11693183400663479</v>
      </c>
      <c r="N147" s="103">
        <f t="shared" si="63"/>
        <v>0.10845215785558741</v>
      </c>
      <c r="O147" s="103">
        <f t="shared" si="63"/>
        <v>0.10304226578977059</v>
      </c>
      <c r="P147" s="103">
        <f t="shared" si="63"/>
        <v>9.0057947413343054E-2</v>
      </c>
      <c r="Q147" s="103">
        <f t="shared" si="63"/>
        <v>7.9129066391956396E-2</v>
      </c>
      <c r="R147" s="103">
        <f t="shared" si="63"/>
        <v>6.974249772975577E-2</v>
      </c>
      <c r="S147" s="103">
        <f t="shared" si="63"/>
        <v>6.1539812926636732E-2</v>
      </c>
      <c r="T147" s="103">
        <f t="shared" si="63"/>
        <v>5.4058725310879671E-2</v>
      </c>
      <c r="U147" s="103">
        <f t="shared" si="63"/>
        <v>4.9922013683366073E-2</v>
      </c>
      <c r="V147" s="103">
        <f t="shared" si="63"/>
        <v>4.667189696846244E-2</v>
      </c>
      <c r="W147" s="103">
        <f t="shared" ref="W147" si="64">IF(W26=0,0,W26/W$17)</f>
        <v>4.4093758305350325E-2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3.6434043605620173E-7</v>
      </c>
      <c r="O148" s="103">
        <f t="shared" si="67"/>
        <v>1.5227107382186622E-6</v>
      </c>
      <c r="P148" s="103">
        <f t="shared" si="67"/>
        <v>7.4538911492093636E-6</v>
      </c>
      <c r="Q148" s="103">
        <f t="shared" si="67"/>
        <v>9.8405220691239382E-6</v>
      </c>
      <c r="R148" s="103">
        <f t="shared" si="67"/>
        <v>1.3390401252303172E-5</v>
      </c>
      <c r="S148" s="103">
        <f t="shared" si="67"/>
        <v>1.9652093957940326E-5</v>
      </c>
      <c r="T148" s="103">
        <f t="shared" si="67"/>
        <v>2.4948023559589012E-5</v>
      </c>
      <c r="U148" s="103">
        <f t="shared" si="67"/>
        <v>2.3538958655901126E-5</v>
      </c>
      <c r="V148" s="103">
        <f t="shared" si="67"/>
        <v>3.8004186157529866E-5</v>
      </c>
      <c r="W148" s="103">
        <f t="shared" ref="W148" si="68">IF(W27=0,0,W27/W$17)</f>
        <v>5.0480201094389741E-5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0</v>
      </c>
      <c r="O149" s="103">
        <f t="shared" si="71"/>
        <v>3.0589868512531789E-4</v>
      </c>
      <c r="P149" s="103">
        <f t="shared" si="71"/>
        <v>6.2868432632576493E-4</v>
      </c>
      <c r="Q149" s="103">
        <f t="shared" si="71"/>
        <v>8.0676258812598773E-4</v>
      </c>
      <c r="R149" s="103">
        <f t="shared" si="71"/>
        <v>1.2851692614132694E-3</v>
      </c>
      <c r="S149" s="103">
        <f t="shared" si="71"/>
        <v>1.8943490799779637E-3</v>
      </c>
      <c r="T149" s="103">
        <f t="shared" si="71"/>
        <v>3.0986800027345426E-3</v>
      </c>
      <c r="U149" s="103">
        <f t="shared" si="71"/>
        <v>4.691205665323812E-3</v>
      </c>
      <c r="V149" s="103">
        <f t="shared" si="71"/>
        <v>6.3188483159684191E-3</v>
      </c>
      <c r="W149" s="103">
        <f t="shared" ref="W149" si="72">IF(W29=0,0,W29/W$17)</f>
        <v>5.5560108888830602E-3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2.3397186452863033E-7</v>
      </c>
      <c r="N150" s="103">
        <f t="shared" si="75"/>
        <v>2.3193939729311277E-7</v>
      </c>
      <c r="O150" s="103">
        <f t="shared" si="75"/>
        <v>6.796838249659243E-7</v>
      </c>
      <c r="P150" s="103">
        <f t="shared" si="75"/>
        <v>6.4068301564957607E-6</v>
      </c>
      <c r="Q150" s="103">
        <f t="shared" si="75"/>
        <v>1.4913892078673661E-5</v>
      </c>
      <c r="R150" s="103">
        <f t="shared" si="75"/>
        <v>2.9272710889639693E-5</v>
      </c>
      <c r="S150" s="103">
        <f t="shared" si="75"/>
        <v>5.4697089288214675E-5</v>
      </c>
      <c r="T150" s="103">
        <f t="shared" si="75"/>
        <v>8.3463355064046914E-5</v>
      </c>
      <c r="U150" s="103">
        <f t="shared" si="75"/>
        <v>1.187643048220642E-4</v>
      </c>
      <c r="V150" s="103">
        <f t="shared" si="75"/>
        <v>1.6862748396783152E-4</v>
      </c>
      <c r="W150" s="103">
        <f t="shared" ref="W150" si="76">IF(W32=0,0,W32/W$17)</f>
        <v>4.2408041989221005E-4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6.2188579866972425E-2</v>
      </c>
      <c r="C151" s="156">
        <f t="shared" si="77"/>
        <v>5.4619336389703253E-2</v>
      </c>
      <c r="D151" s="156">
        <f t="shared" si="77"/>
        <v>5.4155679365624508E-2</v>
      </c>
      <c r="E151" s="156">
        <f t="shared" si="77"/>
        <v>5.3251460803881434E-2</v>
      </c>
      <c r="F151" s="156">
        <f t="shared" si="77"/>
        <v>5.1455881608268174E-2</v>
      </c>
      <c r="G151" s="156">
        <f t="shared" si="77"/>
        <v>4.7143597031458054E-2</v>
      </c>
      <c r="H151" s="156">
        <f t="shared" si="77"/>
        <v>4.2292049730763198E-2</v>
      </c>
      <c r="I151" s="156">
        <f t="shared" si="77"/>
        <v>3.3424359557202597E-2</v>
      </c>
      <c r="J151" s="156">
        <f t="shared" si="77"/>
        <v>3.1553868404339949E-2</v>
      </c>
      <c r="K151" s="156">
        <f t="shared" si="77"/>
        <v>3.7605398420472037E-2</v>
      </c>
      <c r="L151" s="156">
        <f t="shared" ref="L151" si="78">IF(L33=0,0,L33/L$17)</f>
        <v>3.5922626513260343E-2</v>
      </c>
      <c r="M151" s="156">
        <f t="shared" ref="M151:V151" si="79">IF(M33=0,0,M33/M$17)</f>
        <v>3.6923488287723558E-2</v>
      </c>
      <c r="N151" s="156">
        <f t="shared" si="79"/>
        <v>3.5912083415317979E-2</v>
      </c>
      <c r="O151" s="156">
        <f t="shared" si="79"/>
        <v>3.6003036967445945E-2</v>
      </c>
      <c r="P151" s="156">
        <f t="shared" si="79"/>
        <v>3.3485036155086689E-2</v>
      </c>
      <c r="Q151" s="156">
        <f t="shared" si="79"/>
        <v>3.3080707729303972E-2</v>
      </c>
      <c r="R151" s="156">
        <f t="shared" si="79"/>
        <v>2.9936027419885242E-2</v>
      </c>
      <c r="S151" s="156">
        <f t="shared" si="79"/>
        <v>2.9439846741856263E-2</v>
      </c>
      <c r="T151" s="156">
        <f t="shared" si="79"/>
        <v>2.851504896723106E-2</v>
      </c>
      <c r="U151" s="156">
        <f t="shared" si="79"/>
        <v>3.08790388296197E-2</v>
      </c>
      <c r="V151" s="156">
        <f t="shared" si="79"/>
        <v>2.3248890700967632E-2</v>
      </c>
      <c r="W151" s="156">
        <f t="shared" ref="W151" si="80">IF(W33=0,0,W33/W$17)</f>
        <v>2.2264410296315866E-2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5.9295569451427887E-5</v>
      </c>
      <c r="E152" s="103">
        <f t="shared" si="81"/>
        <v>8.8779872350171305E-5</v>
      </c>
      <c r="F152" s="103">
        <f t="shared" si="81"/>
        <v>7.7597055537285053E-5</v>
      </c>
      <c r="G152" s="103">
        <f t="shared" si="81"/>
        <v>7.1617124995994392E-5</v>
      </c>
      <c r="H152" s="103">
        <f t="shared" si="81"/>
        <v>6.7460596195604883E-5</v>
      </c>
      <c r="I152" s="103">
        <f t="shared" si="81"/>
        <v>4.697006364664E-5</v>
      </c>
      <c r="J152" s="103">
        <f t="shared" si="81"/>
        <v>3.1326613869237314E-5</v>
      </c>
      <c r="K152" s="103">
        <f t="shared" si="81"/>
        <v>3.3449686538318604E-5</v>
      </c>
      <c r="L152" s="103">
        <f t="shared" ref="L152" si="82">IF(L34=0,0,L34/L$17)</f>
        <v>3.161278305049342E-5</v>
      </c>
      <c r="M152" s="103">
        <f t="shared" ref="M152:V152" si="83">IF(M34=0,0,M34/M$17)</f>
        <v>2.2026247185423804E-5</v>
      </c>
      <c r="N152" s="103">
        <f t="shared" si="83"/>
        <v>1.9577028519887558E-5</v>
      </c>
      <c r="O152" s="103">
        <f t="shared" si="83"/>
        <v>2.485554619060133E-4</v>
      </c>
      <c r="P152" s="103">
        <f t="shared" si="83"/>
        <v>1.3300942816216532E-4</v>
      </c>
      <c r="Q152" s="103">
        <f t="shared" si="83"/>
        <v>1.1349664050811081E-4</v>
      </c>
      <c r="R152" s="103">
        <f t="shared" si="83"/>
        <v>1.0938553835734291E-4</v>
      </c>
      <c r="S152" s="103">
        <f t="shared" si="83"/>
        <v>1.0464354031153323E-4</v>
      </c>
      <c r="T152" s="103">
        <f t="shared" si="83"/>
        <v>9.3426357987215727E-5</v>
      </c>
      <c r="U152" s="103">
        <f t="shared" si="83"/>
        <v>8.3242831769574102E-5</v>
      </c>
      <c r="V152" s="103">
        <f t="shared" si="83"/>
        <v>5.9371140055387228E-5</v>
      </c>
      <c r="W152" s="103">
        <f t="shared" ref="W152" si="84">IF(W34=0,0,W34/W$17)</f>
        <v>5.4707255881214204E-5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6.2188579866972425E-2</v>
      </c>
      <c r="C153" s="103">
        <f t="shared" si="85"/>
        <v>5.4619336389703253E-2</v>
      </c>
      <c r="D153" s="103">
        <f t="shared" si="85"/>
        <v>5.4079259988206098E-2</v>
      </c>
      <c r="E153" s="103">
        <f t="shared" si="85"/>
        <v>5.3145538633904962E-2</v>
      </c>
      <c r="F153" s="103">
        <f t="shared" si="85"/>
        <v>5.1196971742629341E-2</v>
      </c>
      <c r="G153" s="103">
        <f t="shared" si="85"/>
        <v>4.651893194943163E-2</v>
      </c>
      <c r="H153" s="103">
        <f t="shared" si="85"/>
        <v>4.1355437521125867E-2</v>
      </c>
      <c r="I153" s="103">
        <f t="shared" si="85"/>
        <v>3.243532557311455E-2</v>
      </c>
      <c r="J153" s="103">
        <f t="shared" si="85"/>
        <v>3.0552014345956117E-2</v>
      </c>
      <c r="K153" s="103">
        <f t="shared" si="85"/>
        <v>3.539684773373538E-2</v>
      </c>
      <c r="L153" s="103">
        <f t="shared" ref="L153" si="86">IF(L36=0,0,L36/L$17)</f>
        <v>3.3045182093222804E-2</v>
      </c>
      <c r="M153" s="103">
        <f t="shared" ref="M153:V153" si="87">IF(M36=0,0,M36/M$17)</f>
        <v>3.3453058017161683E-2</v>
      </c>
      <c r="N153" s="103">
        <f t="shared" si="87"/>
        <v>3.2731732677297794E-2</v>
      </c>
      <c r="O153" s="103">
        <f t="shared" si="87"/>
        <v>2.8137029826815693E-2</v>
      </c>
      <c r="P153" s="103">
        <f t="shared" si="87"/>
        <v>2.5638957414450568E-2</v>
      </c>
      <c r="Q153" s="103">
        <f t="shared" si="87"/>
        <v>2.3653593352967593E-2</v>
      </c>
      <c r="R153" s="103">
        <f t="shared" si="87"/>
        <v>2.1262688922107306E-2</v>
      </c>
      <c r="S153" s="103">
        <f t="shared" si="87"/>
        <v>2.0989560784054024E-2</v>
      </c>
      <c r="T153" s="103">
        <f t="shared" si="87"/>
        <v>2.0509859022470316E-2</v>
      </c>
      <c r="U153" s="103">
        <f t="shared" si="87"/>
        <v>2.2615766598273926E-2</v>
      </c>
      <c r="V153" s="103">
        <f t="shared" si="87"/>
        <v>1.5843656762581211E-2</v>
      </c>
      <c r="W153" s="103">
        <f t="shared" ref="W153" si="88">IF(W36=0,0,W36/W$17)</f>
        <v>1.3755808708658919E-2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1.7123807966978684E-5</v>
      </c>
      <c r="E154" s="103">
        <f t="shared" si="89"/>
        <v>1.7142297626303444E-5</v>
      </c>
      <c r="F154" s="103">
        <f t="shared" si="89"/>
        <v>1.6562715084718857E-5</v>
      </c>
      <c r="G154" s="103">
        <f t="shared" si="89"/>
        <v>1.4973705259111399E-5</v>
      </c>
      <c r="H154" s="103">
        <f t="shared" si="89"/>
        <v>1.333968157647533E-5</v>
      </c>
      <c r="I154" s="103">
        <f t="shared" si="89"/>
        <v>1.0662091096097814E-5</v>
      </c>
      <c r="J154" s="103">
        <f t="shared" si="89"/>
        <v>1.025081780179938E-5</v>
      </c>
      <c r="K154" s="103">
        <f t="shared" si="89"/>
        <v>1.1868111729229266E-5</v>
      </c>
      <c r="L154" s="103">
        <f t="shared" ref="L154" si="90">IF(L38=0,0,L38/L$17)</f>
        <v>1.1442962745219951E-5</v>
      </c>
      <c r="M154" s="103">
        <f t="shared" ref="M154:V154" si="91">IF(M38=0,0,M38/M$17)</f>
        <v>4.1885574232777766E-5</v>
      </c>
      <c r="N154" s="103">
        <f t="shared" si="91"/>
        <v>4.1805599659684535E-5</v>
      </c>
      <c r="O154" s="103">
        <f t="shared" si="91"/>
        <v>2.1550625992079677E-4</v>
      </c>
      <c r="P154" s="103">
        <f t="shared" si="91"/>
        <v>6.4835863699153756E-4</v>
      </c>
      <c r="Q154" s="103">
        <f t="shared" si="91"/>
        <v>6.2416594705270848E-4</v>
      </c>
      <c r="R154" s="103">
        <f t="shared" si="91"/>
        <v>6.0536033745365908E-4</v>
      </c>
      <c r="S154" s="103">
        <f t="shared" si="91"/>
        <v>6.1708597234398069E-4</v>
      </c>
      <c r="T154" s="103">
        <f t="shared" si="91"/>
        <v>6.2237392758047625E-4</v>
      </c>
      <c r="U154" s="103">
        <f t="shared" si="91"/>
        <v>7.6375451754774333E-4</v>
      </c>
      <c r="V154" s="103">
        <f t="shared" si="91"/>
        <v>5.6346114309669055E-4</v>
      </c>
      <c r="W154" s="103">
        <f t="shared" ref="W154" si="92">IF(W38=0,0,W38/W$17)</f>
        <v>5.356460996962728E-4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9.8492931533545594E-4</v>
      </c>
      <c r="L155" s="103">
        <f t="shared" ref="L155" si="94">IF(L39=0,0,L39/L$17)</f>
        <v>1.7162303195607704E-3</v>
      </c>
      <c r="M155" s="103">
        <f t="shared" ref="M155:V155" si="95">IF(M39=0,0,M39/M$17)</f>
        <v>2.2987655676085295E-3</v>
      </c>
      <c r="N155" s="103">
        <f t="shared" si="95"/>
        <v>2.0421670590326387E-3</v>
      </c>
      <c r="O155" s="103">
        <f t="shared" si="95"/>
        <v>2.8194510818978225E-3</v>
      </c>
      <c r="P155" s="103">
        <f t="shared" si="95"/>
        <v>2.937232045113254E-3</v>
      </c>
      <c r="Q155" s="103">
        <f t="shared" si="95"/>
        <v>4.5811669206102098E-3</v>
      </c>
      <c r="R155" s="103">
        <f t="shared" si="95"/>
        <v>4.3308289951078044E-3</v>
      </c>
      <c r="S155" s="103">
        <f t="shared" si="95"/>
        <v>4.1559364704494787E-3</v>
      </c>
      <c r="T155" s="103">
        <f t="shared" si="95"/>
        <v>3.8406135716921317E-3</v>
      </c>
      <c r="U155" s="103">
        <f t="shared" si="95"/>
        <v>3.5731405525311782E-3</v>
      </c>
      <c r="V155" s="103">
        <f t="shared" si="95"/>
        <v>4.0486267974138698E-3</v>
      </c>
      <c r="W155" s="103">
        <f t="shared" ref="W155" si="96">IF(W39=0,0,W39/W$17)</f>
        <v>4.7870332672552644E-3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1.6475009501682272E-4</v>
      </c>
      <c r="G156" s="103">
        <f t="shared" si="97"/>
        <v>5.3807425177132659E-4</v>
      </c>
      <c r="H156" s="103">
        <f t="shared" si="97"/>
        <v>8.5581193186525309E-4</v>
      </c>
      <c r="I156" s="103">
        <f t="shared" si="97"/>
        <v>9.3140182934531215E-4</v>
      </c>
      <c r="J156" s="103">
        <f t="shared" si="97"/>
        <v>9.6027662671279248E-4</v>
      </c>
      <c r="K156" s="103">
        <f t="shared" si="97"/>
        <v>1.1783035731336598E-3</v>
      </c>
      <c r="L156" s="103">
        <f t="shared" ref="L156" si="98">IF(L41=0,0,L41/L$17)</f>
        <v>1.1181583546810521E-3</v>
      </c>
      <c r="M156" s="103">
        <f t="shared" ref="M156:V156" si="99">IF(M41=0,0,M41/M$17)</f>
        <v>1.1077528815351403E-3</v>
      </c>
      <c r="N156" s="103">
        <f t="shared" si="99"/>
        <v>1.076801050807972E-3</v>
      </c>
      <c r="O156" s="103">
        <f t="shared" si="99"/>
        <v>4.5824943369056166E-3</v>
      </c>
      <c r="P156" s="103">
        <f t="shared" si="99"/>
        <v>4.1274786303691652E-3</v>
      </c>
      <c r="Q156" s="103">
        <f t="shared" si="99"/>
        <v>4.1082848681653523E-3</v>
      </c>
      <c r="R156" s="103">
        <f t="shared" si="99"/>
        <v>3.627763626859131E-3</v>
      </c>
      <c r="S156" s="103">
        <f t="shared" si="99"/>
        <v>3.5726199746972482E-3</v>
      </c>
      <c r="T156" s="103">
        <f t="shared" si="99"/>
        <v>3.4487760875009255E-3</v>
      </c>
      <c r="U156" s="103">
        <f t="shared" si="99"/>
        <v>3.8431343294972791E-3</v>
      </c>
      <c r="V156" s="103">
        <f t="shared" si="99"/>
        <v>2.7337748578204692E-3</v>
      </c>
      <c r="W156" s="103">
        <f t="shared" ref="W156" si="100">IF(W41=0,0,W41/W$17)</f>
        <v>3.1312149648241943E-3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0.22672103240506958</v>
      </c>
      <c r="C157" s="46">
        <f t="shared" si="101"/>
        <v>0.26917064835441179</v>
      </c>
      <c r="D157" s="46">
        <f t="shared" si="101"/>
        <v>0.26320845119760533</v>
      </c>
      <c r="E157" s="46">
        <f t="shared" si="101"/>
        <v>0.21657218951768567</v>
      </c>
      <c r="F157" s="46">
        <f t="shared" si="101"/>
        <v>0.23272804679046741</v>
      </c>
      <c r="G157" s="46">
        <f t="shared" si="101"/>
        <v>0.20569384982384065</v>
      </c>
      <c r="H157" s="46">
        <f t="shared" si="101"/>
        <v>0.18592106087136007</v>
      </c>
      <c r="I157" s="46">
        <f t="shared" si="101"/>
        <v>0.24502091257082739</v>
      </c>
      <c r="J157" s="46">
        <f t="shared" si="101"/>
        <v>0.25886811888594824</v>
      </c>
      <c r="K157" s="46">
        <f t="shared" si="101"/>
        <v>0.18044522448707032</v>
      </c>
      <c r="L157" s="46">
        <f t="shared" ref="L157" si="102">IF(L42=0,0,L42/L$17)</f>
        <v>0.21017305148060311</v>
      </c>
      <c r="M157" s="46">
        <f t="shared" ref="M157:V157" si="103">IF(M42=0,0,M42/M$17)</f>
        <v>0.25480883879304256</v>
      </c>
      <c r="N157" s="46">
        <f t="shared" si="103"/>
        <v>0.1885080532408337</v>
      </c>
      <c r="O157" s="46">
        <f t="shared" si="103"/>
        <v>0.21023559706276657</v>
      </c>
      <c r="P157" s="46">
        <f t="shared" si="103"/>
        <v>0.30078434660835079</v>
      </c>
      <c r="Q157" s="46">
        <f t="shared" si="103"/>
        <v>0.30424982301323655</v>
      </c>
      <c r="R157" s="46">
        <f t="shared" si="103"/>
        <v>0.27149636021416484</v>
      </c>
      <c r="S157" s="46">
        <f t="shared" si="103"/>
        <v>0.26966635722280324</v>
      </c>
      <c r="T157" s="46">
        <f t="shared" si="103"/>
        <v>0.27104528290759555</v>
      </c>
      <c r="U157" s="46">
        <f t="shared" si="103"/>
        <v>0.27304694919700917</v>
      </c>
      <c r="V157" s="46">
        <f t="shared" si="103"/>
        <v>0.29354315616784349</v>
      </c>
      <c r="W157" s="46">
        <f t="shared" ref="W157" si="104">IF(W42=0,0,W42/W$17)</f>
        <v>0.30133164256731804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3.5131726498995625E-2</v>
      </c>
      <c r="C158" s="154">
        <f t="shared" si="105"/>
        <v>3.1994098941584871E-2</v>
      </c>
      <c r="D158" s="154">
        <f t="shared" si="105"/>
        <v>3.1099926518443476E-2</v>
      </c>
      <c r="E158" s="154">
        <f t="shared" si="105"/>
        <v>3.1349456694021116E-2</v>
      </c>
      <c r="F158" s="154">
        <f t="shared" si="105"/>
        <v>2.9988177510863859E-2</v>
      </c>
      <c r="G158" s="154">
        <f t="shared" si="105"/>
        <v>2.96380285642334E-2</v>
      </c>
      <c r="H158" s="154">
        <f t="shared" si="105"/>
        <v>3.291584548271239E-2</v>
      </c>
      <c r="I158" s="154">
        <f t="shared" si="105"/>
        <v>3.1906874510428063E-2</v>
      </c>
      <c r="J158" s="154">
        <f t="shared" si="105"/>
        <v>3.277316008688641E-2</v>
      </c>
      <c r="K158" s="154">
        <f t="shared" si="105"/>
        <v>4.0864741326648253E-2</v>
      </c>
      <c r="L158" s="154">
        <f t="shared" ref="L158" si="106">IF(L43=0,0,L43/L$17)</f>
        <v>3.7671153269422025E-2</v>
      </c>
      <c r="M158" s="154">
        <f t="shared" ref="M158:V158" si="107">IF(M43=0,0,M43/M$17)</f>
        <v>4.170898004035907E-2</v>
      </c>
      <c r="N158" s="154">
        <f t="shared" si="107"/>
        <v>4.5078414719566584E-2</v>
      </c>
      <c r="O158" s="154">
        <f t="shared" si="107"/>
        <v>4.6707838317278719E-2</v>
      </c>
      <c r="P158" s="154">
        <f t="shared" si="107"/>
        <v>4.7246314643795778E-2</v>
      </c>
      <c r="Q158" s="154">
        <f t="shared" si="107"/>
        <v>4.6682422340303252E-2</v>
      </c>
      <c r="R158" s="154">
        <f t="shared" si="107"/>
        <v>4.6419772901487695E-2</v>
      </c>
      <c r="S158" s="154">
        <f t="shared" si="107"/>
        <v>4.5268079621294796E-2</v>
      </c>
      <c r="T158" s="154">
        <f t="shared" si="107"/>
        <v>4.331480903506655E-2</v>
      </c>
      <c r="U158" s="154">
        <f t="shared" si="107"/>
        <v>4.3476406290423132E-2</v>
      </c>
      <c r="V158" s="154">
        <f t="shared" si="107"/>
        <v>4.559698543329084E-2</v>
      </c>
      <c r="W158" s="154">
        <f t="shared" ref="W158" si="108">IF(W43=0,0,W43/W$17)</f>
        <v>4.6714405145603558E-2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4.8559614355944145E-3</v>
      </c>
      <c r="C159" s="103">
        <f t="shared" si="109"/>
        <v>4.2469198315580109E-3</v>
      </c>
      <c r="D159" s="103">
        <f t="shared" si="109"/>
        <v>3.9676105822026315E-3</v>
      </c>
      <c r="E159" s="103">
        <f t="shared" si="109"/>
        <v>3.7961108765385892E-3</v>
      </c>
      <c r="F159" s="103">
        <f t="shared" si="109"/>
        <v>3.3569574147170778E-3</v>
      </c>
      <c r="G159" s="103">
        <f t="shared" si="109"/>
        <v>3.1617921742507181E-3</v>
      </c>
      <c r="H159" s="103">
        <f t="shared" si="109"/>
        <v>3.6763659353254872E-3</v>
      </c>
      <c r="I159" s="103">
        <f t="shared" si="109"/>
        <v>3.5129349524593216E-3</v>
      </c>
      <c r="J159" s="103">
        <f t="shared" si="109"/>
        <v>3.2411643905714393E-3</v>
      </c>
      <c r="K159" s="103">
        <f t="shared" si="109"/>
        <v>3.5324458059775689E-3</v>
      </c>
      <c r="L159" s="103">
        <f t="shared" ref="L159" si="110">IF(L44=0,0,L44/L$17)</f>
        <v>3.0612075481233512E-3</v>
      </c>
      <c r="M159" s="103">
        <f t="shared" ref="M159:V159" si="111">IF(M44=0,0,M44/M$17)</f>
        <v>2.6732391946845836E-3</v>
      </c>
      <c r="N159" s="103">
        <f t="shared" si="111"/>
        <v>2.2201729722266424E-3</v>
      </c>
      <c r="O159" s="103">
        <f t="shared" si="111"/>
        <v>1.9314138842879294E-3</v>
      </c>
      <c r="P159" s="103">
        <f t="shared" si="111"/>
        <v>1.5066143437009051E-3</v>
      </c>
      <c r="Q159" s="103">
        <f t="shared" si="111"/>
        <v>1.1782490983260636E-3</v>
      </c>
      <c r="R159" s="103">
        <f t="shared" si="111"/>
        <v>9.8979138833326231E-4</v>
      </c>
      <c r="S159" s="103">
        <f t="shared" si="111"/>
        <v>8.2586877572731789E-4</v>
      </c>
      <c r="T159" s="103">
        <f t="shared" si="111"/>
        <v>6.9586625343799819E-4</v>
      </c>
      <c r="U159" s="103">
        <f t="shared" si="111"/>
        <v>9.3804634659728971E-4</v>
      </c>
      <c r="V159" s="103">
        <f t="shared" si="111"/>
        <v>8.4417218173473275E-4</v>
      </c>
      <c r="W159" s="103">
        <f t="shared" ref="W159" si="112">IF(W44=0,0,W44/W$17)</f>
        <v>7.6646810758189377E-4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3.0275765063401211E-2</v>
      </c>
      <c r="C160" s="103">
        <f t="shared" si="113"/>
        <v>2.7747179110026863E-2</v>
      </c>
      <c r="D160" s="103">
        <f t="shared" si="113"/>
        <v>2.7132315936240842E-2</v>
      </c>
      <c r="E160" s="103">
        <f t="shared" si="113"/>
        <v>2.7553345817482526E-2</v>
      </c>
      <c r="F160" s="103">
        <f t="shared" si="113"/>
        <v>2.6631220096146779E-2</v>
      </c>
      <c r="G160" s="103">
        <f t="shared" si="113"/>
        <v>2.6476236389982685E-2</v>
      </c>
      <c r="H160" s="103">
        <f t="shared" si="113"/>
        <v>2.9239479547386909E-2</v>
      </c>
      <c r="I160" s="103">
        <f t="shared" si="113"/>
        <v>2.8393939557968744E-2</v>
      </c>
      <c r="J160" s="103">
        <f t="shared" si="113"/>
        <v>2.9531995696314969E-2</v>
      </c>
      <c r="K160" s="103">
        <f t="shared" si="113"/>
        <v>3.7332295520670682E-2</v>
      </c>
      <c r="L160" s="103">
        <f t="shared" ref="L160" si="114">IF(L46=0,0,L46/L$17)</f>
        <v>3.4609945721298677E-2</v>
      </c>
      <c r="M160" s="103">
        <f t="shared" ref="M160:V160" si="115">IF(M46=0,0,M46/M$17)</f>
        <v>3.9035740845674488E-2</v>
      </c>
      <c r="N160" s="103">
        <f t="shared" si="115"/>
        <v>4.2858241747339938E-2</v>
      </c>
      <c r="O160" s="103">
        <f t="shared" si="115"/>
        <v>4.4776424432990791E-2</v>
      </c>
      <c r="P160" s="103">
        <f t="shared" si="115"/>
        <v>4.5739700300094867E-2</v>
      </c>
      <c r="Q160" s="103">
        <f t="shared" si="115"/>
        <v>4.550417324197719E-2</v>
      </c>
      <c r="R160" s="103">
        <f t="shared" si="115"/>
        <v>4.5429981513154437E-2</v>
      </c>
      <c r="S160" s="103">
        <f t="shared" si="115"/>
        <v>4.444221084556748E-2</v>
      </c>
      <c r="T160" s="103">
        <f t="shared" si="115"/>
        <v>4.2618942781628553E-2</v>
      </c>
      <c r="U160" s="103">
        <f t="shared" si="115"/>
        <v>4.2538359943825842E-2</v>
      </c>
      <c r="V160" s="103">
        <f t="shared" si="115"/>
        <v>4.4752813251556105E-2</v>
      </c>
      <c r="W160" s="103">
        <f t="shared" ref="W160" si="116">IF(W46=0,0,W46/W$17)</f>
        <v>4.5947937038021656E-2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0</v>
      </c>
      <c r="T161" s="103">
        <f t="shared" si="119"/>
        <v>0</v>
      </c>
      <c r="U161" s="103">
        <f t="shared" si="119"/>
        <v>0</v>
      </c>
      <c r="V161" s="103">
        <f t="shared" si="119"/>
        <v>0</v>
      </c>
      <c r="W161" s="103">
        <f t="shared" ref="W161" si="120">IF(W48=0,0,W48/W$17)</f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0</v>
      </c>
      <c r="N163" s="103">
        <f t="shared" si="127"/>
        <v>0</v>
      </c>
      <c r="O163" s="103">
        <f t="shared" si="127"/>
        <v>0</v>
      </c>
      <c r="P163" s="103">
        <f t="shared" si="127"/>
        <v>0</v>
      </c>
      <c r="Q163" s="103">
        <f t="shared" si="127"/>
        <v>0</v>
      </c>
      <c r="R163" s="103">
        <f t="shared" si="127"/>
        <v>0</v>
      </c>
      <c r="S163" s="103">
        <f t="shared" si="127"/>
        <v>0</v>
      </c>
      <c r="T163" s="103">
        <f t="shared" si="127"/>
        <v>0</v>
      </c>
      <c r="U163" s="103">
        <f t="shared" si="127"/>
        <v>0</v>
      </c>
      <c r="V163" s="103">
        <f t="shared" si="127"/>
        <v>0</v>
      </c>
      <c r="W163" s="103">
        <f t="shared" ref="W163" si="128">IF(W51=0,0,W51/W$17)</f>
        <v>0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0.19158930590607395</v>
      </c>
      <c r="C164" s="156">
        <f t="shared" si="129"/>
        <v>0.23717654941282695</v>
      </c>
      <c r="D164" s="156">
        <f t="shared" si="129"/>
        <v>0.23210852467916185</v>
      </c>
      <c r="E164" s="156">
        <f t="shared" si="129"/>
        <v>0.18522273282366458</v>
      </c>
      <c r="F164" s="156">
        <f t="shared" si="129"/>
        <v>0.20273986927960355</v>
      </c>
      <c r="G164" s="156">
        <f t="shared" si="129"/>
        <v>0.17605582125960723</v>
      </c>
      <c r="H164" s="156">
        <f t="shared" si="129"/>
        <v>0.15300521538864767</v>
      </c>
      <c r="I164" s="156">
        <f t="shared" si="129"/>
        <v>0.21311403806039936</v>
      </c>
      <c r="J164" s="156">
        <f t="shared" si="129"/>
        <v>0.22609495879906186</v>
      </c>
      <c r="K164" s="156">
        <f t="shared" si="129"/>
        <v>0.13958048316042207</v>
      </c>
      <c r="L164" s="156">
        <f t="shared" ref="L164" si="130">IF(L52=0,0,L52/L$17)</f>
        <v>0.17250189821118109</v>
      </c>
      <c r="M164" s="156">
        <f t="shared" ref="M164:V164" si="131">IF(M52=0,0,M52/M$17)</f>
        <v>0.2130998587526835</v>
      </c>
      <c r="N164" s="156">
        <f t="shared" si="131"/>
        <v>0.14342963852126711</v>
      </c>
      <c r="O164" s="156">
        <f t="shared" si="131"/>
        <v>0.16352775874548783</v>
      </c>
      <c r="P164" s="156">
        <f t="shared" si="131"/>
        <v>0.25353803196455504</v>
      </c>
      <c r="Q164" s="156">
        <f t="shared" si="131"/>
        <v>0.25756740067293332</v>
      </c>
      <c r="R164" s="156">
        <f t="shared" si="131"/>
        <v>0.22507658731267716</v>
      </c>
      <c r="S164" s="156">
        <f t="shared" si="131"/>
        <v>0.22439827760150843</v>
      </c>
      <c r="T164" s="156">
        <f t="shared" si="131"/>
        <v>0.22773047387252901</v>
      </c>
      <c r="U164" s="156">
        <f t="shared" si="131"/>
        <v>0.22957054290658604</v>
      </c>
      <c r="V164" s="156">
        <f t="shared" si="131"/>
        <v>0.24794617073455266</v>
      </c>
      <c r="W164" s="156">
        <f t="shared" ref="W164" si="132">IF(W52=0,0,W52/W$17)</f>
        <v>0.25461723742171449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0.11693293055384753</v>
      </c>
      <c r="C165" s="104">
        <f t="shared" si="133"/>
        <v>0.1216509071353834</v>
      </c>
      <c r="D165" s="104">
        <f t="shared" si="133"/>
        <v>0.11711449423055346</v>
      </c>
      <c r="E165" s="104">
        <f t="shared" si="133"/>
        <v>0.12276183819010146</v>
      </c>
      <c r="F165" s="104">
        <f t="shared" si="133"/>
        <v>0.11710948643240759</v>
      </c>
      <c r="G165" s="104">
        <f t="shared" si="133"/>
        <v>9.8621100189779404E-2</v>
      </c>
      <c r="H165" s="104">
        <f t="shared" si="133"/>
        <v>8.7431799836433885E-2</v>
      </c>
      <c r="I165" s="104">
        <f t="shared" si="133"/>
        <v>9.8913662273477643E-2</v>
      </c>
      <c r="J165" s="104">
        <f t="shared" si="133"/>
        <v>9.543652854112146E-2</v>
      </c>
      <c r="K165" s="104">
        <f t="shared" si="133"/>
        <v>8.4364837667036299E-2</v>
      </c>
      <c r="L165" s="104">
        <f t="shared" ref="L165" si="134">IF(L53=0,0,L53/L$17)</f>
        <v>8.0213649747839441E-2</v>
      </c>
      <c r="M165" s="104">
        <f t="shared" ref="M165:V165" si="135">IF(M53=0,0,M53/M$17)</f>
        <v>8.8589753202685181E-2</v>
      </c>
      <c r="N165" s="104">
        <f t="shared" si="135"/>
        <v>7.5592342220729303E-2</v>
      </c>
      <c r="O165" s="104">
        <f t="shared" si="135"/>
        <v>8.1771646148368612E-2</v>
      </c>
      <c r="P165" s="104">
        <f t="shared" si="135"/>
        <v>0.1026019520979608</v>
      </c>
      <c r="Q165" s="104">
        <f t="shared" si="135"/>
        <v>9.5737855479977069E-2</v>
      </c>
      <c r="R165" s="104">
        <f t="shared" si="135"/>
        <v>8.6510692238486564E-2</v>
      </c>
      <c r="S165" s="104">
        <f t="shared" si="135"/>
        <v>8.6373334106120012E-2</v>
      </c>
      <c r="T165" s="104">
        <f t="shared" si="135"/>
        <v>8.9264640022872613E-2</v>
      </c>
      <c r="U165" s="104">
        <f t="shared" si="135"/>
        <v>9.0931137111573287E-2</v>
      </c>
      <c r="V165" s="104">
        <f t="shared" si="135"/>
        <v>9.4800080465015452E-2</v>
      </c>
      <c r="W165" s="104">
        <f t="shared" ref="W165" si="136">IF(W53=0,0,W53/W$17)</f>
        <v>9.2325153588881687E-2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7.4656375352226426E-2</v>
      </c>
      <c r="C166" s="105">
        <f t="shared" si="137"/>
        <v>0.11552564227744354</v>
      </c>
      <c r="D166" s="105">
        <f t="shared" si="137"/>
        <v>0.11499403044860837</v>
      </c>
      <c r="E166" s="105">
        <f t="shared" si="137"/>
        <v>6.2460894633563115E-2</v>
      </c>
      <c r="F166" s="105">
        <f t="shared" si="137"/>
        <v>8.5630382847195957E-2</v>
      </c>
      <c r="G166" s="105">
        <f t="shared" si="137"/>
        <v>7.7434721069827822E-2</v>
      </c>
      <c r="H166" s="105">
        <f t="shared" si="137"/>
        <v>6.5573415552213785E-2</v>
      </c>
      <c r="I166" s="105">
        <f t="shared" si="137"/>
        <v>0.1142003757869217</v>
      </c>
      <c r="J166" s="105">
        <f t="shared" si="137"/>
        <v>0.13065843025794041</v>
      </c>
      <c r="K166" s="105">
        <f t="shared" si="137"/>
        <v>5.521564549338577E-2</v>
      </c>
      <c r="L166" s="105">
        <f t="shared" ref="L166" si="138">IF(L55=0,0,L55/L$17)</f>
        <v>9.2288248463341646E-2</v>
      </c>
      <c r="M166" s="105">
        <f t="shared" ref="M166:V166" si="139">IF(M55=0,0,M55/M$17)</f>
        <v>0.12451010554999831</v>
      </c>
      <c r="N166" s="105">
        <f t="shared" si="139"/>
        <v>6.7837296300537822E-2</v>
      </c>
      <c r="O166" s="105">
        <f t="shared" si="139"/>
        <v>8.1756112597119221E-2</v>
      </c>
      <c r="P166" s="105">
        <f t="shared" si="139"/>
        <v>0.15093607986659424</v>
      </c>
      <c r="Q166" s="105">
        <f t="shared" si="139"/>
        <v>0.16182954519295628</v>
      </c>
      <c r="R166" s="105">
        <f t="shared" si="139"/>
        <v>0.13856589507419059</v>
      </c>
      <c r="S166" s="105">
        <f t="shared" si="139"/>
        <v>0.13802494349538841</v>
      </c>
      <c r="T166" s="105">
        <f t="shared" si="139"/>
        <v>0.13846583384965638</v>
      </c>
      <c r="U166" s="105">
        <f t="shared" si="139"/>
        <v>0.13863940579501277</v>
      </c>
      <c r="V166" s="105">
        <f t="shared" si="139"/>
        <v>0.15314609026953721</v>
      </c>
      <c r="W166" s="105">
        <f t="shared" ref="W166" si="140">IF(W55=0,0,W55/W$17)</f>
        <v>0.16229208383283278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2809.5581699999998</v>
      </c>
      <c r="C4" s="146">
        <f t="shared" si="0"/>
        <v>3093.9247285199999</v>
      </c>
      <c r="D4" s="146">
        <f t="shared" si="0"/>
        <v>3194.2947096000003</v>
      </c>
      <c r="E4" s="146">
        <f t="shared" si="0"/>
        <v>3233.91754872</v>
      </c>
      <c r="F4" s="146">
        <f t="shared" si="0"/>
        <v>3570.2749260000001</v>
      </c>
      <c r="G4" s="146">
        <f t="shared" si="0"/>
        <v>3789.4688938799995</v>
      </c>
      <c r="H4" s="146">
        <f t="shared" si="0"/>
        <v>4042.9343566799998</v>
      </c>
      <c r="I4" s="146">
        <f t="shared" si="0"/>
        <v>4782.2332813200001</v>
      </c>
      <c r="J4" s="146">
        <f t="shared" si="0"/>
        <v>4757.1408748800004</v>
      </c>
      <c r="K4" s="146">
        <f t="shared" si="0"/>
        <v>3941.2980622800001</v>
      </c>
      <c r="L4" s="146">
        <f t="shared" ref="L4" si="1">L5+L9+L10+L15</f>
        <v>4066.8047981999998</v>
      </c>
      <c r="M4" s="146">
        <f t="shared" ref="M4:V4" si="2">M5+M9+M10+M15</f>
        <v>4048.9162552800003</v>
      </c>
      <c r="N4" s="146">
        <f t="shared" si="2"/>
        <v>4071.8572941600005</v>
      </c>
      <c r="O4" s="146">
        <f t="shared" si="2"/>
        <v>4090.5741556799999</v>
      </c>
      <c r="P4" s="146">
        <f t="shared" si="2"/>
        <v>4571.9491046400026</v>
      </c>
      <c r="Q4" s="146">
        <f t="shared" si="2"/>
        <v>4850.129321280001</v>
      </c>
      <c r="R4" s="146">
        <f t="shared" si="2"/>
        <v>5241.1344544799995</v>
      </c>
      <c r="S4" s="146">
        <f t="shared" si="2"/>
        <v>5469.4928433599998</v>
      </c>
      <c r="T4" s="146">
        <f t="shared" si="2"/>
        <v>5825.7373193999993</v>
      </c>
      <c r="U4" s="146">
        <f t="shared" si="2"/>
        <v>6066.6229778400002</v>
      </c>
      <c r="V4" s="146">
        <f t="shared" si="2"/>
        <v>5919.1835612400018</v>
      </c>
      <c r="W4" s="146">
        <f t="shared" ref="W4" si="3">W5+W9+W10+W15</f>
        <v>5908.5761043599987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2809.5581699999998</v>
      </c>
      <c r="C5" s="101">
        <f t="shared" si="4"/>
        <v>3093.9247285199999</v>
      </c>
      <c r="D5" s="101">
        <f t="shared" si="4"/>
        <v>3194.2947096000003</v>
      </c>
      <c r="E5" s="101">
        <f t="shared" si="4"/>
        <v>3233.91754872</v>
      </c>
      <c r="F5" s="101">
        <f t="shared" si="4"/>
        <v>3570.2749260000001</v>
      </c>
      <c r="G5" s="101">
        <f t="shared" si="4"/>
        <v>3789.4688938799995</v>
      </c>
      <c r="H5" s="101">
        <f t="shared" si="4"/>
        <v>4042.9343566799998</v>
      </c>
      <c r="I5" s="101">
        <f t="shared" si="4"/>
        <v>4782.2332813200001</v>
      </c>
      <c r="J5" s="101">
        <f t="shared" si="4"/>
        <v>4757.1408748800004</v>
      </c>
      <c r="K5" s="101">
        <f t="shared" si="4"/>
        <v>3938.1171922799999</v>
      </c>
      <c r="L5" s="101">
        <f t="shared" ref="L5" si="5">SUM(L6:L8)</f>
        <v>4061.1499181999998</v>
      </c>
      <c r="M5" s="101">
        <f t="shared" ref="M5:V5" si="6">SUM(M6:M8)</f>
        <v>4041.3932452800004</v>
      </c>
      <c r="N5" s="101">
        <f t="shared" si="6"/>
        <v>4065.0916341600005</v>
      </c>
      <c r="O5" s="101">
        <f t="shared" si="6"/>
        <v>4081.1830156799997</v>
      </c>
      <c r="P5" s="101">
        <f t="shared" si="6"/>
        <v>4561.0432646400022</v>
      </c>
      <c r="Q5" s="101">
        <f t="shared" si="6"/>
        <v>4832.1043912800014</v>
      </c>
      <c r="R5" s="101">
        <f t="shared" si="6"/>
        <v>5222.9075644799996</v>
      </c>
      <c r="S5" s="101">
        <f t="shared" si="6"/>
        <v>5451.1142813999995</v>
      </c>
      <c r="T5" s="101">
        <f t="shared" si="6"/>
        <v>5807.6116113599992</v>
      </c>
      <c r="U5" s="101">
        <f t="shared" si="6"/>
        <v>6049.1025439200002</v>
      </c>
      <c r="V5" s="101">
        <f t="shared" si="6"/>
        <v>5899.4926632000015</v>
      </c>
      <c r="W5" s="101">
        <f t="shared" ref="W5" si="7">SUM(W6:W8)</f>
        <v>5885.0477643599988</v>
      </c>
      <c r="DA5" s="175"/>
    </row>
    <row r="6" spans="1:105" ht="11.45" customHeight="1" x14ac:dyDescent="0.25">
      <c r="A6" s="128" t="s">
        <v>52</v>
      </c>
      <c r="B6" s="101">
        <v>316.61560800000007</v>
      </c>
      <c r="C6" s="101">
        <v>334.20528827999988</v>
      </c>
      <c r="D6" s="101">
        <v>401.63273675999994</v>
      </c>
      <c r="E6" s="101">
        <v>463.19695847999998</v>
      </c>
      <c r="F6" s="101">
        <v>559.94054075999998</v>
      </c>
      <c r="G6" s="101">
        <v>603.91485504000002</v>
      </c>
      <c r="H6" s="101">
        <v>618.57303552000008</v>
      </c>
      <c r="I6" s="101">
        <v>612.18234324000002</v>
      </c>
      <c r="J6" s="101">
        <v>541.8838195200002</v>
      </c>
      <c r="K6" s="101">
        <v>486.23098247999997</v>
      </c>
      <c r="L6" s="101">
        <v>459.86906448000002</v>
      </c>
      <c r="M6" s="101">
        <v>430.57791828000001</v>
      </c>
      <c r="N6" s="101">
        <v>404.21600028000006</v>
      </c>
      <c r="O6" s="101">
        <v>386.64153972000014</v>
      </c>
      <c r="P6" s="101">
        <v>377.85408228000017</v>
      </c>
      <c r="Q6" s="101">
        <v>352.19272571999994</v>
      </c>
      <c r="R6" s="101">
        <v>331.98479928</v>
      </c>
      <c r="S6" s="101">
        <v>307.71570636000013</v>
      </c>
      <c r="T6" s="101">
        <v>288.39393108000002</v>
      </c>
      <c r="U6" s="101">
        <v>277.71264072000014</v>
      </c>
      <c r="V6" s="101">
        <v>255.99637188</v>
      </c>
      <c r="W6" s="101">
        <v>244.14997787999999</v>
      </c>
      <c r="DA6" s="175" t="s">
        <v>740</v>
      </c>
    </row>
    <row r="7" spans="1:105" ht="11.45" customHeight="1" x14ac:dyDescent="0.25">
      <c r="A7" s="128" t="s">
        <v>53</v>
      </c>
      <c r="B7" s="101">
        <v>1133.01342</v>
      </c>
      <c r="C7" s="101">
        <v>1120.8305631600001</v>
      </c>
      <c r="D7" s="101">
        <v>1090.3730468400001</v>
      </c>
      <c r="E7" s="101">
        <v>1084.2817431600001</v>
      </c>
      <c r="F7" s="101">
        <v>1038.5957181599999</v>
      </c>
      <c r="G7" s="101">
        <v>1017.27540684</v>
      </c>
      <c r="H7" s="101">
        <v>1069.0529850000003</v>
      </c>
      <c r="I7" s="101">
        <v>1288.1380881599998</v>
      </c>
      <c r="J7" s="101">
        <v>1269.5144061599999</v>
      </c>
      <c r="K7" s="101">
        <v>1064.6539041599999</v>
      </c>
      <c r="L7" s="101">
        <v>859.79340216000003</v>
      </c>
      <c r="M7" s="101">
        <v>748.05131016000007</v>
      </c>
      <c r="N7" s="101">
        <v>670.45255199999997</v>
      </c>
      <c r="O7" s="101">
        <v>608.3736951599999</v>
      </c>
      <c r="P7" s="101">
        <v>595.95782399999996</v>
      </c>
      <c r="Q7" s="101">
        <v>579.87459683999998</v>
      </c>
      <c r="R7" s="101">
        <v>625.65417683999999</v>
      </c>
      <c r="S7" s="101">
        <v>615.79846943999985</v>
      </c>
      <c r="T7" s="101">
        <v>674.02485611999998</v>
      </c>
      <c r="U7" s="101">
        <v>703.56478500000003</v>
      </c>
      <c r="V7" s="101">
        <v>687.40546644000005</v>
      </c>
      <c r="W7" s="101">
        <v>688.62242988000003</v>
      </c>
      <c r="DA7" s="175" t="s">
        <v>741</v>
      </c>
    </row>
    <row r="8" spans="1:105" ht="11.45" customHeight="1" x14ac:dyDescent="0.25">
      <c r="A8" s="128" t="s">
        <v>54</v>
      </c>
      <c r="B8" s="101">
        <v>1359.9291419999997</v>
      </c>
      <c r="C8" s="101">
        <v>1638.8888770799999</v>
      </c>
      <c r="D8" s="101">
        <v>1702.2889260000002</v>
      </c>
      <c r="E8" s="101">
        <v>1686.4388470800002</v>
      </c>
      <c r="F8" s="101">
        <v>1971.7386670799999</v>
      </c>
      <c r="G8" s="101">
        <v>2168.2786319999996</v>
      </c>
      <c r="H8" s="101">
        <v>2355.3083361599997</v>
      </c>
      <c r="I8" s="101">
        <v>2881.9128499200001</v>
      </c>
      <c r="J8" s="101">
        <v>2945.7426492</v>
      </c>
      <c r="K8" s="101">
        <v>2387.23230564</v>
      </c>
      <c r="L8" s="101">
        <v>2741.48745156</v>
      </c>
      <c r="M8" s="101">
        <v>2862.7640168400003</v>
      </c>
      <c r="N8" s="101">
        <v>2990.4230818800002</v>
      </c>
      <c r="O8" s="101">
        <v>3086.1677807999999</v>
      </c>
      <c r="P8" s="101">
        <v>3587.2313583600016</v>
      </c>
      <c r="Q8" s="101">
        <v>3900.0370687200011</v>
      </c>
      <c r="R8" s="101">
        <v>4265.2685883599997</v>
      </c>
      <c r="S8" s="101">
        <v>4527.6001055999996</v>
      </c>
      <c r="T8" s="101">
        <v>4845.192824159999</v>
      </c>
      <c r="U8" s="101">
        <v>5067.8251182000004</v>
      </c>
      <c r="V8" s="101">
        <v>4956.0908248800015</v>
      </c>
      <c r="W8" s="101">
        <v>4952.2753565999992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3.1808700000000005</v>
      </c>
      <c r="L9" s="101">
        <v>5.6548800000000004</v>
      </c>
      <c r="M9" s="101">
        <v>7.523010000000002</v>
      </c>
      <c r="N9" s="101">
        <v>6.7656600000000005</v>
      </c>
      <c r="O9" s="101">
        <v>9.3911400000000018</v>
      </c>
      <c r="P9" s="101">
        <v>10.90584</v>
      </c>
      <c r="Q9" s="101">
        <v>18.024930000000001</v>
      </c>
      <c r="R9" s="101">
        <v>18.226889999999997</v>
      </c>
      <c r="S9" s="101">
        <v>18.378561960000003</v>
      </c>
      <c r="T9" s="101">
        <v>18.125708039999999</v>
      </c>
      <c r="U9" s="101">
        <v>17.520433920000002</v>
      </c>
      <c r="V9" s="101">
        <v>19.69089804</v>
      </c>
      <c r="W9" s="101">
        <v>23.528340000000004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2809.5581699999993</v>
      </c>
      <c r="C17" s="79">
        <f t="shared" si="12"/>
        <v>3093.9247285199999</v>
      </c>
      <c r="D17" s="79">
        <f t="shared" si="12"/>
        <v>3194.2947096000003</v>
      </c>
      <c r="E17" s="79">
        <f t="shared" si="12"/>
        <v>3233.91754872</v>
      </c>
      <c r="F17" s="79">
        <f t="shared" si="12"/>
        <v>3570.2749260000001</v>
      </c>
      <c r="G17" s="79">
        <f t="shared" si="12"/>
        <v>3789.4688938799995</v>
      </c>
      <c r="H17" s="79">
        <f t="shared" si="12"/>
        <v>4042.9343566799998</v>
      </c>
      <c r="I17" s="79">
        <f t="shared" si="12"/>
        <v>4782.2332813200001</v>
      </c>
      <c r="J17" s="79">
        <f t="shared" si="12"/>
        <v>4757.1408748799995</v>
      </c>
      <c r="K17" s="79">
        <f t="shared" si="12"/>
        <v>3941.2980622800001</v>
      </c>
      <c r="L17" s="79">
        <f t="shared" ref="L17" si="13">SUM(L18,L33)</f>
        <v>4066.8047981999994</v>
      </c>
      <c r="M17" s="79">
        <f t="shared" ref="M17:V17" si="14">SUM(M18,M33)</f>
        <v>4048.9162552800008</v>
      </c>
      <c r="N17" s="79">
        <f t="shared" si="14"/>
        <v>4071.85729416</v>
      </c>
      <c r="O17" s="79">
        <f t="shared" si="14"/>
        <v>4090.5741556800003</v>
      </c>
      <c r="P17" s="79">
        <f t="shared" si="14"/>
        <v>4571.9491046400026</v>
      </c>
      <c r="Q17" s="79">
        <f t="shared" si="14"/>
        <v>4850.129321280001</v>
      </c>
      <c r="R17" s="79">
        <f t="shared" si="14"/>
        <v>5241.1344544799995</v>
      </c>
      <c r="S17" s="79">
        <f t="shared" si="14"/>
        <v>5469.492843359998</v>
      </c>
      <c r="T17" s="79">
        <f t="shared" si="14"/>
        <v>5825.7373193999993</v>
      </c>
      <c r="U17" s="79">
        <f t="shared" si="14"/>
        <v>6066.6229778399993</v>
      </c>
      <c r="V17" s="79">
        <f t="shared" si="14"/>
        <v>5919.1835612400009</v>
      </c>
      <c r="W17" s="79">
        <f t="shared" ref="W17" si="15">SUM(W18,W33)</f>
        <v>5908.5761043599996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2143.1918891311443</v>
      </c>
      <c r="C18" s="32">
        <f t="shared" si="16"/>
        <v>2225.4408334648547</v>
      </c>
      <c r="D18" s="32">
        <f t="shared" si="16"/>
        <v>2316.0806553142857</v>
      </c>
      <c r="E18" s="32">
        <f t="shared" si="16"/>
        <v>2500.6218803416073</v>
      </c>
      <c r="F18" s="32">
        <f t="shared" si="16"/>
        <v>2701.1374043903152</v>
      </c>
      <c r="G18" s="32">
        <f t="shared" si="16"/>
        <v>2975.1869856230351</v>
      </c>
      <c r="H18" s="32">
        <f t="shared" si="16"/>
        <v>3261.152882024413</v>
      </c>
      <c r="I18" s="32">
        <f t="shared" si="16"/>
        <v>3575.7171762423495</v>
      </c>
      <c r="J18" s="32">
        <f t="shared" si="16"/>
        <v>3490.046488483692</v>
      </c>
      <c r="K18" s="32">
        <f t="shared" si="16"/>
        <v>3208.5552903902694</v>
      </c>
      <c r="L18" s="32">
        <f t="shared" ref="L18" si="17">SUM(L19,L20,L27)</f>
        <v>3187.2206532019586</v>
      </c>
      <c r="M18" s="32">
        <f t="shared" ref="M18:V18" si="18">SUM(M19,M20,M27)</f>
        <v>2988.8123974123828</v>
      </c>
      <c r="N18" s="32">
        <f t="shared" si="18"/>
        <v>3287.8490235801914</v>
      </c>
      <c r="O18" s="32">
        <f t="shared" si="18"/>
        <v>3210.3253369510721</v>
      </c>
      <c r="P18" s="32">
        <f t="shared" si="18"/>
        <v>3167.4522116597573</v>
      </c>
      <c r="Q18" s="32">
        <f t="shared" si="18"/>
        <v>3340.6596207772491</v>
      </c>
      <c r="R18" s="32">
        <f t="shared" si="18"/>
        <v>3788.2313624223534</v>
      </c>
      <c r="S18" s="32">
        <f t="shared" si="18"/>
        <v>3965.5208253734027</v>
      </c>
      <c r="T18" s="32">
        <f t="shared" si="18"/>
        <v>4217.248739342941</v>
      </c>
      <c r="U18" s="32">
        <f t="shared" si="18"/>
        <v>4376.0185869894613</v>
      </c>
      <c r="V18" s="32">
        <f t="shared" si="18"/>
        <v>4145.475420120928</v>
      </c>
      <c r="W18" s="32">
        <f t="shared" ref="W18" si="19">SUM(W19,W20,W27)</f>
        <v>4093.6445348240236</v>
      </c>
      <c r="DA18" s="173" t="s">
        <v>402</v>
      </c>
    </row>
    <row r="19" spans="1:105" ht="11.45" customHeight="1" x14ac:dyDescent="0.25">
      <c r="A19" s="136" t="s">
        <v>180</v>
      </c>
      <c r="B19" s="141">
        <v>8.6849350416863871</v>
      </c>
      <c r="C19" s="141">
        <v>8.7349560629445229</v>
      </c>
      <c r="D19" s="141">
        <v>8.9328645812932148</v>
      </c>
      <c r="E19" s="141">
        <v>8.6817575910029721</v>
      </c>
      <c r="F19" s="141">
        <v>8.9463089136459679</v>
      </c>
      <c r="G19" s="141">
        <v>8.6212995322469546</v>
      </c>
      <c r="H19" s="141">
        <v>8.84643850817036</v>
      </c>
      <c r="I19" s="141">
        <v>9.6567962720472167</v>
      </c>
      <c r="J19" s="141">
        <v>10.827190745821589</v>
      </c>
      <c r="K19" s="141">
        <v>11.356096485797487</v>
      </c>
      <c r="L19" s="141">
        <v>11.117998142952315</v>
      </c>
      <c r="M19" s="141">
        <v>10.928039982759293</v>
      </c>
      <c r="N19" s="141">
        <v>10.726193121098868</v>
      </c>
      <c r="O19" s="141">
        <v>10.605612828942737</v>
      </c>
      <c r="P19" s="141">
        <v>10.138991902182465</v>
      </c>
      <c r="Q19" s="141">
        <v>9.8328840816291407</v>
      </c>
      <c r="R19" s="141">
        <v>11.072015233135831</v>
      </c>
      <c r="S19" s="141">
        <v>10.269582353898469</v>
      </c>
      <c r="T19" s="141">
        <v>9.7154527565950897</v>
      </c>
      <c r="U19" s="141">
        <v>9.9500018943098318</v>
      </c>
      <c r="V19" s="141">
        <v>8.5585447624318061</v>
      </c>
      <c r="W19" s="141">
        <v>7.347143022128634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1951.4716744709622</v>
      </c>
      <c r="C20" s="130">
        <f t="shared" si="20"/>
        <v>2040.2953156431599</v>
      </c>
      <c r="D20" s="130">
        <f t="shared" si="20"/>
        <v>2126.2981513595137</v>
      </c>
      <c r="E20" s="130">
        <f t="shared" si="20"/>
        <v>2311.4582090559929</v>
      </c>
      <c r="F20" s="130">
        <f t="shared" si="20"/>
        <v>2500.4931228658479</v>
      </c>
      <c r="G20" s="130">
        <f t="shared" si="20"/>
        <v>2781.9158004499677</v>
      </c>
      <c r="H20" s="130">
        <f t="shared" si="20"/>
        <v>3077.8866549383529</v>
      </c>
      <c r="I20" s="130">
        <f t="shared" si="20"/>
        <v>3405.967683532615</v>
      </c>
      <c r="J20" s="130">
        <f t="shared" si="20"/>
        <v>3329.3854130124287</v>
      </c>
      <c r="K20" s="130">
        <f t="shared" si="20"/>
        <v>3049.9580379589779</v>
      </c>
      <c r="L20" s="130">
        <f t="shared" ref="L20" si="21">SUM(L21:L26)</f>
        <v>3031.8624029854377</v>
      </c>
      <c r="M20" s="130">
        <f t="shared" ref="M20:V20" si="22">SUM(M21:M26)</f>
        <v>2830.8500043400227</v>
      </c>
      <c r="N20" s="130">
        <f t="shared" si="22"/>
        <v>3133.9113630618822</v>
      </c>
      <c r="O20" s="130">
        <f t="shared" si="22"/>
        <v>3070.6748555042282</v>
      </c>
      <c r="P20" s="130">
        <f t="shared" si="22"/>
        <v>3023.3941324006078</v>
      </c>
      <c r="Q20" s="130">
        <f t="shared" si="22"/>
        <v>3192.1760496715328</v>
      </c>
      <c r="R20" s="130">
        <f t="shared" si="22"/>
        <v>3641.7700129946456</v>
      </c>
      <c r="S20" s="130">
        <f t="shared" si="22"/>
        <v>3816.2722961898853</v>
      </c>
      <c r="T20" s="130">
        <f t="shared" si="22"/>
        <v>4063.9877563481241</v>
      </c>
      <c r="U20" s="130">
        <f t="shared" si="22"/>
        <v>4203.9365103383225</v>
      </c>
      <c r="V20" s="130">
        <f t="shared" si="22"/>
        <v>4018.269053956376</v>
      </c>
      <c r="W20" s="130">
        <f t="shared" ref="W20" si="23">SUM(W21:W26)</f>
        <v>3976.9109803834349</v>
      </c>
      <c r="DA20" s="176" t="s">
        <v>404</v>
      </c>
    </row>
    <row r="21" spans="1:105" ht="11.45" customHeight="1" x14ac:dyDescent="0.25">
      <c r="A21" s="111" t="s">
        <v>110</v>
      </c>
      <c r="B21" s="96">
        <v>1110.9620858899805</v>
      </c>
      <c r="C21" s="96">
        <v>1099.2673618741865</v>
      </c>
      <c r="D21" s="96">
        <v>1068.8621888016346</v>
      </c>
      <c r="E21" s="96">
        <v>1063.2841563239197</v>
      </c>
      <c r="F21" s="96">
        <v>1017.6260307846438</v>
      </c>
      <c r="G21" s="96">
        <v>996.64817522345879</v>
      </c>
      <c r="H21" s="96">
        <v>1045.3990047377297</v>
      </c>
      <c r="I21" s="96">
        <v>1261.779255223707</v>
      </c>
      <c r="J21" s="96">
        <v>1243.5082676892753</v>
      </c>
      <c r="K21" s="96">
        <v>1039.5782513719996</v>
      </c>
      <c r="L21" s="96">
        <v>836.51051159259521</v>
      </c>
      <c r="M21" s="96">
        <v>726.62125575700713</v>
      </c>
      <c r="N21" s="96">
        <v>650.88265781858593</v>
      </c>
      <c r="O21" s="96">
        <v>588.17761523473314</v>
      </c>
      <c r="P21" s="96">
        <v>576.69578264762265</v>
      </c>
      <c r="Q21" s="96">
        <v>561.69553868324954</v>
      </c>
      <c r="R21" s="96">
        <v>604.95216570356922</v>
      </c>
      <c r="S21" s="96">
        <v>594.50341207962606</v>
      </c>
      <c r="T21" s="96">
        <v>649.30724522990693</v>
      </c>
      <c r="U21" s="96">
        <v>671.14447333288001</v>
      </c>
      <c r="V21" s="96">
        <v>652.92818974455622</v>
      </c>
      <c r="W21" s="96">
        <v>658.42285951744759</v>
      </c>
      <c r="DA21" s="171" t="s">
        <v>750</v>
      </c>
    </row>
    <row r="22" spans="1:105" ht="11.45" customHeight="1" x14ac:dyDescent="0.25">
      <c r="A22" s="111" t="s">
        <v>111</v>
      </c>
      <c r="B22" s="96">
        <v>523.89398058098175</v>
      </c>
      <c r="C22" s="96">
        <v>606.8226654889736</v>
      </c>
      <c r="D22" s="96">
        <v>655.85192662414659</v>
      </c>
      <c r="E22" s="96">
        <v>785.02657656649922</v>
      </c>
      <c r="F22" s="96">
        <v>922.97934522357377</v>
      </c>
      <c r="G22" s="96">
        <v>1181.4034877847494</v>
      </c>
      <c r="H22" s="96">
        <v>1413.9633279878312</v>
      </c>
      <c r="I22" s="96">
        <v>1532.052823995994</v>
      </c>
      <c r="J22" s="96">
        <v>1544.0381502185755</v>
      </c>
      <c r="K22" s="96">
        <v>1524.1919151946881</v>
      </c>
      <c r="L22" s="96">
        <v>1735.525235402456</v>
      </c>
      <c r="M22" s="96">
        <v>1673.8050102626144</v>
      </c>
      <c r="N22" s="96">
        <v>2078.967253264093</v>
      </c>
      <c r="O22" s="96">
        <v>2095.7644084551998</v>
      </c>
      <c r="P22" s="96">
        <v>2069.6896023118943</v>
      </c>
      <c r="Q22" s="96">
        <v>2278.6349678601268</v>
      </c>
      <c r="R22" s="96">
        <v>2703.5351566529807</v>
      </c>
      <c r="S22" s="96">
        <v>2910.8660191542426</v>
      </c>
      <c r="T22" s="96">
        <v>3118.8696066269617</v>
      </c>
      <c r="U22" s="96">
        <v>3242.5874189371407</v>
      </c>
      <c r="V22" s="96">
        <v>3091.3394154212815</v>
      </c>
      <c r="W22" s="96">
        <v>3058.7833657956135</v>
      </c>
      <c r="DA22" s="171" t="s">
        <v>751</v>
      </c>
    </row>
    <row r="23" spans="1:105" ht="11.45" customHeight="1" x14ac:dyDescent="0.25">
      <c r="A23" s="111" t="s">
        <v>112</v>
      </c>
      <c r="B23" s="96">
        <v>316.61560800000007</v>
      </c>
      <c r="C23" s="96">
        <v>334.20528827999988</v>
      </c>
      <c r="D23" s="96">
        <v>401.58403593373242</v>
      </c>
      <c r="E23" s="96">
        <v>463.14747616557412</v>
      </c>
      <c r="F23" s="96">
        <v>559.88774685763019</v>
      </c>
      <c r="G23" s="96">
        <v>603.86413744175957</v>
      </c>
      <c r="H23" s="96">
        <v>618.52432221279219</v>
      </c>
      <c r="I23" s="96">
        <v>612.13560431291387</v>
      </c>
      <c r="J23" s="96">
        <v>541.83899510457786</v>
      </c>
      <c r="K23" s="96">
        <v>486.18787139229005</v>
      </c>
      <c r="L23" s="96">
        <v>459.82665599038643</v>
      </c>
      <c r="M23" s="96">
        <v>430.42373832040107</v>
      </c>
      <c r="N23" s="96">
        <v>404.0602451416903</v>
      </c>
      <c r="O23" s="96">
        <v>385.83459153100591</v>
      </c>
      <c r="P23" s="96">
        <v>375.15322311776282</v>
      </c>
      <c r="Q23" s="96">
        <v>349.43638971019817</v>
      </c>
      <c r="R23" s="96">
        <v>329.12798976734052</v>
      </c>
      <c r="S23" s="96">
        <v>304.66074304573817</v>
      </c>
      <c r="T23" s="96">
        <v>285.1114648151231</v>
      </c>
      <c r="U23" s="96">
        <v>273.52794960336848</v>
      </c>
      <c r="V23" s="96">
        <v>252.94264234147425</v>
      </c>
      <c r="W23" s="96">
        <v>241.21966802855226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1.2068375131218062E-3</v>
      </c>
      <c r="O24" s="96">
        <v>5.069167873676797E-3</v>
      </c>
      <c r="P24" s="96">
        <v>2.7605981082611412E-2</v>
      </c>
      <c r="Q24" s="96">
        <v>3.8635250252588876E-2</v>
      </c>
      <c r="R24" s="96">
        <v>5.6181640109172953E-2</v>
      </c>
      <c r="S24" s="96">
        <v>8.649732148622373E-2</v>
      </c>
      <c r="T24" s="96">
        <v>0.11698186151570178</v>
      </c>
      <c r="U24" s="96">
        <v>0.11466486474359552</v>
      </c>
      <c r="V24" s="96">
        <v>0.18311821099812431</v>
      </c>
      <c r="W24" s="96">
        <v>0.24552186622074049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0.89317111541496119</v>
      </c>
      <c r="P25" s="96">
        <v>1.827918342245002</v>
      </c>
      <c r="Q25" s="96">
        <v>2.3705181677055309</v>
      </c>
      <c r="R25" s="96">
        <v>4.0985192306463478</v>
      </c>
      <c r="S25" s="96">
        <v>6.1556245887926195</v>
      </c>
      <c r="T25" s="96">
        <v>10.582457814615974</v>
      </c>
      <c r="U25" s="96">
        <v>16.562003600190017</v>
      </c>
      <c r="V25" s="96">
        <v>20.875688238065717</v>
      </c>
      <c r="W25" s="96">
        <v>18.239565175600685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183.03527961849585</v>
      </c>
      <c r="C27" s="130">
        <f t="shared" si="24"/>
        <v>176.41056175875005</v>
      </c>
      <c r="D27" s="130">
        <f t="shared" si="24"/>
        <v>180.84963937347877</v>
      </c>
      <c r="E27" s="130">
        <f t="shared" si="24"/>
        <v>180.48191369461111</v>
      </c>
      <c r="F27" s="130">
        <f t="shared" si="24"/>
        <v>191.69797261082113</v>
      </c>
      <c r="G27" s="130">
        <f t="shared" si="24"/>
        <v>184.64988564082012</v>
      </c>
      <c r="H27" s="130">
        <f t="shared" si="24"/>
        <v>174.41978857788996</v>
      </c>
      <c r="I27" s="130">
        <f t="shared" si="24"/>
        <v>160.09269643768744</v>
      </c>
      <c r="J27" s="130">
        <f t="shared" si="24"/>
        <v>149.83388472544192</v>
      </c>
      <c r="K27" s="130">
        <f t="shared" si="24"/>
        <v>147.24115594549394</v>
      </c>
      <c r="L27" s="130">
        <f t="shared" ref="L27" si="25">SUM(L28:L32)</f>
        <v>144.24025207356874</v>
      </c>
      <c r="M27" s="130">
        <f t="shared" ref="M27:V27" si="26">SUM(M28:M32)</f>
        <v>147.03435308960064</v>
      </c>
      <c r="N27" s="130">
        <f t="shared" si="26"/>
        <v>143.2114673972105</v>
      </c>
      <c r="O27" s="130">
        <f t="shared" si="26"/>
        <v>129.04486861790122</v>
      </c>
      <c r="P27" s="130">
        <f t="shared" si="26"/>
        <v>133.9190873569668</v>
      </c>
      <c r="Q27" s="130">
        <f t="shared" si="26"/>
        <v>138.65068702408701</v>
      </c>
      <c r="R27" s="130">
        <f t="shared" si="26"/>
        <v>135.38933419457194</v>
      </c>
      <c r="S27" s="130">
        <f t="shared" si="26"/>
        <v>138.97894682961919</v>
      </c>
      <c r="T27" s="130">
        <f t="shared" si="26"/>
        <v>143.54553023822234</v>
      </c>
      <c r="U27" s="130">
        <f t="shared" si="26"/>
        <v>162.13207475682921</v>
      </c>
      <c r="V27" s="130">
        <f t="shared" si="26"/>
        <v>118.64782140212023</v>
      </c>
      <c r="W27" s="130">
        <f t="shared" ref="W27" si="27">SUM(W28:W32)</f>
        <v>109.38641141846009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0.18520900574926072</v>
      </c>
      <c r="E28" s="97">
        <v>0.28144877653952544</v>
      </c>
      <c r="F28" s="97">
        <v>0.27164477207142229</v>
      </c>
      <c r="G28" s="97">
        <v>0.26592066119641256</v>
      </c>
      <c r="H28" s="97">
        <v>0.26681941230782985</v>
      </c>
      <c r="I28" s="97">
        <v>0.22036984739729551</v>
      </c>
      <c r="J28" s="97">
        <v>0.14530369485328604</v>
      </c>
      <c r="K28" s="97">
        <v>0.12869554329807811</v>
      </c>
      <c r="L28" s="97">
        <v>0.12434156008695282</v>
      </c>
      <c r="M28" s="97">
        <v>8.5824558120131844E-2</v>
      </c>
      <c r="N28" s="97">
        <v>7.7300318259377429E-2</v>
      </c>
      <c r="O28" s="97">
        <v>0.99164716404954145</v>
      </c>
      <c r="P28" s="97">
        <v>0.59179504084274215</v>
      </c>
      <c r="Q28" s="97">
        <v>0.52503898401571802</v>
      </c>
      <c r="R28" s="97">
        <v>0.55046966421546573</v>
      </c>
      <c r="S28" s="97">
        <v>0.54765356643880925</v>
      </c>
      <c r="T28" s="97">
        <v>0.52314756050038391</v>
      </c>
      <c r="U28" s="97">
        <v>0.4815718673892404</v>
      </c>
      <c r="V28" s="97">
        <v>0.33137454098481312</v>
      </c>
      <c r="W28" s="97">
        <v>0.30731198477691535</v>
      </c>
      <c r="DA28" s="175" t="s">
        <v>756</v>
      </c>
    </row>
    <row r="29" spans="1:105" ht="11.45" customHeight="1" x14ac:dyDescent="0.25">
      <c r="A29" s="111" t="s">
        <v>111</v>
      </c>
      <c r="B29" s="97">
        <v>183.03527961849585</v>
      </c>
      <c r="C29" s="97">
        <v>176.41056175875005</v>
      </c>
      <c r="D29" s="97">
        <v>180.61572954146197</v>
      </c>
      <c r="E29" s="97">
        <v>180.15098260364576</v>
      </c>
      <c r="F29" s="97">
        <v>191.37353393637997</v>
      </c>
      <c r="G29" s="97">
        <v>184.33324738138322</v>
      </c>
      <c r="H29" s="97">
        <v>174.10425585837424</v>
      </c>
      <c r="I29" s="97">
        <v>159.82558766320398</v>
      </c>
      <c r="J29" s="97">
        <v>149.64375661516635</v>
      </c>
      <c r="K29" s="97">
        <v>143.88847931448595</v>
      </c>
      <c r="L29" s="97">
        <v>138.41862202386815</v>
      </c>
      <c r="M29" s="97">
        <v>139.27133857188161</v>
      </c>
      <c r="N29" s="97">
        <v>136.21395877815448</v>
      </c>
      <c r="O29" s="97">
        <v>117.86020243273113</v>
      </c>
      <c r="P29" s="97">
        <v>119.74819913496935</v>
      </c>
      <c r="Q29" s="97">
        <v>117.38301728052208</v>
      </c>
      <c r="R29" s="97">
        <v>113.81134665780613</v>
      </c>
      <c r="S29" s="97">
        <v>117.08426531040465</v>
      </c>
      <c r="T29" s="97">
        <v>121.73119023436071</v>
      </c>
      <c r="U29" s="97">
        <v>140.06004271755194</v>
      </c>
      <c r="V29" s="97">
        <v>95.754937493607784</v>
      </c>
      <c r="W29" s="97">
        <v>82.865971448456165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4.8700826267526254E-2</v>
      </c>
      <c r="E30" s="97">
        <v>4.9482314425838919E-2</v>
      </c>
      <c r="F30" s="97">
        <v>5.2793902369718787E-2</v>
      </c>
      <c r="G30" s="97">
        <v>5.0717598240473602E-2</v>
      </c>
      <c r="H30" s="97">
        <v>4.8713307207882993E-2</v>
      </c>
      <c r="I30" s="97">
        <v>4.6738927086143862E-2</v>
      </c>
      <c r="J30" s="97">
        <v>4.4824415422289182E-2</v>
      </c>
      <c r="K30" s="97">
        <v>4.3111087709906099E-2</v>
      </c>
      <c r="L30" s="97">
        <v>4.2408489613645607E-2</v>
      </c>
      <c r="M30" s="97">
        <v>0.15417995959890546</v>
      </c>
      <c r="N30" s="97">
        <v>0.15575513830974669</v>
      </c>
      <c r="O30" s="97">
        <v>0.80694818899420995</v>
      </c>
      <c r="P30" s="97">
        <v>2.7008591622373261</v>
      </c>
      <c r="Q30" s="97">
        <v>2.7563360098017791</v>
      </c>
      <c r="R30" s="97">
        <v>2.8568095126595261</v>
      </c>
      <c r="S30" s="97">
        <v>3.0549633142619572</v>
      </c>
      <c r="T30" s="97">
        <v>3.2824662648769256</v>
      </c>
      <c r="U30" s="97">
        <v>4.184691116631619</v>
      </c>
      <c r="V30" s="97">
        <v>3.0537295385257557</v>
      </c>
      <c r="W30" s="97">
        <v>2.9303098514477415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3.1808700000000005</v>
      </c>
      <c r="L31" s="97">
        <v>5.6548800000000004</v>
      </c>
      <c r="M31" s="97">
        <v>7.523010000000002</v>
      </c>
      <c r="N31" s="97">
        <v>6.7644531624868787</v>
      </c>
      <c r="O31" s="97">
        <v>9.3860708321263235</v>
      </c>
      <c r="P31" s="97">
        <v>10.878234018917388</v>
      </c>
      <c r="Q31" s="97">
        <v>17.986294749747412</v>
      </c>
      <c r="R31" s="97">
        <v>18.170708359890824</v>
      </c>
      <c r="S31" s="97">
        <v>18.292064638513779</v>
      </c>
      <c r="T31" s="97">
        <v>18.008726178484299</v>
      </c>
      <c r="U31" s="97">
        <v>17.405769055256407</v>
      </c>
      <c r="V31" s="97">
        <v>19.507779829001876</v>
      </c>
      <c r="W31" s="97">
        <v>23.282818133779266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666.36628086885514</v>
      </c>
      <c r="C33" s="32">
        <f t="shared" si="28"/>
        <v>868.48389505514547</v>
      </c>
      <c r="D33" s="32">
        <f t="shared" si="28"/>
        <v>878.21405428571472</v>
      </c>
      <c r="E33" s="32">
        <f t="shared" si="28"/>
        <v>733.29566837839275</v>
      </c>
      <c r="F33" s="32">
        <f t="shared" si="28"/>
        <v>869.13752160968511</v>
      </c>
      <c r="G33" s="32">
        <f t="shared" si="28"/>
        <v>814.28190825696447</v>
      </c>
      <c r="H33" s="32">
        <f t="shared" si="28"/>
        <v>781.78147465558686</v>
      </c>
      <c r="I33" s="32">
        <f t="shared" si="28"/>
        <v>1206.5161050776505</v>
      </c>
      <c r="J33" s="32">
        <f t="shared" si="28"/>
        <v>1267.0943863963075</v>
      </c>
      <c r="K33" s="32">
        <f t="shared" si="28"/>
        <v>732.74277188973065</v>
      </c>
      <c r="L33" s="32">
        <f t="shared" ref="L33" si="29">L34+L40</f>
        <v>879.58414499804076</v>
      </c>
      <c r="M33" s="32">
        <f t="shared" ref="M33:V33" si="30">M34+M40</f>
        <v>1060.103857867618</v>
      </c>
      <c r="N33" s="32">
        <f t="shared" si="30"/>
        <v>784.00827057980848</v>
      </c>
      <c r="O33" s="32">
        <f t="shared" si="30"/>
        <v>880.24881872892843</v>
      </c>
      <c r="P33" s="32">
        <f t="shared" si="30"/>
        <v>1404.4968929802453</v>
      </c>
      <c r="Q33" s="32">
        <f t="shared" si="30"/>
        <v>1509.4697005027522</v>
      </c>
      <c r="R33" s="32">
        <f t="shared" si="30"/>
        <v>1452.9030920576463</v>
      </c>
      <c r="S33" s="32">
        <f t="shared" si="30"/>
        <v>1503.9720179865956</v>
      </c>
      <c r="T33" s="32">
        <f t="shared" si="30"/>
        <v>1608.4885800570587</v>
      </c>
      <c r="U33" s="32">
        <f t="shared" si="30"/>
        <v>1690.6043908505376</v>
      </c>
      <c r="V33" s="32">
        <f t="shared" si="30"/>
        <v>1773.7081411190734</v>
      </c>
      <c r="W33" s="32">
        <f t="shared" ref="W33" si="31">W34+W40</f>
        <v>1814.9315695359765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102.47493211246156</v>
      </c>
      <c r="C34" s="141">
        <f t="shared" si="32"/>
        <v>102.44660709925525</v>
      </c>
      <c r="D34" s="141">
        <f t="shared" si="32"/>
        <v>103.01020484580147</v>
      </c>
      <c r="E34" s="141">
        <f t="shared" si="32"/>
        <v>105.4337974399338</v>
      </c>
      <c r="F34" s="141">
        <f t="shared" si="32"/>
        <v>111.29884613327432</v>
      </c>
      <c r="G34" s="141">
        <f t="shared" si="32"/>
        <v>116.65322476832137</v>
      </c>
      <c r="H34" s="141">
        <f t="shared" si="32"/>
        <v>137.63742094843707</v>
      </c>
      <c r="I34" s="141">
        <f t="shared" si="32"/>
        <v>156.39325998696404</v>
      </c>
      <c r="J34" s="141">
        <f t="shared" si="32"/>
        <v>159.68134962149571</v>
      </c>
      <c r="K34" s="141">
        <f t="shared" si="32"/>
        <v>165.3469513632314</v>
      </c>
      <c r="L34" s="141">
        <f t="shared" ref="L34" si="33">SUM(L35:L39)</f>
        <v>157.01360568210669</v>
      </c>
      <c r="M34" s="141">
        <f t="shared" ref="M34:V34" si="34">SUM(M35:M39)</f>
        <v>172.92928139871287</v>
      </c>
      <c r="N34" s="141">
        <f t="shared" si="34"/>
        <v>187.12209099017412</v>
      </c>
      <c r="O34" s="141">
        <f t="shared" si="34"/>
        <v>195.26483613579438</v>
      </c>
      <c r="P34" s="141">
        <f t="shared" si="34"/>
        <v>220.33319048632404</v>
      </c>
      <c r="Q34" s="141">
        <f t="shared" si="34"/>
        <v>231.26904012414985</v>
      </c>
      <c r="R34" s="141">
        <f t="shared" si="34"/>
        <v>248.15097453194394</v>
      </c>
      <c r="S34" s="141">
        <f t="shared" si="34"/>
        <v>252.23036697248352</v>
      </c>
      <c r="T34" s="141">
        <f t="shared" si="34"/>
        <v>256.85073570297425</v>
      </c>
      <c r="U34" s="141">
        <f t="shared" si="34"/>
        <v>268.86792631512571</v>
      </c>
      <c r="V34" s="141">
        <f t="shared" si="34"/>
        <v>275.18602364052674</v>
      </c>
      <c r="W34" s="141">
        <f t="shared" ref="W34" si="35">SUM(W35:W39)</f>
        <v>281.09919563917725</v>
      </c>
      <c r="DA34" s="174" t="s">
        <v>411</v>
      </c>
    </row>
    <row r="35" spans="1:105" ht="11.45" customHeight="1" x14ac:dyDescent="0.25">
      <c r="A35" s="111" t="s">
        <v>110</v>
      </c>
      <c r="B35" s="96">
        <v>13.366399068333198</v>
      </c>
      <c r="C35" s="96">
        <v>12.828245222869095</v>
      </c>
      <c r="D35" s="96">
        <v>12.392784451322939</v>
      </c>
      <c r="E35" s="96">
        <v>12.034380468537696</v>
      </c>
      <c r="F35" s="96">
        <v>11.751733689638874</v>
      </c>
      <c r="G35" s="96">
        <v>11.740011423097751</v>
      </c>
      <c r="H35" s="96">
        <v>14.540722341792465</v>
      </c>
      <c r="I35" s="96">
        <v>16.481666816848449</v>
      </c>
      <c r="J35" s="96">
        <v>15.033644030049622</v>
      </c>
      <c r="K35" s="96">
        <v>13.590860758904807</v>
      </c>
      <c r="L35" s="96">
        <v>12.040550864365363</v>
      </c>
      <c r="M35" s="96">
        <v>10.416189862113683</v>
      </c>
      <c r="N35" s="96">
        <v>8.7664007420556729</v>
      </c>
      <c r="O35" s="96">
        <v>7.7056488168594877</v>
      </c>
      <c r="P35" s="96">
        <v>6.7033360671071351</v>
      </c>
      <c r="Q35" s="96">
        <v>5.4506169233999779</v>
      </c>
      <c r="R35" s="96">
        <v>4.9810070084332629</v>
      </c>
      <c r="S35" s="96">
        <v>4.3221968512438584</v>
      </c>
      <c r="T35" s="96">
        <v>3.8965527583815831</v>
      </c>
      <c r="U35" s="96">
        <v>5.4267343052308883</v>
      </c>
      <c r="V35" s="96">
        <v>4.7116691539614868</v>
      </c>
      <c r="W35" s="96">
        <v>4.3055501800462492</v>
      </c>
      <c r="DA35" s="171" t="s">
        <v>761</v>
      </c>
    </row>
    <row r="36" spans="1:105" ht="11.45" customHeight="1" x14ac:dyDescent="0.25">
      <c r="A36" s="111" t="s">
        <v>111</v>
      </c>
      <c r="B36" s="96">
        <v>89.108533044128365</v>
      </c>
      <c r="C36" s="96">
        <v>89.618361876386146</v>
      </c>
      <c r="D36" s="96">
        <v>90.617420394478529</v>
      </c>
      <c r="E36" s="96">
        <v>93.399416971396107</v>
      </c>
      <c r="F36" s="96">
        <v>99.547112443635456</v>
      </c>
      <c r="G36" s="96">
        <v>104.91321334522361</v>
      </c>
      <c r="H36" s="96">
        <v>123.09669860664459</v>
      </c>
      <c r="I36" s="96">
        <v>139.91159317011559</v>
      </c>
      <c r="J36" s="96">
        <v>144.64770559144608</v>
      </c>
      <c r="K36" s="96">
        <v>151.7560906043266</v>
      </c>
      <c r="L36" s="96">
        <v>144.97305481774131</v>
      </c>
      <c r="M36" s="96">
        <v>162.51309153659921</v>
      </c>
      <c r="N36" s="96">
        <v>178.35569024811844</v>
      </c>
      <c r="O36" s="96">
        <v>187.5591873189349</v>
      </c>
      <c r="P36" s="96">
        <v>213.62985441921691</v>
      </c>
      <c r="Q36" s="96">
        <v>225.81842320074986</v>
      </c>
      <c r="R36" s="96">
        <v>243.16996752351068</v>
      </c>
      <c r="S36" s="96">
        <v>247.90817012123966</v>
      </c>
      <c r="T36" s="96">
        <v>252.95418294459267</v>
      </c>
      <c r="U36" s="96">
        <v>263.44119200989485</v>
      </c>
      <c r="V36" s="96">
        <v>270.47435448656523</v>
      </c>
      <c r="W36" s="96">
        <v>276.79364545913103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563.89134875639354</v>
      </c>
      <c r="C40" s="130">
        <f t="shared" si="36"/>
        <v>766.03728795589018</v>
      </c>
      <c r="D40" s="130">
        <f t="shared" si="36"/>
        <v>775.20384943991326</v>
      </c>
      <c r="E40" s="130">
        <f t="shared" si="36"/>
        <v>627.86187093845899</v>
      </c>
      <c r="F40" s="130">
        <f t="shared" si="36"/>
        <v>757.8386754764108</v>
      </c>
      <c r="G40" s="130">
        <f t="shared" si="36"/>
        <v>697.62868348864311</v>
      </c>
      <c r="H40" s="130">
        <f t="shared" si="36"/>
        <v>644.14405370714985</v>
      </c>
      <c r="I40" s="130">
        <f t="shared" si="36"/>
        <v>1050.1228450906865</v>
      </c>
      <c r="J40" s="130">
        <f t="shared" si="36"/>
        <v>1107.4130367748119</v>
      </c>
      <c r="K40" s="130">
        <f t="shared" si="36"/>
        <v>567.39582052649928</v>
      </c>
      <c r="L40" s="130">
        <f t="shared" ref="L40" si="37">SUM(L41:L42)</f>
        <v>722.57053931593407</v>
      </c>
      <c r="M40" s="130">
        <f t="shared" ref="M40:V40" si="38">SUM(M41:M42)</f>
        <v>887.17457646890523</v>
      </c>
      <c r="N40" s="130">
        <f t="shared" si="38"/>
        <v>596.88617958963437</v>
      </c>
      <c r="O40" s="130">
        <f t="shared" si="38"/>
        <v>684.9839825931341</v>
      </c>
      <c r="P40" s="130">
        <f t="shared" si="38"/>
        <v>1184.1637024939214</v>
      </c>
      <c r="Q40" s="130">
        <f t="shared" si="38"/>
        <v>1278.2006603786024</v>
      </c>
      <c r="R40" s="130">
        <f t="shared" si="38"/>
        <v>1204.7521175257023</v>
      </c>
      <c r="S40" s="130">
        <f t="shared" si="38"/>
        <v>1251.741651014112</v>
      </c>
      <c r="T40" s="130">
        <f t="shared" si="38"/>
        <v>1351.6378443540843</v>
      </c>
      <c r="U40" s="130">
        <f t="shared" si="38"/>
        <v>1421.7364645354119</v>
      </c>
      <c r="V40" s="130">
        <f t="shared" si="38"/>
        <v>1498.5221174785468</v>
      </c>
      <c r="W40" s="130">
        <f t="shared" ref="W40" si="39">SUM(W41:W42)</f>
        <v>1533.8323738967993</v>
      </c>
      <c r="DA40" s="176" t="s">
        <v>412</v>
      </c>
    </row>
    <row r="41" spans="1:105" ht="11.45" customHeight="1" x14ac:dyDescent="0.25">
      <c r="A41" s="128" t="s">
        <v>27</v>
      </c>
      <c r="B41" s="97">
        <v>344.16048229942658</v>
      </c>
      <c r="C41" s="97">
        <v>392.91039190033473</v>
      </c>
      <c r="D41" s="97">
        <v>391.14292281262453</v>
      </c>
      <c r="E41" s="97">
        <v>416.13400380643685</v>
      </c>
      <c r="F41" s="97">
        <v>437.75355286069077</v>
      </c>
      <c r="G41" s="97">
        <v>390.79030615037368</v>
      </c>
      <c r="H41" s="97">
        <v>368.08336125339196</v>
      </c>
      <c r="I41" s="97">
        <v>487.39865937655907</v>
      </c>
      <c r="J41" s="97">
        <v>467.44808664618421</v>
      </c>
      <c r="K41" s="97">
        <v>342.9437641124743</v>
      </c>
      <c r="L41" s="97">
        <v>335.99641951672726</v>
      </c>
      <c r="M41" s="97">
        <v>368.81571502255792</v>
      </c>
      <c r="N41" s="97">
        <v>314.57950267143093</v>
      </c>
      <c r="O41" s="97">
        <v>342.52452471438016</v>
      </c>
      <c r="P41" s="97">
        <v>479.20821400242914</v>
      </c>
      <c r="Q41" s="97">
        <v>475.10744674218182</v>
      </c>
      <c r="R41" s="97">
        <v>463.05988955724996</v>
      </c>
      <c r="S41" s="97">
        <v>481.80895590288344</v>
      </c>
      <c r="T41" s="97">
        <v>529.8081700084374</v>
      </c>
      <c r="U41" s="97">
        <v>563.13894525134276</v>
      </c>
      <c r="V41" s="97">
        <v>572.94701061408534</v>
      </c>
      <c r="W41" s="97">
        <v>556.17330127997059</v>
      </c>
      <c r="DA41" s="175" t="s">
        <v>766</v>
      </c>
    </row>
    <row r="42" spans="1:105" ht="11.45" customHeight="1" x14ac:dyDescent="0.25">
      <c r="A42" s="138" t="s">
        <v>116</v>
      </c>
      <c r="B42" s="98">
        <v>219.73086645696699</v>
      </c>
      <c r="C42" s="98">
        <v>373.12689605555539</v>
      </c>
      <c r="D42" s="98">
        <v>384.06092662728872</v>
      </c>
      <c r="E42" s="98">
        <v>211.72786713202217</v>
      </c>
      <c r="F42" s="98">
        <v>320.08512261572002</v>
      </c>
      <c r="G42" s="98">
        <v>306.83837733826942</v>
      </c>
      <c r="H42" s="98">
        <v>276.06069245375789</v>
      </c>
      <c r="I42" s="98">
        <v>562.72418571412732</v>
      </c>
      <c r="J42" s="98">
        <v>639.96495012862761</v>
      </c>
      <c r="K42" s="98">
        <v>224.45205641402501</v>
      </c>
      <c r="L42" s="98">
        <v>386.57411979920681</v>
      </c>
      <c r="M42" s="98">
        <v>518.3588614463473</v>
      </c>
      <c r="N42" s="98">
        <v>282.30667691820338</v>
      </c>
      <c r="O42" s="98">
        <v>342.45945787875394</v>
      </c>
      <c r="P42" s="98">
        <v>704.95548849149213</v>
      </c>
      <c r="Q42" s="98">
        <v>803.0932136364205</v>
      </c>
      <c r="R42" s="98">
        <v>741.69222796845236</v>
      </c>
      <c r="S42" s="98">
        <v>769.93269511122867</v>
      </c>
      <c r="T42" s="98">
        <v>821.82967434564682</v>
      </c>
      <c r="U42" s="98">
        <v>858.59751928406922</v>
      </c>
      <c r="V42" s="98">
        <v>925.57510686446142</v>
      </c>
      <c r="W42" s="98">
        <v>977.65907261682878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2.9615173695058119</v>
      </c>
      <c r="C47" s="145">
        <f>IF(C4=0,0,C4/TrRoad_ene!C4)</f>
        <v>2.9718850238472538</v>
      </c>
      <c r="D47" s="145">
        <f>IF(D4=0,0,D4/TrRoad_ene!D4)</f>
        <v>2.9672256610225212</v>
      </c>
      <c r="E47" s="145">
        <f>IF(E4=0,0,E4/TrRoad_ene!E4)</f>
        <v>2.9597807704915757</v>
      </c>
      <c r="F47" s="145">
        <f>IF(F4=0,0,F4/TrRoad_ene!F4)</f>
        <v>2.9591092581744567</v>
      </c>
      <c r="G47" s="145">
        <f>IF(G4=0,0,G4/TrRoad_ene!G4)</f>
        <v>2.955701162338459</v>
      </c>
      <c r="H47" s="145">
        <f>IF(H4=0,0,H4/TrRoad_ene!H4)</f>
        <v>2.9248669304421049</v>
      </c>
      <c r="I47" s="145">
        <f>IF(I4=0,0,I4/TrRoad_ene!I4)</f>
        <v>2.8820796725266282</v>
      </c>
      <c r="J47" s="145">
        <f>IF(J4=0,0,J4/TrRoad_ene!J4)</f>
        <v>2.8740973038169981</v>
      </c>
      <c r="K47" s="145">
        <f>IF(K4=0,0,K4/TrRoad_ene!K4)</f>
        <v>2.8664442554557117</v>
      </c>
      <c r="L47" s="145">
        <f>IF(L4=0,0,L4/TrRoad_ene!L4)</f>
        <v>2.8990157897308024</v>
      </c>
      <c r="M47" s="145">
        <f>IF(M4=0,0,M4/TrRoad_ene!M4)</f>
        <v>2.9059418215818349</v>
      </c>
      <c r="N47" s="145">
        <f>IF(N4=0,0,N4/TrRoad_ene!N4)</f>
        <v>2.8873285035839582</v>
      </c>
      <c r="O47" s="145">
        <f>IF(O4=0,0,O4/TrRoad_ene!O4)</f>
        <v>2.8860914184685629</v>
      </c>
      <c r="P47" s="145">
        <f>IF(P4=0,0,P4/TrRoad_ene!P4)</f>
        <v>2.8995214387387023</v>
      </c>
      <c r="Q47" s="145">
        <f>IF(Q4=0,0,Q4/TrRoad_ene!Q4)</f>
        <v>2.9015683497257383</v>
      </c>
      <c r="R47" s="145">
        <f>IF(R4=0,0,R4/TrRoad_ene!R4)</f>
        <v>2.9340638163905637</v>
      </c>
      <c r="S47" s="145">
        <f>IF(S4=0,0,S4/TrRoad_ene!S4)</f>
        <v>2.9187594760855951</v>
      </c>
      <c r="T47" s="145">
        <f>IF(T4=0,0,T4/TrRoad_ene!T4)</f>
        <v>2.9181901878102949</v>
      </c>
      <c r="U47" s="145">
        <f>IF(U4=0,0,U4/TrRoad_ene!U4)</f>
        <v>2.9251555506308069</v>
      </c>
      <c r="V47" s="145">
        <f>IF(V4=0,0,V4/TrRoad_ene!V4)</f>
        <v>2.8854050324450418</v>
      </c>
      <c r="W47" s="145">
        <f>IF(W4=0,0,W4/TrRoad_ene!W4)</f>
        <v>2.8533747270763032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2.9014524000000006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2.8961254842433313</v>
      </c>
      <c r="H48" s="97">
        <f>IF(H7=0,0,(H7+H12)/(TrRoad_ene!H7+TrRoad_ene!H12))</f>
        <v>2.8613874665400885</v>
      </c>
      <c r="I48" s="97">
        <f>IF(I7=0,0,(I7+I12)/(TrRoad_ene!I7+TrRoad_ene!I12))</f>
        <v>2.8275236557933763</v>
      </c>
      <c r="J48" s="97">
        <f>IF(J7=0,0,(J7+J12)/(TrRoad_ene!J7+TrRoad_ene!J12))</f>
        <v>2.8023260156299856</v>
      </c>
      <c r="K48" s="97">
        <f>IF(K7=0,0,(K7+K12)/(TrRoad_ene!K7+TrRoad_ene!K12))</f>
        <v>2.7981801787168883</v>
      </c>
      <c r="L48" s="97">
        <f>IF(L7=0,0,(L7+L12)/(TrRoad_ene!L7+TrRoad_ene!L12))</f>
        <v>2.8038245538764377</v>
      </c>
      <c r="M48" s="97">
        <f>IF(M7=0,0,(M7+M12)/(TrRoad_ene!M7+TrRoad_ene!M12))</f>
        <v>2.7965281053651272</v>
      </c>
      <c r="N48" s="97">
        <f>IF(N7=0,0,(N7+N12)/(TrRoad_ene!N7+TrRoad_ene!N12))</f>
        <v>2.7998718732306371</v>
      </c>
      <c r="O48" s="97">
        <f>IF(O7=0,0,(O7+O12)/(TrRoad_ene!O7+TrRoad_ene!O12))</f>
        <v>2.8148786464457878</v>
      </c>
      <c r="P48" s="97">
        <f>IF(P7=0,0,(P7+P12)/(TrRoad_ene!P7+TrRoad_ene!P12))</f>
        <v>2.8217194532915362</v>
      </c>
      <c r="Q48" s="97">
        <f>IF(Q7=0,0,(Q7+Q12)/(TrRoad_ene!Q7+TrRoad_ene!Q12))</f>
        <v>2.7675025581355803</v>
      </c>
      <c r="R48" s="97">
        <f>IF(R7=0,0,(R7+R12)/(TrRoad_ene!R7+TrRoad_ene!R12))</f>
        <v>2.8172003674450496</v>
      </c>
      <c r="S48" s="97">
        <f>IF(S7=0,0,(S7+S12)/(TrRoad_ene!S7+TrRoad_ene!S12))</f>
        <v>2.7928315720871901</v>
      </c>
      <c r="T48" s="97">
        <f>IF(T7=0,0,(T7+T12)/(TrRoad_ene!T7+TrRoad_ene!T12))</f>
        <v>2.8049006274604351</v>
      </c>
      <c r="U48" s="97">
        <f>IF(U7=0,0,(U7+U12)/(TrRoad_ene!U7+TrRoad_ene!U12))</f>
        <v>2.7894348487833982</v>
      </c>
      <c r="V48" s="97">
        <f>IF(V7=0,0,(V7+V12)/(TrRoad_ene!V7+TrRoad_ene!V12))</f>
        <v>2.7207505615210974</v>
      </c>
      <c r="W48" s="97">
        <f>IF(W7=0,0,(W7+W12)/(TrRoad_ene!W7+TrRoad_ene!W12))</f>
        <v>2.7127548147500655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3.1024187999999997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3.0981107879165237</v>
      </c>
      <c r="G49" s="97">
        <f>IF(G8=0,0,(G8+G13+G14)/(TrRoad_ene!G8+TrRoad_ene!G13+TrRoad_ene!G14))</f>
        <v>3.0906947539199803</v>
      </c>
      <c r="H49" s="97">
        <f>IF(H8=0,0,(H8+H13+H14)/(TrRoad_ene!H8+TrRoad_ene!H13+TrRoad_ene!H14))</f>
        <v>3.045693452965256</v>
      </c>
      <c r="I49" s="97">
        <f>IF(I8=0,0,(I8+I13+I14)/(TrRoad_ene!I8+TrRoad_ene!I13+TrRoad_ene!I14))</f>
        <v>2.9696363678430631</v>
      </c>
      <c r="J49" s="97">
        <f>IF(J8=0,0,(J8+J13+J14)/(TrRoad_ene!J8+TrRoad_ene!J13+TrRoad_ene!J14))</f>
        <v>2.9591992451828673</v>
      </c>
      <c r="K49" s="97">
        <f>IF(K8=0,0,(K8+K13+K14)/(TrRoad_ene!K8+TrRoad_ene!K13+TrRoad_ene!K14))</f>
        <v>2.9564167601444074</v>
      </c>
      <c r="L49" s="97">
        <f>IF(L8=0,0,(L8+L13+L14)/(TrRoad_ene!L8+TrRoad_ene!L13+TrRoad_ene!L14))</f>
        <v>2.9859575247932586</v>
      </c>
      <c r="M49" s="97">
        <f>IF(M8=0,0,(M8+M13+M14)/(TrRoad_ene!M8+TrRoad_ene!M13+TrRoad_ene!M14))</f>
        <v>2.9879549621501038</v>
      </c>
      <c r="N49" s="97">
        <f>IF(N8=0,0,(N8+N13+N14)/(TrRoad_ene!N8+TrRoad_ene!N13+TrRoad_ene!N14))</f>
        <v>2.9509120692818489</v>
      </c>
      <c r="O49" s="97">
        <f>IF(O8=0,0,(O8+O13+O14)/(TrRoad_ene!O8+TrRoad_ene!O13+TrRoad_ene!O14))</f>
        <v>2.9553896296854019</v>
      </c>
      <c r="P49" s="97">
        <f>IF(P8=0,0,(P8+P13+P14)/(TrRoad_ene!P8+TrRoad_ene!P13+TrRoad_ene!P14))</f>
        <v>2.9620580598533737</v>
      </c>
      <c r="Q49" s="97">
        <f>IF(Q8=0,0,(Q8+Q13+Q14)/(TrRoad_ene!Q8+TrRoad_ene!Q13+TrRoad_ene!Q14))</f>
        <v>2.9688457179183914</v>
      </c>
      <c r="R49" s="97">
        <f>IF(R8=0,0,(R8+R13+R14)/(TrRoad_ene!R8+TrRoad_ene!R13+TrRoad_ene!R14))</f>
        <v>2.9964817099888919</v>
      </c>
      <c r="S49" s="97">
        <f>IF(S8=0,0,(S8+S13+S14)/(TrRoad_ene!S8+TrRoad_ene!S13+TrRoad_ene!S14))</f>
        <v>2.9767779068111619</v>
      </c>
      <c r="T49" s="97">
        <f>IF(T8=0,0,(T8+T13+T14)/(TrRoad_ene!T8+TrRoad_ene!T13+TrRoad_ene!T14))</f>
        <v>2.9730477708644591</v>
      </c>
      <c r="U49" s="97">
        <f>IF(U8=0,0,(U8+U13+U14)/(TrRoad_ene!U8+TrRoad_ene!U13+TrRoad_ene!U14))</f>
        <v>2.9861038041506878</v>
      </c>
      <c r="V49" s="97">
        <f>IF(V8=0,0,(V8+V13+V14)/(TrRoad_ene!V8+TrRoad_ene!V13+TrRoad_ene!V14))</f>
        <v>2.9461220094641121</v>
      </c>
      <c r="W49" s="97">
        <f>IF(W8=0,0,(W8+W13+W14)/(TrRoad_ene!W8+TrRoad_ene!W13+TrRoad_ene!W14))</f>
        <v>2.909149732549889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277.8775700496484</v>
      </c>
      <c r="C54" s="62">
        <f>IF(TrRoad_act!C30=0,0,C17/TrRoad_act!C30*1000
)</f>
        <v>300.82382001011825</v>
      </c>
      <c r="D54" s="62">
        <f>IF(TrRoad_act!D30=0,0,D17/TrRoad_act!D30*1000
)</f>
        <v>291.32180761911428</v>
      </c>
      <c r="E54" s="62">
        <f>IF(TrRoad_act!E30=0,0,E17/TrRoad_act!E30*1000
)</f>
        <v>261.49991716584117</v>
      </c>
      <c r="F54" s="62">
        <f>IF(TrRoad_act!F30=0,0,F17/TrRoad_act!F30*1000
)</f>
        <v>262.46362156156721</v>
      </c>
      <c r="G54" s="62">
        <f>IF(TrRoad_act!G30=0,0,G17/TrRoad_act!G30*1000
)</f>
        <v>249.52808625155782</v>
      </c>
      <c r="H54" s="62">
        <f>IF(TrRoad_act!H30=0,0,H17/TrRoad_act!H30*1000
)</f>
        <v>232.87045139945039</v>
      </c>
      <c r="I54" s="62">
        <f>IF(TrRoad_act!I30=0,0,I17/TrRoad_act!I30*1000
)</f>
        <v>252.0353100842519</v>
      </c>
      <c r="J54" s="62">
        <f>IF(TrRoad_act!J30=0,0,J17/TrRoad_act!J30*1000
)</f>
        <v>254.42569332798527</v>
      </c>
      <c r="K54" s="62">
        <f>IF(TrRoad_act!K30=0,0,K17/TrRoad_act!K30*1000
)</f>
        <v>220.16507172440697</v>
      </c>
      <c r="L54" s="62">
        <f>IF(TrRoad_act!L30=0,0,L17/TrRoad_act!L30*1000
)</f>
        <v>227.7840120224493</v>
      </c>
      <c r="M54" s="62">
        <f>IF(TrRoad_act!M30=0,0,M17/TrRoad_act!M30*1000
)</f>
        <v>243.04619897340197</v>
      </c>
      <c r="N54" s="62">
        <f>IF(TrRoad_act!N30=0,0,N17/TrRoad_act!N30*1000
)</f>
        <v>212.20876749278628</v>
      </c>
      <c r="O54" s="62">
        <f>IF(TrRoad_act!O30=0,0,O17/TrRoad_act!O30*1000
)</f>
        <v>216.47823814138775</v>
      </c>
      <c r="P54" s="62">
        <f>IF(TrRoad_act!P30=0,0,P17/TrRoad_act!P30*1000
)</f>
        <v>252.54376432212095</v>
      </c>
      <c r="Q54" s="62">
        <f>IF(TrRoad_act!Q30=0,0,Q17/TrRoad_act!Q30*1000
)</f>
        <v>251.69692122036895</v>
      </c>
      <c r="R54" s="62">
        <f>IF(TrRoad_act!R30=0,0,R17/TrRoad_act!R30*1000
)</f>
        <v>240.07279379243619</v>
      </c>
      <c r="S54" s="62">
        <f>IF(TrRoad_act!S30=0,0,S17/TrRoad_act!S30*1000
)</f>
        <v>237.10579828486553</v>
      </c>
      <c r="T54" s="62">
        <f>IF(TrRoad_act!T30=0,0,T17/TrRoad_act!T30*1000
)</f>
        <v>236.2110923026197</v>
      </c>
      <c r="U54" s="62">
        <f>IF(TrRoad_act!U30=0,0,U17/TrRoad_act!U30*1000
)</f>
        <v>236.00815250261056</v>
      </c>
      <c r="V54" s="62">
        <f>IF(TrRoad_act!V30=0,0,V17/TrRoad_act!V30*1000
)</f>
        <v>234.89066475898193</v>
      </c>
      <c r="W54" s="62">
        <f>IF(TrRoad_act!W30=0,0,W17/TrRoad_act!W30*1000
)</f>
        <v>233.40766261792078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228.34481570346574</v>
      </c>
      <c r="C55" s="29">
        <f>IF(TrRoad_act!C31=0,0,C18/TrRoad_act!C31*1000
)</f>
        <v>233.07844686594009</v>
      </c>
      <c r="D55" s="29">
        <f>IF(TrRoad_act!D31=0,0,D18/TrRoad_act!D31*1000
)</f>
        <v>227.11686280486816</v>
      </c>
      <c r="E55" s="29">
        <f>IF(TrRoad_act!E31=0,0,E18/TrRoad_act!E31*1000
)</f>
        <v>217.86686356220727</v>
      </c>
      <c r="F55" s="29">
        <f>IF(TrRoad_act!F31=0,0,F18/TrRoad_act!F31*1000
)</f>
        <v>213.09095133894095</v>
      </c>
      <c r="G55" s="29">
        <f>IF(TrRoad_act!G31=0,0,G18/TrRoad_act!G31*1000
)</f>
        <v>208.69012683839404</v>
      </c>
      <c r="H55" s="29">
        <f>IF(TrRoad_act!H31=0,0,H18/TrRoad_act!H31*1000
)</f>
        <v>200.41015669464224</v>
      </c>
      <c r="I55" s="29">
        <f>IF(TrRoad_act!I31=0,0,I18/TrRoad_act!I31*1000
)</f>
        <v>201.52068847346169</v>
      </c>
      <c r="J55" s="29">
        <f>IF(TrRoad_act!J31=0,0,J18/TrRoad_act!J31*1000
)</f>
        <v>199.40974605861152</v>
      </c>
      <c r="K55" s="29">
        <f>IF(TrRoad_act!K31=0,0,K18/TrRoad_act!K31*1000
)</f>
        <v>192.3056166360351</v>
      </c>
      <c r="L55" s="29">
        <f>IF(TrRoad_act!L31=0,0,L18/TrRoad_act!L31*1000
)</f>
        <v>190.4656723388342</v>
      </c>
      <c r="M55" s="29">
        <f>IF(TrRoad_act!M31=0,0,M18/TrRoad_act!M31*1000
)</f>
        <v>193.51596908378116</v>
      </c>
      <c r="N55" s="29">
        <f>IF(TrRoad_act!N31=0,0,N18/TrRoad_act!N31*1000
)</f>
        <v>184.29886634464478</v>
      </c>
      <c r="O55" s="29">
        <f>IF(TrRoad_act!O31=0,0,O18/TrRoad_act!O31*1000
)</f>
        <v>183.98066747233867</v>
      </c>
      <c r="P55" s="29">
        <f>IF(TrRoad_act!P31=0,0,P18/TrRoad_act!P31*1000
)</f>
        <v>191.22415698164457</v>
      </c>
      <c r="Q55" s="29">
        <f>IF(TrRoad_act!Q31=0,0,Q18/TrRoad_act!Q31*1000
)</f>
        <v>188.89889598258483</v>
      </c>
      <c r="R55" s="29">
        <f>IF(TrRoad_act!R31=0,0,R18/TrRoad_act!R31*1000
)</f>
        <v>187.68332177907666</v>
      </c>
      <c r="S55" s="29">
        <f>IF(TrRoad_act!S31=0,0,S18/TrRoad_act!S31*1000
)</f>
        <v>185.18787672964504</v>
      </c>
      <c r="T55" s="29">
        <f>IF(TrRoad_act!T31=0,0,T18/TrRoad_act!T31*1000
)</f>
        <v>183.43921219647962</v>
      </c>
      <c r="U55" s="29">
        <f>IF(TrRoad_act!U31=0,0,U18/TrRoad_act!U31*1000
)</f>
        <v>182.48174660409461</v>
      </c>
      <c r="V55" s="29">
        <f>IF(TrRoad_act!V31=0,0,V18/TrRoad_act!V31*1000
)</f>
        <v>177.20098248022506</v>
      </c>
      <c r="W55" s="29">
        <f>IF(TrRoad_act!W31=0,0,W18/TrRoad_act!W31*1000
)</f>
        <v>174.31638803656961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155.166445210304</v>
      </c>
      <c r="C56" s="152">
        <f>IF(TrRoad_act!C32=0,0,C19/TrRoad_act!C32*1000
)</f>
        <v>154.07686236368355</v>
      </c>
      <c r="D56" s="152">
        <f>IF(TrRoad_act!D32=0,0,D19/TrRoad_act!D32*1000
)</f>
        <v>152.50696084929362</v>
      </c>
      <c r="E56" s="152">
        <f>IF(TrRoad_act!E32=0,0,E19/TrRoad_act!E32*1000
)</f>
        <v>143.53187057241547</v>
      </c>
      <c r="F56" s="152">
        <f>IF(TrRoad_act!F32=0,0,F19/TrRoad_act!F32*1000
)</f>
        <v>142.00490339120583</v>
      </c>
      <c r="G56" s="152">
        <f>IF(TrRoad_act!G32=0,0,G19/TrRoad_act!G32*1000
)</f>
        <v>139.95616123777523</v>
      </c>
      <c r="H56" s="152">
        <f>IF(TrRoad_act!H32=0,0,H19/TrRoad_act!H32*1000
)</f>
        <v>135.68157221120182</v>
      </c>
      <c r="I56" s="152">
        <f>IF(TrRoad_act!I32=0,0,I19/TrRoad_act!I32*1000
)</f>
        <v>130.83639652886518</v>
      </c>
      <c r="J56" s="152">
        <f>IF(TrRoad_act!J32=0,0,J19/TrRoad_act!J32*1000
)</f>
        <v>125.91961949825597</v>
      </c>
      <c r="K56" s="152">
        <f>IF(TrRoad_act!K32=0,0,K19/TrRoad_act!K32*1000
)</f>
        <v>123.11771556427843</v>
      </c>
      <c r="L56" s="152">
        <f>IF(TrRoad_act!L32=0,0,L19/TrRoad_act!L32*1000
)</f>
        <v>122.09705082615582</v>
      </c>
      <c r="M56" s="152">
        <f>IF(TrRoad_act!M32=0,0,M19/TrRoad_act!M32*1000
)</f>
        <v>120.13843306540133</v>
      </c>
      <c r="N56" s="152">
        <f>IF(TrRoad_act!N32=0,0,N19/TrRoad_act!N32*1000
)</f>
        <v>118.80469446936918</v>
      </c>
      <c r="O56" s="152">
        <f>IF(TrRoad_act!O32=0,0,O19/TrRoad_act!O32*1000
)</f>
        <v>117.95581910701983</v>
      </c>
      <c r="P56" s="152">
        <f>IF(TrRoad_act!P32=0,0,P19/TrRoad_act!P32*1000
)</f>
        <v>116.6413845734055</v>
      </c>
      <c r="Q56" s="152">
        <f>IF(TrRoad_act!Q32=0,0,Q19/TrRoad_act!Q32*1000
)</f>
        <v>112.87194669101642</v>
      </c>
      <c r="R56" s="152">
        <f>IF(TrRoad_act!R32=0,0,R19/TrRoad_act!R32*1000
)</f>
        <v>118.47928950579316</v>
      </c>
      <c r="S56" s="152">
        <f>IF(TrRoad_act!S32=0,0,S19/TrRoad_act!S32*1000
)</f>
        <v>115.03024209021461</v>
      </c>
      <c r="T56" s="152">
        <f>IF(TrRoad_act!T32=0,0,T19/TrRoad_act!T32*1000
)</f>
        <v>112.89785590425019</v>
      </c>
      <c r="U56" s="152">
        <f>IF(TrRoad_act!U32=0,0,U19/TrRoad_act!U32*1000
)</f>
        <v>108.02513661075358</v>
      </c>
      <c r="V56" s="152">
        <f>IF(TrRoad_act!V32=0,0,V19/TrRoad_act!V32*1000
)</f>
        <v>101.91731981758355</v>
      </c>
      <c r="W56" s="152">
        <f>IF(TrRoad_act!W32=0,0,W19/TrRoad_act!W32*1000
)</f>
        <v>82.729821004623872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211.32764627064333</v>
      </c>
      <c r="C57" s="116">
        <f>IF(TrRoad_act!C33=0,0,C20/TrRoad_act!C33*1000
)</f>
        <v>217.21024056996947</v>
      </c>
      <c r="D57" s="116">
        <f>IF(TrRoad_act!D33=0,0,D20/TrRoad_act!D33*1000
)</f>
        <v>211.89288744572602</v>
      </c>
      <c r="E57" s="116">
        <f>IF(TrRoad_act!E33=0,0,E20/TrRoad_act!E33*1000
)</f>
        <v>204.37597375546625</v>
      </c>
      <c r="F57" s="116">
        <f>IF(TrRoad_act!F33=0,0,F20/TrRoad_act!F33*1000
)</f>
        <v>200.07294504467151</v>
      </c>
      <c r="G57" s="116">
        <f>IF(TrRoad_act!G33=0,0,G20/TrRoad_act!G33*1000
)</f>
        <v>197.53793442978312</v>
      </c>
      <c r="H57" s="116">
        <f>IF(TrRoad_act!H33=0,0,H20/TrRoad_act!H33*1000
)</f>
        <v>191.18804671806217</v>
      </c>
      <c r="I57" s="116">
        <f>IF(TrRoad_act!I33=0,0,I20/TrRoad_act!I33*1000
)</f>
        <v>193.88465589211404</v>
      </c>
      <c r="J57" s="116">
        <f>IF(TrRoad_act!J33=0,0,J20/TrRoad_act!J33*1000
)</f>
        <v>192.23700809739026</v>
      </c>
      <c r="K57" s="116">
        <f>IF(TrRoad_act!K33=0,0,K20/TrRoad_act!K33*1000
)</f>
        <v>184.88909232850699</v>
      </c>
      <c r="L57" s="116">
        <f>IF(TrRoad_act!L33=0,0,L20/TrRoad_act!L33*1000
)</f>
        <v>183.20330003075918</v>
      </c>
      <c r="M57" s="116">
        <f>IF(TrRoad_act!M33=0,0,M20/TrRoad_act!M33*1000
)</f>
        <v>185.53163317926808</v>
      </c>
      <c r="N57" s="116">
        <f>IF(TrRoad_act!N33=0,0,N20/TrRoad_act!N33*1000
)</f>
        <v>177.51113702699698</v>
      </c>
      <c r="O57" s="116">
        <f>IF(TrRoad_act!O33=0,0,O20/TrRoad_act!O33*1000
)</f>
        <v>177.96185272301597</v>
      </c>
      <c r="P57" s="116">
        <f>IF(TrRoad_act!P33=0,0,P20/TrRoad_act!P33*1000
)</f>
        <v>184.70067993272707</v>
      </c>
      <c r="Q57" s="116">
        <f>IF(TrRoad_act!Q33=0,0,Q20/TrRoad_act!Q33*1000
)</f>
        <v>182.60003984439379</v>
      </c>
      <c r="R57" s="116">
        <f>IF(TrRoad_act!R33=0,0,R20/TrRoad_act!R33*1000
)</f>
        <v>182.29161768238919</v>
      </c>
      <c r="S57" s="116">
        <f>IF(TrRoad_act!S33=0,0,S20/TrRoad_act!S33*1000
)</f>
        <v>179.94303994760571</v>
      </c>
      <c r="T57" s="116">
        <f>IF(TrRoad_act!T33=0,0,T20/TrRoad_act!T33*1000
)</f>
        <v>178.36365330285315</v>
      </c>
      <c r="U57" s="116">
        <f>IF(TrRoad_act!U33=0,0,U20/TrRoad_act!U33*1000
)</f>
        <v>176.96706246849939</v>
      </c>
      <c r="V57" s="116">
        <f>IF(TrRoad_act!V33=0,0,V20/TrRoad_act!V33*1000
)</f>
        <v>173.13986429074947</v>
      </c>
      <c r="W57" s="116">
        <f>IF(TrRoad_act!W33=0,0,W20/TrRoad_act!W33*1000
)</f>
        <v>170.72989952392757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240.10657555906064</v>
      </c>
      <c r="C58" s="87">
        <f>IF(TrRoad_act!C34=0,0,C21/TrRoad_act!C34*1000
)</f>
        <v>252.11184255766895</v>
      </c>
      <c r="D58" s="87">
        <f>IF(TrRoad_act!D34=0,0,D21/TrRoad_act!D34*1000
)</f>
        <v>249.6593809442486</v>
      </c>
      <c r="E58" s="87">
        <f>IF(TrRoad_act!E34=0,0,E21/TrRoad_act!E34*1000
)</f>
        <v>242.95478037779736</v>
      </c>
      <c r="F58" s="87">
        <f>IF(TrRoad_act!F34=0,0,F21/TrRoad_act!F34*1000
)</f>
        <v>243.06067744655633</v>
      </c>
      <c r="G58" s="87">
        <f>IF(TrRoad_act!G34=0,0,G21/TrRoad_act!G34*1000
)</f>
        <v>228.6754826533095</v>
      </c>
      <c r="H58" s="87">
        <f>IF(TrRoad_act!H34=0,0,H21/TrRoad_act!H34*1000
)</f>
        <v>224.05924654854329</v>
      </c>
      <c r="I58" s="87">
        <f>IF(TrRoad_act!I34=0,0,I21/TrRoad_act!I34*1000
)</f>
        <v>230.62384821119829</v>
      </c>
      <c r="J58" s="87">
        <f>IF(TrRoad_act!J34=0,0,J21/TrRoad_act!J34*1000
)</f>
        <v>228.74246917073836</v>
      </c>
      <c r="K58" s="87">
        <f>IF(TrRoad_act!K34=0,0,K21/TrRoad_act!K34*1000
)</f>
        <v>219.23479744930955</v>
      </c>
      <c r="L58" s="87">
        <f>IF(TrRoad_act!L34=0,0,L21/TrRoad_act!L34*1000
)</f>
        <v>223.7187182847756</v>
      </c>
      <c r="M58" s="87">
        <f>IF(TrRoad_act!M34=0,0,M21/TrRoad_act!M34*1000
)</f>
        <v>220.34502728557612</v>
      </c>
      <c r="N58" s="87">
        <f>IF(TrRoad_act!N34=0,0,N21/TrRoad_act!N34*1000
)</f>
        <v>218.72453702510512</v>
      </c>
      <c r="O58" s="87">
        <f>IF(TrRoad_act!O34=0,0,O21/TrRoad_act!O34*1000
)</f>
        <v>221.72106012295131</v>
      </c>
      <c r="P58" s="87">
        <f>IF(TrRoad_act!P34=0,0,P21/TrRoad_act!P34*1000
)</f>
        <v>219.28497254729785</v>
      </c>
      <c r="Q58" s="87">
        <f>IF(TrRoad_act!Q34=0,0,Q21/TrRoad_act!Q34*1000
)</f>
        <v>211.63633813139776</v>
      </c>
      <c r="R58" s="87">
        <f>IF(TrRoad_act!R34=0,0,R21/TrRoad_act!R34*1000
)</f>
        <v>221.56554308378031</v>
      </c>
      <c r="S58" s="87">
        <f>IF(TrRoad_act!S34=0,0,S21/TrRoad_act!S34*1000
)</f>
        <v>208.64697787094786</v>
      </c>
      <c r="T58" s="87">
        <f>IF(TrRoad_act!T34=0,0,T21/TrRoad_act!T34*1000
)</f>
        <v>199.26562032477389</v>
      </c>
      <c r="U58" s="87">
        <f>IF(TrRoad_act!U34=0,0,U21/TrRoad_act!U34*1000
)</f>
        <v>187.7771050372022</v>
      </c>
      <c r="V58" s="87">
        <f>IF(TrRoad_act!V34=0,0,V21/TrRoad_act!V34*1000
)</f>
        <v>176.93424371412178</v>
      </c>
      <c r="W58" s="87">
        <f>IF(TrRoad_act!W34=0,0,W21/TrRoad_act!W34*1000
)</f>
        <v>172.80634204270609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188.89081110397683</v>
      </c>
      <c r="C59" s="87">
        <f>IF(TrRoad_act!C35=0,0,C22/TrRoad_act!C35*1000
)</f>
        <v>185.73427808918555</v>
      </c>
      <c r="D59" s="87">
        <f>IF(TrRoad_act!D35=0,0,D22/TrRoad_act!D35*1000
)</f>
        <v>181.44792084963586</v>
      </c>
      <c r="E59" s="87">
        <f>IF(TrRoad_act!E35=0,0,E22/TrRoad_act!E35*1000
)</f>
        <v>172.44386495401315</v>
      </c>
      <c r="F59" s="87">
        <f>IF(TrRoad_act!F35=0,0,F22/TrRoad_act!F35*1000
)</f>
        <v>174.47285967289861</v>
      </c>
      <c r="G59" s="87">
        <f>IF(TrRoad_act!G35=0,0,G22/TrRoad_act!G35*1000
)</f>
        <v>171.40726736150759</v>
      </c>
      <c r="H59" s="87">
        <f>IF(TrRoad_act!H35=0,0,H22/TrRoad_act!H35*1000
)</f>
        <v>167.81576224866262</v>
      </c>
      <c r="I59" s="87">
        <f>IF(TrRoad_act!I35=0,0,I22/TrRoad_act!I35*1000
)</f>
        <v>178.06581467452474</v>
      </c>
      <c r="J59" s="87">
        <f>IF(TrRoad_act!J35=0,0,J22/TrRoad_act!J35*1000
)</f>
        <v>178.79495726087103</v>
      </c>
      <c r="K59" s="87">
        <f>IF(TrRoad_act!K35=0,0,K22/TrRoad_act!K35*1000
)</f>
        <v>165.69337092579846</v>
      </c>
      <c r="L59" s="87">
        <f>IF(TrRoad_act!L35=0,0,L22/TrRoad_act!L35*1000
)</f>
        <v>172.06825568960446</v>
      </c>
      <c r="M59" s="87">
        <f>IF(TrRoad_act!M35=0,0,M22/TrRoad_act!M35*1000
)</f>
        <v>177.11348189238487</v>
      </c>
      <c r="N59" s="87">
        <f>IF(TrRoad_act!N35=0,0,N22/TrRoad_act!N35*1000
)</f>
        <v>166.70161445511789</v>
      </c>
      <c r="O59" s="87">
        <f>IF(TrRoad_act!O35=0,0,O22/TrRoad_act!O35*1000
)</f>
        <v>170.02178112761231</v>
      </c>
      <c r="P59" s="87">
        <f>IF(TrRoad_act!P35=0,0,P22/TrRoad_act!P35*1000
)</f>
        <v>179.92931593494509</v>
      </c>
      <c r="Q59" s="87">
        <f>IF(TrRoad_act!Q35=0,0,Q22/TrRoad_act!Q35*1000
)</f>
        <v>179.45365150203472</v>
      </c>
      <c r="R59" s="87">
        <f>IF(TrRoad_act!R35=0,0,R22/TrRoad_act!R35*1000
)</f>
        <v>179.08737586687121</v>
      </c>
      <c r="S59" s="87">
        <f>IF(TrRoad_act!S35=0,0,S22/TrRoad_act!S35*1000
)</f>
        <v>177.92395033918055</v>
      </c>
      <c r="T59" s="87">
        <f>IF(TrRoad_act!T35=0,0,T22/TrRoad_act!T35*1000
)</f>
        <v>177.45835018666071</v>
      </c>
      <c r="U59" s="87">
        <f>IF(TrRoad_act!U35=0,0,U22/TrRoad_act!U35*1000
)</f>
        <v>177.93187707315684</v>
      </c>
      <c r="V59" s="87">
        <f>IF(TrRoad_act!V35=0,0,V22/TrRoad_act!V35*1000
)</f>
        <v>175.15457653805183</v>
      </c>
      <c r="W59" s="87">
        <f>IF(TrRoad_act!W35=0,0,W22/TrRoad_act!W35*1000
)</f>
        <v>172.25185842167167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172.6498786418216</v>
      </c>
      <c r="C60" s="87">
        <f>IF(TrRoad_act!C36=0,0,C23/TrRoad_act!C36*1000
)</f>
        <v>189.26671182976642</v>
      </c>
      <c r="D60" s="87">
        <f>IF(TrRoad_act!D36=0,0,D23/TrRoad_act!D36*1000
)</f>
        <v>187.7482087785618</v>
      </c>
      <c r="E60" s="87">
        <f>IF(TrRoad_act!E36=0,0,E23/TrRoad_act!E36*1000
)</f>
        <v>194.51773413426648</v>
      </c>
      <c r="F60" s="87">
        <f>IF(TrRoad_act!F36=0,0,F23/TrRoad_act!F36*1000
)</f>
        <v>185.32649006910373</v>
      </c>
      <c r="G60" s="87">
        <f>IF(TrRoad_act!G36=0,0,G23/TrRoad_act!G36*1000
)</f>
        <v>213.21259287831168</v>
      </c>
      <c r="H60" s="87">
        <f>IF(TrRoad_act!H36=0,0,H23/TrRoad_act!H36*1000
)</f>
        <v>205.67253747402896</v>
      </c>
      <c r="I60" s="87">
        <f>IF(TrRoad_act!I36=0,0,I23/TrRoad_act!I36*1000
)</f>
        <v>175.29831983829732</v>
      </c>
      <c r="J60" s="87">
        <f>IF(TrRoad_act!J36=0,0,J23/TrRoad_act!J36*1000
)</f>
        <v>166.8693302140023</v>
      </c>
      <c r="K60" s="87">
        <f>IF(TrRoad_act!K36=0,0,K23/TrRoad_act!K36*1000
)</f>
        <v>190.25680926510918</v>
      </c>
      <c r="L60" s="87">
        <f>IF(TrRoad_act!L36=0,0,L23/TrRoad_act!L36*1000
)</f>
        <v>168.81859377192336</v>
      </c>
      <c r="M60" s="87">
        <f>IF(TrRoad_act!M36=0,0,M23/TrRoad_act!M36*1000
)</f>
        <v>171.49015332056646</v>
      </c>
      <c r="N60" s="87">
        <f>IF(TrRoad_act!N36=0,0,N23/TrRoad_act!N36*1000
)</f>
        <v>183.02295776627238</v>
      </c>
      <c r="O60" s="87">
        <f>IF(TrRoad_act!O36=0,0,O23/TrRoad_act!O36*1000
)</f>
        <v>170.47459431870456</v>
      </c>
      <c r="P60" s="87">
        <f>IF(TrRoad_act!P36=0,0,P23/TrRoad_act!P36*1000
)</f>
        <v>170.34316716512936</v>
      </c>
      <c r="Q60" s="87">
        <f>IF(TrRoad_act!Q36=0,0,Q23/TrRoad_act!Q36*1000
)</f>
        <v>167.81606965136461</v>
      </c>
      <c r="R60" s="87">
        <f>IF(TrRoad_act!R36=0,0,R23/TrRoad_act!R36*1000
)</f>
        <v>158.68164550954427</v>
      </c>
      <c r="S60" s="87">
        <f>IF(TrRoad_act!S36=0,0,S23/TrRoad_act!S36*1000
)</f>
        <v>162.10502949003973</v>
      </c>
      <c r="T60" s="87">
        <f>IF(TrRoad_act!T36=0,0,T23/TrRoad_act!T36*1000
)</f>
        <v>162.42553892102654</v>
      </c>
      <c r="U60" s="87">
        <f>IF(TrRoad_act!U36=0,0,U23/TrRoad_act!U36*1000
)</f>
        <v>163.58441469113481</v>
      </c>
      <c r="V60" s="87">
        <f>IF(TrRoad_act!V36=0,0,V23/TrRoad_act!V36*1000
)</f>
        <v>168.62708889779205</v>
      </c>
      <c r="W60" s="87">
        <f>IF(TrRoad_act!W36=0,0,W23/TrRoad_act!W36*1000
)</f>
        <v>176.45471797008159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172.50848797437112</v>
      </c>
      <c r="O61" s="87">
        <f>IF(TrRoad_act!O37=0,0,O24/TrRoad_act!O37*1000
)</f>
        <v>139.09739331704242</v>
      </c>
      <c r="P61" s="87">
        <f>IF(TrRoad_act!P37=0,0,P24/TrRoad_act!P37*1000
)</f>
        <v>129.87141369493213</v>
      </c>
      <c r="Q61" s="87">
        <f>IF(TrRoad_act!Q37=0,0,Q24/TrRoad_act!Q37*1000
)</f>
        <v>129.89977886663178</v>
      </c>
      <c r="R61" s="87">
        <f>IF(TrRoad_act!R37=0,0,R24/TrRoad_act!R37*1000
)</f>
        <v>130.53040234708456</v>
      </c>
      <c r="S61" s="87">
        <f>IF(TrRoad_act!S37=0,0,S24/TrRoad_act!S37*1000
)</f>
        <v>132.57590821808509</v>
      </c>
      <c r="T61" s="87">
        <f>IF(TrRoad_act!T37=0,0,T24/TrRoad_act!T37*1000
)</f>
        <v>133.89798787094168</v>
      </c>
      <c r="U61" s="87">
        <f>IF(TrRoad_act!U37=0,0,U24/TrRoad_act!U37*1000
)</f>
        <v>133.49376608441437</v>
      </c>
      <c r="V61" s="87">
        <f>IF(TrRoad_act!V37=0,0,V24/TrRoad_act!V37*1000
)</f>
        <v>127.57052367260363</v>
      </c>
      <c r="W61" s="87">
        <f>IF(TrRoad_act!W37=0,0,W24/TrRoad_act!W37*1000
)</f>
        <v>124.08972139693023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74.125518642345924</v>
      </c>
      <c r="P62" s="87">
        <f>IF(TrRoad_act!P38=0,0,P25/TrRoad_act!P38*1000
)</f>
        <v>55.066946818692408</v>
      </c>
      <c r="Q62" s="87">
        <f>IF(TrRoad_act!Q38=0,0,Q25/TrRoad_act!Q38*1000
)</f>
        <v>51.785517016028379</v>
      </c>
      <c r="R62" s="87">
        <f>IF(TrRoad_act!R38=0,0,R25/TrRoad_act!R38*1000
)</f>
        <v>56.290213496036053</v>
      </c>
      <c r="S62" s="87">
        <f>IF(TrRoad_act!S38=0,0,S25/TrRoad_act!S38*1000
)</f>
        <v>55.143038533233835</v>
      </c>
      <c r="T62" s="87">
        <f>IF(TrRoad_act!T38=0,0,T25/TrRoad_act!T38*1000
)</f>
        <v>57.473167616311599</v>
      </c>
      <c r="U62" s="87">
        <f>IF(TrRoad_act!U38=0,0,U25/TrRoad_act!U38*1000
)</f>
        <v>61.556654007655929</v>
      </c>
      <c r="V62" s="87">
        <f>IF(TrRoad_act!V38=0,0,V25/TrRoad_act!V38*1000
)</f>
        <v>60.407416982516565</v>
      </c>
      <c r="W62" s="87">
        <f>IF(TrRoad_act!W38=0,0,W25/TrRoad_act!W38*1000
)</f>
        <v>60.501344449315553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1917.4725871858088</v>
      </c>
      <c r="C64" s="116">
        <f>IF(TrRoad_act!C40=0,0,C27/TrRoad_act!C40*1000
)</f>
        <v>1797.18471821456</v>
      </c>
      <c r="D64" s="116">
        <f>IF(TrRoad_act!D40=0,0,D27/TrRoad_act!D40*1000
)</f>
        <v>1732.3303785552409</v>
      </c>
      <c r="E64" s="116">
        <f>IF(TrRoad_act!E40=0,0,E27/TrRoad_act!E40*1000
)</f>
        <v>1679.9604222928356</v>
      </c>
      <c r="F64" s="116">
        <f>IF(TrRoad_act!F40=0,0,F27/TrRoad_act!F40*1000
)</f>
        <v>1665.8338319603652</v>
      </c>
      <c r="G64" s="116">
        <f>IF(TrRoad_act!G40=0,0,G27/TrRoad_act!G40*1000
)</f>
        <v>1649.5863143103129</v>
      </c>
      <c r="H64" s="116">
        <f>IF(TrRoad_act!H40=0,0,H27/TrRoad_act!H40*1000
)</f>
        <v>1608.2485145181934</v>
      </c>
      <c r="I64" s="116">
        <f>IF(TrRoad_act!I40=0,0,I27/TrRoad_act!I40*1000
)</f>
        <v>1556.0250419346289</v>
      </c>
      <c r="J64" s="116">
        <f>IF(TrRoad_act!J40=0,0,J27/TrRoad_act!J40*1000
)</f>
        <v>1548.9853672946158</v>
      </c>
      <c r="K64" s="116">
        <f>IF(TrRoad_act!K40=0,0,K27/TrRoad_act!K40*1000
)</f>
        <v>1529.289478584408</v>
      </c>
      <c r="L64" s="116">
        <f>IF(TrRoad_act!L40=0,0,L27/TrRoad_act!L40*1000
)</f>
        <v>1540.9522841189489</v>
      </c>
      <c r="M64" s="116">
        <f>IF(TrRoad_act!M40=0,0,M27/TrRoad_act!M40*1000
)</f>
        <v>1535.1701544006978</v>
      </c>
      <c r="N64" s="116">
        <f>IF(TrRoad_act!N40=0,0,N27/TrRoad_act!N40*1000
)</f>
        <v>1511.4214402750704</v>
      </c>
      <c r="O64" s="116">
        <f>IF(TrRoad_act!O40=0,0,O27/TrRoad_act!O40*1000
)</f>
        <v>1232.9708416607141</v>
      </c>
      <c r="P64" s="116">
        <f>IF(TrRoad_act!P40=0,0,P27/TrRoad_act!P40*1000
)</f>
        <v>1239.9915496015446</v>
      </c>
      <c r="Q64" s="116">
        <f>IF(TrRoad_act!Q40=0,0,Q27/TrRoad_act!Q40*1000
)</f>
        <v>1195.2645433110952</v>
      </c>
      <c r="R64" s="116">
        <f>IF(TrRoad_act!R40=0,0,R27/TrRoad_act!R40*1000
)</f>
        <v>1198.1357008369196</v>
      </c>
      <c r="S64" s="116">
        <f>IF(TrRoad_act!S40=0,0,S27/TrRoad_act!S40*1000
)</f>
        <v>1198.0943692208552</v>
      </c>
      <c r="T64" s="116">
        <f>IF(TrRoad_act!T40=0,0,T27/TrRoad_act!T40*1000
)</f>
        <v>1206.2649599850618</v>
      </c>
      <c r="U64" s="116">
        <f>IF(TrRoad_act!U40=0,0,U27/TrRoad_act!U40*1000
)</f>
        <v>1219.0381560663848</v>
      </c>
      <c r="V64" s="116">
        <f>IF(TrRoad_act!V40=0,0,V27/TrRoad_act!V40*1000
)</f>
        <v>1163.2139353149043</v>
      </c>
      <c r="W64" s="116">
        <f>IF(TrRoad_act!W40=0,0,W27/TrRoad_act!W40*1000
)</f>
        <v>1076.6379076620087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459.21995459572116</v>
      </c>
      <c r="E65" s="101">
        <f>IF(TrRoad_act!E41=0,0,E28/TrRoad_act!E41*1000
)</f>
        <v>458.14831504769683</v>
      </c>
      <c r="F65" s="101">
        <f>IF(TrRoad_act!F41=0,0,F28/TrRoad_act!F41*1000
)</f>
        <v>458.0602490709532</v>
      </c>
      <c r="G65" s="101">
        <f>IF(TrRoad_act!G41=0,0,G28/TrRoad_act!G41*1000
)</f>
        <v>457.14695746411144</v>
      </c>
      <c r="H65" s="101">
        <f>IF(TrRoad_act!H41=0,0,H28/TrRoad_act!H41*1000
)</f>
        <v>451.12268083059098</v>
      </c>
      <c r="I65" s="101">
        <f>IF(TrRoad_act!I41=0,0,I28/TrRoad_act!I41*1000
)</f>
        <v>445.69420602128588</v>
      </c>
      <c r="J65" s="101">
        <f>IF(TrRoad_act!J41=0,0,J28/TrRoad_act!J41*1000
)</f>
        <v>441.34080126582728</v>
      </c>
      <c r="K65" s="101">
        <f>IF(TrRoad_act!K41=0,0,K28/TrRoad_act!K41*1000
)</f>
        <v>440.55658882611175</v>
      </c>
      <c r="L65" s="101">
        <f>IF(TrRoad_act!L41=0,0,L28/TrRoad_act!L41*1000
)</f>
        <v>441.44526164470278</v>
      </c>
      <c r="M65" s="101">
        <f>IF(TrRoad_act!M41=0,0,M28/TrRoad_act!M41*1000
)</f>
        <v>439.55226957568487</v>
      </c>
      <c r="N65" s="101">
        <f>IF(TrRoad_act!N41=0,0,N28/TrRoad_act!N41*1000
)</f>
        <v>439.78928276084235</v>
      </c>
      <c r="O65" s="101">
        <f>IF(TrRoad_act!O41=0,0,O28/TrRoad_act!O41*1000
)</f>
        <v>348.15714361557917</v>
      </c>
      <c r="P65" s="101">
        <f>IF(TrRoad_act!P41=0,0,P28/TrRoad_act!P41*1000
)</f>
        <v>344.8560219461304</v>
      </c>
      <c r="Q65" s="101">
        <f>IF(TrRoad_act!Q41=0,0,Q28/TrRoad_act!Q41*1000
)</f>
        <v>338.22991219452371</v>
      </c>
      <c r="R65" s="101">
        <f>IF(TrRoad_act!R41=0,0,R28/TrRoad_act!R41*1000
)</f>
        <v>344.30372254370945</v>
      </c>
      <c r="S65" s="101">
        <f>IF(TrRoad_act!S41=0,0,S28/TrRoad_act!S41*1000
)</f>
        <v>341.32549385519548</v>
      </c>
      <c r="T65" s="101">
        <f>IF(TrRoad_act!T41=0,0,T28/TrRoad_act!T41*1000
)</f>
        <v>342.80051165677389</v>
      </c>
      <c r="U65" s="101">
        <f>IF(TrRoad_act!U41=0,0,U28/TrRoad_act!U41*1000
)</f>
        <v>340.91036382345868</v>
      </c>
      <c r="V65" s="101">
        <f>IF(TrRoad_act!V41=0,0,V28/TrRoad_act!V41*1000
)</f>
        <v>332.51612390430142</v>
      </c>
      <c r="W65" s="101">
        <f>IF(TrRoad_act!W41=0,0,W28/TrRoad_act!W41*1000
)</f>
        <v>331.53892490575106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1917.4725871858088</v>
      </c>
      <c r="C66" s="101">
        <f>IF(TrRoad_act!C42=0,0,C29/TrRoad_act!C42*1000
)</f>
        <v>1797.18471821456</v>
      </c>
      <c r="D66" s="101">
        <f>IF(TrRoad_act!D42=0,0,D29/TrRoad_act!D42*1000
)</f>
        <v>1737.4950611812671</v>
      </c>
      <c r="E66" s="101">
        <f>IF(TrRoad_act!E42=0,0,E29/TrRoad_act!E42*1000
)</f>
        <v>1687.1920249095274</v>
      </c>
      <c r="F66" s="101">
        <f>IF(TrRoad_act!F42=0,0,F29/TrRoad_act!F42*1000
)</f>
        <v>1681.2392071460499</v>
      </c>
      <c r="G66" s="101">
        <f>IF(TrRoad_act!G42=0,0,G29/TrRoad_act!G42*1000
)</f>
        <v>1688.1130583307929</v>
      </c>
      <c r="H66" s="101">
        <f>IF(TrRoad_act!H42=0,0,H29/TrRoad_act!H42*1000
)</f>
        <v>1671.0617150400137</v>
      </c>
      <c r="I66" s="101">
        <f>IF(TrRoad_act!I42=0,0,I29/TrRoad_act!I42*1000
)</f>
        <v>1637.4670323076923</v>
      </c>
      <c r="J66" s="101">
        <f>IF(TrRoad_act!J42=0,0,J29/TrRoad_act!J42*1000
)</f>
        <v>1635.7708262751082</v>
      </c>
      <c r="K66" s="101">
        <f>IF(TrRoad_act!K42=0,0,K29/TrRoad_act!K42*1000
)</f>
        <v>1635.0313975573335</v>
      </c>
      <c r="L66" s="101">
        <f>IF(TrRoad_act!L42=0,0,L29/TrRoad_act!L42*1000
)</f>
        <v>1652.5938691620654</v>
      </c>
      <c r="M66" s="101">
        <f>IF(TrRoad_act!M42=0,0,M29/TrRoad_act!M42*1000
)</f>
        <v>1648.5622863930257</v>
      </c>
      <c r="N66" s="101">
        <f>IF(TrRoad_act!N42=0,0,N29/TrRoad_act!N42*1000
)</f>
        <v>1627.6541397740368</v>
      </c>
      <c r="O66" s="101">
        <f>IF(TrRoad_act!O42=0,0,O29/TrRoad_act!O42*1000
)</f>
        <v>1630.814144082349</v>
      </c>
      <c r="P66" s="101">
        <f>IF(TrRoad_act!P42=0,0,P29/TrRoad_act!P42*1000
)</f>
        <v>1638.1186699538912</v>
      </c>
      <c r="Q66" s="101">
        <f>IF(TrRoad_act!Q42=0,0,Q29/TrRoad_act!Q42*1000
)</f>
        <v>1649.3537436884512</v>
      </c>
      <c r="R66" s="101">
        <f>IF(TrRoad_act!R42=0,0,R29/TrRoad_act!R42*1000
)</f>
        <v>1679.000068300109</v>
      </c>
      <c r="S66" s="101">
        <f>IF(TrRoad_act!S42=0,0,S29/TrRoad_act!S42*1000
)</f>
        <v>1679.249424577026</v>
      </c>
      <c r="T66" s="101">
        <f>IF(TrRoad_act!T42=0,0,T29/TrRoad_act!T42*1000
)</f>
        <v>1681.8607182746603</v>
      </c>
      <c r="U66" s="101">
        <f>IF(TrRoad_act!U42=0,0,U29/TrRoad_act!U42*1000
)</f>
        <v>1689.8320885410812</v>
      </c>
      <c r="V66" s="101">
        <f>IF(TrRoad_act!V42=0,0,V29/TrRoad_act!V42*1000
)</f>
        <v>1666.7156487469567</v>
      </c>
      <c r="W66" s="101">
        <f>IF(TrRoad_act!W42=0,0,W29/TrRoad_act!W42*1000
)</f>
        <v>1643.6724600869331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1169.8333047235558</v>
      </c>
      <c r="E67" s="101">
        <f>IF(TrRoad_act!E43=0,0,E30/TrRoad_act!E43*1000
)</f>
        <v>1169.8333047235558</v>
      </c>
      <c r="F67" s="101">
        <f>IF(TrRoad_act!F43=0,0,F30/TrRoad_act!F43*1000
)</f>
        <v>1169.8333047235558</v>
      </c>
      <c r="G67" s="101">
        <f>IF(TrRoad_act!G43=0,0,G30/TrRoad_act!G43*1000
)</f>
        <v>1169.8333047235558</v>
      </c>
      <c r="H67" s="101">
        <f>IF(TrRoad_act!H43=0,0,H30/TrRoad_act!H43*1000
)</f>
        <v>1169.8333047235558</v>
      </c>
      <c r="I67" s="101">
        <f>IF(TrRoad_act!I43=0,0,I30/TrRoad_act!I43*1000
)</f>
        <v>1169.8333047235556</v>
      </c>
      <c r="J67" s="101">
        <f>IF(TrRoad_act!J43=0,0,J30/TrRoad_act!J43*1000
)</f>
        <v>1169.8333047235558</v>
      </c>
      <c r="K67" s="101">
        <f>IF(TrRoad_act!K43=0,0,K30/TrRoad_act!K43*1000
)</f>
        <v>1169.8333047235558</v>
      </c>
      <c r="L67" s="101">
        <f>IF(TrRoad_act!L43=0,0,L30/TrRoad_act!L43*1000
)</f>
        <v>1169.833304723556</v>
      </c>
      <c r="M67" s="101">
        <f>IF(TrRoad_act!M43=0,0,M30/TrRoad_act!M43*1000
)</f>
        <v>1181.2885266998524</v>
      </c>
      <c r="N67" s="101">
        <f>IF(TrRoad_act!N43=0,0,N30/TrRoad_act!N43*1000
)</f>
        <v>1181.2885266998524</v>
      </c>
      <c r="O67" s="101">
        <f>IF(TrRoad_act!O43=0,0,O30/TrRoad_act!O43*1000
)</f>
        <v>1197.6234141118623</v>
      </c>
      <c r="P67" s="101">
        <f>IF(TrRoad_act!P43=0,0,P30/TrRoad_act!P43*1000
)</f>
        <v>1203.7721183044725</v>
      </c>
      <c r="Q67" s="101">
        <f>IF(TrRoad_act!Q43=0,0,Q30/TrRoad_act!Q43*1000
)</f>
        <v>1204.0795682914213</v>
      </c>
      <c r="R67" s="101">
        <f>IF(TrRoad_act!R43=0,0,R30/TrRoad_act!R43*1000
)</f>
        <v>1204.2763285973908</v>
      </c>
      <c r="S67" s="101">
        <f>IF(TrRoad_act!S43=0,0,S30/TrRoad_act!S43*1000
)</f>
        <v>1205.6744775857028</v>
      </c>
      <c r="T67" s="101">
        <f>IF(TrRoad_act!T43=0,0,T30/TrRoad_act!T43*1000
)</f>
        <v>1208.2881442053365</v>
      </c>
      <c r="U67" s="101">
        <f>IF(TrRoad_act!U43=0,0,U30/TrRoad_act!U43*1000
)</f>
        <v>1213.500229482255</v>
      </c>
      <c r="V67" s="101">
        <f>IF(TrRoad_act!V43=0,0,V30/TrRoad_act!V43*1000
)</f>
        <v>1213.9351997497308</v>
      </c>
      <c r="W67" s="101">
        <f>IF(TrRoad_act!W43=0,0,W30/TrRoad_act!W43*1000
)</f>
        <v>1214.4509164935123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1069.5678587785612</v>
      </c>
      <c r="L68" s="101">
        <f>IF(TrRoad_act!L44=0,0,L31/TrRoad_act!L44*1000
)</f>
        <v>1200.0124900841265</v>
      </c>
      <c r="M68" s="101">
        <f>IF(TrRoad_act!M44=0,0,M31/TrRoad_act!M44*1000
)</f>
        <v>1206.9160734088991</v>
      </c>
      <c r="N68" s="101">
        <f>IF(TrRoad_act!N44=0,0,N31/TrRoad_act!N44*1000
)</f>
        <v>1109.5250147802026</v>
      </c>
      <c r="O68" s="101">
        <f>IF(TrRoad_act!O44=0,0,O31/TrRoad_act!O44*1000
)</f>
        <v>1010.8674910767679</v>
      </c>
      <c r="P68" s="101">
        <f>IF(TrRoad_act!P44=0,0,P31/TrRoad_act!P44*1000
)</f>
        <v>960.13338087451882</v>
      </c>
      <c r="Q68" s="101">
        <f>IF(TrRoad_act!Q44=0,0,Q31/TrRoad_act!Q44*1000
)</f>
        <v>886.04105698679143</v>
      </c>
      <c r="R68" s="101">
        <f>IF(TrRoad_act!R44=0,0,R31/TrRoad_act!R44*1000
)</f>
        <v>836.71096252816608</v>
      </c>
      <c r="S68" s="101">
        <f>IF(TrRoad_act!S44=0,0,S31/TrRoad_act!S44*1000
)</f>
        <v>835.52000063001469</v>
      </c>
      <c r="T68" s="101">
        <f>IF(TrRoad_act!T44=0,0,T31/TrRoad_act!T44*1000
)</f>
        <v>838.87359835389111</v>
      </c>
      <c r="U68" s="101">
        <f>IF(TrRoad_act!U44=0,0,U31/TrRoad_act!U44*1000
)</f>
        <v>847.98011516500856</v>
      </c>
      <c r="V68" s="101">
        <f>IF(TrRoad_act!V44=0,0,V31/TrRoad_act!V44*1000
)</f>
        <v>828.99955121918208</v>
      </c>
      <c r="W68" s="101">
        <f>IF(TrRoad_act!W44=0,0,W31/TrRoad_act!W44*1000
)</f>
        <v>844.68231485451929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919.11673583981872</v>
      </c>
      <c r="C70" s="29">
        <f>IF(TrRoad_act!C46=0,0,C33/TrRoad_act!C46*1000
)</f>
        <v>1178.7144556831329</v>
      </c>
      <c r="D70" s="29">
        <f>IF(TrRoad_act!D46=0,0,D33/TrRoad_act!D46*1000
)</f>
        <v>1144.8740247085248</v>
      </c>
      <c r="E70" s="29">
        <f>IF(TrRoad_act!E46=0,0,E33/TrRoad_act!E46*1000
)</f>
        <v>824.80888090685733</v>
      </c>
      <c r="F70" s="29">
        <f>IF(TrRoad_act!F46=0,0,F33/TrRoad_act!F46*1000
)</f>
        <v>937.63262210980247</v>
      </c>
      <c r="G70" s="29">
        <f>IF(TrRoad_act!G46=0,0,G33/TrRoad_act!G46*1000
)</f>
        <v>875.51473104932086</v>
      </c>
      <c r="H70" s="29">
        <f>IF(TrRoad_act!H46=0,0,H33/TrRoad_act!H46*1000
)</f>
        <v>717.9491383718298</v>
      </c>
      <c r="I70" s="29">
        <f>IF(TrRoad_act!I46=0,0,I33/TrRoad_act!I46*1000
)</f>
        <v>980.28207863170735</v>
      </c>
      <c r="J70" s="29">
        <f>IF(TrRoad_act!J46=0,0,J33/TrRoad_act!J46*1000
)</f>
        <v>1059.7274284910118</v>
      </c>
      <c r="K70" s="29">
        <f>IF(TrRoad_act!K46=0,0,K33/TrRoad_act!K46*1000
)</f>
        <v>602.14301546192098</v>
      </c>
      <c r="L70" s="29">
        <f>IF(TrRoad_act!L46=0,0,L33/TrRoad_act!L46*1000
)</f>
        <v>785.38236988143728</v>
      </c>
      <c r="M70" s="29">
        <f>IF(TrRoad_act!M46=0,0,M33/TrRoad_act!M46*1000
)</f>
        <v>873.04855428403641</v>
      </c>
      <c r="N70" s="29">
        <f>IF(TrRoad_act!N46=0,0,N33/TrRoad_act!N46*1000
)</f>
        <v>581.51766074652915</v>
      </c>
      <c r="O70" s="29">
        <f>IF(TrRoad_act!O46=0,0,O33/TrRoad_act!O46*1000
)</f>
        <v>608.43076341206404</v>
      </c>
      <c r="P70" s="29">
        <f>IF(TrRoad_act!P46=0,0,P33/TrRoad_act!P46*1000
)</f>
        <v>912.30038355179033</v>
      </c>
      <c r="Q70" s="29">
        <f>IF(TrRoad_act!Q46=0,0,Q33/TrRoad_act!Q46*1000
)</f>
        <v>952.45956649851053</v>
      </c>
      <c r="R70" s="29">
        <f>IF(TrRoad_act!R46=0,0,R33/TrRoad_act!R46*1000
)</f>
        <v>882.00537726083382</v>
      </c>
      <c r="S70" s="29">
        <f>IF(TrRoad_act!S46=0,0,S33/TrRoad_act!S46*1000
)</f>
        <v>909.16738000338489</v>
      </c>
      <c r="T70" s="29">
        <f>IF(TrRoad_act!T46=0,0,T33/TrRoad_act!T46*1000
)</f>
        <v>961.22734891639561</v>
      </c>
      <c r="U70" s="29">
        <f>IF(TrRoad_act!U46=0,0,U33/TrRoad_act!U46*1000
)</f>
        <v>980.31110497362226</v>
      </c>
      <c r="V70" s="29">
        <f>IF(TrRoad_act!V46=0,0,V33/TrRoad_act!V46*1000
)</f>
        <v>982.37077254564713</v>
      </c>
      <c r="W70" s="29">
        <f>IF(TrRoad_act!W46=0,0,W33/TrRoad_act!W46*1000
)</f>
        <v>991.54170877741115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370.18222764973274</v>
      </c>
      <c r="C71" s="152">
        <f>IF(TrRoad_act!C47=0,0,C34/TrRoad_act!C47*1000
)</f>
        <v>360.67290592199407</v>
      </c>
      <c r="D71" s="152">
        <f>IF(TrRoad_act!D47=0,0,D34/TrRoad_act!D47*1000
)</f>
        <v>334.37704888250454</v>
      </c>
      <c r="E71" s="152">
        <f>IF(TrRoad_act!E47=0,0,E34/TrRoad_act!E47*1000
)</f>
        <v>318.69799954064774</v>
      </c>
      <c r="F71" s="152">
        <f>IF(TrRoad_act!F47=0,0,F34/TrRoad_act!F47*1000
)</f>
        <v>316.04695520499251</v>
      </c>
      <c r="G71" s="152">
        <f>IF(TrRoad_act!G47=0,0,G34/TrRoad_act!G47*1000
)</f>
        <v>299.96770155303574</v>
      </c>
      <c r="H71" s="152">
        <f>IF(TrRoad_act!H47=0,0,H34/TrRoad_act!H47*1000
)</f>
        <v>280.41146113592862</v>
      </c>
      <c r="I71" s="152">
        <f>IF(TrRoad_act!I47=0,0,I34/TrRoad_act!I47*1000
)</f>
        <v>277.58826982188862</v>
      </c>
      <c r="J71" s="152">
        <f>IF(TrRoad_act!J47=0,0,J34/TrRoad_act!J47*1000
)</f>
        <v>268.01963647623597</v>
      </c>
      <c r="K71" s="152">
        <f>IF(TrRoad_act!K47=0,0,K34/TrRoad_act!K47*1000
)</f>
        <v>250.03182085714803</v>
      </c>
      <c r="L71" s="152">
        <f>IF(TrRoad_act!L47=0,0,L34/TrRoad_act!L47*1000
)</f>
        <v>261.10523117050195</v>
      </c>
      <c r="M71" s="152">
        <f>IF(TrRoad_act!M47=0,0,M34/TrRoad_act!M47*1000
)</f>
        <v>260.48588876924487</v>
      </c>
      <c r="N71" s="152">
        <f>IF(TrRoad_act!N47=0,0,N34/TrRoad_act!N47*1000
)</f>
        <v>254.77295717459347</v>
      </c>
      <c r="O71" s="152">
        <f>IF(TrRoad_act!O47=0,0,O34/TrRoad_act!O47*1000
)</f>
        <v>255.76279588015083</v>
      </c>
      <c r="P71" s="152">
        <f>IF(TrRoad_act!P47=0,0,P34/TrRoad_act!P47*1000
)</f>
        <v>262.79623455889367</v>
      </c>
      <c r="Q71" s="152">
        <f>IF(TrRoad_act!Q47=0,0,Q34/TrRoad_act!Q47*1000
)</f>
        <v>267.30159759743458</v>
      </c>
      <c r="R71" s="152">
        <f>IF(TrRoad_act!R47=0,0,R34/TrRoad_act!R47*1000
)</f>
        <v>271.19280630438976</v>
      </c>
      <c r="S71" s="152">
        <f>IF(TrRoad_act!S47=0,0,S34/TrRoad_act!S47*1000
)</f>
        <v>277.55589153719427</v>
      </c>
      <c r="T71" s="152">
        <f>IF(TrRoad_act!T47=0,0,T34/TrRoad_act!T47*1000
)</f>
        <v>279.46878021897544</v>
      </c>
      <c r="U71" s="152">
        <f>IF(TrRoad_act!U47=0,0,U34/TrRoad_act!U47*1000
)</f>
        <v>280.53714356936706</v>
      </c>
      <c r="V71" s="152">
        <f>IF(TrRoad_act!V47=0,0,V34/TrRoad_act!V47*1000
)</f>
        <v>277.09700912366907</v>
      </c>
      <c r="W71" s="152">
        <f>IF(TrRoad_act!W47=0,0,W34/TrRoad_act!W47*1000
)</f>
        <v>272.89453122285596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346.8071628981391</v>
      </c>
      <c r="C72" s="87">
        <f>IF(TrRoad_act!C48=0,0,C35/TrRoad_act!C48*1000
)</f>
        <v>335.87235710103528</v>
      </c>
      <c r="D72" s="87">
        <f>IF(TrRoad_act!D48=0,0,D35/TrRoad_act!D48*1000
)</f>
        <v>326.48898641975273</v>
      </c>
      <c r="E72" s="87">
        <f>IF(TrRoad_act!E48=0,0,E35/TrRoad_act!E48*1000
)</f>
        <v>319.08260283473584</v>
      </c>
      <c r="F72" s="87">
        <f>IF(TrRoad_act!F48=0,0,F35/TrRoad_act!F48*1000
)</f>
        <v>313.06094473988543</v>
      </c>
      <c r="G72" s="87">
        <f>IF(TrRoad_act!G48=0,0,G35/TrRoad_act!G48*1000
)</f>
        <v>307.27816011931071</v>
      </c>
      <c r="H72" s="87">
        <f>IF(TrRoad_act!H48=0,0,H35/TrRoad_act!H48*1000
)</f>
        <v>298.86430935563789</v>
      </c>
      <c r="I72" s="87">
        <f>IF(TrRoad_act!I48=0,0,I35/TrRoad_act!I48*1000
)</f>
        <v>292.51528684473101</v>
      </c>
      <c r="J72" s="87">
        <f>IF(TrRoad_act!J48=0,0,J35/TrRoad_act!J48*1000
)</f>
        <v>287.62664533902949</v>
      </c>
      <c r="K72" s="87">
        <f>IF(TrRoad_act!K48=0,0,K35/TrRoad_act!K48*1000
)</f>
        <v>284.59286958742859</v>
      </c>
      <c r="L72" s="87">
        <f>IF(TrRoad_act!L48=0,0,L35/TrRoad_act!L48*1000
)</f>
        <v>286.81089878018179</v>
      </c>
      <c r="M72" s="87">
        <f>IF(TrRoad_act!M48=0,0,M35/TrRoad_act!M48*1000
)</f>
        <v>286.55060786309014</v>
      </c>
      <c r="N72" s="87">
        <f>IF(TrRoad_act!N48=0,0,N35/TrRoad_act!N48*1000
)</f>
        <v>284.16039519199086</v>
      </c>
      <c r="O72" s="87">
        <f>IF(TrRoad_act!O48=0,0,O35/TrRoad_act!O48*1000
)</f>
        <v>281.76791863882016</v>
      </c>
      <c r="P72" s="87">
        <f>IF(TrRoad_act!P48=0,0,P35/TrRoad_act!P48*1000
)</f>
        <v>277.22631717229376</v>
      </c>
      <c r="Q72" s="87">
        <f>IF(TrRoad_act!Q48=0,0,Q35/TrRoad_act!Q48*1000
)</f>
        <v>265.72657667975176</v>
      </c>
      <c r="R72" s="87">
        <f>IF(TrRoad_act!R48=0,0,R35/TrRoad_act!R48*1000
)</f>
        <v>260.42598733732046</v>
      </c>
      <c r="S72" s="87">
        <f>IF(TrRoad_act!S48=0,0,S35/TrRoad_act!S48*1000
)</f>
        <v>246.70431313608273</v>
      </c>
      <c r="T72" s="87">
        <f>IF(TrRoad_act!T48=0,0,T35/TrRoad_act!T48*1000
)</f>
        <v>239.17617418442981</v>
      </c>
      <c r="U72" s="87">
        <f>IF(TrRoad_act!U48=0,0,U35/TrRoad_act!U48*1000
)</f>
        <v>252.78200803183486</v>
      </c>
      <c r="V72" s="87">
        <f>IF(TrRoad_act!V48=0,0,V35/TrRoad_act!V48*1000
)</f>
        <v>243.76727697588558</v>
      </c>
      <c r="W72" s="87">
        <f>IF(TrRoad_act!W48=0,0,W35/TrRoad_act!W48*1000
)</f>
        <v>241.9143024725808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373.9630703559825</v>
      </c>
      <c r="C73" s="87">
        <f>IF(TrRoad_act!C49=0,0,C36/TrRoad_act!C49*1000
)</f>
        <v>364.52578640268968</v>
      </c>
      <c r="D73" s="87">
        <f>IF(TrRoad_act!D49=0,0,D36/TrRoad_act!D49*1000
)</f>
        <v>335.48554152395565</v>
      </c>
      <c r="E73" s="87">
        <f>IF(TrRoad_act!E49=0,0,E36/TrRoad_act!E49*1000
)</f>
        <v>318.64851137687134</v>
      </c>
      <c r="F73" s="87">
        <f>IF(TrRoad_act!F49=0,0,F36/TrRoad_act!F49*1000
)</f>
        <v>316.40322303368555</v>
      </c>
      <c r="G73" s="87">
        <f>IF(TrRoad_act!G49=0,0,G36/TrRoad_act!G49*1000
)</f>
        <v>299.17122851006116</v>
      </c>
      <c r="H73" s="87">
        <f>IF(TrRoad_act!H49=0,0,H36/TrRoad_act!H49*1000
)</f>
        <v>278.38112141408902</v>
      </c>
      <c r="I73" s="87">
        <f>IF(TrRoad_act!I49=0,0,I36/TrRoad_act!I49*1000
)</f>
        <v>275.92956113319502</v>
      </c>
      <c r="J73" s="87">
        <f>IF(TrRoad_act!J49=0,0,J36/TrRoad_act!J49*1000
)</f>
        <v>266.13409771995089</v>
      </c>
      <c r="K73" s="87">
        <f>IF(TrRoad_act!K49=0,0,K36/TrRoad_act!K49*1000
)</f>
        <v>247.3417656852796</v>
      </c>
      <c r="L73" s="87">
        <f>IF(TrRoad_act!L49=0,0,L36/TrRoad_act!L49*1000
)</f>
        <v>259.17598758229855</v>
      </c>
      <c r="M73" s="87">
        <f>IF(TrRoad_act!M49=0,0,M36/TrRoad_act!M49*1000
)</f>
        <v>258.97604557673463</v>
      </c>
      <c r="N73" s="87">
        <f>IF(TrRoad_act!N49=0,0,N36/TrRoad_act!N49*1000
)</f>
        <v>253.48445882643105</v>
      </c>
      <c r="O73" s="87">
        <f>IF(TrRoad_act!O49=0,0,O36/TrRoad_act!O49*1000
)</f>
        <v>254.79667384267702</v>
      </c>
      <c r="P73" s="87">
        <f>IF(TrRoad_act!P49=0,0,P36/TrRoad_act!P49*1000
)</f>
        <v>262.36771189288334</v>
      </c>
      <c r="Q73" s="87">
        <f>IF(TrRoad_act!Q49=0,0,Q36/TrRoad_act!Q49*1000
)</f>
        <v>267.33984494434048</v>
      </c>
      <c r="R73" s="87">
        <f>IF(TrRoad_act!R49=0,0,R36/TrRoad_act!R49*1000
)</f>
        <v>271.42266260572063</v>
      </c>
      <c r="S73" s="87">
        <f>IF(TrRoad_act!S49=0,0,S36/TrRoad_act!S49*1000
)</f>
        <v>278.16236628232855</v>
      </c>
      <c r="T73" s="87">
        <f>IF(TrRoad_act!T49=0,0,T36/TrRoad_act!T49*1000
)</f>
        <v>280.19590328113458</v>
      </c>
      <c r="U73" s="87">
        <f>IF(TrRoad_act!U49=0,0,U36/TrRoad_act!U49*1000
)</f>
        <v>281.17309776196601</v>
      </c>
      <c r="V73" s="87">
        <f>IF(TrRoad_act!V49=0,0,V36/TrRoad_act!V49*1000
)</f>
        <v>277.75857422297685</v>
      </c>
      <c r="W73" s="87">
        <f>IF(TrRoad_act!W49=0,0,W36/TrRoad_act!W49*1000
)</f>
        <v>273.43923004582712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1258.1684738408976</v>
      </c>
      <c r="C77" s="116">
        <f>IF(TrRoad_act!C53=0,0,C40/TrRoad_act!C53*1000
)</f>
        <v>1691.9166044919921</v>
      </c>
      <c r="D77" s="116">
        <f>IF(TrRoad_act!D53=0,0,D40/TrRoad_act!D53*1000
)</f>
        <v>1688.8326821553926</v>
      </c>
      <c r="E77" s="116">
        <f>IF(TrRoad_act!E53=0,0,E40/TrRoad_act!E53*1000
)</f>
        <v>1124.7519501709107</v>
      </c>
      <c r="F77" s="116">
        <f>IF(TrRoad_act!F53=0,0,F40/TrRoad_act!F53*1000
)</f>
        <v>1318.4625567470448</v>
      </c>
      <c r="G77" s="116">
        <f>IF(TrRoad_act!G53=0,0,G40/TrRoad_act!G53*1000
)</f>
        <v>1289.1004044325996</v>
      </c>
      <c r="H77" s="116">
        <f>IF(TrRoad_act!H53=0,0,H40/TrRoad_act!H53*1000
)</f>
        <v>1077.0408688054372</v>
      </c>
      <c r="I77" s="116">
        <f>IF(TrRoad_act!I53=0,0,I40/TrRoad_act!I53*1000
)</f>
        <v>1573.4899750501645</v>
      </c>
      <c r="J77" s="116">
        <f>IF(TrRoad_act!J53=0,0,J40/TrRoad_act!J53*1000
)</f>
        <v>1846.0045383468266</v>
      </c>
      <c r="K77" s="116">
        <f>IF(TrRoad_act!K53=0,0,K40/TrRoad_act!K53*1000
)</f>
        <v>1021.2529126169185</v>
      </c>
      <c r="L77" s="116">
        <f>IF(TrRoad_act!L53=0,0,L40/TrRoad_act!L53*1000
)</f>
        <v>1393.3056686480493</v>
      </c>
      <c r="M77" s="116">
        <f>IF(TrRoad_act!M53=0,0,M40/TrRoad_act!M53*1000
)</f>
        <v>1611.9211688125054</v>
      </c>
      <c r="N77" s="116">
        <f>IF(TrRoad_act!N53=0,0,N40/TrRoad_act!N53*1000
)</f>
        <v>972.53197463472156</v>
      </c>
      <c r="O77" s="116">
        <f>IF(TrRoad_act!O53=0,0,O40/TrRoad_act!O53*1000
)</f>
        <v>1002.476256233118</v>
      </c>
      <c r="P77" s="116">
        <f>IF(TrRoad_act!P53=0,0,P40/TrRoad_act!P53*1000
)</f>
        <v>1689.024928462743</v>
      </c>
      <c r="Q77" s="116">
        <f>IF(TrRoad_act!Q53=0,0,Q40/TrRoad_act!Q53*1000
)</f>
        <v>1776.2321919059525</v>
      </c>
      <c r="R77" s="116">
        <f>IF(TrRoad_act!R53=0,0,R40/TrRoad_act!R53*1000
)</f>
        <v>1645.3032227567344</v>
      </c>
      <c r="S77" s="116">
        <f>IF(TrRoad_act!S53=0,0,S40/TrRoad_act!S53*1000
)</f>
        <v>1679.1199093149662</v>
      </c>
      <c r="T77" s="116">
        <f>IF(TrRoad_act!T53=0,0,T40/TrRoad_act!T53*1000
)</f>
        <v>1791.905826515155</v>
      </c>
      <c r="U77" s="116">
        <f>IF(TrRoad_act!U53=0,0,U40/TrRoad_act!U53*1000
)</f>
        <v>1855.6772511135512</v>
      </c>
      <c r="V77" s="116">
        <f>IF(TrRoad_act!V53=0,0,V40/TrRoad_act!V53*1000
)</f>
        <v>1844.482841638307</v>
      </c>
      <c r="W77" s="116">
        <f>IF(TrRoad_act!W53=0,0,W40/TrRoad_act!W53*1000
)</f>
        <v>1916.4558245126311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1023.9789698341513</v>
      </c>
      <c r="C78" s="101">
        <f>IF(TrRoad_act!C54=0,0,C41/TrRoad_act!C54*1000
)</f>
        <v>1181.3460653062325</v>
      </c>
      <c r="D78" s="101">
        <f>IF(TrRoad_act!D54=0,0,D41/TrRoad_act!D54*1000
)</f>
        <v>1176.0318952171745</v>
      </c>
      <c r="E78" s="101">
        <f>IF(TrRoad_act!E54=0,0,E41/TrRoad_act!E54*1000
)</f>
        <v>970.00933288213719</v>
      </c>
      <c r="F78" s="101">
        <f>IF(TrRoad_act!F54=0,0,F41/TrRoad_act!F54*1000
)</f>
        <v>1037.3306939826796</v>
      </c>
      <c r="G78" s="101">
        <f>IF(TrRoad_act!G54=0,0,G41/TrRoad_act!G54*1000
)</f>
        <v>1020.3402249357014</v>
      </c>
      <c r="H78" s="101">
        <f>IF(TrRoad_act!H54=0,0,H41/TrRoad_act!H54*1000
)</f>
        <v>929.50343750856553</v>
      </c>
      <c r="I78" s="101">
        <f>IF(TrRoad_act!I54=0,0,I41/TrRoad_act!I54*1000
)</f>
        <v>1097.7447283255835</v>
      </c>
      <c r="J78" s="101">
        <f>IF(TrRoad_act!J54=0,0,J41/TrRoad_act!J54*1000
)</f>
        <v>1192.4696087912862</v>
      </c>
      <c r="K78" s="101">
        <f>IF(TrRoad_act!K54=0,0,K41/TrRoad_act!K54*1000
)</f>
        <v>895.41452770881017</v>
      </c>
      <c r="L78" s="101">
        <f>IF(TrRoad_act!L54=0,0,L41/TrRoad_act!L54*1000
)</f>
        <v>1030.6638635482429</v>
      </c>
      <c r="M78" s="101">
        <f>IF(TrRoad_act!M54=0,0,M41/TrRoad_act!M54*1000
)</f>
        <v>1107.5546997674412</v>
      </c>
      <c r="N78" s="101">
        <f>IF(TrRoad_act!N54=0,0,N41/TrRoad_act!N54*1000
)</f>
        <v>869.00415102605234</v>
      </c>
      <c r="O78" s="101">
        <f>IF(TrRoad_act!O54=0,0,O41/TrRoad_act!O54*1000
)</f>
        <v>880.52577047398495</v>
      </c>
      <c r="P78" s="101">
        <f>IF(TrRoad_act!P54=0,0,P41/TrRoad_act!P54*1000
)</f>
        <v>1135.5644881574149</v>
      </c>
      <c r="Q78" s="101">
        <f>IF(TrRoad_act!Q54=0,0,Q41/TrRoad_act!Q54*1000
)</f>
        <v>1164.4790361327987</v>
      </c>
      <c r="R78" s="101">
        <f>IF(TrRoad_act!R54=0,0,R41/TrRoad_act!R54*1000
)</f>
        <v>1123.9317707700243</v>
      </c>
      <c r="S78" s="101">
        <f>IF(TrRoad_act!S54=0,0,S41/TrRoad_act!S54*1000
)</f>
        <v>1136.3418771294421</v>
      </c>
      <c r="T78" s="101">
        <f>IF(TrRoad_act!T54=0,0,T41/TrRoad_act!T54*1000
)</f>
        <v>1182.6075223402622</v>
      </c>
      <c r="U78" s="101">
        <f>IF(TrRoad_act!U54=0,0,U41/TrRoad_act!U54*1000
)</f>
        <v>1213.6615199382388</v>
      </c>
      <c r="V78" s="101">
        <f>IF(TrRoad_act!V54=0,0,V41/TrRoad_act!V54*1000
)</f>
        <v>1203.6701903657254</v>
      </c>
      <c r="W78" s="101">
        <f>IF(TrRoad_act!W54=0,0,W41/TrRoad_act!W54*1000
)</f>
        <v>1225.0513244052215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1960.4269430127258</v>
      </c>
      <c r="C79" s="88">
        <f>IF(TrRoad_act!C55=0,0,C42/TrRoad_act!C55*1000
)</f>
        <v>3105.0560349872671</v>
      </c>
      <c r="D79" s="88">
        <f>IF(TrRoad_act!D55=0,0,D42/TrRoad_act!D55*1000
)</f>
        <v>3037.9267456471657</v>
      </c>
      <c r="E79" s="88">
        <f>IF(TrRoad_act!E55=0,0,E42/TrRoad_act!E55*1000
)</f>
        <v>1638.4749566132223</v>
      </c>
      <c r="F79" s="88">
        <f>IF(TrRoad_act!F55=0,0,F42/TrRoad_act!F55*1000
)</f>
        <v>2094.9393678780057</v>
      </c>
      <c r="G79" s="88">
        <f>IF(TrRoad_act!G55=0,0,G42/TrRoad_act!G55*1000
)</f>
        <v>1939.8686281505352</v>
      </c>
      <c r="H79" s="88">
        <f>IF(TrRoad_act!H55=0,0,H42/TrRoad_act!H55*1000
)</f>
        <v>1366.174833714942</v>
      </c>
      <c r="I79" s="88">
        <f>IF(TrRoad_act!I55=0,0,I42/TrRoad_act!I55*1000
)</f>
        <v>2519.0832217613588</v>
      </c>
      <c r="J79" s="88">
        <f>IF(TrRoad_act!J55=0,0,J42/TrRoad_act!J55*1000
)</f>
        <v>3078.2752806091148</v>
      </c>
      <c r="K79" s="88">
        <f>IF(TrRoad_act!K55=0,0,K42/TrRoad_act!K55*1000
)</f>
        <v>1300.5082090031931</v>
      </c>
      <c r="L79" s="88">
        <f>IF(TrRoad_act!L55=0,0,L42/TrRoad_act!L55*1000
)</f>
        <v>2007.1179773245985</v>
      </c>
      <c r="M79" s="88">
        <f>IF(TrRoad_act!M55=0,0,M42/TrRoad_act!M55*1000
)</f>
        <v>2384.5379881151866</v>
      </c>
      <c r="N79" s="88">
        <f>IF(TrRoad_act!N55=0,0,N42/TrRoad_act!N55*1000
)</f>
        <v>1121.4014343226888</v>
      </c>
      <c r="O79" s="88">
        <f>IF(TrRoad_act!O55=0,0,O42/TrRoad_act!O55*1000
)</f>
        <v>1163.6724244469503</v>
      </c>
      <c r="P79" s="88">
        <f>IF(TrRoad_act!P55=0,0,P42/TrRoad_act!P55*1000
)</f>
        <v>2525.8794261382263</v>
      </c>
      <c r="Q79" s="88">
        <f>IF(TrRoad_act!Q55=0,0,Q42/TrRoad_act!Q55*1000
)</f>
        <v>2577.2093298747577</v>
      </c>
      <c r="R79" s="88">
        <f>IF(TrRoad_act!R55=0,0,R42/TrRoad_act!R55*1000
)</f>
        <v>2316.0718968121105</v>
      </c>
      <c r="S79" s="88">
        <f>IF(TrRoad_act!S55=0,0,S42/TrRoad_act!S55*1000
)</f>
        <v>2395.0013866864674</v>
      </c>
      <c r="T79" s="88">
        <f>IF(TrRoad_act!T55=0,0,T42/TrRoad_act!T55*1000
)</f>
        <v>2683.0713809551526</v>
      </c>
      <c r="U79" s="88">
        <f>IF(TrRoad_act!U55=0,0,U42/TrRoad_act!U55*1000
)</f>
        <v>2841.579411518595</v>
      </c>
      <c r="V79" s="88">
        <f>IF(TrRoad_act!V55=0,0,V42/TrRoad_act!V55*1000
)</f>
        <v>2751.1274221759245</v>
      </c>
      <c r="W79" s="88">
        <f>IF(TrRoad_act!W55=0,0,W42/TrRoad_act!W55*1000
)</f>
        <v>2822.7618247167338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74.365660424654436</v>
      </c>
      <c r="C82" s="29">
        <f>IF(TrRoad_act!C4=0,0,C18/TrRoad_act!C4*1000)</f>
        <v>77.008936100596955</v>
      </c>
      <c r="D82" s="29">
        <f>IF(TrRoad_act!D4=0,0,D18/TrRoad_act!D4*1000)</f>
        <v>79.643396946944307</v>
      </c>
      <c r="E82" s="29">
        <f>IF(TrRoad_act!E4=0,0,E18/TrRoad_act!E4*1000)</f>
        <v>78.005791362029342</v>
      </c>
      <c r="F82" s="29">
        <f>IF(TrRoad_act!F4=0,0,F18/TrRoad_act!F4*1000)</f>
        <v>78.0184261215677</v>
      </c>
      <c r="G82" s="29">
        <f>IF(TrRoad_act!G4=0,0,G18/TrRoad_act!G4*1000)</f>
        <v>77.167132858933201</v>
      </c>
      <c r="H82" s="29">
        <f>IF(TrRoad_act!H4=0,0,H18/TrRoad_act!H4*1000)</f>
        <v>75.414091901617354</v>
      </c>
      <c r="I82" s="29">
        <f>IF(TrRoad_act!I4=0,0,I18/TrRoad_act!I4*1000)</f>
        <v>83.49707827421831</v>
      </c>
      <c r="J82" s="29">
        <f>IF(TrRoad_act!J4=0,0,J18/TrRoad_act!J4*1000)</f>
        <v>84.073816530826491</v>
      </c>
      <c r="K82" s="29">
        <f>IF(TrRoad_act!K4=0,0,K18/TrRoad_act!K4*1000)</f>
        <v>82.40486351448547</v>
      </c>
      <c r="L82" s="29">
        <f>IF(TrRoad_act!L4=0,0,L18/TrRoad_act!L4*1000)</f>
        <v>90.116366348338957</v>
      </c>
      <c r="M82" s="29">
        <f>IF(TrRoad_act!M4=0,0,M18/TrRoad_act!M4*1000)</f>
        <v>91.230721633250781</v>
      </c>
      <c r="N82" s="29">
        <f>IF(TrRoad_act!N4=0,0,N18/TrRoad_act!N4*1000)</f>
        <v>88.789743392932948</v>
      </c>
      <c r="O82" s="29">
        <f>IF(TrRoad_act!O4=0,0,O18/TrRoad_act!O4*1000)</f>
        <v>88.499363889171008</v>
      </c>
      <c r="P82" s="29">
        <f>IF(TrRoad_act!P4=0,0,P18/TrRoad_act!P4*1000)</f>
        <v>115.5615867631364</v>
      </c>
      <c r="Q82" s="29">
        <f>IF(TrRoad_act!Q4=0,0,Q18/TrRoad_act!Q4*1000)</f>
        <v>120.55421371238597</v>
      </c>
      <c r="R82" s="29">
        <f>IF(TrRoad_act!R4=0,0,R18/TrRoad_act!R4*1000)</f>
        <v>132.48778334799096</v>
      </c>
      <c r="S82" s="29">
        <f>IF(TrRoad_act!S4=0,0,S18/TrRoad_act!S4*1000)</f>
        <v>115.94132242958315</v>
      </c>
      <c r="T82" s="29">
        <f>IF(TrRoad_act!T4=0,0,T18/TrRoad_act!T4*1000)</f>
        <v>127.57500577893744</v>
      </c>
      <c r="U82" s="29">
        <f>IF(TrRoad_act!U4=0,0,U18/TrRoad_act!U4*1000)</f>
        <v>127.18043994718795</v>
      </c>
      <c r="V82" s="29">
        <f>IF(TrRoad_act!V4=0,0,V18/TrRoad_act!V4*1000)</f>
        <v>137.42745362834256</v>
      </c>
      <c r="W82" s="29">
        <f>IF(TrRoad_act!W4=0,0,W18/TrRoad_act!W4*1000)</f>
        <v>126.27264265511967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134.34937631525219</v>
      </c>
      <c r="C83" s="152">
        <f>IF(TrRoad_act!C5=0,0,C19/TrRoad_act!C5*1000)</f>
        <v>133.40853027823769</v>
      </c>
      <c r="D83" s="152">
        <f>IF(TrRoad_act!D5=0,0,D19/TrRoad_act!D5*1000)</f>
        <v>132.07216933335283</v>
      </c>
      <c r="E83" s="152">
        <f>IF(TrRoad_act!E5=0,0,E19/TrRoad_act!E5*1000)</f>
        <v>124.24749382934411</v>
      </c>
      <c r="F83" s="152">
        <f>IF(TrRoad_act!F5=0,0,F19/TrRoad_act!F5*1000)</f>
        <v>122.90922416129864</v>
      </c>
      <c r="G83" s="152">
        <f>IF(TrRoad_act!G5=0,0,G19/TrRoad_act!G5*1000)</f>
        <v>121.24577167463029</v>
      </c>
      <c r="H83" s="152">
        <f>IF(TrRoad_act!H5=0,0,H19/TrRoad_act!H5*1000)</f>
        <v>117.50986300330243</v>
      </c>
      <c r="I83" s="152">
        <f>IF(TrRoad_act!I5=0,0,I19/TrRoad_act!I5*1000)</f>
        <v>113.13201270216005</v>
      </c>
      <c r="J83" s="152">
        <f>IF(TrRoad_act!J5=0,0,J19/TrRoad_act!J5*1000)</f>
        <v>108.82328793380429</v>
      </c>
      <c r="K83" s="152">
        <f>IF(TrRoad_act!K5=0,0,K19/TrRoad_act!K5*1000)</f>
        <v>106.35076674797294</v>
      </c>
      <c r="L83" s="152">
        <f>IF(TrRoad_act!L5=0,0,L19/TrRoad_act!L5*1000)</f>
        <v>105.65060942973231</v>
      </c>
      <c r="M83" s="152">
        <f>IF(TrRoad_act!M5=0,0,M19/TrRoad_act!M5*1000)</f>
        <v>104.04696234684353</v>
      </c>
      <c r="N83" s="152">
        <f>IF(TrRoad_act!N5=0,0,N19/TrRoad_act!N5*1000)</f>
        <v>103.53083749414114</v>
      </c>
      <c r="O83" s="152">
        <f>IF(TrRoad_act!O5=0,0,O19/TrRoad_act!O5*1000)</f>
        <v>102.84400271668662</v>
      </c>
      <c r="P83" s="152">
        <f>IF(TrRoad_act!P5=0,0,P19/TrRoad_act!P5*1000)</f>
        <v>101.47762981779765</v>
      </c>
      <c r="Q83" s="152">
        <f>IF(TrRoad_act!Q5=0,0,Q19/TrRoad_act!Q5*1000)</f>
        <v>98.028805346332135</v>
      </c>
      <c r="R83" s="152">
        <f>IF(TrRoad_act!R5=0,0,R19/TrRoad_act!R5*1000)</f>
        <v>102.74537497674497</v>
      </c>
      <c r="S83" s="152">
        <f>IF(TrRoad_act!S5=0,0,S19/TrRoad_act!S5*1000)</f>
        <v>99.873835971362823</v>
      </c>
      <c r="T83" s="152">
        <f>IF(TrRoad_act!T5=0,0,T19/TrRoad_act!T5*1000)</f>
        <v>98.122109565115764</v>
      </c>
      <c r="U83" s="152">
        <f>IF(TrRoad_act!U5=0,0,U19/TrRoad_act!U5*1000)</f>
        <v>93.797276409437771</v>
      </c>
      <c r="V83" s="152">
        <f>IF(TrRoad_act!V5=0,0,V19/TrRoad_act!V5*1000)</f>
        <v>88.584111546000571</v>
      </c>
      <c r="W83" s="152">
        <f>IF(TrRoad_act!W5=0,0,W19/TrRoad_act!W5*1000)</f>
        <v>71.891902971110156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75.056602864267788</v>
      </c>
      <c r="C84" s="116">
        <f>IF(TrRoad_act!C6=0,0,C20/TrRoad_act!C6*1000)</f>
        <v>78.472896755506156</v>
      </c>
      <c r="D84" s="116">
        <f>IF(TrRoad_act!D6=0,0,D20/TrRoad_act!D6*1000)</f>
        <v>81.78069812921207</v>
      </c>
      <c r="E84" s="116">
        <f>IF(TrRoad_act!E6=0,0,E20/TrRoad_act!E6*1000)</f>
        <v>79.705455484689409</v>
      </c>
      <c r="F84" s="116">
        <f>IF(TrRoad_act!F6=0,0,F20/TrRoad_act!F6*1000)</f>
        <v>80.661068479543474</v>
      </c>
      <c r="G84" s="116">
        <f>IF(TrRoad_act!G6=0,0,G20/TrRoad_act!G6*1000)</f>
        <v>79.956192350471866</v>
      </c>
      <c r="H84" s="116">
        <f>IF(TrRoad_act!H6=0,0,H20/TrRoad_act!H6*1000)</f>
        <v>77.976455587209983</v>
      </c>
      <c r="I84" s="116">
        <f>IF(TrRoad_act!I6=0,0,I20/TrRoad_act!I6*1000)</f>
        <v>87.066839222183972</v>
      </c>
      <c r="J84" s="116">
        <f>IF(TrRoad_act!J6=0,0,J20/TrRoad_act!J6*1000)</f>
        <v>87.636161538586208</v>
      </c>
      <c r="K84" s="116">
        <f>IF(TrRoad_act!K6=0,0,K20/TrRoad_act!K6*1000)</f>
        <v>84.591819108555754</v>
      </c>
      <c r="L84" s="116">
        <f>IF(TrRoad_act!L6=0,0,L20/TrRoad_act!L6*1000)</f>
        <v>93.090435782045432</v>
      </c>
      <c r="M84" s="116">
        <f>IF(TrRoad_act!M6=0,0,M20/TrRoad_act!M6*1000)</f>
        <v>94.651932738398514</v>
      </c>
      <c r="N84" s="116">
        <f>IF(TrRoad_act!N6=0,0,N20/TrRoad_act!N6*1000)</f>
        <v>91.658955955130949</v>
      </c>
      <c r="O84" s="116">
        <f>IF(TrRoad_act!O6=0,0,O20/TrRoad_act!O6*1000)</f>
        <v>92.143281485498221</v>
      </c>
      <c r="P84" s="116">
        <f>IF(TrRoad_act!P6=0,0,P20/TrRoad_act!P6*1000)</f>
        <v>124.23545908943981</v>
      </c>
      <c r="Q84" s="116">
        <f>IF(TrRoad_act!Q6=0,0,Q20/TrRoad_act!Q6*1000)</f>
        <v>128.38029558300957</v>
      </c>
      <c r="R84" s="116">
        <f>IF(TrRoad_act!R6=0,0,R20/TrRoad_act!R6*1000)</f>
        <v>140.85905519434695</v>
      </c>
      <c r="S84" s="116">
        <f>IF(TrRoad_act!S6=0,0,S20/TrRoad_act!S6*1000)</f>
        <v>121.68847601128425</v>
      </c>
      <c r="T84" s="116">
        <f>IF(TrRoad_act!T6=0,0,T20/TrRoad_act!T6*1000)</f>
        <v>134.93103211753791</v>
      </c>
      <c r="U84" s="116">
        <f>IF(TrRoad_act!U6=0,0,U20/TrRoad_act!U6*1000)</f>
        <v>133.87960600476205</v>
      </c>
      <c r="V84" s="116">
        <f>IF(TrRoad_act!V6=0,0,V20/TrRoad_act!V6*1000)</f>
        <v>140.81791232564842</v>
      </c>
      <c r="W84" s="116">
        <f>IF(TrRoad_act!W6=0,0,W20/TrRoad_act!W6*1000)</f>
        <v>128.84065189150272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86.046992140263782</v>
      </c>
      <c r="C85" s="87">
        <f>IF(TrRoad_act!C7=0,0,C21/TrRoad_act!C7*1000)</f>
        <v>92.161621905441322</v>
      </c>
      <c r="D85" s="87">
        <f>IF(TrRoad_act!D7=0,0,D21/TrRoad_act!D7*1000)</f>
        <v>97.508639642635174</v>
      </c>
      <c r="E85" s="87">
        <f>IF(TrRoad_act!E7=0,0,E21/TrRoad_act!E7*1000)</f>
        <v>96.111440212785894</v>
      </c>
      <c r="F85" s="87">
        <f>IF(TrRoad_act!F7=0,0,F21/TrRoad_act!F7*1000)</f>
        <v>99.451906993639938</v>
      </c>
      <c r="G85" s="87">
        <f>IF(TrRoad_act!G7=0,0,G21/TrRoad_act!G7*1000)</f>
        <v>94.346411356348838</v>
      </c>
      <c r="H85" s="87">
        <f>IF(TrRoad_act!H7=0,0,H21/TrRoad_act!H7*1000)</f>
        <v>93.332275437845269</v>
      </c>
      <c r="I85" s="87">
        <f>IF(TrRoad_act!I7=0,0,I21/TrRoad_act!I7*1000)</f>
        <v>105.56987543658788</v>
      </c>
      <c r="J85" s="87">
        <f>IF(TrRoad_act!J7=0,0,J21/TrRoad_act!J7*1000)</f>
        <v>106.36254921861955</v>
      </c>
      <c r="K85" s="87">
        <f>IF(TrRoad_act!K7=0,0,K21/TrRoad_act!K7*1000)</f>
        <v>102.65879602007534</v>
      </c>
      <c r="L85" s="87">
        <f>IF(TrRoad_act!L7=0,0,L21/TrRoad_act!L7*1000)</f>
        <v>116.64350655575296</v>
      </c>
      <c r="M85" s="87">
        <f>IF(TrRoad_act!M7=0,0,M21/TrRoad_act!M7*1000)</f>
        <v>115.40408696474124</v>
      </c>
      <c r="N85" s="87">
        <f>IF(TrRoad_act!N7=0,0,N21/TrRoad_act!N7*1000)</f>
        <v>116.45953390244154</v>
      </c>
      <c r="O85" s="87">
        <f>IF(TrRoad_act!O7=0,0,O21/TrRoad_act!O7*1000)</f>
        <v>118.42479576415133</v>
      </c>
      <c r="P85" s="87">
        <f>IF(TrRoad_act!P7=0,0,P21/TrRoad_act!P7*1000)</f>
        <v>152.06706584209334</v>
      </c>
      <c r="Q85" s="87">
        <f>IF(TrRoad_act!Q7=0,0,Q21/TrRoad_act!Q7*1000)</f>
        <v>153.57897653276223</v>
      </c>
      <c r="R85" s="87">
        <f>IF(TrRoad_act!R7=0,0,R21/TrRoad_act!R7*1000)</f>
        <v>176.95389438677964</v>
      </c>
      <c r="S85" s="87">
        <f>IF(TrRoad_act!S7=0,0,S21/TrRoad_act!S7*1000)</f>
        <v>145.93744167511701</v>
      </c>
      <c r="T85" s="87">
        <f>IF(TrRoad_act!T7=0,0,T21/TrRoad_act!T7*1000)</f>
        <v>155.90481817431996</v>
      </c>
      <c r="U85" s="87">
        <f>IF(TrRoad_act!U7=0,0,U21/TrRoad_act!U7*1000)</f>
        <v>146.88949311894359</v>
      </c>
      <c r="V85" s="87">
        <f>IF(TrRoad_act!V7=0,0,V21/TrRoad_act!V7*1000)</f>
        <v>148.74865380549801</v>
      </c>
      <c r="W85" s="87">
        <f>IF(TrRoad_act!W7=0,0,W21/TrRoad_act!W7*1000)</f>
        <v>134.79252596518126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64.834995352016549</v>
      </c>
      <c r="C86" s="87">
        <f>IF(TrRoad_act!C8=0,0,C22/TrRoad_act!C8*1000)</f>
        <v>65.030326933038822</v>
      </c>
      <c r="D86" s="87">
        <f>IF(TrRoad_act!D8=0,0,D22/TrRoad_act!D8*1000)</f>
        <v>67.87568367789153</v>
      </c>
      <c r="E86" s="87">
        <f>IF(TrRoad_act!E8=0,0,E22/TrRoad_act!E8*1000)</f>
        <v>65.337783448463</v>
      </c>
      <c r="F86" s="87">
        <f>IF(TrRoad_act!F8=0,0,F22/TrRoad_act!F8*1000)</f>
        <v>68.374364548568437</v>
      </c>
      <c r="G86" s="87">
        <f>IF(TrRoad_act!G8=0,0,G22/TrRoad_act!G8*1000)</f>
        <v>67.733267243777902</v>
      </c>
      <c r="H86" s="87">
        <f>IF(TrRoad_act!H8=0,0,H22/TrRoad_act!H8*1000)</f>
        <v>66.95280019072672</v>
      </c>
      <c r="I86" s="87">
        <f>IF(TrRoad_act!I8=0,0,I22/TrRoad_act!I8*1000)</f>
        <v>78.069852390486474</v>
      </c>
      <c r="J86" s="87">
        <f>IF(TrRoad_act!J8=0,0,J22/TrRoad_act!J8*1000)</f>
        <v>79.627707275677452</v>
      </c>
      <c r="K86" s="87">
        <f>IF(TrRoad_act!K8=0,0,K22/TrRoad_act!K8*1000)</f>
        <v>74.311978664765263</v>
      </c>
      <c r="L86" s="87">
        <f>IF(TrRoad_act!L8=0,0,L22/TrRoad_act!L8*1000)</f>
        <v>85.926280581918562</v>
      </c>
      <c r="M86" s="87">
        <f>IF(TrRoad_act!M8=0,0,M22/TrRoad_act!M8*1000)</f>
        <v>88.845731849162632</v>
      </c>
      <c r="N86" s="87">
        <f>IF(TrRoad_act!N8=0,0,N22/TrRoad_act!N8*1000)</f>
        <v>85.012807785752472</v>
      </c>
      <c r="O86" s="87">
        <f>IF(TrRoad_act!O8=0,0,O22/TrRoad_act!O8*1000)</f>
        <v>86.977570406979368</v>
      </c>
      <c r="P86" s="87">
        <f>IF(TrRoad_act!P8=0,0,P22/TrRoad_act!P8*1000)</f>
        <v>119.50752078483676</v>
      </c>
      <c r="Q86" s="87">
        <f>IF(TrRoad_act!Q8=0,0,Q22/TrRoad_act!Q8*1000)</f>
        <v>124.7271052238423</v>
      </c>
      <c r="R86" s="87">
        <f>IF(TrRoad_act!R8=0,0,R22/TrRoad_act!R8*1000)</f>
        <v>136.99032272846657</v>
      </c>
      <c r="S86" s="87">
        <f>IF(TrRoad_act!S8=0,0,S22/TrRoad_act!S8*1000)</f>
        <v>119.19445579454411</v>
      </c>
      <c r="T86" s="87">
        <f>IF(TrRoad_act!T8=0,0,T22/TrRoad_act!T8*1000)</f>
        <v>132.98131212904335</v>
      </c>
      <c r="U86" s="87">
        <f>IF(TrRoad_act!U8=0,0,U22/TrRoad_act!U8*1000)</f>
        <v>133.31188395869907</v>
      </c>
      <c r="V86" s="87">
        <f>IF(TrRoad_act!V8=0,0,V22/TrRoad_act!V8*1000)</f>
        <v>141.03589272972613</v>
      </c>
      <c r="W86" s="87">
        <f>IF(TrRoad_act!W8=0,0,W22/TrRoad_act!W8*1000)</f>
        <v>128.68770731051021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63.216017287552233</v>
      </c>
      <c r="C87" s="87">
        <f>IF(TrRoad_act!C9=0,0,C23/TrRoad_act!C9*1000)</f>
        <v>70.492334071132177</v>
      </c>
      <c r="D87" s="87">
        <f>IF(TrRoad_act!D9=0,0,D23/TrRoad_act!D9*1000)</f>
        <v>74.703079045420495</v>
      </c>
      <c r="E87" s="87">
        <f>IF(TrRoad_act!E9=0,0,E23/TrRoad_act!E9*1000)</f>
        <v>78.207008943051378</v>
      </c>
      <c r="F87" s="87">
        <f>IF(TrRoad_act!F9=0,0,F23/TrRoad_act!F9*1000)</f>
        <v>77.026714180122909</v>
      </c>
      <c r="G87" s="87">
        <f>IF(TrRoad_act!G9=0,0,G23/TrRoad_act!G9*1000)</f>
        <v>88.969820273538588</v>
      </c>
      <c r="H87" s="87">
        <f>IF(TrRoad_act!H9=0,0,H23/TrRoad_act!H9*1000)</f>
        <v>86.478336349858893</v>
      </c>
      <c r="I87" s="87">
        <f>IF(TrRoad_act!I9=0,0,I23/TrRoad_act!I9*1000)</f>
        <v>81.155014132237255</v>
      </c>
      <c r="J87" s="87">
        <f>IF(TrRoad_act!J9=0,0,J23/TrRoad_act!J9*1000)</f>
        <v>78.424387779110617</v>
      </c>
      <c r="K87" s="87">
        <f>IF(TrRoad_act!K9=0,0,K23/TrRoad_act!K9*1000)</f>
        <v>89.739893289784163</v>
      </c>
      <c r="L87" s="87">
        <f>IF(TrRoad_act!L9=0,0,L23/TrRoad_act!L9*1000)</f>
        <v>88.434212970930133</v>
      </c>
      <c r="M87" s="87">
        <f>IF(TrRoad_act!M9=0,0,M23/TrRoad_act!M9*1000)</f>
        <v>90.194275264222469</v>
      </c>
      <c r="N87" s="87">
        <f>IF(TrRoad_act!N9=0,0,N23/TrRoad_act!N9*1000)</f>
        <v>97.427853751927884</v>
      </c>
      <c r="O87" s="87">
        <f>IF(TrRoad_act!O9=0,0,O23/TrRoad_act!O9*1000)</f>
        <v>90.996499832373928</v>
      </c>
      <c r="P87" s="87">
        <f>IF(TrRoad_act!P9=0,0,P23/TrRoad_act!P9*1000)</f>
        <v>118.12180057980558</v>
      </c>
      <c r="Q87" s="87">
        <f>IF(TrRoad_act!Q9=0,0,Q23/TrRoad_act!Q9*1000)</f>
        <v>121.63521146065584</v>
      </c>
      <c r="R87" s="87">
        <f>IF(TrRoad_act!R9=0,0,R23/TrRoad_act!R9*1000)</f>
        <v>126.40755559709402</v>
      </c>
      <c r="S87" s="87">
        <f>IF(TrRoad_act!S9=0,0,S23/TrRoad_act!S9*1000)</f>
        <v>113.01579757494811</v>
      </c>
      <c r="T87" s="87">
        <f>IF(TrRoad_act!T9=0,0,T23/TrRoad_act!T9*1000)</f>
        <v>126.6741694264235</v>
      </c>
      <c r="U87" s="87">
        <f>IF(TrRoad_act!U9=0,0,U23/TrRoad_act!U9*1000)</f>
        <v>127.58281310738323</v>
      </c>
      <c r="V87" s="87">
        <f>IF(TrRoad_act!V9=0,0,V23/TrRoad_act!V9*1000)</f>
        <v>141.38926506250743</v>
      </c>
      <c r="W87" s="87">
        <f>IF(TrRoad_act!W9=0,0,W23/TrRoad_act!W9*1000)</f>
        <v>137.27924100377436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91.830729556871333</v>
      </c>
      <c r="O88" s="87">
        <f>IF(TrRoad_act!O10=0,0,O24/TrRoad_act!O10*1000)</f>
        <v>74.247872407279445</v>
      </c>
      <c r="P88" s="87">
        <f>IF(TrRoad_act!P10=0,0,P24/TrRoad_act!P10*1000)</f>
        <v>90.057297188909843</v>
      </c>
      <c r="Q88" s="87">
        <f>IF(TrRoad_act!Q10=0,0,Q24/TrRoad_act!Q10*1000)</f>
        <v>94.153003964163005</v>
      </c>
      <c r="R88" s="87">
        <f>IF(TrRoad_act!R10=0,0,R24/TrRoad_act!R10*1000)</f>
        <v>103.98196362797178</v>
      </c>
      <c r="S88" s="87">
        <f>IF(TrRoad_act!S10=0,0,S24/TrRoad_act!S10*1000)</f>
        <v>92.428791713773563</v>
      </c>
      <c r="T88" s="87">
        <f>IF(TrRoad_act!T10=0,0,T24/TrRoad_act!T10*1000)</f>
        <v>104.42579728590422</v>
      </c>
      <c r="U88" s="87">
        <f>IF(TrRoad_act!U10=0,0,U24/TrRoad_act!U10*1000)</f>
        <v>104.11450407122169</v>
      </c>
      <c r="V88" s="87">
        <f>IF(TrRoad_act!V10=0,0,V24/TrRoad_act!V10*1000)</f>
        <v>106.96444268596282</v>
      </c>
      <c r="W88" s="87">
        <f>IF(TrRoad_act!W10=0,0,W24/TrRoad_act!W10*1000)</f>
        <v>96.540024351339397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39.566967568802006</v>
      </c>
      <c r="P89" s="87">
        <f>IF(TrRoad_act!P11=0,0,P25/TrRoad_act!P11*1000)</f>
        <v>38.185311561988435</v>
      </c>
      <c r="Q89" s="87">
        <f>IF(TrRoad_act!Q11=0,0,Q25/TrRoad_act!Q11*1000)</f>
        <v>37.534798222422687</v>
      </c>
      <c r="R89" s="87">
        <f>IF(TrRoad_act!R11=0,0,R25/TrRoad_act!R11*1000)</f>
        <v>44.841407266881987</v>
      </c>
      <c r="S89" s="87">
        <f>IF(TrRoad_act!S11=0,0,S25/TrRoad_act!S11*1000)</f>
        <v>38.444423964787816</v>
      </c>
      <c r="T89" s="87">
        <f>IF(TrRoad_act!T11=0,0,T25/TrRoad_act!T11*1000)</f>
        <v>44.822789694677887</v>
      </c>
      <c r="U89" s="87">
        <f>IF(TrRoad_act!U11=0,0,U25/TrRoad_act!U11*1000)</f>
        <v>48.009286817469842</v>
      </c>
      <c r="V89" s="87">
        <f>IF(TrRoad_act!V11=0,0,V25/TrRoad_act!V11*1000)</f>
        <v>50.64998955570703</v>
      </c>
      <c r="W89" s="87">
        <f>IF(TrRoad_act!W11=0,0,W25/TrRoad_act!W11*1000)</f>
        <v>47.069178660998972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66.43748806478979</v>
      </c>
      <c r="C91" s="116">
        <f>IF(TrRoad_act!C13=0,0,C27/TrRoad_act!C13*1000)</f>
        <v>62.269877076862002</v>
      </c>
      <c r="D91" s="116">
        <f>IF(TrRoad_act!D13=0,0,D27/TrRoad_act!D13*1000)</f>
        <v>60.023112968296964</v>
      </c>
      <c r="E91" s="116">
        <f>IF(TrRoad_act!E13=0,0,E27/TrRoad_act!E13*1000)</f>
        <v>60.422468595450653</v>
      </c>
      <c r="F91" s="116">
        <f>IF(TrRoad_act!F13=0,0,F27/TrRoad_act!F13*1000)</f>
        <v>54.014644297216435</v>
      </c>
      <c r="G91" s="116">
        <f>IF(TrRoad_act!G13=0,0,G27/TrRoad_act!G13*1000)</f>
        <v>50.027061945494488</v>
      </c>
      <c r="H91" s="116">
        <f>IF(TrRoad_act!H13=0,0,H27/TrRoad_act!H13*1000)</f>
        <v>47.191501238606598</v>
      </c>
      <c r="I91" s="116">
        <f>IF(TrRoad_act!I13=0,0,I27/TrRoad_act!I13*1000)</f>
        <v>44.223280140793747</v>
      </c>
      <c r="J91" s="116">
        <f>IF(TrRoad_act!J13=0,0,J27/TrRoad_act!J13*1000)</f>
        <v>43.79571048913887</v>
      </c>
      <c r="K91" s="116">
        <f>IF(TrRoad_act!K13=0,0,K27/TrRoad_act!K13*1000)</f>
        <v>53.06561283940389</v>
      </c>
      <c r="L91" s="116">
        <f>IF(TrRoad_act!L13=0,0,L27/TrRoad_act!L13*1000)</f>
        <v>53.549247131559532</v>
      </c>
      <c r="M91" s="116">
        <f>IF(TrRoad_act!M13=0,0,M27/TrRoad_act!M13*1000)</f>
        <v>53.50595090596822</v>
      </c>
      <c r="N91" s="116">
        <f>IF(TrRoad_act!N13=0,0,N27/TrRoad_act!N13*1000)</f>
        <v>52.362510931338392</v>
      </c>
      <c r="O91" s="116">
        <f>IF(TrRoad_act!O13=0,0,O27/TrRoad_act!O13*1000)</f>
        <v>45.326613494169727</v>
      </c>
      <c r="P91" s="116">
        <f>IF(TrRoad_act!P13=0,0,P27/TrRoad_act!P13*1000)</f>
        <v>45.040556740647368</v>
      </c>
      <c r="Q91" s="116">
        <f>IF(TrRoad_act!Q13=0,0,Q27/TrRoad_act!Q13*1000)</f>
        <v>50.50027882429341</v>
      </c>
      <c r="R91" s="116">
        <f>IF(TrRoad_act!R13=0,0,R27/TrRoad_act!R13*1000)</f>
        <v>51.453401054449103</v>
      </c>
      <c r="S91" s="116">
        <f>IF(TrRoad_act!S13=0,0,S27/TrRoad_act!S13*1000)</f>
        <v>50.740761894713103</v>
      </c>
      <c r="T91" s="116">
        <f>IF(TrRoad_act!T13=0,0,T27/TrRoad_act!T13*1000)</f>
        <v>50.562004310751085</v>
      </c>
      <c r="U91" s="116">
        <f>IF(TrRoad_act!U13=0,0,U27/TrRoad_act!U13*1000)</f>
        <v>55.888340143684665</v>
      </c>
      <c r="V91" s="116">
        <f>IF(TrRoad_act!V13=0,0,V27/TrRoad_act!V13*1000)</f>
        <v>77.395839140326316</v>
      </c>
      <c r="W91" s="116">
        <f>IF(TrRoad_act!W13=0,0,W27/TrRoad_act!W13*1000)</f>
        <v>75.438904426524189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41.369654448337172</v>
      </c>
      <c r="E92" s="101">
        <f>IF(TrRoad_act!E14=0,0,E28/TrRoad_act!E14*1000)</f>
        <v>41.368075747422978</v>
      </c>
      <c r="F92" s="101">
        <f>IF(TrRoad_act!F14=0,0,F28/TrRoad_act!F14*1000)</f>
        <v>40.933593653486639</v>
      </c>
      <c r="G92" s="101">
        <f>IF(TrRoad_act!G14=0,0,G28/TrRoad_act!G14*1000)</f>
        <v>41.126153460736262</v>
      </c>
      <c r="H92" s="101">
        <f>IF(TrRoad_act!H14=0,0,H28/TrRoad_act!H14*1000)</f>
        <v>40.718226359142498</v>
      </c>
      <c r="I92" s="101">
        <f>IF(TrRoad_act!I14=0,0,I28/TrRoad_act!I14*1000)</f>
        <v>40.356993484942635</v>
      </c>
      <c r="J92" s="101">
        <f>IF(TrRoad_act!J14=0,0,J28/TrRoad_act!J14*1000)</f>
        <v>39.983509069405088</v>
      </c>
      <c r="K92" s="101">
        <f>IF(TrRoad_act!K14=0,0,K28/TrRoad_act!K14*1000)</f>
        <v>40.738257626277452</v>
      </c>
      <c r="L92" s="101">
        <f>IF(TrRoad_act!L14=0,0,L28/TrRoad_act!L14*1000)</f>
        <v>40.826455678220086</v>
      </c>
      <c r="M92" s="101">
        <f>IF(TrRoad_act!M14=0,0,M28/TrRoad_act!M14*1000)</f>
        <v>40.663380916762002</v>
      </c>
      <c r="N92" s="101">
        <f>IF(TrRoad_act!N14=0,0,N28/TrRoad_act!N14*1000)</f>
        <v>42.336200949850777</v>
      </c>
      <c r="O92" s="101">
        <f>IF(TrRoad_act!O14=0,0,O28/TrRoad_act!O14*1000)</f>
        <v>33.714685344470553</v>
      </c>
      <c r="P92" s="101">
        <f>IF(TrRoad_act!P14=0,0,P28/TrRoad_act!P14*1000)</f>
        <v>35.332379936884173</v>
      </c>
      <c r="Q92" s="101">
        <f>IF(TrRoad_act!Q14=0,0,Q28/TrRoad_act!Q14*1000)</f>
        <v>37.154814737146104</v>
      </c>
      <c r="R92" s="101">
        <f>IF(TrRoad_act!R14=0,0,R28/TrRoad_act!R14*1000)</f>
        <v>38.443519812770049</v>
      </c>
      <c r="S92" s="101">
        <f>IF(TrRoad_act!S14=0,0,S28/TrRoad_act!S14*1000)</f>
        <v>37.584435540973679</v>
      </c>
      <c r="T92" s="101">
        <f>IF(TrRoad_act!T14=0,0,T28/TrRoad_act!T14*1000)</f>
        <v>37.359097677564577</v>
      </c>
      <c r="U92" s="101">
        <f>IF(TrRoad_act!U14=0,0,U28/TrRoad_act!U14*1000)</f>
        <v>40.636609379576704</v>
      </c>
      <c r="V92" s="101">
        <f>IF(TrRoad_act!V14=0,0,V28/TrRoad_act!V14*1000)</f>
        <v>50.54931273110963</v>
      </c>
      <c r="W92" s="101">
        <f>IF(TrRoad_act!W14=0,0,W28/TrRoad_act!W14*1000)</f>
        <v>50.62505630367361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66.43748806478979</v>
      </c>
      <c r="C93" s="101">
        <f>IF(TrRoad_act!C15=0,0,C29/TrRoad_act!C15*1000)</f>
        <v>62.269877076862002</v>
      </c>
      <c r="D93" s="101">
        <f>IF(TrRoad_act!D15=0,0,D29/TrRoad_act!D15*1000)</f>
        <v>60.058725888284627</v>
      </c>
      <c r="E93" s="101">
        <f>IF(TrRoad_act!E15=0,0,E29/TrRoad_act!E15*1000)</f>
        <v>60.473311084677761</v>
      </c>
      <c r="F93" s="101">
        <f>IF(TrRoad_act!F15=0,0,F29/TrRoad_act!F15*1000)</f>
        <v>54.334830768421199</v>
      </c>
      <c r="G93" s="101">
        <f>IF(TrRoad_act!G15=0,0,G29/TrRoad_act!G15*1000)</f>
        <v>51.018795541742392</v>
      </c>
      <c r="H93" s="101">
        <f>IF(TrRoad_act!H15=0,0,H29/TrRoad_act!H15*1000)</f>
        <v>48.85385695202185</v>
      </c>
      <c r="I93" s="101">
        <f>IF(TrRoad_act!I15=0,0,I29/TrRoad_act!I15*1000)</f>
        <v>46.384232646202264</v>
      </c>
      <c r="J93" s="101">
        <f>IF(TrRoad_act!J15=0,0,J29/TrRoad_act!J15*1000)</f>
        <v>46.14106275861311</v>
      </c>
      <c r="K93" s="101">
        <f>IF(TrRoad_act!K15=0,0,K29/TrRoad_act!K15*1000)</f>
        <v>56.627142526284935</v>
      </c>
      <c r="L93" s="101">
        <f>IF(TrRoad_act!L15=0,0,L29/TrRoad_act!L15*1000)</f>
        <v>57.320876311074727</v>
      </c>
      <c r="M93" s="101">
        <f>IF(TrRoad_act!M15=0,0,M29/TrRoad_act!M15*1000)</f>
        <v>57.384994965265641</v>
      </c>
      <c r="N93" s="101">
        <f>IF(TrRoad_act!N15=0,0,N29/TrRoad_act!N15*1000)</f>
        <v>56.322338212511411</v>
      </c>
      <c r="O93" s="101">
        <f>IF(TrRoad_act!O15=0,0,O29/TrRoad_act!O15*1000)</f>
        <v>58.929441280473</v>
      </c>
      <c r="P93" s="101">
        <f>IF(TrRoad_act!P15=0,0,P29/TrRoad_act!P15*1000)</f>
        <v>58.888117061847908</v>
      </c>
      <c r="Q93" s="101">
        <f>IF(TrRoad_act!Q15=0,0,Q29/TrRoad_act!Q15*1000)</f>
        <v>69.108844644135033</v>
      </c>
      <c r="R93" s="101">
        <f>IF(TrRoad_act!R15=0,0,R29/TrRoad_act!R15*1000)</f>
        <v>71.472674774297275</v>
      </c>
      <c r="S93" s="101">
        <f>IF(TrRoad_act!S15=0,0,S29/TrRoad_act!S15*1000)</f>
        <v>70.509678694014269</v>
      </c>
      <c r="T93" s="101">
        <f>IF(TrRoad_act!T15=0,0,T29/TrRoad_act!T15*1000)</f>
        <v>69.938040464851412</v>
      </c>
      <c r="U93" s="101">
        <f>IF(TrRoad_act!U15=0,0,U29/TrRoad_act!U15*1000)</f>
        <v>76.964039503083626</v>
      </c>
      <c r="V93" s="101">
        <f>IF(TrRoad_act!V15=0,0,V29/TrRoad_act!V15*1000)</f>
        <v>110.28504436834697</v>
      </c>
      <c r="W93" s="101">
        <f>IF(TrRoad_act!W15=0,0,W29/TrRoad_act!W15*1000)</f>
        <v>114.59946121436167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40.436775535702274</v>
      </c>
      <c r="E94" s="101">
        <f>IF(TrRoad_act!E16=0,0,E30/TrRoad_act!E16*1000)</f>
        <v>41.929841007610108</v>
      </c>
      <c r="F94" s="101">
        <f>IF(TrRoad_act!F16=0,0,F30/TrRoad_act!F16*1000)</f>
        <v>37.807049924392821</v>
      </c>
      <c r="G94" s="101">
        <f>IF(TrRoad_act!G16=0,0,G30/TrRoad_act!G16*1000)</f>
        <v>35.355147510455836</v>
      </c>
      <c r="H94" s="101">
        <f>IF(TrRoad_act!H16=0,0,H30/TrRoad_act!H16*1000)</f>
        <v>34.200334082399287</v>
      </c>
      <c r="I94" s="101">
        <f>IF(TrRoad_act!I16=0,0,I30/TrRoad_act!I16*1000)</f>
        <v>33.137656571382401</v>
      </c>
      <c r="J94" s="101">
        <f>IF(TrRoad_act!J16=0,0,J30/TrRoad_act!J16*1000)</f>
        <v>32.998113833146029</v>
      </c>
      <c r="K94" s="101">
        <f>IF(TrRoad_act!K16=0,0,K30/TrRoad_act!K16*1000)</f>
        <v>40.51562396755309</v>
      </c>
      <c r="L94" s="101">
        <f>IF(TrRoad_act!L16=0,0,L30/TrRoad_act!L16*1000)</f>
        <v>40.576133928558562</v>
      </c>
      <c r="M94" s="101">
        <f>IF(TrRoad_act!M16=0,0,M30/TrRoad_act!M16*1000)</f>
        <v>41.119608714035586</v>
      </c>
      <c r="N94" s="101">
        <f>IF(TrRoad_act!N16=0,0,N30/TrRoad_act!N16*1000)</f>
        <v>40.876578323073609</v>
      </c>
      <c r="O94" s="101">
        <f>IF(TrRoad_act!O16=0,0,O30/TrRoad_act!O16*1000)</f>
        <v>43.276101641696847</v>
      </c>
      <c r="P94" s="101">
        <f>IF(TrRoad_act!P16=0,0,P30/TrRoad_act!P16*1000)</f>
        <v>43.273954884170699</v>
      </c>
      <c r="Q94" s="101">
        <f>IF(TrRoad_act!Q16=0,0,Q30/TrRoad_act!Q16*1000)</f>
        <v>50.451607572151708</v>
      </c>
      <c r="R94" s="101">
        <f>IF(TrRoad_act!R16=0,0,R30/TrRoad_act!R16*1000)</f>
        <v>51.264351918323555</v>
      </c>
      <c r="S94" s="101">
        <f>IF(TrRoad_act!S16=0,0,S30/TrRoad_act!S16*1000)</f>
        <v>50.624832011215027</v>
      </c>
      <c r="T94" s="101">
        <f>IF(TrRoad_act!T16=0,0,T30/TrRoad_act!T16*1000)</f>
        <v>50.245126843394587</v>
      </c>
      <c r="U94" s="101">
        <f>IF(TrRoad_act!U16=0,0,U30/TrRoad_act!U16*1000)</f>
        <v>55.269325415347481</v>
      </c>
      <c r="V94" s="101">
        <f>IF(TrRoad_act!V16=0,0,V30/TrRoad_act!V16*1000)</f>
        <v>80.324977728113296</v>
      </c>
      <c r="W94" s="101">
        <f>IF(TrRoad_act!W16=0,0,W30/TrRoad_act!W16*1000)</f>
        <v>84.673451725341494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37.043063314301385</v>
      </c>
      <c r="L95" s="101">
        <f>IF(TrRoad_act!L17=0,0,L31/TrRoad_act!L17*1000)</f>
        <v>41.622910988248002</v>
      </c>
      <c r="M95" s="101">
        <f>IF(TrRoad_act!M17=0,0,M31/TrRoad_act!M17*1000)</f>
        <v>42.011680946312865</v>
      </c>
      <c r="N95" s="101">
        <f>IF(TrRoad_act!N17=0,0,N31/TrRoad_act!N17*1000)</f>
        <v>38.393318095432591</v>
      </c>
      <c r="O95" s="101">
        <f>IF(TrRoad_act!O17=0,0,O31/TrRoad_act!O17*1000)</f>
        <v>36.527679548221677</v>
      </c>
      <c r="P95" s="101">
        <f>IF(TrRoad_act!P17=0,0,P31/TrRoad_act!P17*1000)</f>
        <v>34.515476787477141</v>
      </c>
      <c r="Q95" s="101">
        <f>IF(TrRoad_act!Q17=0,0,Q31/TrRoad_act!Q17*1000)</f>
        <v>37.12561601169277</v>
      </c>
      <c r="R95" s="101">
        <f>IF(TrRoad_act!R17=0,0,R31/TrRoad_act!R17*1000)</f>
        <v>35.617610525418797</v>
      </c>
      <c r="S95" s="101">
        <f>IF(TrRoad_act!S17=0,0,S31/TrRoad_act!S17*1000)</f>
        <v>35.082487404564041</v>
      </c>
      <c r="T95" s="101">
        <f>IF(TrRoad_act!T17=0,0,T31/TrRoad_act!T17*1000)</f>
        <v>34.883492449217677</v>
      </c>
      <c r="U95" s="101">
        <f>IF(TrRoad_act!U17=0,0,U31/TrRoad_act!U17*1000)</f>
        <v>38.621574015519414</v>
      </c>
      <c r="V95" s="101">
        <f>IF(TrRoad_act!V17=0,0,V31/TrRoad_act!V17*1000)</f>
        <v>54.854139250616527</v>
      </c>
      <c r="W95" s="101">
        <f>IF(TrRoad_act!W17=0,0,W31/TrRoad_act!W17*1000)</f>
        <v>58.892596019104673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210.18665769748682</v>
      </c>
      <c r="C97" s="29">
        <f>IF(TrRoad_act!C19=0,0,C33/TrRoad_act!C19*1000)</f>
        <v>265.65300762544791</v>
      </c>
      <c r="D97" s="29">
        <f>IF(TrRoad_act!D19=0,0,D33/TrRoad_act!D19*1000)</f>
        <v>260.31536387198031</v>
      </c>
      <c r="E97" s="29">
        <f>IF(TrRoad_act!E19=0,0,E33/TrRoad_act!E19*1000)</f>
        <v>190.65362943051778</v>
      </c>
      <c r="F97" s="29">
        <f>IF(TrRoad_act!F19=0,0,F33/TrRoad_act!F19*1000)</f>
        <v>197.51336095868916</v>
      </c>
      <c r="G97" s="29">
        <f>IF(TrRoad_act!G19=0,0,G33/TrRoad_act!G19*1000)</f>
        <v>184.81004492313031</v>
      </c>
      <c r="H97" s="29">
        <f>IF(TrRoad_act!H19=0,0,H33/TrRoad_act!H19*1000)</f>
        <v>151.86423001277598</v>
      </c>
      <c r="I97" s="29">
        <f>IF(TrRoad_act!I19=0,0,I33/TrRoad_act!I19*1000)</f>
        <v>203.24242947228032</v>
      </c>
      <c r="J97" s="29">
        <f>IF(TrRoad_act!J19=0,0,J33/TrRoad_act!J19*1000)</f>
        <v>228.83814176708381</v>
      </c>
      <c r="K97" s="29">
        <f>IF(TrRoad_act!K19=0,0,K33/TrRoad_act!K19*1000)</f>
        <v>143.76875410532179</v>
      </c>
      <c r="L97" s="29">
        <f>IF(TrRoad_act!L19=0,0,L33/TrRoad_act!L19*1000)</f>
        <v>172.18457323271207</v>
      </c>
      <c r="M97" s="29">
        <f>IF(TrRoad_act!M19=0,0,M33/TrRoad_act!M19*1000)</f>
        <v>193.19718921146793</v>
      </c>
      <c r="N97" s="29">
        <f>IF(TrRoad_act!N19=0,0,N33/TrRoad_act!N19*1000)</f>
        <v>128.74751445866147</v>
      </c>
      <c r="O97" s="29">
        <f>IF(TrRoad_act!O19=0,0,O33/TrRoad_act!O19*1000)</f>
        <v>129.42465763809912</v>
      </c>
      <c r="P97" s="29">
        <f>IF(TrRoad_act!P19=0,0,P33/TrRoad_act!P19*1000)</f>
        <v>205.50799770057515</v>
      </c>
      <c r="Q97" s="29">
        <f>IF(TrRoad_act!Q19=0,0,Q33/TrRoad_act!Q19*1000)</f>
        <v>203.9169889401511</v>
      </c>
      <c r="R97" s="29">
        <f>IF(TrRoad_act!R19=0,0,R33/TrRoad_act!R19*1000)</f>
        <v>192.1135566245388</v>
      </c>
      <c r="S97" s="29">
        <f>IF(TrRoad_act!S19=0,0,S33/TrRoad_act!S19*1000)</f>
        <v>192.0285730282863</v>
      </c>
      <c r="T97" s="29">
        <f>IF(TrRoad_act!T19=0,0,T33/TrRoad_act!T19*1000)</f>
        <v>198.29235862022253</v>
      </c>
      <c r="U97" s="29">
        <f>IF(TrRoad_act!U19=0,0,U33/TrRoad_act!U19*1000)</f>
        <v>212.50723601388262</v>
      </c>
      <c r="V97" s="29">
        <f>IF(TrRoad_act!V19=0,0,V33/TrRoad_act!V19*1000)</f>
        <v>201.28537356460694</v>
      </c>
      <c r="W97" s="29">
        <f>IF(TrRoad_act!W19=0,0,W33/TrRoad_act!W19*1000)</f>
        <v>204.48480683625431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2672.9506624010774</v>
      </c>
      <c r="C98" s="152">
        <f>IF(TrRoad_act!C20=0,0,C34/TrRoad_act!C20*1000)</f>
        <v>2596.9827446376521</v>
      </c>
      <c r="D98" s="152">
        <f>IF(TrRoad_act!D20=0,0,D34/TrRoad_act!D20*1000)</f>
        <v>2399.0084801474409</v>
      </c>
      <c r="E98" s="152">
        <f>IF(TrRoad_act!E20=0,0,E34/TrRoad_act!E20*1000)</f>
        <v>2279.0705174395525</v>
      </c>
      <c r="F98" s="152">
        <f>IF(TrRoad_act!F20=0,0,F34/TrRoad_act!F20*1000)</f>
        <v>2253.4001803231436</v>
      </c>
      <c r="G98" s="152">
        <f>IF(TrRoad_act!G20=0,0,G34/TrRoad_act!G20*1000)</f>
        <v>2132.8074805543392</v>
      </c>
      <c r="H98" s="152">
        <f>IF(TrRoad_act!H20=0,0,H34/TrRoad_act!H20*1000)</f>
        <v>1995.122951922687</v>
      </c>
      <c r="I98" s="152">
        <f>IF(TrRoad_act!I20=0,0,I34/TrRoad_act!I20*1000)</f>
        <v>1974.4448387318921</v>
      </c>
      <c r="J98" s="152">
        <f>IF(TrRoad_act!J20=0,0,J34/TrRoad_act!J20*1000)</f>
        <v>1898.8529059983052</v>
      </c>
      <c r="K98" s="152">
        <f>IF(TrRoad_act!K20=0,0,K34/TrRoad_act!K20*1000)</f>
        <v>1764.0301091143965</v>
      </c>
      <c r="L98" s="152">
        <f>IF(TrRoad_act!L20=0,0,L34/TrRoad_act!L20*1000)</f>
        <v>1835.5735141790026</v>
      </c>
      <c r="M98" s="152">
        <f>IF(TrRoad_act!M20=0,0,M34/TrRoad_act!M20*1000)</f>
        <v>1823.4436253598676</v>
      </c>
      <c r="N98" s="152">
        <f>IF(TrRoad_act!N20=0,0,N34/TrRoad_act!N20*1000)</f>
        <v>1776.6760217350632</v>
      </c>
      <c r="O98" s="152">
        <f>IF(TrRoad_act!O20=0,0,O34/TrRoad_act!O20*1000)</f>
        <v>1771.7871661380088</v>
      </c>
      <c r="P98" s="152">
        <f>IF(TrRoad_act!P20=0,0,P34/TrRoad_act!P20*1000)</f>
        <v>1830.1366974054438</v>
      </c>
      <c r="Q98" s="152">
        <f>IF(TrRoad_act!Q20=0,0,Q34/TrRoad_act!Q20*1000)</f>
        <v>1849.3676476878625</v>
      </c>
      <c r="R98" s="152">
        <f>IF(TrRoad_act!R20=0,0,R34/TrRoad_act!R20*1000)</f>
        <v>1887.1829830927577</v>
      </c>
      <c r="S98" s="152">
        <f>IF(TrRoad_act!S20=0,0,S34/TrRoad_act!S20*1000)</f>
        <v>1919.4230331921085</v>
      </c>
      <c r="T98" s="152">
        <f>IF(TrRoad_act!T20=0,0,T34/TrRoad_act!T20*1000)</f>
        <v>1921.0645561486851</v>
      </c>
      <c r="U98" s="152">
        <f>IF(TrRoad_act!U20=0,0,U34/TrRoad_act!U20*1000)</f>
        <v>1927.1687622792722</v>
      </c>
      <c r="V98" s="152">
        <f>IF(TrRoad_act!V20=0,0,V34/TrRoad_act!V20*1000)</f>
        <v>1899.0429703483508</v>
      </c>
      <c r="W98" s="152">
        <f>IF(TrRoad_act!W20=0,0,W34/TrRoad_act!W20*1000)</f>
        <v>1866.1517240490023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3055.2114722044375</v>
      </c>
      <c r="C99" s="87">
        <f>IF(TrRoad_act!C21=0,0,C35/TrRoad_act!C21*1000)</f>
        <v>2953.526044032054</v>
      </c>
      <c r="D99" s="87">
        <f>IF(TrRoad_act!D21=0,0,D35/TrRoad_act!D21*1000)</f>
        <v>2867.4546110942342</v>
      </c>
      <c r="E99" s="87">
        <f>IF(TrRoad_act!E21=0,0,E35/TrRoad_act!E21*1000)</f>
        <v>2798.6504511746589</v>
      </c>
      <c r="F99" s="87">
        <f>IF(TrRoad_act!F21=0,0,F35/TrRoad_act!F21*1000)</f>
        <v>2741.9083341831702</v>
      </c>
      <c r="G99" s="87">
        <f>IF(TrRoad_act!G21=0,0,G35/TrRoad_act!G21*1000)</f>
        <v>2688.4382520593131</v>
      </c>
      <c r="H99" s="87">
        <f>IF(TrRoad_act!H21=0,0,H35/TrRoad_act!H21*1000)</f>
        <v>2620.8799939023152</v>
      </c>
      <c r="I99" s="87">
        <f>IF(TrRoad_act!I21=0,0,I35/TrRoad_act!I21*1000)</f>
        <v>2568.69910566819</v>
      </c>
      <c r="J99" s="87">
        <f>IF(TrRoad_act!J21=0,0,J35/TrRoad_act!J21*1000)</f>
        <v>2527.0282224917396</v>
      </c>
      <c r="K99" s="87">
        <f>IF(TrRoad_act!K21=0,0,K35/TrRoad_act!K21*1000)</f>
        <v>2502.886111005821</v>
      </c>
      <c r="L99" s="87">
        <f>IF(TrRoad_act!L21=0,0,L35/TrRoad_act!L21*1000)</f>
        <v>2514.6675098790047</v>
      </c>
      <c r="M99" s="87">
        <f>IF(TrRoad_act!M21=0,0,M35/TrRoad_act!M21*1000)</f>
        <v>2509.7427694136986</v>
      </c>
      <c r="N99" s="87">
        <f>IF(TrRoad_act!N21=0,0,N35/TrRoad_act!N21*1000)</f>
        <v>2486.2588638636939</v>
      </c>
      <c r="O99" s="87">
        <f>IF(TrRoad_act!O21=0,0,O35/TrRoad_act!O21*1000)</f>
        <v>2461.6894547754655</v>
      </c>
      <c r="P99" s="87">
        <f>IF(TrRoad_act!P21=0,0,P35/TrRoad_act!P21*1000)</f>
        <v>2424.1875622071043</v>
      </c>
      <c r="Q99" s="87">
        <f>IF(TrRoad_act!Q21=0,0,Q35/TrRoad_act!Q21*1000)</f>
        <v>2315.4249410871116</v>
      </c>
      <c r="R99" s="87">
        <f>IF(TrRoad_act!R21=0,0,R35/TrRoad_act!R21*1000)</f>
        <v>2279.3427726992513</v>
      </c>
      <c r="S99" s="87">
        <f>IF(TrRoad_act!S21=0,0,S35/TrRoad_act!S21*1000)</f>
        <v>2159.2586816407302</v>
      </c>
      <c r="T99" s="87">
        <f>IF(TrRoad_act!T21=0,0,T35/TrRoad_act!T21*1000)</f>
        <v>2089.6547448158103</v>
      </c>
      <c r="U99" s="87">
        <f>IF(TrRoad_act!U21=0,0,U35/TrRoad_act!U21*1000)</f>
        <v>2204.8684542355518</v>
      </c>
      <c r="V99" s="87">
        <f>IF(TrRoad_act!V21=0,0,V35/TrRoad_act!V21*1000)</f>
        <v>2122.5727196989051</v>
      </c>
      <c r="W99" s="87">
        <f>IF(TrRoad_act!W21=0,0,W35/TrRoad_act!W21*1000)</f>
        <v>2102.8284381740168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2623.7093798134356</v>
      </c>
      <c r="C100" s="87">
        <f>IF(TrRoad_act!C22=0,0,C36/TrRoad_act!C22*1000)</f>
        <v>2552.8693663426388</v>
      </c>
      <c r="D100" s="87">
        <f>IF(TrRoad_act!D22=0,0,D36/TrRoad_act!D22*1000)</f>
        <v>2346.5813695123416</v>
      </c>
      <c r="E100" s="87">
        <f>IF(TrRoad_act!E22=0,0,E36/TrRoad_act!E22*1000)</f>
        <v>2225.8260479511578</v>
      </c>
      <c r="F100" s="87">
        <f>IF(TrRoad_act!F22=0,0,F36/TrRoad_act!F22*1000)</f>
        <v>2206.9817027684712</v>
      </c>
      <c r="G100" s="87">
        <f>IF(TrRoad_act!G22=0,0,G36/TrRoad_act!G22*1000)</f>
        <v>2084.5964356067971</v>
      </c>
      <c r="H100" s="87">
        <f>IF(TrRoad_act!H22=0,0,H36/TrRoad_act!H22*1000)</f>
        <v>1940.3975568962337</v>
      </c>
      <c r="I100" s="87">
        <f>IF(TrRoad_act!I22=0,0,I36/TrRoad_act!I22*1000)</f>
        <v>1922.0637770138599</v>
      </c>
      <c r="J100" s="87">
        <f>IF(TrRoad_act!J22=0,0,J36/TrRoad_act!J22*1000)</f>
        <v>1851.0298944694332</v>
      </c>
      <c r="K100" s="87">
        <f>IF(TrRoad_act!K22=0,0,K36/TrRoad_act!K22*1000)</f>
        <v>1718.5948452075666</v>
      </c>
      <c r="L100" s="87">
        <f>IF(TrRoad_act!L22=0,0,L36/TrRoad_act!L22*1000)</f>
        <v>1795.3067210872152</v>
      </c>
      <c r="M100" s="87">
        <f>IF(TrRoad_act!M22=0,0,M36/TrRoad_act!M22*1000)</f>
        <v>1792.0348337475236</v>
      </c>
      <c r="N100" s="87">
        <f>IF(TrRoad_act!N22=0,0,N36/TrRoad_act!N22*1000)</f>
        <v>1752.0978559345288</v>
      </c>
      <c r="O100" s="87">
        <f>IF(TrRoad_act!O22=0,0,O36/TrRoad_act!O22*1000)</f>
        <v>1751.619072194185</v>
      </c>
      <c r="P100" s="87">
        <f>IF(TrRoad_act!P22=0,0,P36/TrRoad_act!P22*1000)</f>
        <v>1816.1716200003632</v>
      </c>
      <c r="Q100" s="87">
        <f>IF(TrRoad_act!Q22=0,0,Q36/TrRoad_act!Q22*1000)</f>
        <v>1840.4260881606788</v>
      </c>
      <c r="R100" s="87">
        <f>IF(TrRoad_act!R22=0,0,R36/TrRoad_act!R22*1000)</f>
        <v>1880.5555279309167</v>
      </c>
      <c r="S100" s="87">
        <f>IF(TrRoad_act!S22=0,0,S36/TrRoad_act!S22*1000)</f>
        <v>1915.713209604977</v>
      </c>
      <c r="T100" s="87">
        <f>IF(TrRoad_act!T22=0,0,T36/TrRoad_act!T22*1000)</f>
        <v>1918.6800468857418</v>
      </c>
      <c r="U100" s="87">
        <f>IF(TrRoad_act!U22=0,0,U36/TrRoad_act!U22*1000)</f>
        <v>1922.1817316496099</v>
      </c>
      <c r="V100" s="87">
        <f>IF(TrRoad_act!V22=0,0,V36/TrRoad_act!V22*1000)</f>
        <v>1895.5655255153238</v>
      </c>
      <c r="W100" s="87">
        <f>IF(TrRoad_act!W22=0,0,W36/TrRoad_act!W22*1000)</f>
        <v>1862.8902682049641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180.04095746131762</v>
      </c>
      <c r="C104" s="116">
        <f>IF(TrRoad_act!C26=0,0,C40/TrRoad_act!C26*1000)</f>
        <v>237.1784178166825</v>
      </c>
      <c r="D104" s="116">
        <f>IF(TrRoad_act!D26=0,0,D40/TrRoad_act!D26*1000)</f>
        <v>232.74392832706255</v>
      </c>
      <c r="E104" s="116">
        <f>IF(TrRoad_act!E26=0,0,E40/TrRoad_act!E26*1000)</f>
        <v>165.22865422347738</v>
      </c>
      <c r="F104" s="116">
        <f>IF(TrRoad_act!F26=0,0,F40/TrRoad_act!F26*1000)</f>
        <v>174.17546247075893</v>
      </c>
      <c r="G104" s="116">
        <f>IF(TrRoad_act!G26=0,0,G40/TrRoad_act!G26*1000)</f>
        <v>160.32453588043938</v>
      </c>
      <c r="H104" s="116">
        <f>IF(TrRoad_act!H26=0,0,H40/TrRoad_act!H26*1000)</f>
        <v>126.82721196250013</v>
      </c>
      <c r="I104" s="116">
        <f>IF(TrRoad_act!I26=0,0,I40/TrRoad_act!I26*1000)</f>
        <v>179.28962963630019</v>
      </c>
      <c r="J104" s="116">
        <f>IF(TrRoad_act!J26=0,0,J40/TrRoad_act!J26*1000)</f>
        <v>203.0838854478192</v>
      </c>
      <c r="K104" s="116">
        <f>IF(TrRoad_act!K26=0,0,K40/TrRoad_act!K26*1000)</f>
        <v>113.4123961199457</v>
      </c>
      <c r="L104" s="116">
        <f>IF(TrRoad_act!L26=0,0,L40/TrRoad_act!L26*1000)</f>
        <v>143.85696229510961</v>
      </c>
      <c r="M104" s="116">
        <f>IF(TrRoad_act!M26=0,0,M40/TrRoad_act!M26*1000)</f>
        <v>164.52548277838835</v>
      </c>
      <c r="N104" s="116">
        <f>IF(TrRoad_act!N26=0,0,N40/TrRoad_act!N26*1000)</f>
        <v>99.744009385976881</v>
      </c>
      <c r="O104" s="116">
        <f>IF(TrRoad_act!O26=0,0,O40/TrRoad_act!O26*1000)</f>
        <v>102.37336243041381</v>
      </c>
      <c r="P104" s="116">
        <f>IF(TrRoad_act!P26=0,0,P40/TrRoad_act!P26*1000)</f>
        <v>176.37553989631402</v>
      </c>
      <c r="Q104" s="116">
        <f>IF(TrRoad_act!Q26=0,0,Q40/TrRoad_act!Q26*1000)</f>
        <v>175.64166363231729</v>
      </c>
      <c r="R104" s="116">
        <f>IF(TrRoad_act!R26=0,0,R40/TrRoad_act!R26*1000)</f>
        <v>162.11997707087511</v>
      </c>
      <c r="S104" s="116">
        <f>IF(TrRoad_act!S26=0,0,S40/TrRoad_act!S26*1000)</f>
        <v>162.55091896578963</v>
      </c>
      <c r="T104" s="116">
        <f>IF(TrRoad_act!T26=0,0,T40/TrRoad_act!T26*1000)</f>
        <v>169.42063729682684</v>
      </c>
      <c r="U104" s="116">
        <f>IF(TrRoad_act!U26=0,0,U40/TrRoad_act!U26*1000)</f>
        <v>181.90077591292373</v>
      </c>
      <c r="V104" s="116">
        <f>IF(TrRoad_act!V26=0,0,V40/TrRoad_act!V26*1000)</f>
        <v>172.89974818028691</v>
      </c>
      <c r="W104" s="116">
        <f>IF(TrRoad_act!W26=0,0,W40/TrRoad_act!W26*1000)</f>
        <v>175.7974067503495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224.3549428288309</v>
      </c>
      <c r="C105" s="101">
        <f>IF(TrRoad_act!C27=0,0,C41/TrRoad_act!C27*1000)</f>
        <v>258.83425026372515</v>
      </c>
      <c r="D105" s="101">
        <f>IF(TrRoad_act!D27=0,0,D41/TrRoad_act!D27*1000)</f>
        <v>257.66990962623487</v>
      </c>
      <c r="E105" s="101">
        <f>IF(TrRoad_act!E27=0,0,E41/TrRoad_act!E27*1000)</f>
        <v>212.5301347326031</v>
      </c>
      <c r="F105" s="101">
        <f>IF(TrRoad_act!F27=0,0,F41/TrRoad_act!F27*1000)</f>
        <v>197.81001033018111</v>
      </c>
      <c r="G105" s="101">
        <f>IF(TrRoad_act!G27=0,0,G41/TrRoad_act!G27*1000)</f>
        <v>182.86865051491515</v>
      </c>
      <c r="H105" s="101">
        <f>IF(TrRoad_act!H27=0,0,H41/TrRoad_act!H27*1000)</f>
        <v>164.9119002031326</v>
      </c>
      <c r="I105" s="101">
        <f>IF(TrRoad_act!I27=0,0,I41/TrRoad_act!I27*1000)</f>
        <v>180.25098349724817</v>
      </c>
      <c r="J105" s="101">
        <f>IF(TrRoad_act!J27=0,0,J41/TrRoad_act!J27*1000)</f>
        <v>182.59690884616569</v>
      </c>
      <c r="K105" s="101">
        <f>IF(TrRoad_act!K27=0,0,K41/TrRoad_act!K27*1000)</f>
        <v>130.24829628274756</v>
      </c>
      <c r="L105" s="101">
        <f>IF(TrRoad_act!L27=0,0,L41/TrRoad_act!L27*1000)</f>
        <v>146.5952964732667</v>
      </c>
      <c r="M105" s="101">
        <f>IF(TrRoad_act!M27=0,0,M41/TrRoad_act!M27*1000)</f>
        <v>158.97229095799912</v>
      </c>
      <c r="N105" s="101">
        <f>IF(TrRoad_act!N27=0,0,N41/TrRoad_act!N27*1000)</f>
        <v>129.03178944685436</v>
      </c>
      <c r="O105" s="101">
        <f>IF(TrRoad_act!O27=0,0,O41/TrRoad_act!O27*1000)</f>
        <v>134.85217508440164</v>
      </c>
      <c r="P105" s="101">
        <f>IF(TrRoad_act!P27=0,0,P41/TrRoad_act!P27*1000)</f>
        <v>173.12435476966371</v>
      </c>
      <c r="Q105" s="101">
        <f>IF(TrRoad_act!Q27=0,0,Q41/TrRoad_act!Q27*1000)</f>
        <v>163.09902050881627</v>
      </c>
      <c r="R105" s="101">
        <f>IF(TrRoad_act!R27=0,0,R41/TrRoad_act!R27*1000)</f>
        <v>155.9124207263468</v>
      </c>
      <c r="S105" s="101">
        <f>IF(TrRoad_act!S27=0,0,S41/TrRoad_act!S27*1000)</f>
        <v>151.32190826095584</v>
      </c>
      <c r="T105" s="101">
        <f>IF(TrRoad_act!T27=0,0,T41/TrRoad_act!T27*1000)</f>
        <v>145.47176551577081</v>
      </c>
      <c r="U105" s="101">
        <f>IF(TrRoad_act!U27=0,0,U41/TrRoad_act!U27*1000)</f>
        <v>158.40757953624268</v>
      </c>
      <c r="V105" s="101">
        <f>IF(TrRoad_act!V27=0,0,V41/TrRoad_act!V27*1000)</f>
        <v>143.4160226818737</v>
      </c>
      <c r="W105" s="101">
        <f>IF(TrRoad_act!W27=0,0,W41/TrRoad_act!W27*1000)</f>
        <v>144.01173000517105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137.50220389455808</v>
      </c>
      <c r="C106" s="88">
        <f>IF(TrRoad_act!C28=0,0,C42/TrRoad_act!C28*1000)</f>
        <v>217.97425819228204</v>
      </c>
      <c r="D106" s="88">
        <f>IF(TrRoad_act!D28=0,0,D42/TrRoad_act!D28*1000)</f>
        <v>211.87047298340019</v>
      </c>
      <c r="E106" s="88">
        <f>IF(TrRoad_act!E28=0,0,E42/TrRoad_act!E28*1000)</f>
        <v>114.94720273825531</v>
      </c>
      <c r="F106" s="88">
        <f>IF(TrRoad_act!F28=0,0,F42/TrRoad_act!F28*1000)</f>
        <v>149.71190751562494</v>
      </c>
      <c r="G106" s="88">
        <f>IF(TrRoad_act!G28=0,0,G42/TrRoad_act!G28*1000)</f>
        <v>138.56794673075785</v>
      </c>
      <c r="H106" s="88">
        <f>IF(TrRoad_act!H28=0,0,H42/TrRoad_act!H28*1000)</f>
        <v>96.968519430136098</v>
      </c>
      <c r="I106" s="88">
        <f>IF(TrRoad_act!I28=0,0,I42/TrRoad_act!I28*1000)</f>
        <v>178.46521071678825</v>
      </c>
      <c r="J106" s="88">
        <f>IF(TrRoad_act!J28=0,0,J42/TrRoad_act!J28*1000)</f>
        <v>221.21280448351698</v>
      </c>
      <c r="K106" s="88">
        <f>IF(TrRoad_act!K28=0,0,K42/TrRoad_act!K28*1000)</f>
        <v>94.707763123193516</v>
      </c>
      <c r="L106" s="88">
        <f>IF(TrRoad_act!L28=0,0,L42/TrRoad_act!L28*1000)</f>
        <v>141.55867261866601</v>
      </c>
      <c r="M106" s="88">
        <f>IF(TrRoad_act!M28=0,0,M42/TrRoad_act!M28*1000)</f>
        <v>168.71885835054366</v>
      </c>
      <c r="N106" s="88">
        <f>IF(TrRoad_act!N28=0,0,N42/TrRoad_act!N28*1000)</f>
        <v>79.608654454615575</v>
      </c>
      <c r="O106" s="88">
        <f>IF(TrRoad_act!O28=0,0,O42/TrRoad_act!O28*1000)</f>
        <v>82.499731107239569</v>
      </c>
      <c r="P106" s="88">
        <f>IF(TrRoad_act!P28=0,0,P42/TrRoad_act!P28*1000)</f>
        <v>178.65621923538072</v>
      </c>
      <c r="Q106" s="88">
        <f>IF(TrRoad_act!Q28=0,0,Q42/TrRoad_act!Q28*1000)</f>
        <v>184.01334951690094</v>
      </c>
      <c r="R106" s="88">
        <f>IF(TrRoad_act!R28=0,0,R42/TrRoad_act!R28*1000)</f>
        <v>166.25256151660113</v>
      </c>
      <c r="S106" s="88">
        <f>IF(TrRoad_act!S28=0,0,S42/TrRoad_act!S28*1000)</f>
        <v>170.46684477822816</v>
      </c>
      <c r="T106" s="88">
        <f>IF(TrRoad_act!T28=0,0,T42/TrRoad_act!T28*1000)</f>
        <v>189.53636400960488</v>
      </c>
      <c r="U106" s="88">
        <f>IF(TrRoad_act!U28=0,0,U42/TrRoad_act!U28*1000)</f>
        <v>201.50141264587401</v>
      </c>
      <c r="V106" s="88">
        <f>IF(TrRoad_act!V28=0,0,V42/TrRoad_act!V28*1000)</f>
        <v>198.11111020215355</v>
      </c>
      <c r="W106" s="88">
        <f>IF(TrRoad_act!W28=0,0,W42/TrRoad_act!W28*1000)</f>
        <v>201.04031927140218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437.70461857103055</v>
      </c>
      <c r="C110" s="152">
        <f>IF(C19=0,0,1000000*C19/TrRoad_act!C59)</f>
        <v>431.48370198303309</v>
      </c>
      <c r="D110" s="152">
        <f>IF(D19=0,0,1000000*D19/TrRoad_act!D59)</f>
        <v>425.03043161693932</v>
      </c>
      <c r="E110" s="152">
        <f>IF(E19=0,0,1000000*E19/TrRoad_act!E59)</f>
        <v>396.91663653833371</v>
      </c>
      <c r="F110" s="152">
        <f>IF(F19=0,0,1000000*F19/TrRoad_act!F59)</f>
        <v>391.33497719460951</v>
      </c>
      <c r="G110" s="152">
        <f>IF(G19=0,0,1000000*G19/TrRoad_act!G59)</f>
        <v>358.81714455599763</v>
      </c>
      <c r="H110" s="152">
        <f>IF(H19=0,0,1000000*H19/TrRoad_act!H59)</f>
        <v>349.62014417936058</v>
      </c>
      <c r="I110" s="152">
        <f>IF(I19=0,0,1000000*I19/TrRoad_act!I59)</f>
        <v>329.03323016277272</v>
      </c>
      <c r="J110" s="152">
        <f>IF(J19=0,0,1000000*J19/TrRoad_act!J59)</f>
        <v>316.07621502909325</v>
      </c>
      <c r="K110" s="152">
        <f>IF(K19=0,0,1000000*K19/TrRoad_act!K59)</f>
        <v>304.37954610945047</v>
      </c>
      <c r="L110" s="152">
        <f>IF(L19=0,0,1000000*L19/TrRoad_act!L59)</f>
        <v>297.64672564324997</v>
      </c>
      <c r="M110" s="152">
        <f>IF(M19=0,0,1000000*M19/TrRoad_act!M59)</f>
        <v>291.82684815230306</v>
      </c>
      <c r="N110" s="152">
        <f>IF(N19=0,0,1000000*N19/TrRoad_act!N59)</f>
        <v>286.14627507266556</v>
      </c>
      <c r="O110" s="152">
        <f>IF(O19=0,0,1000000*O19/TrRoad_act!O59)</f>
        <v>282.52251868570653</v>
      </c>
      <c r="P110" s="152">
        <f>IF(P19=0,0,1000000*P19/TrRoad_act!P59)</f>
        <v>269.32454715461046</v>
      </c>
      <c r="Q110" s="152">
        <f>IF(Q19=0,0,1000000*Q19/TrRoad_act!Q59)</f>
        <v>260.45305225092415</v>
      </c>
      <c r="R110" s="152">
        <f>IF(R19=0,0,1000000*R19/TrRoad_act!R59)</f>
        <v>278.80077639905903</v>
      </c>
      <c r="S110" s="152">
        <f>IF(S19=0,0,1000000*S19/TrRoad_act!S59)</f>
        <v>243.93307253915603</v>
      </c>
      <c r="T110" s="152">
        <f>IF(T19=0,0,1000000*T19/TrRoad_act!T59)</f>
        <v>214.62550548070539</v>
      </c>
      <c r="U110" s="152">
        <f>IF(U19=0,0,1000000*U19/TrRoad_act!U59)</f>
        <v>187.1919685124324</v>
      </c>
      <c r="V110" s="152">
        <f>IF(V19=0,0,1000000*V19/TrRoad_act!V59)</f>
        <v>140.50901745878093</v>
      </c>
      <c r="W110" s="152">
        <f>IF(W19=0,0,1000000*W19/TrRoad_act!W59)</f>
        <v>105.72341528950174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2115.6595494668895</v>
      </c>
      <c r="C111" s="116">
        <f>IF(C20=0,0,1000000*C20/TrRoad_act!C60)</f>
        <v>2162.5278789447543</v>
      </c>
      <c r="D111" s="116">
        <f>IF(D20=0,0,1000000*D20/TrRoad_act!D60)</f>
        <v>2145.7277158263209</v>
      </c>
      <c r="E111" s="116">
        <f>IF(E20=0,0,1000000*E20/TrRoad_act!E60)</f>
        <v>2166.613590678372</v>
      </c>
      <c r="F111" s="116">
        <f>IF(F20=0,0,1000000*F20/TrRoad_act!F60)</f>
        <v>2182.0949241093554</v>
      </c>
      <c r="G111" s="116">
        <f>IF(G20=0,0,1000000*G20/TrRoad_act!G60)</f>
        <v>2289.1226358868007</v>
      </c>
      <c r="H111" s="116">
        <f>IF(H20=0,0,1000000*H20/TrRoad_act!H60)</f>
        <v>2179.4390569708171</v>
      </c>
      <c r="I111" s="116">
        <f>IF(I20=0,0,1000000*I20/TrRoad_act!I60)</f>
        <v>2289.1059992033183</v>
      </c>
      <c r="J111" s="116">
        <f>IF(J20=0,0,1000000*J20/TrRoad_act!J60)</f>
        <v>2233.7972256970525</v>
      </c>
      <c r="K111" s="116">
        <f>IF(K20=0,0,1000000*K20/TrRoad_act!K60)</f>
        <v>2149.030659662124</v>
      </c>
      <c r="L111" s="116">
        <f>IF(L20=0,0,1000000*L20/TrRoad_act!L60)</f>
        <v>2334.5148138967206</v>
      </c>
      <c r="M111" s="116">
        <f>IF(M20=0,0,1000000*M20/TrRoad_act!M60)</f>
        <v>2349.3350011701841</v>
      </c>
      <c r="N111" s="116">
        <f>IF(N20=0,0,1000000*N20/TrRoad_act!N60)</f>
        <v>2328.430436776483</v>
      </c>
      <c r="O111" s="116">
        <f>IF(O20=0,0,1000000*O20/TrRoad_act!O60)</f>
        <v>2258.4968156340628</v>
      </c>
      <c r="P111" s="116">
        <f>IF(P20=0,0,1000000*P20/TrRoad_act!P60)</f>
        <v>2203.2899527630507</v>
      </c>
      <c r="Q111" s="116">
        <f>IF(Q20=0,0,1000000*Q20/TrRoad_act!Q60)</f>
        <v>2221.1401987306608</v>
      </c>
      <c r="R111" s="116">
        <f>IF(R20=0,0,1000000*R20/TrRoad_act!R60)</f>
        <v>2459.2795469795583</v>
      </c>
      <c r="S111" s="116">
        <f>IF(S20=0,0,1000000*S20/TrRoad_act!S60)</f>
        <v>2490.9450531180187</v>
      </c>
      <c r="T111" s="116">
        <f>IF(T20=0,0,1000000*T20/TrRoad_act!T60)</f>
        <v>2531.5606684661675</v>
      </c>
      <c r="U111" s="116">
        <f>IF(U20=0,0,1000000*U20/TrRoad_act!U60)</f>
        <v>2507.1305864641067</v>
      </c>
      <c r="V111" s="116">
        <f>IF(V20=0,0,1000000*V20/TrRoad_act!V60)</f>
        <v>2300.5444986181492</v>
      </c>
      <c r="W111" s="116">
        <f>IF(W20=0,0,1000000*W20/TrRoad_act!W60)</f>
        <v>2233.5759302984225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2090.3885619103162</v>
      </c>
      <c r="C112" s="87">
        <f>IF(C21=0,0,1000000*C21/TrRoad_act!C61)</f>
        <v>2058.9849591565767</v>
      </c>
      <c r="D112" s="87">
        <f>IF(D21=0,0,1000000*D21/TrRoad_act!D61)</f>
        <v>2062.9944660645469</v>
      </c>
      <c r="E112" s="87">
        <f>IF(E21=0,0,1000000*E21/TrRoad_act!E61)</f>
        <v>2023.2991252928903</v>
      </c>
      <c r="F112" s="87">
        <f>IF(F21=0,0,1000000*F21/TrRoad_act!F61)</f>
        <v>2000.5387138073033</v>
      </c>
      <c r="G112" s="87">
        <f>IF(G21=0,0,1000000*G21/TrRoad_act!G61)</f>
        <v>1983.2018530150708</v>
      </c>
      <c r="H112" s="87">
        <f>IF(H21=0,0,1000000*H21/TrRoad_act!H61)</f>
        <v>1909.4464257439975</v>
      </c>
      <c r="I112" s="87">
        <f>IF(I21=0,0,1000000*I21/TrRoad_act!I61)</f>
        <v>2167.6480429752255</v>
      </c>
      <c r="J112" s="87">
        <f>IF(J21=0,0,1000000*J21/TrRoad_act!J61)</f>
        <v>2142.531715959688</v>
      </c>
      <c r="K112" s="87">
        <f>IF(K21=0,0,1000000*K21/TrRoad_act!K61)</f>
        <v>1958.8405956763654</v>
      </c>
      <c r="L112" s="87">
        <f>IF(L21=0,0,1000000*L21/TrRoad_act!L61)</f>
        <v>1913.1128610171165</v>
      </c>
      <c r="M112" s="87">
        <f>IF(M21=0,0,1000000*M21/TrRoad_act!M61)</f>
        <v>1874.5807876749973</v>
      </c>
      <c r="N112" s="87">
        <f>IF(N21=0,0,1000000*N21/TrRoad_act!N61)</f>
        <v>1758.6670030223881</v>
      </c>
      <c r="O112" s="87">
        <f>IF(O21=0,0,1000000*O21/TrRoad_act!O61)</f>
        <v>1691.5654772764044</v>
      </c>
      <c r="P112" s="87">
        <f>IF(P21=0,0,1000000*P21/TrRoad_act!P61)</f>
        <v>1700.2296156622238</v>
      </c>
      <c r="Q112" s="87">
        <f>IF(Q21=0,0,1000000*Q21/TrRoad_act!Q61)</f>
        <v>1697.1243188433043</v>
      </c>
      <c r="R112" s="87">
        <f>IF(R21=0,0,1000000*R21/TrRoad_act!R61)</f>
        <v>1848.5933252973848</v>
      </c>
      <c r="S112" s="87">
        <f>IF(S21=0,0,1000000*S21/TrRoad_act!S61)</f>
        <v>1782.7579123998455</v>
      </c>
      <c r="T112" s="87">
        <f>IF(T21=0,0,1000000*T21/TrRoad_act!T61)</f>
        <v>1849.4882709340677</v>
      </c>
      <c r="U112" s="87">
        <f>IF(U21=0,0,1000000*U21/TrRoad_act!U61)</f>
        <v>1797.9893465484697</v>
      </c>
      <c r="V112" s="87">
        <f>IF(V21=0,0,1000000*V21/TrRoad_act!V61)</f>
        <v>1644.307475860413</v>
      </c>
      <c r="W112" s="87">
        <f>IF(W21=0,0,1000000*W21/TrRoad_act!W61)</f>
        <v>1603.1449659183982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2430.0815011154741</v>
      </c>
      <c r="C113" s="87">
        <f>IF(C22=0,0,1000000*C22/TrRoad_act!C62)</f>
        <v>2697.2293781179378</v>
      </c>
      <c r="D113" s="87">
        <f>IF(D22=0,0,1000000*D22/TrRoad_act!D62)</f>
        <v>2590.6208095311599</v>
      </c>
      <c r="E113" s="87">
        <f>IF(E22=0,0,1000000*E22/TrRoad_act!E62)</f>
        <v>2710.4744259564864</v>
      </c>
      <c r="F113" s="87">
        <f>IF(F22=0,0,1000000*F22/TrRoad_act!F62)</f>
        <v>2747.788309055918</v>
      </c>
      <c r="G113" s="87">
        <f>IF(G22=0,0,1000000*G22/TrRoad_act!G62)</f>
        <v>2574.6434928763815</v>
      </c>
      <c r="H113" s="87">
        <f>IF(H22=0,0,1000000*H22/TrRoad_act!H62)</f>
        <v>2509.4565447895147</v>
      </c>
      <c r="I113" s="87">
        <f>IF(I22=0,0,1000000*I22/TrRoad_act!I62)</f>
        <v>2651.9180287788859</v>
      </c>
      <c r="J113" s="87">
        <f>IF(J22=0,0,1000000*J22/TrRoad_act!J62)</f>
        <v>2579.7258444359754</v>
      </c>
      <c r="K113" s="87">
        <f>IF(K22=0,0,1000000*K22/TrRoad_act!K62)</f>
        <v>2548.7988628749777</v>
      </c>
      <c r="L113" s="87">
        <f>IF(L22=0,0,1000000*L22/TrRoad_act!L62)</f>
        <v>2901.4834638786128</v>
      </c>
      <c r="M113" s="87">
        <f>IF(M22=0,0,1000000*M22/TrRoad_act!M62)</f>
        <v>2873.4701971708546</v>
      </c>
      <c r="N113" s="87">
        <f>IF(N22=0,0,1000000*N22/TrRoad_act!N62)</f>
        <v>2754.7629438982735</v>
      </c>
      <c r="O113" s="87">
        <f>IF(O22=0,0,1000000*O22/TrRoad_act!O62)</f>
        <v>2657.0604593012004</v>
      </c>
      <c r="P113" s="87">
        <f>IF(P22=0,0,1000000*P22/TrRoad_act!P62)</f>
        <v>2516.0126309548718</v>
      </c>
      <c r="Q113" s="87">
        <f>IF(Q22=0,0,1000000*Q22/TrRoad_act!Q62)</f>
        <v>2509.3440608110996</v>
      </c>
      <c r="R113" s="87">
        <f>IF(R22=0,0,1000000*R22/TrRoad_act!R62)</f>
        <v>2782.0100974827751</v>
      </c>
      <c r="S113" s="87">
        <f>IF(S22=0,0,1000000*S22/TrRoad_act!S62)</f>
        <v>2821.3502193933309</v>
      </c>
      <c r="T113" s="87">
        <f>IF(T22=0,0,1000000*T22/TrRoad_act!T62)</f>
        <v>2854.6411656895693</v>
      </c>
      <c r="U113" s="87">
        <f>IF(U22=0,0,1000000*U22/TrRoad_act!U62)</f>
        <v>2842.4874175106006</v>
      </c>
      <c r="V113" s="87">
        <f>IF(V22=0,0,1000000*V22/TrRoad_act!V62)</f>
        <v>2609.5422410064934</v>
      </c>
      <c r="W113" s="87">
        <f>IF(W22=0,0,1000000*W22/TrRoad_act!W62)</f>
        <v>2516.4608812725633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1805.6722917676584</v>
      </c>
      <c r="C114" s="87">
        <f>IF(C23=0,0,1000000*C23/TrRoad_act!C63)</f>
        <v>1810.3412524849809</v>
      </c>
      <c r="D114" s="87">
        <f>IF(D23=0,0,1000000*D23/TrRoad_act!D63)</f>
        <v>1828.1324899450194</v>
      </c>
      <c r="E114" s="87">
        <f>IF(E23=0,0,1000000*E23/TrRoad_act!E63)</f>
        <v>1840.0335159494575</v>
      </c>
      <c r="F114" s="87">
        <f>IF(F23=0,0,1000000*F23/TrRoad_act!F63)</f>
        <v>1857.9996178975509</v>
      </c>
      <c r="G114" s="87">
        <f>IF(G23=0,0,1000000*G23/TrRoad_act!G63)</f>
        <v>2378.6352756992146</v>
      </c>
      <c r="H114" s="87">
        <f>IF(H23=0,0,1000000*H23/TrRoad_act!H63)</f>
        <v>2052.8793021241308</v>
      </c>
      <c r="I114" s="87">
        <f>IF(I23=0,0,1000000*I23/TrRoad_act!I63)</f>
        <v>1865.7437679459233</v>
      </c>
      <c r="J114" s="87">
        <f>IF(J23=0,0,1000000*J23/TrRoad_act!J63)</f>
        <v>1739.2276918038708</v>
      </c>
      <c r="K114" s="87">
        <f>IF(K23=0,0,1000000*K23/TrRoad_act!K63)</f>
        <v>1673.5667322718325</v>
      </c>
      <c r="L114" s="87">
        <f>IF(L23=0,0,1000000*L23/TrRoad_act!L63)</f>
        <v>1746.3319129178019</v>
      </c>
      <c r="M114" s="87">
        <f>IF(M23=0,0,1000000*M23/TrRoad_act!M63)</f>
        <v>1832.8772896731793</v>
      </c>
      <c r="N114" s="87">
        <f>IF(N23=0,0,1000000*N23/TrRoad_act!N63)</f>
        <v>1827.0950587237126</v>
      </c>
      <c r="O114" s="87">
        <f>IF(O23=0,0,1000000*O23/TrRoad_act!O63)</f>
        <v>1737.9545124254225</v>
      </c>
      <c r="P114" s="87">
        <f>IF(P23=0,0,1000000*P23/TrRoad_act!P63)</f>
        <v>1808.7867425135378</v>
      </c>
      <c r="Q114" s="87">
        <f>IF(Q23=0,0,1000000*Q23/TrRoad_act!Q63)</f>
        <v>1800.8193529794848</v>
      </c>
      <c r="R114" s="87">
        <f>IF(R23=0,0,1000000*R23/TrRoad_act!R63)</f>
        <v>1872.769424659394</v>
      </c>
      <c r="S114" s="87">
        <f>IF(S23=0,0,1000000*S23/TrRoad_act!S63)</f>
        <v>1933.3841631545965</v>
      </c>
      <c r="T114" s="87">
        <f>IF(T23=0,0,1000000*T23/TrRoad_act!T63)</f>
        <v>1945.5557324720944</v>
      </c>
      <c r="U114" s="87">
        <f>IF(U23=0,0,1000000*U23/TrRoad_act!U63)</f>
        <v>1949.1488014377937</v>
      </c>
      <c r="V114" s="87">
        <f>IF(V23=0,0,1000000*V23/TrRoad_act!V63)</f>
        <v>1892.5607914753668</v>
      </c>
      <c r="W114" s="87">
        <f>IF(W23=0,0,1000000*W23/TrRoad_act!W63)</f>
        <v>1961.374704464384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1206.8375131218063</v>
      </c>
      <c r="O115" s="87">
        <f>IF(O24=0,0,1000000*O24/TrRoad_act!O64)</f>
        <v>1013.8335747353594</v>
      </c>
      <c r="P115" s="87">
        <f>IF(P24=0,0,1000000*P24/TrRoad_act!P64)</f>
        <v>985.92789580755039</v>
      </c>
      <c r="Q115" s="87">
        <f>IF(Q24=0,0,1000000*Q24/TrRoad_act!Q64)</f>
        <v>1016.7171119102336</v>
      </c>
      <c r="R115" s="87">
        <f>IF(R24=0,0,1000000*R24/TrRoad_act!R64)</f>
        <v>1123.632802183459</v>
      </c>
      <c r="S115" s="87">
        <f>IF(S24=0,0,1000000*S24/TrRoad_act!S64)</f>
        <v>1153.2976198163165</v>
      </c>
      <c r="T115" s="87">
        <f>IF(T24=0,0,1000000*T24/TrRoad_act!T64)</f>
        <v>1169.8186151570178</v>
      </c>
      <c r="U115" s="87">
        <f>IF(U24=0,0,1000000*U24/TrRoad_act!U64)</f>
        <v>1146.6486474359551</v>
      </c>
      <c r="V115" s="87">
        <f>IF(V24=0,0,1000000*V24/TrRoad_act!V64)</f>
        <v>1011.7028231940569</v>
      </c>
      <c r="W115" s="87">
        <f>IF(W24=0,0,1000000*W24/TrRoad_act!W64)</f>
        <v>955.33800085891244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791.11701985381865</v>
      </c>
      <c r="P116" s="87">
        <f>IF(P25=0,0,1000000*P25/TrRoad_act!P65)</f>
        <v>624.50233763068059</v>
      </c>
      <c r="Q116" s="87">
        <f>IF(Q25=0,0,1000000*Q25/TrRoad_act!Q65)</f>
        <v>605.49633913295804</v>
      </c>
      <c r="R116" s="87">
        <f>IF(R25=0,0,1000000*R25/TrRoad_act!R65)</f>
        <v>723.86422300359368</v>
      </c>
      <c r="S116" s="87">
        <f>IF(S25=0,0,1000000*S25/TrRoad_act!S65)</f>
        <v>716.60356097702208</v>
      </c>
      <c r="T116" s="87">
        <f>IF(T25=0,0,1000000*T25/TrRoad_act!T65)</f>
        <v>750.10333247915889</v>
      </c>
      <c r="U116" s="87">
        <f>IF(U25=0,0,1000000*U25/TrRoad_act!U65)</f>
        <v>789.87045021890583</v>
      </c>
      <c r="V116" s="87">
        <f>IF(V25=0,0,1000000*V25/TrRoad_act!V65)</f>
        <v>715.65609318017539</v>
      </c>
      <c r="W116" s="87">
        <f>IF(W25=0,0,1000000*W25/TrRoad_act!W65)</f>
        <v>695.82135488500683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71976.122539715245</v>
      </c>
      <c r="C118" s="116">
        <f>IF(C27=0,0,1000000*C27/TrRoad_act!C67)</f>
        <v>66796.880635649388</v>
      </c>
      <c r="D118" s="116">
        <f>IF(D27=0,0,1000000*D27/TrRoad_act!D67)</f>
        <v>65955.375409729677</v>
      </c>
      <c r="E118" s="116">
        <f>IF(E27=0,0,1000000*E27/TrRoad_act!E67)</f>
        <v>64319.997752890631</v>
      </c>
      <c r="F118" s="116">
        <f>IF(F27=0,0,1000000*F27/TrRoad_act!F67)</f>
        <v>67191.718405475331</v>
      </c>
      <c r="G118" s="116">
        <f>IF(G27=0,0,1000000*G27/TrRoad_act!G67)</f>
        <v>63431.771089254595</v>
      </c>
      <c r="H118" s="116">
        <f>IF(H27=0,0,1000000*H27/TrRoad_act!H67)</f>
        <v>58945.518275731651</v>
      </c>
      <c r="I118" s="116">
        <f>IF(I27=0,0,1000000*I27/TrRoad_act!I67)</f>
        <v>54305.527963937391</v>
      </c>
      <c r="J118" s="116">
        <f>IF(J27=0,0,1000000*J27/TrRoad_act!J67)</f>
        <v>51453.943930440226</v>
      </c>
      <c r="K118" s="116">
        <f>IF(K27=0,0,1000000*K27/TrRoad_act!K67)</f>
        <v>48482.435280044105</v>
      </c>
      <c r="L118" s="116">
        <f>IF(L27=0,0,1000000*L27/TrRoad_act!L67)</f>
        <v>47635.486153754537</v>
      </c>
      <c r="M118" s="116">
        <f>IF(M27=0,0,1000000*M27/TrRoad_act!M67)</f>
        <v>48287.143871790031</v>
      </c>
      <c r="N118" s="116">
        <f>IF(N27=0,0,1000000*N27/TrRoad_act!N67)</f>
        <v>47626.028399471405</v>
      </c>
      <c r="O118" s="116">
        <f>IF(O27=0,0,1000000*O27/TrRoad_act!O67)</f>
        <v>37263.895067254176</v>
      </c>
      <c r="P118" s="116">
        <f>IF(P27=0,0,1000000*P27/TrRoad_act!P67)</f>
        <v>39411.149899048498</v>
      </c>
      <c r="Q118" s="116">
        <f>IF(Q27=0,0,1000000*Q27/TrRoad_act!Q67)</f>
        <v>38460.662142603884</v>
      </c>
      <c r="R118" s="116">
        <f>IF(R27=0,0,1000000*R27/TrRoad_act!R67)</f>
        <v>40940.228060045949</v>
      </c>
      <c r="S118" s="116">
        <f>IF(S27=0,0,1000000*S27/TrRoad_act!S67)</f>
        <v>42934.490833988013</v>
      </c>
      <c r="T118" s="116">
        <f>IF(T27=0,0,1000000*T27/TrRoad_act!T67)</f>
        <v>43132.671345619689</v>
      </c>
      <c r="U118" s="116">
        <f>IF(U27=0,0,1000000*U27/TrRoad_act!U67)</f>
        <v>43548.771086980712</v>
      </c>
      <c r="V118" s="116">
        <f>IF(V27=0,0,1000000*V27/TrRoad_act!V67)</f>
        <v>32197.509200032626</v>
      </c>
      <c r="W118" s="116">
        <f>IF(W27=0,0,1000000*W27/TrRoad_act!W67)</f>
        <v>30200.555333644421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10894.647397015337</v>
      </c>
      <c r="E119" s="101">
        <f>IF(E28=0,0,1000000*E28/TrRoad_act!E68)</f>
        <v>10824.952943827901</v>
      </c>
      <c r="F119" s="101">
        <f>IF(F28=0,0,1000000*F28/TrRoad_act!F68)</f>
        <v>11318.532169642596</v>
      </c>
      <c r="G119" s="101">
        <f>IF(G28=0,0,1000000*G28/TrRoad_act!G68)</f>
        <v>10636.826447856503</v>
      </c>
      <c r="H119" s="101">
        <f>IF(H28=0,0,1000000*H28/TrRoad_act!H68)</f>
        <v>9882.2004558455501</v>
      </c>
      <c r="I119" s="101">
        <f>IF(I28=0,0,1000000*I28/TrRoad_act!I68)</f>
        <v>9182.0769748873117</v>
      </c>
      <c r="J119" s="101">
        <f>IF(J28=0,0,1000000*J28/TrRoad_act!J68)</f>
        <v>8547.2761678403549</v>
      </c>
      <c r="K119" s="101">
        <f>IF(K28=0,0,1000000*K28/TrRoad_act!K68)</f>
        <v>8043.4714561298824</v>
      </c>
      <c r="L119" s="101">
        <f>IF(L28=0,0,1000000*L28/TrRoad_act!L68)</f>
        <v>7771.3475054345517</v>
      </c>
      <c r="M119" s="101">
        <f>IF(M28=0,0,1000000*M28/TrRoad_act!M68)</f>
        <v>7802.2325563756222</v>
      </c>
      <c r="N119" s="101">
        <f>IF(N28=0,0,1000000*N28/TrRoad_act!N68)</f>
        <v>7730.0318259377427</v>
      </c>
      <c r="O119" s="101">
        <f>IF(O28=0,0,1000000*O28/TrRoad_act!O68)</f>
        <v>5799.1062225119385</v>
      </c>
      <c r="P119" s="101">
        <f>IF(P28=0,0,1000000*P28/TrRoad_act!P68)</f>
        <v>6100.9798025024966</v>
      </c>
      <c r="Q119" s="101">
        <f>IF(Q28=0,0,1000000*Q28/TrRoad_act!Q68)</f>
        <v>6105.1044652990468</v>
      </c>
      <c r="R119" s="101">
        <f>IF(R28=0,0,1000000*R28/TrRoad_act!R68)</f>
        <v>6553.2102882793542</v>
      </c>
      <c r="S119" s="101">
        <f>IF(S28=0,0,1000000*S28/TrRoad_act!S68)</f>
        <v>6761.1551412198678</v>
      </c>
      <c r="T119" s="101">
        <f>IF(T28=0,0,1000000*T28/TrRoad_act!T68)</f>
        <v>6707.0200064151786</v>
      </c>
      <c r="U119" s="101">
        <f>IF(U28=0,0,1000000*U28/TrRoad_act!U68)</f>
        <v>6596.8748957430198</v>
      </c>
      <c r="V119" s="101">
        <f>IF(V28=0,0,1000000*V28/TrRoad_act!V68)</f>
        <v>4873.155014482546</v>
      </c>
      <c r="W119" s="101">
        <f>IF(W28=0,0,1000000*W28/TrRoad_act!W68)</f>
        <v>4877.9680123319895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71976.122539715245</v>
      </c>
      <c r="C120" s="101">
        <f>IF(C29=0,0,1000000*C29/TrRoad_act!C69)</f>
        <v>66796.880635649388</v>
      </c>
      <c r="D120" s="101">
        <f>IF(D29=0,0,1000000*D29/TrRoad_act!D69)</f>
        <v>66329.684003474831</v>
      </c>
      <c r="E120" s="101">
        <f>IF(E29=0,0,1000000*E29/TrRoad_act!E69)</f>
        <v>64849.165804048156</v>
      </c>
      <c r="F120" s="101">
        <f>IF(F29=0,0,1000000*F29/TrRoad_act!F69)</f>
        <v>68056.022025739672</v>
      </c>
      <c r="G120" s="101">
        <f>IF(G29=0,0,1000000*G29/TrRoad_act!G69)</f>
        <v>65089.423510375425</v>
      </c>
      <c r="H120" s="101">
        <f>IF(H29=0,0,1000000*H29/TrRoad_act!H69)</f>
        <v>61282.737014563267</v>
      </c>
      <c r="I120" s="101">
        <f>IF(I29=0,0,1000000*I29/TrRoad_act!I69)</f>
        <v>56958.513066002844</v>
      </c>
      <c r="J120" s="101">
        <f>IF(J29=0,0,1000000*J29/TrRoad_act!J69)</f>
        <v>53945.117741588452</v>
      </c>
      <c r="K120" s="101">
        <f>IF(K29=0,0,1000000*K29/TrRoad_act!K69)</f>
        <v>51060.496562982946</v>
      </c>
      <c r="L120" s="101">
        <f>IF(L29=0,0,1000000*L29/TrRoad_act!L69)</f>
        <v>50097.221145084382</v>
      </c>
      <c r="M120" s="101">
        <f>IF(M29=0,0,1000000*M29/TrRoad_act!M69)</f>
        <v>50773.364408268913</v>
      </c>
      <c r="N120" s="101">
        <f>IF(N29=0,0,1000000*N29/TrRoad_act!N69)</f>
        <v>50152.41486677264</v>
      </c>
      <c r="O120" s="101">
        <f>IF(O29=0,0,1000000*O29/TrRoad_act!O69)</f>
        <v>46474.843230572209</v>
      </c>
      <c r="P120" s="101">
        <f>IF(P29=0,0,1000000*P29/TrRoad_act!P69)</f>
        <v>48936.738510408402</v>
      </c>
      <c r="Q120" s="101">
        <f>IF(Q29=0,0,1000000*Q29/TrRoad_act!Q69)</f>
        <v>48226.383434889925</v>
      </c>
      <c r="R120" s="101">
        <f>IF(R29=0,0,1000000*R29/TrRoad_act!R69)</f>
        <v>52714.843287543365</v>
      </c>
      <c r="S120" s="101">
        <f>IF(S29=0,0,1000000*S29/TrRoad_act!S69)</f>
        <v>55914.166814901932</v>
      </c>
      <c r="T120" s="101">
        <f>IF(T29=0,0,1000000*T29/TrRoad_act!T69)</f>
        <v>56019.875855665305</v>
      </c>
      <c r="U120" s="101">
        <f>IF(U29=0,0,1000000*U29/TrRoad_act!U69)</f>
        <v>56498.605372146812</v>
      </c>
      <c r="V120" s="101">
        <f>IF(V29=0,0,1000000*V29/TrRoad_act!V69)</f>
        <v>41796.131599130422</v>
      </c>
      <c r="W120" s="101">
        <f>IF(W29=0,0,1000000*W29/TrRoad_act!W69)</f>
        <v>38704.330428984664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24350.413133763126</v>
      </c>
      <c r="E121" s="101">
        <f>IF(E30=0,0,1000000*E30/TrRoad_act!E70)</f>
        <v>24741.157212919461</v>
      </c>
      <c r="F121" s="101">
        <f>IF(F30=0,0,1000000*F30/TrRoad_act!F70)</f>
        <v>26396.951184859394</v>
      </c>
      <c r="G121" s="101">
        <f>IF(G30=0,0,1000000*G30/TrRoad_act!G70)</f>
        <v>25358.799120236799</v>
      </c>
      <c r="H121" s="101">
        <f>IF(H30=0,0,1000000*H30/TrRoad_act!H70)</f>
        <v>24356.653603941497</v>
      </c>
      <c r="I121" s="101">
        <f>IF(I30=0,0,1000000*I30/TrRoad_act!I70)</f>
        <v>23369.463543071932</v>
      </c>
      <c r="J121" s="101">
        <f>IF(J30=0,0,1000000*J30/TrRoad_act!J70)</f>
        <v>22412.207711144591</v>
      </c>
      <c r="K121" s="101">
        <f>IF(K30=0,0,1000000*K30/TrRoad_act!K70)</f>
        <v>21555.543854953048</v>
      </c>
      <c r="L121" s="101">
        <f>IF(L30=0,0,1000000*L30/TrRoad_act!L70)</f>
        <v>21204.244806822804</v>
      </c>
      <c r="M121" s="101">
        <f>IF(M30=0,0,1000000*M30/TrRoad_act!M70)</f>
        <v>22025.708514129354</v>
      </c>
      <c r="N121" s="101">
        <f>IF(N30=0,0,1000000*N30/TrRoad_act!N70)</f>
        <v>22250.734044249526</v>
      </c>
      <c r="O121" s="101">
        <f>IF(O30=0,0,1000000*O30/TrRoad_act!O70)</f>
        <v>21809.410513357027</v>
      </c>
      <c r="P121" s="101">
        <f>IF(P30=0,0,1000000*P30/TrRoad_act!P70)</f>
        <v>23283.268639976948</v>
      </c>
      <c r="Q121" s="101">
        <f>IF(Q30=0,0,1000000*Q30/TrRoad_act!Q70)</f>
        <v>23761.517325877405</v>
      </c>
      <c r="R121" s="101">
        <f>IF(R30=0,0,1000000*R30/TrRoad_act!R70)</f>
        <v>25059.732567188825</v>
      </c>
      <c r="S121" s="101">
        <f>IF(S30=0,0,1000000*S30/TrRoad_act!S70)</f>
        <v>26110.797557794504</v>
      </c>
      <c r="T121" s="101">
        <f>IF(T30=0,0,1000000*T30/TrRoad_act!T70)</f>
        <v>25846.191062023034</v>
      </c>
      <c r="U121" s="101">
        <f>IF(U30=0,0,1000000*U30/TrRoad_act!U70)</f>
        <v>25672.951635776804</v>
      </c>
      <c r="V121" s="101">
        <f>IF(V30=0,0,1000000*V30/TrRoad_act!V70)</f>
        <v>19450.50661481373</v>
      </c>
      <c r="W121" s="101">
        <f>IF(W30=0,0,1000000*W30/TrRoad_act!W70)</f>
        <v>19535.39900965161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39760.875000000007</v>
      </c>
      <c r="L122" s="101">
        <f>IF(L31=0,0,1000000*L31/TrRoad_act!L71)</f>
        <v>43499.076923076922</v>
      </c>
      <c r="M122" s="101">
        <f>IF(M31=0,0,1000000*M31/TrRoad_act!M71)</f>
        <v>44514.852071005931</v>
      </c>
      <c r="N122" s="101">
        <f>IF(N31=0,0,1000000*N31/TrRoad_act!N71)</f>
        <v>40996.68583325381</v>
      </c>
      <c r="O122" s="101">
        <f>IF(O31=0,0,1000000*O31/TrRoad_act!O71)</f>
        <v>35824.697832543221</v>
      </c>
      <c r="P122" s="101">
        <f>IF(P31=0,0,1000000*P31/TrRoad_act!P71)</f>
        <v>35783.66453591246</v>
      </c>
      <c r="Q122" s="101">
        <f>IF(Q31=0,0,1000000*Q31/TrRoad_act!Q71)</f>
        <v>33431.774627783292</v>
      </c>
      <c r="R122" s="101">
        <f>IF(R31=0,0,1000000*R31/TrRoad_act!R71)</f>
        <v>33525.292176920339</v>
      </c>
      <c r="S122" s="101">
        <f>IF(S31=0,0,1000000*S31/TrRoad_act!S71)</f>
        <v>35109.529056648324</v>
      </c>
      <c r="T122" s="101">
        <f>IF(T31=0,0,1000000*T31/TrRoad_act!T71)</f>
        <v>35173.293317352145</v>
      </c>
      <c r="U122" s="101">
        <f>IF(U31=0,0,1000000*U31/TrRoad_act!U71)</f>
        <v>35521.977663788588</v>
      </c>
      <c r="V122" s="101">
        <f>IF(V31=0,0,1000000*V31/TrRoad_act!V71)</f>
        <v>26907.282522761212</v>
      </c>
      <c r="W122" s="101">
        <f>IF(W31=0,0,1000000*W31/TrRoad_act!W71)</f>
        <v>27783.792522409625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4728.6665180407708</v>
      </c>
      <c r="C125" s="152">
        <f>IF(C34=0,0,1000000*C34/TrRoad_act!C74)</f>
        <v>4567.7994961323011</v>
      </c>
      <c r="D125" s="152">
        <f>IF(D34=0,0,1000000*D34/TrRoad_act!D74)</f>
        <v>4213.2686345372604</v>
      </c>
      <c r="E125" s="152">
        <f>IF(E34=0,0,1000000*E34/TrRoad_act!E74)</f>
        <v>3992.4946016333606</v>
      </c>
      <c r="F125" s="152">
        <f>IF(F34=0,0,1000000*F34/TrRoad_act!F74)</f>
        <v>3933.9334841394852</v>
      </c>
      <c r="G125" s="152">
        <f>IF(G34=0,0,1000000*G34/TrRoad_act!G74)</f>
        <v>3717.3201863650415</v>
      </c>
      <c r="H125" s="152">
        <f>IF(H34=0,0,1000000*H34/TrRoad_act!H74)</f>
        <v>3484.3152485554419</v>
      </c>
      <c r="I125" s="152">
        <f>IF(I34=0,0,1000000*I34/TrRoad_act!I74)</f>
        <v>3441.5258672834989</v>
      </c>
      <c r="J125" s="152">
        <f>IF(J34=0,0,1000000*J34/TrRoad_act!J74)</f>
        <v>3304.1166533168293</v>
      </c>
      <c r="K125" s="152">
        <f>IF(K34=0,0,1000000*K34/TrRoad_act!K74)</f>
        <v>3072.4496685601193</v>
      </c>
      <c r="L125" s="152">
        <f>IF(L34=0,0,1000000*L34/TrRoad_act!L74)</f>
        <v>3160.1176524998323</v>
      </c>
      <c r="M125" s="152">
        <f>IF(M34=0,0,1000000*M34/TrRoad_act!M74)</f>
        <v>3138.7472801291019</v>
      </c>
      <c r="N125" s="152">
        <f>IF(N34=0,0,1000000*N34/TrRoad_act!N74)</f>
        <v>3055.2540735749944</v>
      </c>
      <c r="O125" s="152">
        <f>IF(O34=0,0,1000000*O34/TrRoad_act!O74)</f>
        <v>2988.1224254486719</v>
      </c>
      <c r="P125" s="152">
        <f>IF(P34=0,0,1000000*P34/TrRoad_act!P74)</f>
        <v>3176.1112622718683</v>
      </c>
      <c r="Q125" s="152">
        <f>IF(Q34=0,0,1000000*Q34/TrRoad_act!Q74)</f>
        <v>3144.6778092292925</v>
      </c>
      <c r="R125" s="152">
        <f>IF(R34=0,0,1000000*R34/TrRoad_act!R74)</f>
        <v>3294.2289759846003</v>
      </c>
      <c r="S125" s="152">
        <f>IF(S34=0,0,1000000*S34/TrRoad_act!S74)</f>
        <v>3274.1457607705843</v>
      </c>
      <c r="T125" s="152">
        <f>IF(T34=0,0,1000000*T34/TrRoad_act!T74)</f>
        <v>3204.8254501587653</v>
      </c>
      <c r="U125" s="152">
        <f>IF(U34=0,0,1000000*U34/TrRoad_act!U74)</f>
        <v>3190.2882911722736</v>
      </c>
      <c r="V125" s="152">
        <f>IF(V34=0,0,1000000*V34/TrRoad_act!V74)</f>
        <v>3124.2381857668138</v>
      </c>
      <c r="W125" s="152">
        <f>IF(W34=0,0,1000000*W34/TrRoad_act!W74)</f>
        <v>3050.6842151783344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4083.8371733373656</v>
      </c>
      <c r="C126" s="87">
        <f>IF(C35=0,0,1000000*C35/TrRoad_act!C75)</f>
        <v>3919.4149779618374</v>
      </c>
      <c r="D126" s="87">
        <f>IF(D35=0,0,1000000*D35/TrRoad_act!D75)</f>
        <v>3786.3686071869661</v>
      </c>
      <c r="E126" s="87">
        <f>IF(E35=0,0,1000000*E35/TrRoad_act!E75)</f>
        <v>3675.7423544708904</v>
      </c>
      <c r="F126" s="87">
        <f>IF(F35=0,0,1000000*F35/TrRoad_act!F75)</f>
        <v>3580.6623064103819</v>
      </c>
      <c r="G126" s="87">
        <f>IF(G35=0,0,1000000*G35/TrRoad_act!G75)</f>
        <v>3496.1320497610936</v>
      </c>
      <c r="H126" s="87">
        <f>IF(H35=0,0,1000000*H35/TrRoad_act!H75)</f>
        <v>3439.9627021037295</v>
      </c>
      <c r="I126" s="87">
        <f>IF(I35=0,0,1000000*I35/TrRoad_act!I75)</f>
        <v>3389.8944501950741</v>
      </c>
      <c r="J126" s="87">
        <f>IF(J35=0,0,1000000*J35/TrRoad_act!J75)</f>
        <v>3341.5523516447261</v>
      </c>
      <c r="K126" s="87">
        <f>IF(K35=0,0,1000000*K35/TrRoad_act!K75)</f>
        <v>3322.9488408080215</v>
      </c>
      <c r="L126" s="87">
        <f>IF(L35=0,0,1000000*L35/TrRoad_act!L75)</f>
        <v>3297.8775306396506</v>
      </c>
      <c r="M126" s="87">
        <f>IF(M35=0,0,1000000*M35/TrRoad_act!M75)</f>
        <v>3277.5927822887611</v>
      </c>
      <c r="N126" s="87">
        <f>IF(N35=0,0,1000000*N35/TrRoad_act!N75)</f>
        <v>3233.640996700728</v>
      </c>
      <c r="O126" s="87">
        <f>IF(O35=0,0,1000000*O35/TrRoad_act!O75)</f>
        <v>3182.8371816850422</v>
      </c>
      <c r="P126" s="87">
        <f>IF(P35=0,0,1000000*P35/TrRoad_act!P75)</f>
        <v>3145.6293135181304</v>
      </c>
      <c r="Q126" s="87">
        <f>IF(Q35=0,0,1000000*Q35/TrRoad_act!Q75)</f>
        <v>2962.2918061956402</v>
      </c>
      <c r="R126" s="87">
        <f>IF(R35=0,0,1000000*R35/TrRoad_act!R75)</f>
        <v>2968.4189561580829</v>
      </c>
      <c r="S126" s="87">
        <f>IF(S35=0,0,1000000*S35/TrRoad_act!S75)</f>
        <v>2812.0994477839026</v>
      </c>
      <c r="T126" s="87">
        <f>IF(T35=0,0,1000000*T35/TrRoad_act!T75)</f>
        <v>2702.1863789053978</v>
      </c>
      <c r="U126" s="87">
        <f>IF(U35=0,0,1000000*U35/TrRoad_act!U75)</f>
        <v>2832.3247939618418</v>
      </c>
      <c r="V126" s="87">
        <f>IF(V35=0,0,1000000*V35/TrRoad_act!V75)</f>
        <v>2707.8558356100502</v>
      </c>
      <c r="W126" s="87">
        <f>IF(W35=0,0,1000000*W35/TrRoad_act!W75)</f>
        <v>2664.3256064642633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4843.3815112581997</v>
      </c>
      <c r="C127" s="87">
        <f>IF(C36=0,0,1000000*C36/TrRoad_act!C76)</f>
        <v>4678.5884560890709</v>
      </c>
      <c r="D127" s="87">
        <f>IF(D36=0,0,1000000*D36/TrRoad_act!D76)</f>
        <v>4279.2510575405422</v>
      </c>
      <c r="E127" s="87">
        <f>IF(E36=0,0,1000000*E36/TrRoad_act!E76)</f>
        <v>4037.3224246302457</v>
      </c>
      <c r="F127" s="87">
        <f>IF(F36=0,0,1000000*F36/TrRoad_act!F76)</f>
        <v>3980.2923807931006</v>
      </c>
      <c r="G127" s="87">
        <f>IF(G36=0,0,1000000*G36/TrRoad_act!G76)</f>
        <v>3743.8251916362847</v>
      </c>
      <c r="H127" s="87">
        <f>IF(H36=0,0,1000000*H36/TrRoad_act!H76)</f>
        <v>3489.6300101104066</v>
      </c>
      <c r="I127" s="87">
        <f>IF(I36=0,0,1000000*I36/TrRoad_act!I76)</f>
        <v>3447.71181513801</v>
      </c>
      <c r="J127" s="87">
        <f>IF(J36=0,0,1000000*J36/TrRoad_act!J76)</f>
        <v>3300.2739188994974</v>
      </c>
      <c r="K127" s="87">
        <f>IF(K36=0,0,1000000*K36/TrRoad_act!K76)</f>
        <v>3051.8459277707157</v>
      </c>
      <c r="L127" s="87">
        <f>IF(L36=0,0,1000000*L36/TrRoad_act!L76)</f>
        <v>3149.1920238457978</v>
      </c>
      <c r="M127" s="87">
        <f>IF(M36=0,0,1000000*M36/TrRoad_act!M76)</f>
        <v>3130.2481178920048</v>
      </c>
      <c r="N127" s="87">
        <f>IF(N36=0,0,1000000*N36/TrRoad_act!N76)</f>
        <v>3046.9922311116156</v>
      </c>
      <c r="O127" s="87">
        <f>IF(O36=0,0,1000000*O36/TrRoad_act!O76)</f>
        <v>2980.6310160972398</v>
      </c>
      <c r="P127" s="87">
        <f>IF(P36=0,0,1000000*P36/TrRoad_act!P76)</f>
        <v>3177.0772953884816</v>
      </c>
      <c r="Q127" s="87">
        <f>IF(Q36=0,0,1000000*Q36/TrRoad_act!Q76)</f>
        <v>3149.3580910247811</v>
      </c>
      <c r="R127" s="87">
        <f>IF(R36=0,0,1000000*R36/TrRoad_act!R76)</f>
        <v>3301.6519466607469</v>
      </c>
      <c r="S127" s="87">
        <f>IF(S36=0,0,1000000*S36/TrRoad_act!S76)</f>
        <v>3283.5519221356249</v>
      </c>
      <c r="T127" s="87">
        <f>IF(T36=0,0,1000000*T36/TrRoad_act!T76)</f>
        <v>3214.03482643092</v>
      </c>
      <c r="U127" s="87">
        <f>IF(U36=0,0,1000000*U36/TrRoad_act!U76)</f>
        <v>3198.6157527214928</v>
      </c>
      <c r="V127" s="87">
        <f>IF(V36=0,0,1000000*V36/TrRoad_act!V76)</f>
        <v>3132.629393759225</v>
      </c>
      <c r="W127" s="87">
        <f>IF(W36=0,0,1000000*W36/TrRoad_act!W76)</f>
        <v>3057.5811134703567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20561.215998409974</v>
      </c>
      <c r="C131" s="116">
        <f>IF(C40=0,0,1000000*C40/TrRoad_act!C80)</f>
        <v>27963.688689344024</v>
      </c>
      <c r="D131" s="116">
        <f>IF(D40=0,0,1000000*D40/TrRoad_act!D80)</f>
        <v>27907.115322914295</v>
      </c>
      <c r="E131" s="116">
        <f>IF(E40=0,0,1000000*E40/TrRoad_act!E80)</f>
        <v>17683.261165393429</v>
      </c>
      <c r="F131" s="116">
        <f>IF(F40=0,0,1000000*F40/TrRoad_act!F80)</f>
        <v>21103.246233087655</v>
      </c>
      <c r="G131" s="116">
        <f>IF(G40=0,0,1000000*G40/TrRoad_act!G80)</f>
        <v>20977.528370478802</v>
      </c>
      <c r="H131" s="116">
        <f>IF(H40=0,0,1000000*H40/TrRoad_act!H80)</f>
        <v>18406.745355255032</v>
      </c>
      <c r="I131" s="116">
        <f>IF(I40=0,0,1000000*I40/TrRoad_act!I80)</f>
        <v>26952.488195952119</v>
      </c>
      <c r="J131" s="116">
        <f>IF(J40=0,0,1000000*J40/TrRoad_act!J80)</f>
        <v>31837.766632401232</v>
      </c>
      <c r="K131" s="116">
        <f>IF(K40=0,0,1000000*K40/TrRoad_act!K80)</f>
        <v>16887.282970519933</v>
      </c>
      <c r="L131" s="116">
        <f>IF(L40=0,0,1000000*L40/TrRoad_act!L80)</f>
        <v>22865.4327178233</v>
      </c>
      <c r="M131" s="116">
        <f>IF(M40=0,0,1000000*M40/TrRoad_act!M80)</f>
        <v>27606.876290419008</v>
      </c>
      <c r="N131" s="116">
        <f>IF(N40=0,0,1000000*N40/TrRoad_act!N80)</f>
        <v>17373.058753372949</v>
      </c>
      <c r="O131" s="116">
        <f>IF(O40=0,0,1000000*O40/TrRoad_act!O80)</f>
        <v>18713.364184054586</v>
      </c>
      <c r="P131" s="116">
        <f>IF(P40=0,0,1000000*P40/TrRoad_act!P80)</f>
        <v>30695.310863547133</v>
      </c>
      <c r="Q131" s="116">
        <f>IF(Q40=0,0,1000000*Q40/TrRoad_act!Q80)</f>
        <v>33999.219587141968</v>
      </c>
      <c r="R131" s="116">
        <f>IF(R40=0,0,1000000*R40/TrRoad_act!R80)</f>
        <v>31404.012134757508</v>
      </c>
      <c r="S131" s="116">
        <f>IF(S40=0,0,1000000*S40/TrRoad_act!S80)</f>
        <v>33883.970846573327</v>
      </c>
      <c r="T131" s="116">
        <f>IF(T40=0,0,1000000*T40/TrRoad_act!T80)</f>
        <v>33394.387754270145</v>
      </c>
      <c r="U131" s="116">
        <f>IF(U40=0,0,1000000*U40/TrRoad_act!U80)</f>
        <v>36407.171763473707</v>
      </c>
      <c r="V131" s="116">
        <f>IF(V40=0,0,1000000*V40/TrRoad_act!V80)</f>
        <v>36754.607870264328</v>
      </c>
      <c r="W131" s="116">
        <f>IF(W40=0,0,1000000*W40/TrRoad_act!W80)</f>
        <v>33577.766503870385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13183.194755972825</v>
      </c>
      <c r="C132" s="101">
        <f>IF(C41=0,0,1000000*C41/TrRoad_act!C81)</f>
        <v>15123.571666679551</v>
      </c>
      <c r="D132" s="101">
        <f>IF(D41=0,0,1000000*D41/TrRoad_act!D81)</f>
        <v>14877.445620654387</v>
      </c>
      <c r="E132" s="101">
        <f>IF(E41=0,0,1000000*E41/TrRoad_act!E81)</f>
        <v>12244.277167258189</v>
      </c>
      <c r="F132" s="101">
        <f>IF(F41=0,0,1000000*F41/TrRoad_act!F81)</f>
        <v>12832.455452780194</v>
      </c>
      <c r="G132" s="101">
        <f>IF(G41=0,0,1000000*G41/TrRoad_act!G81)</f>
        <v>12447.533242566449</v>
      </c>
      <c r="H132" s="101">
        <f>IF(H41=0,0,1000000*H41/TrRoad_act!H81)</f>
        <v>11284.669852639401</v>
      </c>
      <c r="I132" s="101">
        <f>IF(I41=0,0,1000000*I41/TrRoad_act!I81)</f>
        <v>13414.395865485745</v>
      </c>
      <c r="J132" s="101">
        <f>IF(J41=0,0,1000000*J41/TrRoad_act!J81)</f>
        <v>14455.518033403971</v>
      </c>
      <c r="K132" s="101">
        <f>IF(K41=0,0,1000000*K41/TrRoad_act!K81)</f>
        <v>10863.307805520426</v>
      </c>
      <c r="L132" s="101">
        <f>IF(L41=0,0,1000000*L41/TrRoad_act!L81)</f>
        <v>11453.772610081038</v>
      </c>
      <c r="M132" s="101">
        <f>IF(M41=0,0,1000000*M41/TrRoad_act!M81)</f>
        <v>12468.836506391626</v>
      </c>
      <c r="N132" s="101">
        <f>IF(N41=0,0,1000000*N41/TrRoad_act!N81)</f>
        <v>10020.051048620193</v>
      </c>
      <c r="O132" s="101">
        <f>IF(O41=0,0,1000000*O41/TrRoad_act!O81)</f>
        <v>10335.058979976469</v>
      </c>
      <c r="P132" s="101">
        <f>IF(P41=0,0,1000000*P41/TrRoad_act!P81)</f>
        <v>13577.22663273634</v>
      </c>
      <c r="Q132" s="101">
        <f>IF(Q41=0,0,1000000*Q41/TrRoad_act!Q81)</f>
        <v>14002.989971475194</v>
      </c>
      <c r="R132" s="101">
        <f>IF(R41=0,0,1000000*R41/TrRoad_act!R81)</f>
        <v>13384.781175778991</v>
      </c>
      <c r="S132" s="101">
        <f>IF(S41=0,0,1000000*S41/TrRoad_act!S81)</f>
        <v>14529.823760641841</v>
      </c>
      <c r="T132" s="101">
        <f>IF(T41=0,0,1000000*T41/TrRoad_act!T81)</f>
        <v>14369.237883660258</v>
      </c>
      <c r="U132" s="101">
        <f>IF(U41=0,0,1000000*U41/TrRoad_act!U81)</f>
        <v>15864.856469780898</v>
      </c>
      <c r="V132" s="101">
        <f>IF(V41=0,0,1000000*V41/TrRoad_act!V81)</f>
        <v>15563.714193738226</v>
      </c>
      <c r="W132" s="101">
        <f>IF(W41=0,0,1000000*W41/TrRoad_act!W81)</f>
        <v>13367.943787524831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166588.98139269673</v>
      </c>
      <c r="C133" s="88">
        <f>IF(C42=0,0,1000000*C42/TrRoad_act!C82)</f>
        <v>263880.40739431075</v>
      </c>
      <c r="D133" s="88">
        <f>IF(D42=0,0,1000000*D42/TrRoad_act!D82)</f>
        <v>258279.03606408116</v>
      </c>
      <c r="E133" s="88">
        <f>IF(E42=0,0,1000000*E42/TrRoad_act!E82)</f>
        <v>139294.64942896194</v>
      </c>
      <c r="F133" s="88">
        <f>IF(F42=0,0,1000000*F42/TrRoad_act!F82)</f>
        <v>178022.8713101891</v>
      </c>
      <c r="G133" s="88">
        <f>IF(G42=0,0,1000000*G42/TrRoad_act!G82)</f>
        <v>164878.22532953756</v>
      </c>
      <c r="H133" s="88">
        <f>IF(H42=0,0,1000000*H42/TrRoad_act!H82)</f>
        <v>116138.28037600247</v>
      </c>
      <c r="I133" s="88">
        <f>IF(I42=0,0,1000000*I42/TrRoad_act!I82)</f>
        <v>214126.40247873947</v>
      </c>
      <c r="J133" s="88">
        <f>IF(J42=0,0,1000000*J42/TrRoad_act!J82)</f>
        <v>261637.3467410579</v>
      </c>
      <c r="K133" s="88">
        <f>IF(K42=0,0,1000000*K42/TrRoad_act!K82)</f>
        <v>110567.51547488917</v>
      </c>
      <c r="L133" s="88">
        <f>IF(L42=0,0,1000000*L42/TrRoad_act!L82)</f>
        <v>170597.58155304802</v>
      </c>
      <c r="M133" s="88">
        <f>IF(M42=0,0,1000000*M42/TrRoad_act!M82)</f>
        <v>202721.49450385111</v>
      </c>
      <c r="N133" s="88">
        <f>IF(N42=0,0,1000000*N42/TrRoad_act!N82)</f>
        <v>95309.47904058182</v>
      </c>
      <c r="O133" s="88">
        <f>IF(O42=0,0,1000000*O42/TrRoad_act!O82)</f>
        <v>98919.543003683983</v>
      </c>
      <c r="P133" s="88">
        <f>IF(P42=0,0,1000000*P42/TrRoad_act!P82)</f>
        <v>214729.05528220901</v>
      </c>
      <c r="Q133" s="88">
        <f>IF(Q42=0,0,1000000*Q42/TrRoad_act!Q82)</f>
        <v>219065.25194665045</v>
      </c>
      <c r="R133" s="88">
        <f>IF(R42=0,0,1000000*R42/TrRoad_act!R82)</f>
        <v>196892.0169812722</v>
      </c>
      <c r="S133" s="88">
        <f>IF(S42=0,0,1000000*S42/TrRoad_act!S82)</f>
        <v>203578.18485225507</v>
      </c>
      <c r="T133" s="88">
        <f>IF(T42=0,0,1000000*T42/TrRoad_act!T82)</f>
        <v>228032.65103930267</v>
      </c>
      <c r="U133" s="88">
        <f>IF(U42=0,0,1000000*U42/TrRoad_act!U82)</f>
        <v>241518.28953138372</v>
      </c>
      <c r="V133" s="88">
        <f>IF(V42=0,0,1000000*V42/TrRoad_act!V82)</f>
        <v>233849.19324518985</v>
      </c>
      <c r="W133" s="88">
        <f>IF(W42=0,0,1000000*W42/TrRoad_act!W82)</f>
        <v>239916.33683848559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0.76282168207648993</v>
      </c>
      <c r="C136" s="46">
        <f t="shared" si="40"/>
        <v>0.71929378661044852</v>
      </c>
      <c r="D136" s="46">
        <f t="shared" si="40"/>
        <v>0.72506793075592968</v>
      </c>
      <c r="E136" s="46">
        <f t="shared" si="40"/>
        <v>0.77324849587812317</v>
      </c>
      <c r="F136" s="46">
        <f t="shared" si="40"/>
        <v>0.7565628587086336</v>
      </c>
      <c r="G136" s="46">
        <f t="shared" si="40"/>
        <v>0.78511978035443664</v>
      </c>
      <c r="H136" s="46">
        <f t="shared" si="40"/>
        <v>0.80663018350424698</v>
      </c>
      <c r="I136" s="46">
        <f t="shared" si="40"/>
        <v>0.7477086469640758</v>
      </c>
      <c r="J136" s="46">
        <f t="shared" si="40"/>
        <v>0.73364371169094911</v>
      </c>
      <c r="K136" s="46">
        <f t="shared" si="40"/>
        <v>0.81408592795799706</v>
      </c>
      <c r="L136" s="46">
        <f t="shared" si="41"/>
        <v>0.78371616326720384</v>
      </c>
      <c r="M136" s="46">
        <f t="shared" si="40"/>
        <v>0.73817589917173843</v>
      </c>
      <c r="N136" s="46">
        <f t="shared" si="40"/>
        <v>0.80745683997711304</v>
      </c>
      <c r="O136" s="46">
        <f t="shared" si="40"/>
        <v>0.78481044830671232</v>
      </c>
      <c r="P136" s="46">
        <f t="shared" si="40"/>
        <v>0.6928012843461353</v>
      </c>
      <c r="Q136" s="46">
        <f t="shared" si="40"/>
        <v>0.68877743241196987</v>
      </c>
      <c r="R136" s="46">
        <f t="shared" si="40"/>
        <v>0.72278843355836098</v>
      </c>
      <c r="S136" s="46">
        <f t="shared" si="40"/>
        <v>0.72502532482286219</v>
      </c>
      <c r="T136" s="46">
        <f t="shared" si="40"/>
        <v>0.72389956981055259</v>
      </c>
      <c r="U136" s="46">
        <f t="shared" si="40"/>
        <v>0.72132693971160999</v>
      </c>
      <c r="V136" s="46">
        <f t="shared" si="40"/>
        <v>0.70034581243033767</v>
      </c>
      <c r="W136" s="46">
        <f t="shared" si="42"/>
        <v>0.69283097357471302</v>
      </c>
      <c r="DA136" s="211"/>
    </row>
    <row r="137" spans="1:105" ht="11.45" customHeight="1" x14ac:dyDescent="0.25">
      <c r="A137" s="153" t="s">
        <v>180</v>
      </c>
      <c r="B137" s="154">
        <f t="shared" si="40"/>
        <v>3.0912102601835041E-3</v>
      </c>
      <c r="C137" s="154">
        <f t="shared" si="40"/>
        <v>2.8232606897075187E-3</v>
      </c>
      <c r="D137" s="154">
        <f t="shared" si="40"/>
        <v>2.7965060814353652E-3</v>
      </c>
      <c r="E137" s="154">
        <f t="shared" si="40"/>
        <v>2.6845946008856201E-3</v>
      </c>
      <c r="F137" s="154">
        <f t="shared" si="40"/>
        <v>2.5057759133605634E-3</v>
      </c>
      <c r="G137" s="154">
        <f t="shared" si="40"/>
        <v>2.2750680302905698E-3</v>
      </c>
      <c r="H137" s="154">
        <f t="shared" si="40"/>
        <v>2.188123211437677E-3</v>
      </c>
      <c r="I137" s="154">
        <f t="shared" si="40"/>
        <v>2.0193068183787413E-3</v>
      </c>
      <c r="J137" s="154">
        <f t="shared" si="40"/>
        <v>2.2759869910505244E-3</v>
      </c>
      <c r="K137" s="154">
        <f t="shared" si="40"/>
        <v>2.8813087227480844E-3</v>
      </c>
      <c r="L137" s="154">
        <f t="shared" si="41"/>
        <v>2.7338411098248999E-3</v>
      </c>
      <c r="M137" s="154">
        <f t="shared" si="40"/>
        <v>2.6990037071052166E-3</v>
      </c>
      <c r="N137" s="154">
        <f t="shared" si="40"/>
        <v>2.6342261887426039E-3</v>
      </c>
      <c r="O137" s="154">
        <f t="shared" si="40"/>
        <v>2.5926954078600989E-3</v>
      </c>
      <c r="P137" s="154">
        <f t="shared" si="40"/>
        <v>2.2176519620248076E-3</v>
      </c>
      <c r="Q137" s="154">
        <f t="shared" si="40"/>
        <v>2.0273447222298267E-3</v>
      </c>
      <c r="R137" s="154">
        <f t="shared" si="40"/>
        <v>2.1125226473958764E-3</v>
      </c>
      <c r="S137" s="154">
        <f t="shared" si="40"/>
        <v>1.8776114436946038E-3</v>
      </c>
      <c r="T137" s="154">
        <f t="shared" si="40"/>
        <v>1.6676777932026117E-3</v>
      </c>
      <c r="U137" s="154">
        <f t="shared" si="40"/>
        <v>1.6401220136235493E-3</v>
      </c>
      <c r="V137" s="154">
        <f t="shared" si="40"/>
        <v>1.4458995356175252E-3</v>
      </c>
      <c r="W137" s="154">
        <f t="shared" si="42"/>
        <v>1.2434709974721491E-3</v>
      </c>
      <c r="DA137" s="212"/>
    </row>
    <row r="138" spans="1:105" ht="11.45" customHeight="1" x14ac:dyDescent="0.25">
      <c r="A138" s="155" t="s">
        <v>20</v>
      </c>
      <c r="B138" s="156">
        <f t="shared" si="40"/>
        <v>0.69458311819575624</v>
      </c>
      <c r="C138" s="156">
        <f t="shared" si="40"/>
        <v>0.65945215047915828</v>
      </c>
      <c r="D138" s="156">
        <f t="shared" si="40"/>
        <v>0.66565497071050639</v>
      </c>
      <c r="E138" s="156">
        <f t="shared" si="40"/>
        <v>0.7147548365822991</v>
      </c>
      <c r="F138" s="156">
        <f t="shared" si="40"/>
        <v>0.70036430658501281</v>
      </c>
      <c r="G138" s="156">
        <f t="shared" si="40"/>
        <v>0.73411759757225292</v>
      </c>
      <c r="H138" s="156">
        <f t="shared" si="40"/>
        <v>0.76130018036351932</v>
      </c>
      <c r="I138" s="156">
        <f t="shared" si="40"/>
        <v>0.71221278494228835</v>
      </c>
      <c r="J138" s="156">
        <f t="shared" si="40"/>
        <v>0.69987109917076262</v>
      </c>
      <c r="K138" s="156">
        <f t="shared" si="40"/>
        <v>0.77384607552228846</v>
      </c>
      <c r="L138" s="156">
        <f t="shared" si="41"/>
        <v>0.74551461243661477</v>
      </c>
      <c r="M138" s="156">
        <f t="shared" si="40"/>
        <v>0.69916239948120551</v>
      </c>
      <c r="N138" s="156">
        <f t="shared" si="40"/>
        <v>0.76965157093217562</v>
      </c>
      <c r="O138" s="156">
        <f t="shared" si="40"/>
        <v>0.75067086884133793</v>
      </c>
      <c r="P138" s="156">
        <f t="shared" si="40"/>
        <v>0.66129216734547858</v>
      </c>
      <c r="Q138" s="156">
        <f t="shared" si="40"/>
        <v>0.65816307941848518</v>
      </c>
      <c r="R138" s="156">
        <f t="shared" si="40"/>
        <v>0.69484384432873036</v>
      </c>
      <c r="S138" s="156">
        <f t="shared" si="40"/>
        <v>0.69773787177048163</v>
      </c>
      <c r="T138" s="156">
        <f t="shared" si="40"/>
        <v>0.69759200141325284</v>
      </c>
      <c r="U138" s="156">
        <f t="shared" si="40"/>
        <v>0.69296155796962344</v>
      </c>
      <c r="V138" s="156">
        <f t="shared" si="40"/>
        <v>0.67885528677786011</v>
      </c>
      <c r="W138" s="156">
        <f t="shared" si="42"/>
        <v>0.67307434314823011</v>
      </c>
      <c r="DA138" s="213"/>
    </row>
    <row r="139" spans="1:105" ht="11.45" customHeight="1" x14ac:dyDescent="0.25">
      <c r="A139" s="157" t="s">
        <v>110</v>
      </c>
      <c r="B139" s="103">
        <f t="shared" si="40"/>
        <v>0.39542234709807794</v>
      </c>
      <c r="C139" s="103">
        <f t="shared" si="40"/>
        <v>0.35529867670698911</v>
      </c>
      <c r="D139" s="103">
        <f t="shared" si="40"/>
        <v>0.33461602199362528</v>
      </c>
      <c r="E139" s="103">
        <f t="shared" si="40"/>
        <v>0.32879136227352879</v>
      </c>
      <c r="F139" s="103">
        <f t="shared" si="40"/>
        <v>0.28502735836221815</v>
      </c>
      <c r="G139" s="103">
        <f t="shared" si="40"/>
        <v>0.2630047120410588</v>
      </c>
      <c r="H139" s="103">
        <f t="shared" si="40"/>
        <v>0.25857432065659269</v>
      </c>
      <c r="I139" s="103">
        <f t="shared" si="40"/>
        <v>0.26384728243023486</v>
      </c>
      <c r="J139" s="103">
        <f t="shared" si="40"/>
        <v>0.26139824327162547</v>
      </c>
      <c r="K139" s="103">
        <f t="shared" si="40"/>
        <v>0.2637654485767601</v>
      </c>
      <c r="L139" s="103">
        <f t="shared" si="41"/>
        <v>0.20569231942552088</v>
      </c>
      <c r="M139" s="103">
        <f t="shared" si="40"/>
        <v>0.17946067785656336</v>
      </c>
      <c r="N139" s="103">
        <f t="shared" si="40"/>
        <v>0.15984908379576676</v>
      </c>
      <c r="O139" s="103">
        <f t="shared" si="40"/>
        <v>0.1437885227964916</v>
      </c>
      <c r="P139" s="103">
        <f t="shared" si="40"/>
        <v>0.12613783956219957</v>
      </c>
      <c r="Q139" s="103">
        <f t="shared" si="40"/>
        <v>0.11581042514037793</v>
      </c>
      <c r="R139" s="103">
        <f t="shared" si="40"/>
        <v>0.11542389743244809</v>
      </c>
      <c r="S139" s="103">
        <f t="shared" si="40"/>
        <v>0.10869443092906819</v>
      </c>
      <c r="T139" s="103">
        <f t="shared" si="40"/>
        <v>0.11145494718199549</v>
      </c>
      <c r="U139" s="103">
        <f t="shared" si="40"/>
        <v>0.11062900657984168</v>
      </c>
      <c r="V139" s="103">
        <f t="shared" si="40"/>
        <v>0.11030713661594493</v>
      </c>
      <c r="W139" s="103">
        <f t="shared" si="42"/>
        <v>0.111435115311723</v>
      </c>
      <c r="DA139" s="191"/>
    </row>
    <row r="140" spans="1:105" ht="11.45" customHeight="1" x14ac:dyDescent="0.25">
      <c r="A140" s="157" t="s">
        <v>111</v>
      </c>
      <c r="B140" s="103">
        <f t="shared" si="40"/>
        <v>0.18646845834161244</v>
      </c>
      <c r="C140" s="103">
        <f t="shared" si="40"/>
        <v>0.19613362273983032</v>
      </c>
      <c r="D140" s="103">
        <f t="shared" si="40"/>
        <v>0.20531979239519652</v>
      </c>
      <c r="E140" s="103">
        <f t="shared" si="40"/>
        <v>0.24274786377198035</v>
      </c>
      <c r="F140" s="103">
        <f t="shared" si="40"/>
        <v>0.2585177232436956</v>
      </c>
      <c r="G140" s="103">
        <f t="shared" si="40"/>
        <v>0.31175964782102278</v>
      </c>
      <c r="H140" s="103">
        <f t="shared" si="40"/>
        <v>0.34973689979694794</v>
      </c>
      <c r="I140" s="103">
        <f t="shared" si="40"/>
        <v>0.32036346490673795</v>
      </c>
      <c r="J140" s="103">
        <f t="shared" si="40"/>
        <v>0.32457271937685145</v>
      </c>
      <c r="K140" s="103">
        <f t="shared" si="40"/>
        <v>0.38672333102180018</v>
      </c>
      <c r="L140" s="103">
        <f t="shared" si="41"/>
        <v>0.42675400505345462</v>
      </c>
      <c r="M140" s="103">
        <f t="shared" si="40"/>
        <v>0.41339580883647176</v>
      </c>
      <c r="N140" s="103">
        <f t="shared" si="40"/>
        <v>0.51056977272897563</v>
      </c>
      <c r="O140" s="103">
        <f t="shared" si="40"/>
        <v>0.5123399133456874</v>
      </c>
      <c r="P140" s="103">
        <f t="shared" si="40"/>
        <v>0.45269305386873127</v>
      </c>
      <c r="Q140" s="103">
        <f t="shared" si="40"/>
        <v>0.4698091157822511</v>
      </c>
      <c r="R140" s="103">
        <f t="shared" si="40"/>
        <v>0.51583014710528208</v>
      </c>
      <c r="S140" s="103">
        <f t="shared" si="40"/>
        <v>0.53220035248570696</v>
      </c>
      <c r="T140" s="103">
        <f t="shared" si="40"/>
        <v>0.53536049355348869</v>
      </c>
      <c r="U140" s="103">
        <f t="shared" si="40"/>
        <v>0.53449628084382017</v>
      </c>
      <c r="V140" s="103">
        <f t="shared" si="40"/>
        <v>0.52225773764881878</v>
      </c>
      <c r="W140" s="103">
        <f t="shared" si="42"/>
        <v>0.51768536306717039</v>
      </c>
      <c r="DA140" s="191"/>
    </row>
    <row r="141" spans="1:105" ht="11.45" customHeight="1" x14ac:dyDescent="0.25">
      <c r="A141" s="157" t="s">
        <v>112</v>
      </c>
      <c r="B141" s="103">
        <f t="shared" si="40"/>
        <v>0.11269231275606589</v>
      </c>
      <c r="C141" s="103">
        <f t="shared" si="40"/>
        <v>0.10801985103233887</v>
      </c>
      <c r="D141" s="103">
        <f t="shared" si="40"/>
        <v>0.12571915632168457</v>
      </c>
      <c r="E141" s="103">
        <f t="shared" si="40"/>
        <v>0.14321561053678999</v>
      </c>
      <c r="F141" s="103">
        <f t="shared" si="40"/>
        <v>0.15681922497909903</v>
      </c>
      <c r="G141" s="103">
        <f t="shared" si="40"/>
        <v>0.15935323771017132</v>
      </c>
      <c r="H141" s="103">
        <f t="shared" si="40"/>
        <v>0.15298895990997874</v>
      </c>
      <c r="I141" s="103">
        <f t="shared" si="40"/>
        <v>0.12800203760531548</v>
      </c>
      <c r="J141" s="103">
        <f t="shared" si="40"/>
        <v>0.11390013652228576</v>
      </c>
      <c r="K141" s="103">
        <f t="shared" si="40"/>
        <v>0.12335729592372809</v>
      </c>
      <c r="L141" s="103">
        <f t="shared" si="41"/>
        <v>0.11306828795763924</v>
      </c>
      <c r="M141" s="103">
        <f t="shared" si="40"/>
        <v>0.10630591278817036</v>
      </c>
      <c r="N141" s="103">
        <f t="shared" si="40"/>
        <v>9.923241802241145E-2</v>
      </c>
      <c r="O141" s="103">
        <f t="shared" si="40"/>
        <v>9.4322844873806308E-2</v>
      </c>
      <c r="P141" s="103">
        <f t="shared" si="40"/>
        <v>8.2055424181565237E-2</v>
      </c>
      <c r="Q141" s="103">
        <f t="shared" si="40"/>
        <v>7.2046819076976312E-2</v>
      </c>
      <c r="R141" s="103">
        <f t="shared" si="40"/>
        <v>6.2797089566364706E-2</v>
      </c>
      <c r="S141" s="103">
        <f t="shared" si="40"/>
        <v>5.570182680019381E-2</v>
      </c>
      <c r="T141" s="103">
        <f t="shared" si="40"/>
        <v>4.8939979471042665E-2</v>
      </c>
      <c r="U141" s="103">
        <f t="shared" si="40"/>
        <v>4.5087349354410874E-2</v>
      </c>
      <c r="V141" s="103">
        <f t="shared" si="40"/>
        <v>4.273269104168239E-2</v>
      </c>
      <c r="W141" s="103">
        <f t="shared" si="42"/>
        <v>4.0825346710953551E-2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2.963850218554306E-7</v>
      </c>
      <c r="O142" s="103">
        <f t="shared" si="40"/>
        <v>1.239231384337077E-6</v>
      </c>
      <c r="P142" s="103">
        <f t="shared" si="40"/>
        <v>6.0381208212914089E-6</v>
      </c>
      <c r="Q142" s="103">
        <f t="shared" si="40"/>
        <v>7.9658185778833257E-6</v>
      </c>
      <c r="R142" s="103">
        <f t="shared" si="40"/>
        <v>1.0719366312220859E-5</v>
      </c>
      <c r="S142" s="103">
        <f t="shared" si="40"/>
        <v>1.5814504920914573E-5</v>
      </c>
      <c r="T142" s="103">
        <f t="shared" si="40"/>
        <v>2.0080181289009765E-5</v>
      </c>
      <c r="U142" s="103">
        <f t="shared" si="40"/>
        <v>1.8900937995065841E-5</v>
      </c>
      <c r="V142" s="103">
        <f t="shared" si="40"/>
        <v>3.0936396735052955E-5</v>
      </c>
      <c r="W142" s="103">
        <f t="shared" si="42"/>
        <v>4.1553474455472841E-5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2.183485939680964E-4</v>
      </c>
      <c r="P143" s="103">
        <f t="shared" si="40"/>
        <v>3.9981161216118418E-4</v>
      </c>
      <c r="Q143" s="103">
        <f t="shared" si="40"/>
        <v>4.8875360030192468E-4</v>
      </c>
      <c r="R143" s="103">
        <f t="shared" si="40"/>
        <v>7.8199085832324515E-4</v>
      </c>
      <c r="S143" s="103">
        <f t="shared" si="40"/>
        <v>1.1254470505918277E-3</v>
      </c>
      <c r="T143" s="103">
        <f t="shared" si="40"/>
        <v>1.8165010254368758E-3</v>
      </c>
      <c r="U143" s="103">
        <f t="shared" si="40"/>
        <v>2.7300202535557702E-3</v>
      </c>
      <c r="V143" s="103">
        <f t="shared" si="40"/>
        <v>3.5267850746788635E-3</v>
      </c>
      <c r="W143" s="103">
        <f t="shared" si="42"/>
        <v>3.0869645839276777E-3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6.51473536205502E-2</v>
      </c>
      <c r="C145" s="156">
        <f t="shared" si="40"/>
        <v>5.7018375441582655E-2</v>
      </c>
      <c r="D145" s="156">
        <f t="shared" si="40"/>
        <v>5.6616453963987977E-2</v>
      </c>
      <c r="E145" s="156">
        <f t="shared" si="40"/>
        <v>5.5809064694938404E-2</v>
      </c>
      <c r="F145" s="156">
        <f t="shared" si="40"/>
        <v>5.3692776210260154E-2</v>
      </c>
      <c r="G145" s="156">
        <f t="shared" si="40"/>
        <v>4.8727114751893091E-2</v>
      </c>
      <c r="H145" s="156">
        <f t="shared" si="40"/>
        <v>4.3141879929290021E-2</v>
      </c>
      <c r="I145" s="156">
        <f t="shared" si="40"/>
        <v>3.3476555203408725E-2</v>
      </c>
      <c r="J145" s="156">
        <f t="shared" si="40"/>
        <v>3.1496625529136034E-2</v>
      </c>
      <c r="K145" s="156">
        <f t="shared" si="40"/>
        <v>3.7358543712960511E-2</v>
      </c>
      <c r="L145" s="156">
        <f t="shared" si="41"/>
        <v>3.5467709720764233E-2</v>
      </c>
      <c r="M145" s="156">
        <f t="shared" si="40"/>
        <v>3.6314495983427682E-2</v>
      </c>
      <c r="N145" s="156">
        <f t="shared" si="40"/>
        <v>3.517104285619474E-2</v>
      </c>
      <c r="O145" s="156">
        <f t="shared" si="40"/>
        <v>3.1546884057514248E-2</v>
      </c>
      <c r="P145" s="156">
        <f t="shared" si="40"/>
        <v>2.9291465038631843E-2</v>
      </c>
      <c r="Q145" s="156">
        <f t="shared" si="40"/>
        <v>2.8587008271254839E-2</v>
      </c>
      <c r="R145" s="156">
        <f t="shared" si="40"/>
        <v>2.5832066582234747E-2</v>
      </c>
      <c r="S145" s="156">
        <f t="shared" si="40"/>
        <v>2.5409841608686003E-2</v>
      </c>
      <c r="T145" s="156">
        <f t="shared" si="40"/>
        <v>2.463989060409718E-2</v>
      </c>
      <c r="U145" s="156">
        <f t="shared" si="40"/>
        <v>2.6725259728363041E-2</v>
      </c>
      <c r="V145" s="156">
        <f t="shared" si="40"/>
        <v>2.0044626116860087E-2</v>
      </c>
      <c r="W145" s="156">
        <f t="shared" si="42"/>
        <v>1.8513159429010776E-2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5.7981189147213401E-5</v>
      </c>
      <c r="E146" s="103">
        <f t="shared" si="40"/>
        <v>8.7030288280208067E-5</v>
      </c>
      <c r="F146" s="103">
        <f t="shared" si="40"/>
        <v>7.6085113248060914E-5</v>
      </c>
      <c r="G146" s="103">
        <f t="shared" si="40"/>
        <v>7.0173596523215962E-5</v>
      </c>
      <c r="H146" s="103">
        <f t="shared" si="40"/>
        <v>6.5996474037965372E-5</v>
      </c>
      <c r="I146" s="103">
        <f t="shared" si="40"/>
        <v>4.6080948885970834E-5</v>
      </c>
      <c r="J146" s="103">
        <f t="shared" si="40"/>
        <v>3.0544332967005392E-5</v>
      </c>
      <c r="K146" s="103">
        <f t="shared" si="40"/>
        <v>3.265308567493347E-5</v>
      </c>
      <c r="L146" s="103">
        <f t="shared" si="41"/>
        <v>3.0574754938320966E-5</v>
      </c>
      <c r="M146" s="103">
        <f t="shared" si="40"/>
        <v>2.1196921029969955E-5</v>
      </c>
      <c r="N146" s="103">
        <f t="shared" si="40"/>
        <v>1.8984044055336676E-5</v>
      </c>
      <c r="O146" s="103">
        <f t="shared" si="40"/>
        <v>2.424224879709323E-4</v>
      </c>
      <c r="P146" s="103">
        <f t="shared" si="40"/>
        <v>1.294404262379339E-4</v>
      </c>
      <c r="Q146" s="103">
        <f t="shared" si="40"/>
        <v>1.0825257415551852E-4</v>
      </c>
      <c r="R146" s="103">
        <f t="shared" si="40"/>
        <v>1.0502872402842806E-4</v>
      </c>
      <c r="S146" s="103">
        <f t="shared" si="40"/>
        <v>1.0012876552232159E-4</v>
      </c>
      <c r="T146" s="103">
        <f t="shared" si="40"/>
        <v>8.9799373335676527E-5</v>
      </c>
      <c r="U146" s="103">
        <f t="shared" si="40"/>
        <v>7.9380549796536466E-5</v>
      </c>
      <c r="V146" s="103">
        <f t="shared" si="40"/>
        <v>5.5983149965937864E-5</v>
      </c>
      <c r="W146" s="103">
        <f t="shared" si="42"/>
        <v>5.2011174832824217E-5</v>
      </c>
      <c r="DA146" s="191"/>
    </row>
    <row r="147" spans="1:105" ht="11.45" customHeight="1" x14ac:dyDescent="0.25">
      <c r="A147" s="157" t="s">
        <v>111</v>
      </c>
      <c r="B147" s="103">
        <f t="shared" si="40"/>
        <v>6.51473536205502E-2</v>
      </c>
      <c r="C147" s="103">
        <f t="shared" si="40"/>
        <v>5.7018375441582655E-2</v>
      </c>
      <c r="D147" s="103">
        <f t="shared" si="40"/>
        <v>5.6543226584149231E-2</v>
      </c>
      <c r="E147" s="103">
        <f t="shared" si="40"/>
        <v>5.5706733362744627E-2</v>
      </c>
      <c r="F147" s="103">
        <f t="shared" si="40"/>
        <v>5.3601904027818829E-2</v>
      </c>
      <c r="G147" s="103">
        <f t="shared" si="40"/>
        <v>4.8643557327804385E-2</v>
      </c>
      <c r="H147" s="103">
        <f t="shared" si="40"/>
        <v>4.3063834457442489E-2</v>
      </c>
      <c r="I147" s="103">
        <f t="shared" si="40"/>
        <v>3.342070080259419E-2</v>
      </c>
      <c r="J147" s="103">
        <f t="shared" si="40"/>
        <v>3.1456658642454262E-2</v>
      </c>
      <c r="K147" s="103">
        <f t="shared" si="40"/>
        <v>3.6507890811802231E-2</v>
      </c>
      <c r="L147" s="103">
        <f t="shared" si="41"/>
        <v>3.4036209971310488E-2</v>
      </c>
      <c r="M147" s="103">
        <f t="shared" si="40"/>
        <v>3.4397189220761092E-2</v>
      </c>
      <c r="N147" s="103">
        <f t="shared" si="40"/>
        <v>3.3452537487872497E-2</v>
      </c>
      <c r="O147" s="103">
        <f t="shared" si="40"/>
        <v>2.881263068390421E-2</v>
      </c>
      <c r="P147" s="103">
        <f t="shared" si="40"/>
        <v>2.6191936173007416E-2</v>
      </c>
      <c r="Q147" s="103">
        <f t="shared" si="40"/>
        <v>2.4202038647815571E-2</v>
      </c>
      <c r="R147" s="103">
        <f t="shared" ref="R147:V147" si="43">IF(R29=0,0,R29/R$17)</f>
        <v>2.1715021365369257E-2</v>
      </c>
      <c r="S147" s="103">
        <f t="shared" si="43"/>
        <v>2.1406786454167454E-2</v>
      </c>
      <c r="T147" s="103">
        <f t="shared" si="43"/>
        <v>2.0895413500534893E-2</v>
      </c>
      <c r="U147" s="103">
        <f t="shared" si="43"/>
        <v>2.3086986488060915E-2</v>
      </c>
      <c r="V147" s="103">
        <f t="shared" si="43"/>
        <v>1.617705153133454E-2</v>
      </c>
      <c r="W147" s="103">
        <f t="shared" ref="W147" si="44">IF(W29=0,0,W29/W$17)</f>
        <v>1.4024693933841099E-2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1.5246190691536012E-5</v>
      </c>
      <c r="E148" s="103">
        <f t="shared" si="45"/>
        <v>1.5301043913572954E-5</v>
      </c>
      <c r="F148" s="103">
        <f t="shared" si="45"/>
        <v>1.4787069193258756E-5</v>
      </c>
      <c r="G148" s="103">
        <f t="shared" si="45"/>
        <v>1.3383827565488829E-5</v>
      </c>
      <c r="H148" s="103">
        <f t="shared" si="45"/>
        <v>1.2048997809572567E-5</v>
      </c>
      <c r="I148" s="103">
        <f t="shared" si="45"/>
        <v>9.7734519285606458E-6</v>
      </c>
      <c r="J148" s="103">
        <f t="shared" si="45"/>
        <v>9.4225537147709328E-6</v>
      </c>
      <c r="K148" s="103">
        <f t="shared" si="45"/>
        <v>1.0938296730840697E-5</v>
      </c>
      <c r="L148" s="103">
        <f t="shared" ref="L148:L150" si="46">IF(L30=0,0,L30/L$17)</f>
        <v>1.0427962913886585E-5</v>
      </c>
      <c r="M148" s="103">
        <f t="shared" ref="M148:V148" si="47">IF(M30=0,0,M30/M$17)</f>
        <v>3.8079315520010237E-5</v>
      </c>
      <c r="N148" s="103">
        <f t="shared" si="47"/>
        <v>3.8251620098065849E-5</v>
      </c>
      <c r="O148" s="103">
        <f t="shared" si="47"/>
        <v>1.9727015286441279E-4</v>
      </c>
      <c r="P148" s="103">
        <f t="shared" si="47"/>
        <v>5.9074567551424941E-4</v>
      </c>
      <c r="Q148" s="103">
        <f t="shared" si="47"/>
        <v>5.6830154975627588E-4</v>
      </c>
      <c r="R148" s="103">
        <f t="shared" si="47"/>
        <v>5.4507464700082097E-4</v>
      </c>
      <c r="S148" s="103">
        <f t="shared" si="47"/>
        <v>5.5854599352309303E-4</v>
      </c>
      <c r="T148" s="103">
        <f t="shared" si="47"/>
        <v>5.63442202233552E-4</v>
      </c>
      <c r="U148" s="103">
        <f t="shared" si="47"/>
        <v>6.8978921748019423E-4</v>
      </c>
      <c r="V148" s="103">
        <f t="shared" si="47"/>
        <v>5.15903841624745E-4</v>
      </c>
      <c r="W148" s="103">
        <f t="shared" ref="W148" si="48">IF(W30=0,0,W30/W$17)</f>
        <v>4.9594179709142364E-4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8.0706151875250469E-4</v>
      </c>
      <c r="L149" s="103">
        <f t="shared" si="46"/>
        <v>1.3904970316015403E-3</v>
      </c>
      <c r="M149" s="103">
        <f t="shared" ref="M149:V149" si="50">IF(M31=0,0,M31/M$17)</f>
        <v>1.858030526116612E-3</v>
      </c>
      <c r="N149" s="103">
        <f t="shared" si="50"/>
        <v>1.6612697041688306E-3</v>
      </c>
      <c r="O149" s="103">
        <f t="shared" si="50"/>
        <v>2.2945607327746931E-3</v>
      </c>
      <c r="P149" s="103">
        <f t="shared" si="50"/>
        <v>2.3793427638722467E-3</v>
      </c>
      <c r="Q149" s="103">
        <f t="shared" si="50"/>
        <v>3.7084154995274715E-3</v>
      </c>
      <c r="R149" s="103">
        <f t="shared" si="50"/>
        <v>3.4669418458362438E-3</v>
      </c>
      <c r="S149" s="103">
        <f t="shared" si="50"/>
        <v>3.3443803954731326E-3</v>
      </c>
      <c r="T149" s="103">
        <f t="shared" si="50"/>
        <v>3.0912355279930546E-3</v>
      </c>
      <c r="U149" s="103">
        <f t="shared" si="50"/>
        <v>2.8691034730253953E-3</v>
      </c>
      <c r="V149" s="103">
        <f t="shared" si="50"/>
        <v>3.2956875939348668E-3</v>
      </c>
      <c r="W149" s="103">
        <f t="shared" ref="W149" si="51">IF(W31=0,0,W31/W$17)</f>
        <v>3.9405125232454281E-3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0.23717831792351013</v>
      </c>
      <c r="C151" s="46">
        <f t="shared" si="55"/>
        <v>0.28070621338955154</v>
      </c>
      <c r="D151" s="46">
        <f t="shared" si="55"/>
        <v>0.27493206924407032</v>
      </c>
      <c r="E151" s="46">
        <f t="shared" si="55"/>
        <v>0.22675150412187678</v>
      </c>
      <c r="F151" s="46">
        <f t="shared" si="55"/>
        <v>0.24343714129136651</v>
      </c>
      <c r="G151" s="46">
        <f t="shared" si="55"/>
        <v>0.21488021964556339</v>
      </c>
      <c r="H151" s="46">
        <f t="shared" si="55"/>
        <v>0.19336981649575302</v>
      </c>
      <c r="I151" s="46">
        <f t="shared" si="55"/>
        <v>0.25229135303592426</v>
      </c>
      <c r="J151" s="46">
        <f t="shared" si="55"/>
        <v>0.26635628830905084</v>
      </c>
      <c r="K151" s="46">
        <f t="shared" si="55"/>
        <v>0.18591407204200297</v>
      </c>
      <c r="L151" s="46">
        <f t="shared" ref="L151" si="56">IF(L33=0,0,L33/L$17)</f>
        <v>0.21628383673279616</v>
      </c>
      <c r="M151" s="46">
        <f t="shared" ref="M151:V151" si="57">IF(M33=0,0,M33/M$17)</f>
        <v>0.26182410082826152</v>
      </c>
      <c r="N151" s="46">
        <f t="shared" si="57"/>
        <v>0.19254316002288699</v>
      </c>
      <c r="O151" s="46">
        <f t="shared" si="57"/>
        <v>0.21518955169328777</v>
      </c>
      <c r="P151" s="46">
        <f t="shared" si="57"/>
        <v>0.3071987156538647</v>
      </c>
      <c r="Q151" s="46">
        <f t="shared" si="57"/>
        <v>0.31122256758803019</v>
      </c>
      <c r="R151" s="46">
        <f t="shared" si="57"/>
        <v>0.27721156644163908</v>
      </c>
      <c r="S151" s="46">
        <f t="shared" si="57"/>
        <v>0.27497467517713786</v>
      </c>
      <c r="T151" s="46">
        <f t="shared" si="57"/>
        <v>0.27610043018944752</v>
      </c>
      <c r="U151" s="46">
        <f t="shared" si="57"/>
        <v>0.2786730602883899</v>
      </c>
      <c r="V151" s="46">
        <f t="shared" si="57"/>
        <v>0.29965418756966239</v>
      </c>
      <c r="W151" s="46">
        <f t="shared" ref="W151" si="58">IF(W33=0,0,W33/W$17)</f>
        <v>0.30716902642528709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3.647368230587715E-2</v>
      </c>
      <c r="C152" s="154">
        <f t="shared" si="59"/>
        <v>3.3112184713123674E-2</v>
      </c>
      <c r="D152" s="154">
        <f t="shared" si="59"/>
        <v>3.2248184407098972E-2</v>
      </c>
      <c r="E152" s="154">
        <f t="shared" si="59"/>
        <v>3.2602500172481202E-2</v>
      </c>
      <c r="F152" s="154">
        <f t="shared" si="59"/>
        <v>3.1173746683415583E-2</v>
      </c>
      <c r="G152" s="154">
        <f t="shared" si="59"/>
        <v>3.0783528783338631E-2</v>
      </c>
      <c r="H152" s="154">
        <f t="shared" si="59"/>
        <v>3.4043941554733267E-2</v>
      </c>
      <c r="I152" s="154">
        <f t="shared" si="59"/>
        <v>3.2702975950139372E-2</v>
      </c>
      <c r="J152" s="154">
        <f t="shared" si="59"/>
        <v>3.356666405754144E-2</v>
      </c>
      <c r="K152" s="154">
        <f t="shared" si="59"/>
        <v>4.195240977729553E-2</v>
      </c>
      <c r="L152" s="154">
        <f t="shared" ref="L152" si="60">IF(L34=0,0,L34/L$17)</f>
        <v>3.86085916274128E-2</v>
      </c>
      <c r="M152" s="154">
        <f t="shared" ref="M152:V152" si="61">IF(M34=0,0,M34/M$17)</f>
        <v>4.271001682813369E-2</v>
      </c>
      <c r="N152" s="154">
        <f t="shared" si="61"/>
        <v>4.5954972748811988E-2</v>
      </c>
      <c r="O152" s="154">
        <f t="shared" si="61"/>
        <v>4.7735312624673433E-2</v>
      </c>
      <c r="P152" s="154">
        <f t="shared" si="61"/>
        <v>4.8192397912459523E-2</v>
      </c>
      <c r="Q152" s="154">
        <f t="shared" si="61"/>
        <v>4.7683066739984466E-2</v>
      </c>
      <c r="R152" s="154">
        <f t="shared" si="61"/>
        <v>4.7346805674834437E-2</v>
      </c>
      <c r="S152" s="154">
        <f t="shared" si="61"/>
        <v>4.6115860134764215E-2</v>
      </c>
      <c r="T152" s="154">
        <f t="shared" si="61"/>
        <v>4.4088966189335096E-2</v>
      </c>
      <c r="U152" s="154">
        <f t="shared" si="61"/>
        <v>4.4319208115823155E-2</v>
      </c>
      <c r="V152" s="154">
        <f t="shared" si="61"/>
        <v>4.6490537215723451E-2</v>
      </c>
      <c r="W152" s="154">
        <f t="shared" ref="W152" si="62">IF(W34=0,0,W34/W$17)</f>
        <v>4.7574777860904804E-2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4.7574736878764111E-3</v>
      </c>
      <c r="C153" s="103">
        <f t="shared" si="63"/>
        <v>4.1462693337745073E-3</v>
      </c>
      <c r="D153" s="103">
        <f t="shared" si="63"/>
        <v>3.8796622033897437E-3</v>
      </c>
      <c r="E153" s="103">
        <f t="shared" si="63"/>
        <v>3.7213009568846187E-3</v>
      </c>
      <c r="F153" s="103">
        <f t="shared" si="63"/>
        <v>3.2915486715206742E-3</v>
      </c>
      <c r="G153" s="103">
        <f t="shared" si="63"/>
        <v>3.0980624862913891E-3</v>
      </c>
      <c r="H153" s="103">
        <f t="shared" si="63"/>
        <v>3.5965764118250734E-3</v>
      </c>
      <c r="I153" s="103">
        <f t="shared" si="63"/>
        <v>3.4464372286537957E-3</v>
      </c>
      <c r="J153" s="103">
        <f t="shared" si="63"/>
        <v>3.1602267886230826E-3</v>
      </c>
      <c r="K153" s="103">
        <f t="shared" si="63"/>
        <v>3.4483209704374998E-3</v>
      </c>
      <c r="L153" s="103">
        <f t="shared" ref="L153" si="64">IF(L35=0,0,L35/L$17)</f>
        <v>2.9606906310562552E-3</v>
      </c>
      <c r="M153" s="103">
        <f t="shared" ref="M153:V153" si="65">IF(M35=0,0,M35/M$17)</f>
        <v>2.572587133292871E-3</v>
      </c>
      <c r="N153" s="103">
        <f t="shared" si="65"/>
        <v>2.1529243558286661E-3</v>
      </c>
      <c r="O153" s="103">
        <f t="shared" si="65"/>
        <v>1.8837572730859178E-3</v>
      </c>
      <c r="P153" s="103">
        <f t="shared" si="65"/>
        <v>1.4661878147996048E-3</v>
      </c>
      <c r="Q153" s="103">
        <f t="shared" si="65"/>
        <v>1.1238085754714479E-3</v>
      </c>
      <c r="R153" s="103">
        <f t="shared" si="65"/>
        <v>9.5036810287811146E-4</v>
      </c>
      <c r="S153" s="103">
        <f t="shared" si="65"/>
        <v>7.9023722583183105E-4</v>
      </c>
      <c r="T153" s="103">
        <f t="shared" si="65"/>
        <v>6.6885143368992385E-4</v>
      </c>
      <c r="U153" s="103">
        <f t="shared" si="65"/>
        <v>8.9452308558707545E-4</v>
      </c>
      <c r="V153" s="103">
        <f t="shared" si="65"/>
        <v>7.9599983768275739E-4</v>
      </c>
      <c r="W153" s="103">
        <f t="shared" ref="W153" si="66">IF(W35=0,0,W35/W$17)</f>
        <v>7.2869505342736281E-4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3.1716208618000737E-2</v>
      </c>
      <c r="C154" s="103">
        <f t="shared" si="67"/>
        <v>2.8965915379349162E-2</v>
      </c>
      <c r="D154" s="103">
        <f t="shared" si="67"/>
        <v>2.8368522203709227E-2</v>
      </c>
      <c r="E154" s="103">
        <f t="shared" si="67"/>
        <v>2.8881199215596589E-2</v>
      </c>
      <c r="F154" s="103">
        <f t="shared" si="67"/>
        <v>2.7882198011894913E-2</v>
      </c>
      <c r="G154" s="103">
        <f t="shared" si="67"/>
        <v>2.768546629704724E-2</v>
      </c>
      <c r="H154" s="103">
        <f t="shared" si="67"/>
        <v>3.0447365142908196E-2</v>
      </c>
      <c r="I154" s="103">
        <f t="shared" si="67"/>
        <v>2.9256538721485575E-2</v>
      </c>
      <c r="J154" s="103">
        <f t="shared" si="67"/>
        <v>3.0406437268918354E-2</v>
      </c>
      <c r="K154" s="103">
        <f t="shared" si="67"/>
        <v>3.8504088806858031E-2</v>
      </c>
      <c r="L154" s="103">
        <f t="shared" ref="L154" si="68">IF(L36=0,0,L36/L$17)</f>
        <v>3.5647900996356542E-2</v>
      </c>
      <c r="M154" s="103">
        <f t="shared" ref="M154:V154" si="69">IF(M36=0,0,M36/M$17)</f>
        <v>4.0137429694840819E-2</v>
      </c>
      <c r="N154" s="103">
        <f t="shared" si="69"/>
        <v>4.3802048392983316E-2</v>
      </c>
      <c r="O154" s="103">
        <f t="shared" si="69"/>
        <v>4.5851555351587518E-2</v>
      </c>
      <c r="P154" s="103">
        <f t="shared" si="69"/>
        <v>4.6726210097659919E-2</v>
      </c>
      <c r="Q154" s="103">
        <f t="shared" si="69"/>
        <v>4.6559258164513014E-2</v>
      </c>
      <c r="R154" s="103">
        <f t="shared" si="69"/>
        <v>4.6396437571956328E-2</v>
      </c>
      <c r="S154" s="103">
        <f t="shared" si="69"/>
        <v>4.5325622908932384E-2</v>
      </c>
      <c r="T154" s="103">
        <f t="shared" si="69"/>
        <v>4.3420114755645174E-2</v>
      </c>
      <c r="U154" s="103">
        <f t="shared" si="69"/>
        <v>4.3424685030236082E-2</v>
      </c>
      <c r="V154" s="103">
        <f t="shared" si="69"/>
        <v>4.5694537378040689E-2</v>
      </c>
      <c r="W154" s="103">
        <f t="shared" ref="W154" si="70">IF(W36=0,0,W36/W$17)</f>
        <v>4.6846082807477443E-2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" si="74">IF(W37=0,0,W37/W$17)</f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0.20070463561763296</v>
      </c>
      <c r="C158" s="156">
        <f t="shared" si="83"/>
        <v>0.24759402867642788</v>
      </c>
      <c r="D158" s="156">
        <f t="shared" si="83"/>
        <v>0.24268388483697134</v>
      </c>
      <c r="E158" s="156">
        <f t="shared" si="83"/>
        <v>0.1941490039493956</v>
      </c>
      <c r="F158" s="156">
        <f t="shared" si="83"/>
        <v>0.21226339460795093</v>
      </c>
      <c r="G158" s="156">
        <f t="shared" si="83"/>
        <v>0.18409669086222477</v>
      </c>
      <c r="H158" s="156">
        <f t="shared" si="83"/>
        <v>0.15932587494101977</v>
      </c>
      <c r="I158" s="156">
        <f t="shared" si="83"/>
        <v>0.21958837708578488</v>
      </c>
      <c r="J158" s="156">
        <f t="shared" si="83"/>
        <v>0.23278962425150942</v>
      </c>
      <c r="K158" s="156">
        <f t="shared" si="83"/>
        <v>0.14396166226470744</v>
      </c>
      <c r="L158" s="156">
        <f t="shared" ref="L158" si="84">IF(L40=0,0,L40/L$17)</f>
        <v>0.17767524510538338</v>
      </c>
      <c r="M158" s="156">
        <f t="shared" ref="M158:V158" si="85">IF(M40=0,0,M40/M$17)</f>
        <v>0.21911408400012786</v>
      </c>
      <c r="N158" s="156">
        <f t="shared" si="85"/>
        <v>0.14658818727407499</v>
      </c>
      <c r="O158" s="156">
        <f t="shared" si="85"/>
        <v>0.16745423906861437</v>
      </c>
      <c r="P158" s="156">
        <f t="shared" si="85"/>
        <v>0.25900631774140515</v>
      </c>
      <c r="Q158" s="156">
        <f t="shared" si="85"/>
        <v>0.26353950084804573</v>
      </c>
      <c r="R158" s="156">
        <f t="shared" si="85"/>
        <v>0.22986476076680465</v>
      </c>
      <c r="S158" s="156">
        <f t="shared" si="85"/>
        <v>0.22885881504237363</v>
      </c>
      <c r="T158" s="156">
        <f t="shared" si="85"/>
        <v>0.23201146400011241</v>
      </c>
      <c r="U158" s="156">
        <f t="shared" si="85"/>
        <v>0.23435385217256674</v>
      </c>
      <c r="V158" s="156">
        <f t="shared" si="85"/>
        <v>0.25316365035393895</v>
      </c>
      <c r="W158" s="156">
        <f t="shared" ref="W158" si="86">IF(W40=0,0,W40/W$17)</f>
        <v>0.25959424856438229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0.12249630065478469</v>
      </c>
      <c r="C159" s="103">
        <f t="shared" si="87"/>
        <v>0.12699416643154279</v>
      </c>
      <c r="D159" s="103">
        <f t="shared" si="87"/>
        <v>0.12245048073901882</v>
      </c>
      <c r="E159" s="103">
        <f t="shared" si="87"/>
        <v>0.128677988086352</v>
      </c>
      <c r="F159" s="103">
        <f t="shared" si="87"/>
        <v>0.1226106005654677</v>
      </c>
      <c r="G159" s="103">
        <f t="shared" si="87"/>
        <v>0.10312535004087271</v>
      </c>
      <c r="H159" s="103">
        <f t="shared" si="87"/>
        <v>9.1043615547509602E-2</v>
      </c>
      <c r="I159" s="103">
        <f t="shared" si="87"/>
        <v>0.10191862895530401</v>
      </c>
      <c r="J159" s="103">
        <f t="shared" si="87"/>
        <v>9.8262401501400934E-2</v>
      </c>
      <c r="K159" s="103">
        <f t="shared" si="87"/>
        <v>8.7012897449853077E-2</v>
      </c>
      <c r="L159" s="103">
        <f t="shared" ref="L159" si="88">IF(L41=0,0,L41/L$17)</f>
        <v>8.2619264063385087E-2</v>
      </c>
      <c r="M159" s="103">
        <f t="shared" ref="M159:V159" si="89">IF(M41=0,0,M41/M$17)</f>
        <v>9.1089983533643781E-2</v>
      </c>
      <c r="N159" s="103">
        <f t="shared" si="89"/>
        <v>7.7257005819583072E-2</v>
      </c>
      <c r="O159" s="103">
        <f t="shared" si="89"/>
        <v>8.373507279870844E-2</v>
      </c>
      <c r="P159" s="103">
        <f t="shared" si="89"/>
        <v>0.10481486189688505</v>
      </c>
      <c r="Q159" s="103">
        <f t="shared" si="89"/>
        <v>9.7957686335834834E-2</v>
      </c>
      <c r="R159" s="103">
        <f t="shared" si="89"/>
        <v>8.8351080015021774E-2</v>
      </c>
      <c r="S159" s="103">
        <f t="shared" si="89"/>
        <v>8.8090243410374483E-2</v>
      </c>
      <c r="T159" s="103">
        <f t="shared" si="89"/>
        <v>9.0942680893652636E-2</v>
      </c>
      <c r="U159" s="103">
        <f t="shared" si="89"/>
        <v>9.2825769346201653E-2</v>
      </c>
      <c r="V159" s="103">
        <f t="shared" si="89"/>
        <v>9.6794938809780642E-2</v>
      </c>
      <c r="W159" s="103">
        <f t="shared" ref="W159" si="90">IF(W41=0,0,W41/W$17)</f>
        <v>9.4129836267923261E-2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7.8208334962848292E-2</v>
      </c>
      <c r="C160" s="105">
        <f t="shared" si="91"/>
        <v>0.12059986224488506</v>
      </c>
      <c r="D160" s="105">
        <f t="shared" si="91"/>
        <v>0.12023340409795252</v>
      </c>
      <c r="E160" s="105">
        <f t="shared" si="91"/>
        <v>6.5471015863043588E-2</v>
      </c>
      <c r="F160" s="105">
        <f t="shared" si="91"/>
        <v>8.9652794042483219E-2</v>
      </c>
      <c r="G160" s="105">
        <f t="shared" si="91"/>
        <v>8.0971340821352059E-2</v>
      </c>
      <c r="H160" s="105">
        <f t="shared" si="91"/>
        <v>6.8282259393510167E-2</v>
      </c>
      <c r="I160" s="105">
        <f t="shared" si="91"/>
        <v>0.11766974813048084</v>
      </c>
      <c r="J160" s="105">
        <f t="shared" si="91"/>
        <v>0.13452722275010848</v>
      </c>
      <c r="K160" s="105">
        <f t="shared" si="91"/>
        <v>5.6948764814854377E-2</v>
      </c>
      <c r="L160" s="105">
        <f t="shared" ref="L160" si="92">IF(L42=0,0,L42/L$17)</f>
        <v>9.5055981041998291E-2</v>
      </c>
      <c r="M160" s="105">
        <f t="shared" ref="M160:V160" si="93">IF(M42=0,0,M42/M$17)</f>
        <v>0.12802410046648408</v>
      </c>
      <c r="N160" s="105">
        <f t="shared" si="93"/>
        <v>6.9331181454491908E-2</v>
      </c>
      <c r="O160" s="105">
        <f t="shared" si="93"/>
        <v>8.3719166269905915E-2</v>
      </c>
      <c r="P160" s="105">
        <f t="shared" si="93"/>
        <v>0.1541914558445201</v>
      </c>
      <c r="Q160" s="105">
        <f t="shared" si="93"/>
        <v>0.16558181451221091</v>
      </c>
      <c r="R160" s="105">
        <f t="shared" si="93"/>
        <v>0.14151368075178289</v>
      </c>
      <c r="S160" s="105">
        <f t="shared" si="93"/>
        <v>0.14076857163199916</v>
      </c>
      <c r="T160" s="105">
        <f t="shared" si="93"/>
        <v>0.14106878310645976</v>
      </c>
      <c r="U160" s="105">
        <f t="shared" si="93"/>
        <v>0.14152808282636511</v>
      </c>
      <c r="V160" s="105">
        <f t="shared" si="93"/>
        <v>0.1563687115441583</v>
      </c>
      <c r="W160" s="105">
        <f t="shared" ref="W160" si="94">IF(W42=0,0,W42/W$17)</f>
        <v>0.16546441229645903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993875</v>
      </c>
      <c r="C3" s="54">
        <f>TrRoad_act!C57</f>
        <v>1016184</v>
      </c>
      <c r="D3" s="54">
        <f>TrRoad_act!D57</f>
        <v>1066931</v>
      </c>
      <c r="E3" s="54">
        <f>TrRoad_act!E57</f>
        <v>1153446</v>
      </c>
      <c r="F3" s="54">
        <f>TrRoad_act!F57</f>
        <v>1235831</v>
      </c>
      <c r="G3" s="54">
        <f>TrRoad_act!G57</f>
        <v>1306851</v>
      </c>
      <c r="H3" s="54">
        <f>TrRoad_act!H57</f>
        <v>1514997</v>
      </c>
      <c r="I3" s="54">
        <f>TrRoad_act!I57</f>
        <v>1604605</v>
      </c>
      <c r="J3" s="54">
        <f>TrRoad_act!J57</f>
        <v>1610738</v>
      </c>
      <c r="K3" s="54">
        <f>TrRoad_act!K57</f>
        <v>1546986</v>
      </c>
      <c r="L3" s="54">
        <f>TrRoad_act!L57</f>
        <v>1420380</v>
      </c>
      <c r="M3" s="54">
        <f>TrRoad_act!M57</f>
        <v>1332681</v>
      </c>
      <c r="N3" s="54">
        <f>TrRoad_act!N57</f>
        <v>1482028</v>
      </c>
      <c r="O3" s="54">
        <f>TrRoad_act!O57</f>
        <v>1502563</v>
      </c>
      <c r="P3" s="54">
        <f>TrRoad_act!P57</f>
        <v>1521212</v>
      </c>
      <c r="Q3" s="54">
        <f>TrRoad_act!Q57</f>
        <v>1589675</v>
      </c>
      <c r="R3" s="54">
        <f>TrRoad_act!R57</f>
        <v>1637540</v>
      </c>
      <c r="S3" s="54">
        <f>TrRoad_act!S57</f>
        <v>1691374</v>
      </c>
      <c r="T3" s="54">
        <f>TrRoad_act!T57</f>
        <v>1774544</v>
      </c>
      <c r="U3" s="54">
        <f>TrRoad_act!U57</f>
        <v>1856997</v>
      </c>
      <c r="V3" s="54">
        <f>TrRoad_act!V57</f>
        <v>1940108</v>
      </c>
      <c r="W3" s="54">
        <f>TrRoad_act!W57</f>
        <v>1991452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944779</v>
      </c>
      <c r="C4" s="28">
        <f>TrRoad_act!C58</f>
        <v>966362</v>
      </c>
      <c r="D4" s="28">
        <f>TrRoad_act!D58</f>
        <v>1014704</v>
      </c>
      <c r="E4" s="28">
        <f>TrRoad_act!E58</f>
        <v>1091532</v>
      </c>
      <c r="F4" s="28">
        <f>TrRoad_act!F58</f>
        <v>1171628</v>
      </c>
      <c r="G4" s="28">
        <f>TrRoad_act!G58</f>
        <v>1242214</v>
      </c>
      <c r="H4" s="28">
        <f>TrRoad_act!H58</f>
        <v>1440500</v>
      </c>
      <c r="I4" s="28">
        <f>TrRoad_act!I58</f>
        <v>1520200</v>
      </c>
      <c r="J4" s="28">
        <f>TrRoad_act!J58</f>
        <v>1527627</v>
      </c>
      <c r="K4" s="28">
        <f>TrRoad_act!K58</f>
        <v>1459571</v>
      </c>
      <c r="L4" s="28">
        <f>TrRoad_act!L58</f>
        <v>1339093</v>
      </c>
      <c r="M4" s="28">
        <f>TrRoad_act!M58</f>
        <v>1245450</v>
      </c>
      <c r="N4" s="28">
        <f>TrRoad_act!N58</f>
        <v>1386425</v>
      </c>
      <c r="O4" s="28">
        <f>TrRoad_act!O58</f>
        <v>1400612</v>
      </c>
      <c r="P4" s="28">
        <f>TrRoad_act!P58</f>
        <v>1413262</v>
      </c>
      <c r="Q4" s="28">
        <f>TrRoad_act!Q58</f>
        <v>1478537</v>
      </c>
      <c r="R4" s="28">
        <f>TrRoad_act!R58</f>
        <v>1523848</v>
      </c>
      <c r="S4" s="28">
        <f>TrRoad_act!S58</f>
        <v>1577395</v>
      </c>
      <c r="T4" s="28">
        <f>TrRoad_act!T58</f>
        <v>1653924</v>
      </c>
      <c r="U4" s="28">
        <f>TrRoad_act!U58</f>
        <v>1733669</v>
      </c>
      <c r="V4" s="28">
        <f>TrRoad_act!V58</f>
        <v>1811256</v>
      </c>
      <c r="W4" s="28">
        <f>TrRoad_act!W58</f>
        <v>1853629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19842</v>
      </c>
      <c r="C5" s="137">
        <f>TrRoad_act!C59</f>
        <v>20244</v>
      </c>
      <c r="D5" s="137">
        <f>TrRoad_act!D59</f>
        <v>21017</v>
      </c>
      <c r="E5" s="137">
        <f>TrRoad_act!E59</f>
        <v>21873</v>
      </c>
      <c r="F5" s="137">
        <f>TrRoad_act!F59</f>
        <v>22861</v>
      </c>
      <c r="G5" s="137">
        <f>TrRoad_act!G59</f>
        <v>24027</v>
      </c>
      <c r="H5" s="137">
        <f>TrRoad_act!H59</f>
        <v>25303</v>
      </c>
      <c r="I5" s="137">
        <f>TrRoad_act!I59</f>
        <v>29349</v>
      </c>
      <c r="J5" s="137">
        <f>TrRoad_act!J59</f>
        <v>34255</v>
      </c>
      <c r="K5" s="137">
        <f>TrRoad_act!K59</f>
        <v>37309</v>
      </c>
      <c r="L5" s="137">
        <f>TrRoad_act!L59</f>
        <v>37353</v>
      </c>
      <c r="M5" s="137">
        <f>TrRoad_act!M59</f>
        <v>37447</v>
      </c>
      <c r="N5" s="137">
        <f>TrRoad_act!N59</f>
        <v>37485</v>
      </c>
      <c r="O5" s="137">
        <f>TrRoad_act!O59</f>
        <v>37539</v>
      </c>
      <c r="P5" s="137">
        <f>TrRoad_act!P59</f>
        <v>37646</v>
      </c>
      <c r="Q5" s="137">
        <f>TrRoad_act!Q59</f>
        <v>37753</v>
      </c>
      <c r="R5" s="137">
        <f>TrRoad_act!R59</f>
        <v>39713</v>
      </c>
      <c r="S5" s="137">
        <f>TrRoad_act!S59</f>
        <v>42100</v>
      </c>
      <c r="T5" s="137">
        <f>TrRoad_act!T59</f>
        <v>45267</v>
      </c>
      <c r="U5" s="137">
        <f>TrRoad_act!U59</f>
        <v>53154</v>
      </c>
      <c r="V5" s="137">
        <f>TrRoad_act!V59</f>
        <v>60911</v>
      </c>
      <c r="W5" s="137">
        <f>TrRoad_act!W59</f>
        <v>69494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922394</v>
      </c>
      <c r="C6" s="110">
        <f>TrRoad_act!C60</f>
        <v>943477</v>
      </c>
      <c r="D6" s="110">
        <f>TrRoad_act!D60</f>
        <v>990945</v>
      </c>
      <c r="E6" s="110">
        <f>TrRoad_act!E60</f>
        <v>1066853</v>
      </c>
      <c r="F6" s="110">
        <f>TrRoad_act!F60</f>
        <v>1145914</v>
      </c>
      <c r="G6" s="110">
        <f>TrRoad_act!G60</f>
        <v>1215276</v>
      </c>
      <c r="H6" s="110">
        <f>TrRoad_act!H60</f>
        <v>1412238</v>
      </c>
      <c r="I6" s="110">
        <f>TrRoad_act!I60</f>
        <v>1487903</v>
      </c>
      <c r="J6" s="110">
        <f>TrRoad_act!J60</f>
        <v>1490460</v>
      </c>
      <c r="K6" s="110">
        <f>TrRoad_act!K60</f>
        <v>1419225</v>
      </c>
      <c r="L6" s="110">
        <f>TrRoad_act!L60</f>
        <v>1298712</v>
      </c>
      <c r="M6" s="110">
        <f>TrRoad_act!M60</f>
        <v>1204958</v>
      </c>
      <c r="N6" s="110">
        <f>TrRoad_act!N60</f>
        <v>1345933</v>
      </c>
      <c r="O6" s="110">
        <f>TrRoad_act!O60</f>
        <v>1359610</v>
      </c>
      <c r="P6" s="110">
        <f>TrRoad_act!P60</f>
        <v>1372218</v>
      </c>
      <c r="Q6" s="110">
        <f>TrRoad_act!Q60</f>
        <v>1437179</v>
      </c>
      <c r="R6" s="110">
        <f>TrRoad_act!R60</f>
        <v>1480828</v>
      </c>
      <c r="S6" s="110">
        <f>TrRoad_act!S60</f>
        <v>1532058</v>
      </c>
      <c r="T6" s="110">
        <f>TrRoad_act!T60</f>
        <v>1605329</v>
      </c>
      <c r="U6" s="110">
        <f>TrRoad_act!U60</f>
        <v>1676792</v>
      </c>
      <c r="V6" s="110">
        <f>TrRoad_act!V60</f>
        <v>1746660</v>
      </c>
      <c r="W6" s="110">
        <f>TrRoad_act!W60</f>
        <v>1780513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531462</v>
      </c>
      <c r="C7" s="84">
        <f>TrRoad_act!C61</f>
        <v>533888</v>
      </c>
      <c r="D7" s="84">
        <f>TrRoad_act!D61</f>
        <v>518112</v>
      </c>
      <c r="E7" s="84">
        <f>TrRoad_act!E61</f>
        <v>525520</v>
      </c>
      <c r="F7" s="84">
        <f>TrRoad_act!F61</f>
        <v>508676</v>
      </c>
      <c r="G7" s="84">
        <f>TrRoad_act!G61</f>
        <v>502545</v>
      </c>
      <c r="H7" s="84">
        <f>TrRoad_act!H61</f>
        <v>547488</v>
      </c>
      <c r="I7" s="84">
        <f>TrRoad_act!I61</f>
        <v>582096</v>
      </c>
      <c r="J7" s="84">
        <f>TrRoad_act!J61</f>
        <v>580392</v>
      </c>
      <c r="K7" s="84">
        <f>TrRoad_act!K61</f>
        <v>530711</v>
      </c>
      <c r="L7" s="84">
        <f>TrRoad_act!L61</f>
        <v>437251</v>
      </c>
      <c r="M7" s="84">
        <f>TrRoad_act!M61</f>
        <v>387618</v>
      </c>
      <c r="N7" s="84">
        <f>TrRoad_act!N61</f>
        <v>370100</v>
      </c>
      <c r="O7" s="84">
        <f>TrRoad_act!O61</f>
        <v>347712</v>
      </c>
      <c r="P7" s="84">
        <f>TrRoad_act!P61</f>
        <v>339187</v>
      </c>
      <c r="Q7" s="84">
        <f>TrRoad_act!Q61</f>
        <v>330969</v>
      </c>
      <c r="R7" s="84">
        <f>TrRoad_act!R61</f>
        <v>327250</v>
      </c>
      <c r="S7" s="84">
        <f>TrRoad_act!S61</f>
        <v>333474</v>
      </c>
      <c r="T7" s="84">
        <f>TrRoad_act!T61</f>
        <v>351074</v>
      </c>
      <c r="U7" s="84">
        <f>TrRoad_act!U61</f>
        <v>373275</v>
      </c>
      <c r="V7" s="84">
        <f>TrRoad_act!V61</f>
        <v>397084</v>
      </c>
      <c r="W7" s="84">
        <f>TrRoad_act!W61</f>
        <v>410707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215587</v>
      </c>
      <c r="C8" s="84">
        <f>TrRoad_act!C62</f>
        <v>224980</v>
      </c>
      <c r="D8" s="84">
        <f>TrRoad_act!D62</f>
        <v>253164</v>
      </c>
      <c r="E8" s="84">
        <f>TrRoad_act!E62</f>
        <v>289627</v>
      </c>
      <c r="F8" s="84">
        <f>TrRoad_act!F62</f>
        <v>335899</v>
      </c>
      <c r="G8" s="84">
        <f>TrRoad_act!G62</f>
        <v>458861</v>
      </c>
      <c r="H8" s="84">
        <f>TrRoad_act!H62</f>
        <v>563454</v>
      </c>
      <c r="I8" s="84">
        <f>TrRoad_act!I62</f>
        <v>577715</v>
      </c>
      <c r="J8" s="84">
        <f>TrRoad_act!J62</f>
        <v>598528</v>
      </c>
      <c r="K8" s="84">
        <f>TrRoad_act!K62</f>
        <v>598004</v>
      </c>
      <c r="L8" s="84">
        <f>TrRoad_act!L62</f>
        <v>598151</v>
      </c>
      <c r="M8" s="84">
        <f>TrRoad_act!M62</f>
        <v>582503</v>
      </c>
      <c r="N8" s="84">
        <f>TrRoad_act!N62</f>
        <v>754681</v>
      </c>
      <c r="O8" s="84">
        <f>TrRoad_act!O62</f>
        <v>788753</v>
      </c>
      <c r="P8" s="84">
        <f>TrRoad_act!P62</f>
        <v>822607</v>
      </c>
      <c r="Q8" s="84">
        <f>TrRoad_act!Q62</f>
        <v>908060</v>
      </c>
      <c r="R8" s="84">
        <f>TrRoad_act!R62</f>
        <v>971792</v>
      </c>
      <c r="S8" s="84">
        <f>TrRoad_act!S62</f>
        <v>1031728</v>
      </c>
      <c r="T8" s="84">
        <f>TrRoad_act!T62</f>
        <v>1092561</v>
      </c>
      <c r="U8" s="84">
        <f>TrRoad_act!U62</f>
        <v>1140757</v>
      </c>
      <c r="V8" s="84">
        <f>TrRoad_act!V62</f>
        <v>1184629</v>
      </c>
      <c r="W8" s="84">
        <f>TrRoad_act!W62</f>
        <v>1215510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175345</v>
      </c>
      <c r="C9" s="84">
        <f>TrRoad_act!C63</f>
        <v>184609</v>
      </c>
      <c r="D9" s="84">
        <f>TrRoad_act!D63</f>
        <v>219669</v>
      </c>
      <c r="E9" s="84">
        <f>TrRoad_act!E63</f>
        <v>251706</v>
      </c>
      <c r="F9" s="84">
        <f>TrRoad_act!F63</f>
        <v>301339</v>
      </c>
      <c r="G9" s="84">
        <f>TrRoad_act!G63</f>
        <v>253870</v>
      </c>
      <c r="H9" s="84">
        <f>TrRoad_act!H63</f>
        <v>301296</v>
      </c>
      <c r="I9" s="84">
        <f>TrRoad_act!I63</f>
        <v>328092</v>
      </c>
      <c r="J9" s="84">
        <f>TrRoad_act!J63</f>
        <v>311540</v>
      </c>
      <c r="K9" s="84">
        <f>TrRoad_act!K63</f>
        <v>290510</v>
      </c>
      <c r="L9" s="84">
        <f>TrRoad_act!L63</f>
        <v>263310</v>
      </c>
      <c r="M9" s="84">
        <f>TrRoad_act!M63</f>
        <v>234835</v>
      </c>
      <c r="N9" s="84">
        <f>TrRoad_act!N63</f>
        <v>221149</v>
      </c>
      <c r="O9" s="84">
        <f>TrRoad_act!O63</f>
        <v>222005</v>
      </c>
      <c r="P9" s="84">
        <f>TrRoad_act!P63</f>
        <v>207406</v>
      </c>
      <c r="Q9" s="84">
        <f>TrRoad_act!Q63</f>
        <v>194043</v>
      </c>
      <c r="R9" s="84">
        <f>TrRoad_act!R63</f>
        <v>175744</v>
      </c>
      <c r="S9" s="84">
        <f>TrRoad_act!S63</f>
        <v>157579</v>
      </c>
      <c r="T9" s="84">
        <f>TrRoad_act!T63</f>
        <v>146545</v>
      </c>
      <c r="U9" s="84">
        <f>TrRoad_act!U63</f>
        <v>140332</v>
      </c>
      <c r="V9" s="84">
        <f>TrRoad_act!V63</f>
        <v>133651</v>
      </c>
      <c r="W9" s="84">
        <f>TrRoad_act!W63</f>
        <v>122985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1</v>
      </c>
      <c r="O10" s="84">
        <f>TrRoad_act!O64</f>
        <v>5</v>
      </c>
      <c r="P10" s="84">
        <f>TrRoad_act!P64</f>
        <v>28</v>
      </c>
      <c r="Q10" s="84">
        <f>TrRoad_act!Q64</f>
        <v>38</v>
      </c>
      <c r="R10" s="84">
        <f>TrRoad_act!R64</f>
        <v>50</v>
      </c>
      <c r="S10" s="84">
        <f>TrRoad_act!S64</f>
        <v>75</v>
      </c>
      <c r="T10" s="84">
        <f>TrRoad_act!T64</f>
        <v>100</v>
      </c>
      <c r="U10" s="84">
        <f>TrRoad_act!U64</f>
        <v>100</v>
      </c>
      <c r="V10" s="84">
        <f>TrRoad_act!V64</f>
        <v>181</v>
      </c>
      <c r="W10" s="84">
        <f>TrRoad_act!W64</f>
        <v>257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1129</v>
      </c>
      <c r="P11" s="84">
        <f>TrRoad_act!P65</f>
        <v>2927</v>
      </c>
      <c r="Q11" s="84">
        <f>TrRoad_act!Q65</f>
        <v>3915</v>
      </c>
      <c r="R11" s="84">
        <f>TrRoad_act!R65</f>
        <v>5662</v>
      </c>
      <c r="S11" s="84">
        <f>TrRoad_act!S65</f>
        <v>8590</v>
      </c>
      <c r="T11" s="84">
        <f>TrRoad_act!T65</f>
        <v>14108</v>
      </c>
      <c r="U11" s="84">
        <f>TrRoad_act!U65</f>
        <v>20968</v>
      </c>
      <c r="V11" s="84">
        <f>TrRoad_act!V65</f>
        <v>29170</v>
      </c>
      <c r="W11" s="84">
        <f>TrRoad_act!W65</f>
        <v>26213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2</v>
      </c>
      <c r="N12" s="84">
        <f>TrRoad_act!N66</f>
        <v>2</v>
      </c>
      <c r="O12" s="84">
        <f>TrRoad_act!O66</f>
        <v>6</v>
      </c>
      <c r="P12" s="84">
        <f>TrRoad_act!P66</f>
        <v>63</v>
      </c>
      <c r="Q12" s="84">
        <f>TrRoad_act!Q66</f>
        <v>154</v>
      </c>
      <c r="R12" s="84">
        <f>TrRoad_act!R66</f>
        <v>330</v>
      </c>
      <c r="S12" s="84">
        <f>TrRoad_act!S66</f>
        <v>612</v>
      </c>
      <c r="T12" s="84">
        <f>TrRoad_act!T66</f>
        <v>941</v>
      </c>
      <c r="U12" s="84">
        <f>TrRoad_act!U66</f>
        <v>1360</v>
      </c>
      <c r="V12" s="84">
        <f>TrRoad_act!V66</f>
        <v>1945</v>
      </c>
      <c r="W12" s="84">
        <f>TrRoad_act!W66</f>
        <v>4841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2543</v>
      </c>
      <c r="C13" s="110">
        <f>TrRoad_act!C67</f>
        <v>2641</v>
      </c>
      <c r="D13" s="110">
        <f>TrRoad_act!D67</f>
        <v>2742</v>
      </c>
      <c r="E13" s="110">
        <f>TrRoad_act!E67</f>
        <v>2806</v>
      </c>
      <c r="F13" s="110">
        <f>TrRoad_act!F67</f>
        <v>2853</v>
      </c>
      <c r="G13" s="110">
        <f>TrRoad_act!G67</f>
        <v>2911</v>
      </c>
      <c r="H13" s="110">
        <f>TrRoad_act!H67</f>
        <v>2959</v>
      </c>
      <c r="I13" s="110">
        <f>TrRoad_act!I67</f>
        <v>2948</v>
      </c>
      <c r="J13" s="110">
        <f>TrRoad_act!J67</f>
        <v>2912</v>
      </c>
      <c r="K13" s="110">
        <f>TrRoad_act!K67</f>
        <v>3037</v>
      </c>
      <c r="L13" s="110">
        <f>TrRoad_act!L67</f>
        <v>3028</v>
      </c>
      <c r="M13" s="110">
        <f>TrRoad_act!M67</f>
        <v>3045</v>
      </c>
      <c r="N13" s="110">
        <f>TrRoad_act!N67</f>
        <v>3007</v>
      </c>
      <c r="O13" s="110">
        <f>TrRoad_act!O67</f>
        <v>3463</v>
      </c>
      <c r="P13" s="110">
        <f>TrRoad_act!P67</f>
        <v>3398</v>
      </c>
      <c r="Q13" s="110">
        <f>TrRoad_act!Q67</f>
        <v>3605</v>
      </c>
      <c r="R13" s="110">
        <f>TrRoad_act!R67</f>
        <v>3307</v>
      </c>
      <c r="S13" s="110">
        <f>TrRoad_act!S67</f>
        <v>3237</v>
      </c>
      <c r="T13" s="110">
        <f>TrRoad_act!T67</f>
        <v>3328</v>
      </c>
      <c r="U13" s="110">
        <f>TrRoad_act!U67</f>
        <v>3723</v>
      </c>
      <c r="V13" s="110">
        <f>TrRoad_act!V67</f>
        <v>3685</v>
      </c>
      <c r="W13" s="110">
        <f>TrRoad_act!W67</f>
        <v>3622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17</v>
      </c>
      <c r="E14" s="102">
        <f>TrRoad_act!E68</f>
        <v>26</v>
      </c>
      <c r="F14" s="102">
        <f>TrRoad_act!F68</f>
        <v>24</v>
      </c>
      <c r="G14" s="102">
        <f>TrRoad_act!G68</f>
        <v>25</v>
      </c>
      <c r="H14" s="102">
        <f>TrRoad_act!H68</f>
        <v>27</v>
      </c>
      <c r="I14" s="102">
        <f>TrRoad_act!I68</f>
        <v>24</v>
      </c>
      <c r="J14" s="102">
        <f>TrRoad_act!J68</f>
        <v>17</v>
      </c>
      <c r="K14" s="102">
        <f>TrRoad_act!K68</f>
        <v>16</v>
      </c>
      <c r="L14" s="102">
        <f>TrRoad_act!L68</f>
        <v>16</v>
      </c>
      <c r="M14" s="102">
        <f>TrRoad_act!M68</f>
        <v>11</v>
      </c>
      <c r="N14" s="102">
        <f>TrRoad_act!N68</f>
        <v>10</v>
      </c>
      <c r="O14" s="102">
        <f>TrRoad_act!O68</f>
        <v>171</v>
      </c>
      <c r="P14" s="102">
        <f>TrRoad_act!P68</f>
        <v>97</v>
      </c>
      <c r="Q14" s="102">
        <f>TrRoad_act!Q68</f>
        <v>86</v>
      </c>
      <c r="R14" s="102">
        <f>TrRoad_act!R68</f>
        <v>84</v>
      </c>
      <c r="S14" s="102">
        <f>TrRoad_act!S68</f>
        <v>81</v>
      </c>
      <c r="T14" s="102">
        <f>TrRoad_act!T68</f>
        <v>78</v>
      </c>
      <c r="U14" s="102">
        <f>TrRoad_act!U68</f>
        <v>73</v>
      </c>
      <c r="V14" s="102">
        <f>TrRoad_act!V68</f>
        <v>68</v>
      </c>
      <c r="W14" s="102">
        <f>TrRoad_act!W68</f>
        <v>63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2543</v>
      </c>
      <c r="C15" s="102">
        <f>TrRoad_act!C69</f>
        <v>2641</v>
      </c>
      <c r="D15" s="102">
        <f>TrRoad_act!D69</f>
        <v>2723</v>
      </c>
      <c r="E15" s="102">
        <f>TrRoad_act!E69</f>
        <v>2778</v>
      </c>
      <c r="F15" s="102">
        <f>TrRoad_act!F69</f>
        <v>2812</v>
      </c>
      <c r="G15" s="102">
        <f>TrRoad_act!G69</f>
        <v>2832</v>
      </c>
      <c r="H15" s="102">
        <f>TrRoad_act!H69</f>
        <v>2841</v>
      </c>
      <c r="I15" s="102">
        <f>TrRoad_act!I69</f>
        <v>2806</v>
      </c>
      <c r="J15" s="102">
        <f>TrRoad_act!J69</f>
        <v>2774</v>
      </c>
      <c r="K15" s="102">
        <f>TrRoad_act!K69</f>
        <v>2818</v>
      </c>
      <c r="L15" s="102">
        <f>TrRoad_act!L69</f>
        <v>2763</v>
      </c>
      <c r="M15" s="102">
        <f>TrRoad_act!M69</f>
        <v>2743</v>
      </c>
      <c r="N15" s="102">
        <f>TrRoad_act!N69</f>
        <v>2716</v>
      </c>
      <c r="O15" s="102">
        <f>TrRoad_act!O69</f>
        <v>2536</v>
      </c>
      <c r="P15" s="102">
        <f>TrRoad_act!P69</f>
        <v>2447</v>
      </c>
      <c r="Q15" s="102">
        <f>TrRoad_act!Q69</f>
        <v>2434</v>
      </c>
      <c r="R15" s="102">
        <f>TrRoad_act!R69</f>
        <v>2159</v>
      </c>
      <c r="S15" s="102">
        <f>TrRoad_act!S69</f>
        <v>2094</v>
      </c>
      <c r="T15" s="102">
        <f>TrRoad_act!T69</f>
        <v>2173</v>
      </c>
      <c r="U15" s="102">
        <f>TrRoad_act!U69</f>
        <v>2479</v>
      </c>
      <c r="V15" s="102">
        <f>TrRoad_act!V69</f>
        <v>2291</v>
      </c>
      <c r="W15" s="102">
        <f>TrRoad_act!W69</f>
        <v>2141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2</v>
      </c>
      <c r="E16" s="102">
        <f>TrRoad_act!E70</f>
        <v>2</v>
      </c>
      <c r="F16" s="102">
        <f>TrRoad_act!F70</f>
        <v>2</v>
      </c>
      <c r="G16" s="102">
        <f>TrRoad_act!G70</f>
        <v>2</v>
      </c>
      <c r="H16" s="102">
        <f>TrRoad_act!H70</f>
        <v>2</v>
      </c>
      <c r="I16" s="102">
        <f>TrRoad_act!I70</f>
        <v>2</v>
      </c>
      <c r="J16" s="102">
        <f>TrRoad_act!J70</f>
        <v>2</v>
      </c>
      <c r="K16" s="102">
        <f>TrRoad_act!K70</f>
        <v>2</v>
      </c>
      <c r="L16" s="102">
        <f>TrRoad_act!L70</f>
        <v>2</v>
      </c>
      <c r="M16" s="102">
        <f>TrRoad_act!M70</f>
        <v>7</v>
      </c>
      <c r="N16" s="102">
        <f>TrRoad_act!N70</f>
        <v>7</v>
      </c>
      <c r="O16" s="102">
        <f>TrRoad_act!O70</f>
        <v>37</v>
      </c>
      <c r="P16" s="102">
        <f>TrRoad_act!P70</f>
        <v>116</v>
      </c>
      <c r="Q16" s="102">
        <f>TrRoad_act!Q70</f>
        <v>116</v>
      </c>
      <c r="R16" s="102">
        <f>TrRoad_act!R70</f>
        <v>114</v>
      </c>
      <c r="S16" s="102">
        <f>TrRoad_act!S70</f>
        <v>117</v>
      </c>
      <c r="T16" s="102">
        <f>TrRoad_act!T70</f>
        <v>127</v>
      </c>
      <c r="U16" s="102">
        <f>TrRoad_act!U70</f>
        <v>163</v>
      </c>
      <c r="V16" s="102">
        <f>TrRoad_act!V70</f>
        <v>157</v>
      </c>
      <c r="W16" s="102">
        <f>TrRoad_act!W70</f>
        <v>150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80</v>
      </c>
      <c r="L17" s="102">
        <f>TrRoad_act!L71</f>
        <v>130</v>
      </c>
      <c r="M17" s="102">
        <f>TrRoad_act!M71</f>
        <v>169</v>
      </c>
      <c r="N17" s="102">
        <f>TrRoad_act!N71</f>
        <v>165</v>
      </c>
      <c r="O17" s="102">
        <f>TrRoad_act!O71</f>
        <v>262</v>
      </c>
      <c r="P17" s="102">
        <f>TrRoad_act!P71</f>
        <v>304</v>
      </c>
      <c r="Q17" s="102">
        <f>TrRoad_act!Q71</f>
        <v>538</v>
      </c>
      <c r="R17" s="102">
        <f>TrRoad_act!R71</f>
        <v>542</v>
      </c>
      <c r="S17" s="102">
        <f>TrRoad_act!S71</f>
        <v>521</v>
      </c>
      <c r="T17" s="102">
        <f>TrRoad_act!T71</f>
        <v>512</v>
      </c>
      <c r="U17" s="102">
        <f>TrRoad_act!U71</f>
        <v>490</v>
      </c>
      <c r="V17" s="102">
        <f>TrRoad_act!V71</f>
        <v>725</v>
      </c>
      <c r="W17" s="102">
        <f>TrRoad_act!W71</f>
        <v>838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15</v>
      </c>
      <c r="G18" s="102">
        <f>TrRoad_act!G72</f>
        <v>52</v>
      </c>
      <c r="H18" s="102">
        <f>TrRoad_act!H72</f>
        <v>89</v>
      </c>
      <c r="I18" s="102">
        <f>TrRoad_act!I72</f>
        <v>116</v>
      </c>
      <c r="J18" s="102">
        <f>TrRoad_act!J72</f>
        <v>119</v>
      </c>
      <c r="K18" s="102">
        <f>TrRoad_act!K72</f>
        <v>121</v>
      </c>
      <c r="L18" s="102">
        <f>TrRoad_act!L72</f>
        <v>117</v>
      </c>
      <c r="M18" s="102">
        <f>TrRoad_act!M72</f>
        <v>115</v>
      </c>
      <c r="N18" s="102">
        <f>TrRoad_act!N72</f>
        <v>109</v>
      </c>
      <c r="O18" s="102">
        <f>TrRoad_act!O72</f>
        <v>457</v>
      </c>
      <c r="P18" s="102">
        <f>TrRoad_act!P72</f>
        <v>434</v>
      </c>
      <c r="Q18" s="102">
        <f>TrRoad_act!Q72</f>
        <v>431</v>
      </c>
      <c r="R18" s="102">
        <f>TrRoad_act!R72</f>
        <v>408</v>
      </c>
      <c r="S18" s="102">
        <f>TrRoad_act!S72</f>
        <v>424</v>
      </c>
      <c r="T18" s="102">
        <f>TrRoad_act!T72</f>
        <v>438</v>
      </c>
      <c r="U18" s="102">
        <f>TrRoad_act!U72</f>
        <v>518</v>
      </c>
      <c r="V18" s="102">
        <f>TrRoad_act!V72</f>
        <v>444</v>
      </c>
      <c r="W18" s="102">
        <f>TrRoad_act!W72</f>
        <v>430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49096</v>
      </c>
      <c r="C19" s="28">
        <f>TrRoad_act!C73</f>
        <v>49822</v>
      </c>
      <c r="D19" s="28">
        <f>TrRoad_act!D73</f>
        <v>52227</v>
      </c>
      <c r="E19" s="28">
        <f>TrRoad_act!E73</f>
        <v>61914</v>
      </c>
      <c r="F19" s="28">
        <f>TrRoad_act!F73</f>
        <v>64203</v>
      </c>
      <c r="G19" s="28">
        <f>TrRoad_act!G73</f>
        <v>64637</v>
      </c>
      <c r="H19" s="28">
        <f>TrRoad_act!H73</f>
        <v>74497</v>
      </c>
      <c r="I19" s="28">
        <f>TrRoad_act!I73</f>
        <v>84405</v>
      </c>
      <c r="J19" s="28">
        <f>TrRoad_act!J73</f>
        <v>83111</v>
      </c>
      <c r="K19" s="28">
        <f>TrRoad_act!K73</f>
        <v>87415</v>
      </c>
      <c r="L19" s="28">
        <f>TrRoad_act!L73</f>
        <v>81287</v>
      </c>
      <c r="M19" s="28">
        <f>TrRoad_act!M73</f>
        <v>87231</v>
      </c>
      <c r="N19" s="28">
        <f>TrRoad_act!N73</f>
        <v>95603</v>
      </c>
      <c r="O19" s="28">
        <f>TrRoad_act!O73</f>
        <v>101951</v>
      </c>
      <c r="P19" s="28">
        <f>TrRoad_act!P73</f>
        <v>107950</v>
      </c>
      <c r="Q19" s="28">
        <f>TrRoad_act!Q73</f>
        <v>111138</v>
      </c>
      <c r="R19" s="28">
        <f>TrRoad_act!R73</f>
        <v>113692</v>
      </c>
      <c r="S19" s="28">
        <f>TrRoad_act!S73</f>
        <v>113979</v>
      </c>
      <c r="T19" s="28">
        <f>TrRoad_act!T73</f>
        <v>120620</v>
      </c>
      <c r="U19" s="28">
        <f>TrRoad_act!U73</f>
        <v>123328</v>
      </c>
      <c r="V19" s="28">
        <f>TrRoad_act!V73</f>
        <v>128852</v>
      </c>
      <c r="W19" s="28">
        <f>TrRoad_act!W73</f>
        <v>137823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21671</v>
      </c>
      <c r="C20" s="137">
        <f>TrRoad_act!C74</f>
        <v>22428</v>
      </c>
      <c r="D20" s="137">
        <f>TrRoad_act!D74</f>
        <v>24449</v>
      </c>
      <c r="E20" s="137">
        <f>TrRoad_act!E74</f>
        <v>26408</v>
      </c>
      <c r="F20" s="137">
        <f>TrRoad_act!F74</f>
        <v>28292</v>
      </c>
      <c r="G20" s="137">
        <f>TrRoad_act!G74</f>
        <v>31381</v>
      </c>
      <c r="H20" s="137">
        <f>TrRoad_act!H74</f>
        <v>39502</v>
      </c>
      <c r="I20" s="137">
        <f>TrRoad_act!I74</f>
        <v>45443</v>
      </c>
      <c r="J20" s="137">
        <f>TrRoad_act!J74</f>
        <v>48328</v>
      </c>
      <c r="K20" s="137">
        <f>TrRoad_act!K74</f>
        <v>53816</v>
      </c>
      <c r="L20" s="137">
        <f>TrRoad_act!L74</f>
        <v>49686</v>
      </c>
      <c r="M20" s="137">
        <f>TrRoad_act!M74</f>
        <v>55095</v>
      </c>
      <c r="N20" s="137">
        <f>TrRoad_act!N74</f>
        <v>61246</v>
      </c>
      <c r="O20" s="137">
        <f>TrRoad_act!O74</f>
        <v>65347</v>
      </c>
      <c r="P20" s="137">
        <f>TrRoad_act!P74</f>
        <v>69372</v>
      </c>
      <c r="Q20" s="137">
        <f>TrRoad_act!Q74</f>
        <v>73543</v>
      </c>
      <c r="R20" s="137">
        <f>TrRoad_act!R74</f>
        <v>75329</v>
      </c>
      <c r="S20" s="137">
        <f>TrRoad_act!S74</f>
        <v>77037</v>
      </c>
      <c r="T20" s="137">
        <f>TrRoad_act!T74</f>
        <v>80145</v>
      </c>
      <c r="U20" s="137">
        <f>TrRoad_act!U74</f>
        <v>84277</v>
      </c>
      <c r="V20" s="137">
        <f>TrRoad_act!V74</f>
        <v>88081</v>
      </c>
      <c r="W20" s="137">
        <f>TrRoad_act!W74</f>
        <v>92143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3273</v>
      </c>
      <c r="C21" s="84">
        <f>TrRoad_act!C75</f>
        <v>3273</v>
      </c>
      <c r="D21" s="84">
        <f>TrRoad_act!D75</f>
        <v>3273</v>
      </c>
      <c r="E21" s="84">
        <f>TrRoad_act!E75</f>
        <v>3274</v>
      </c>
      <c r="F21" s="84">
        <f>TrRoad_act!F75</f>
        <v>3282</v>
      </c>
      <c r="G21" s="84">
        <f>TrRoad_act!G75</f>
        <v>3358</v>
      </c>
      <c r="H21" s="84">
        <f>TrRoad_act!H75</f>
        <v>4227</v>
      </c>
      <c r="I21" s="84">
        <f>TrRoad_act!I75</f>
        <v>4862</v>
      </c>
      <c r="J21" s="84">
        <f>TrRoad_act!J75</f>
        <v>4499</v>
      </c>
      <c r="K21" s="84">
        <f>TrRoad_act!K75</f>
        <v>4090</v>
      </c>
      <c r="L21" s="84">
        <f>TrRoad_act!L75</f>
        <v>3651</v>
      </c>
      <c r="M21" s="84">
        <f>TrRoad_act!M75</f>
        <v>3178</v>
      </c>
      <c r="N21" s="84">
        <f>TrRoad_act!N75</f>
        <v>2711</v>
      </c>
      <c r="O21" s="84">
        <f>TrRoad_act!O75</f>
        <v>2421</v>
      </c>
      <c r="P21" s="84">
        <f>TrRoad_act!P75</f>
        <v>2131</v>
      </c>
      <c r="Q21" s="84">
        <f>TrRoad_act!Q75</f>
        <v>1840</v>
      </c>
      <c r="R21" s="84">
        <f>TrRoad_act!R75</f>
        <v>1678</v>
      </c>
      <c r="S21" s="84">
        <f>TrRoad_act!S75</f>
        <v>1537</v>
      </c>
      <c r="T21" s="84">
        <f>TrRoad_act!T75</f>
        <v>1442</v>
      </c>
      <c r="U21" s="84">
        <f>TrRoad_act!U75</f>
        <v>1916</v>
      </c>
      <c r="V21" s="84">
        <f>TrRoad_act!V75</f>
        <v>1740</v>
      </c>
      <c r="W21" s="84">
        <f>TrRoad_act!W75</f>
        <v>1616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18398</v>
      </c>
      <c r="C22" s="84">
        <f>TrRoad_act!C76</f>
        <v>19155</v>
      </c>
      <c r="D22" s="84">
        <f>TrRoad_act!D76</f>
        <v>21176</v>
      </c>
      <c r="E22" s="84">
        <f>TrRoad_act!E76</f>
        <v>23134</v>
      </c>
      <c r="F22" s="84">
        <f>TrRoad_act!F76</f>
        <v>25010</v>
      </c>
      <c r="G22" s="84">
        <f>TrRoad_act!G76</f>
        <v>28023</v>
      </c>
      <c r="H22" s="84">
        <f>TrRoad_act!H76</f>
        <v>35275</v>
      </c>
      <c r="I22" s="84">
        <f>TrRoad_act!I76</f>
        <v>40581</v>
      </c>
      <c r="J22" s="84">
        <f>TrRoad_act!J76</f>
        <v>43829</v>
      </c>
      <c r="K22" s="84">
        <f>TrRoad_act!K76</f>
        <v>49726</v>
      </c>
      <c r="L22" s="84">
        <f>TrRoad_act!L76</f>
        <v>46035</v>
      </c>
      <c r="M22" s="84">
        <f>TrRoad_act!M76</f>
        <v>51917</v>
      </c>
      <c r="N22" s="84">
        <f>TrRoad_act!N76</f>
        <v>58535</v>
      </c>
      <c r="O22" s="84">
        <f>TrRoad_act!O76</f>
        <v>62926</v>
      </c>
      <c r="P22" s="84">
        <f>TrRoad_act!P76</f>
        <v>67241</v>
      </c>
      <c r="Q22" s="84">
        <f>TrRoad_act!Q76</f>
        <v>71703</v>
      </c>
      <c r="R22" s="84">
        <f>TrRoad_act!R76</f>
        <v>73651</v>
      </c>
      <c r="S22" s="84">
        <f>TrRoad_act!S76</f>
        <v>75500</v>
      </c>
      <c r="T22" s="84">
        <f>TrRoad_act!T76</f>
        <v>78703</v>
      </c>
      <c r="U22" s="84">
        <f>TrRoad_act!U76</f>
        <v>82361</v>
      </c>
      <c r="V22" s="84">
        <f>TrRoad_act!V76</f>
        <v>86341</v>
      </c>
      <c r="W22" s="84">
        <f>TrRoad_act!W76</f>
        <v>90527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0</v>
      </c>
      <c r="P25" s="84">
        <f>TrRoad_act!P79</f>
        <v>0</v>
      </c>
      <c r="Q25" s="84">
        <f>TrRoad_act!Q79</f>
        <v>0</v>
      </c>
      <c r="R25" s="84">
        <f>TrRoad_act!R79</f>
        <v>0</v>
      </c>
      <c r="S25" s="84">
        <f>TrRoad_act!S79</f>
        <v>0</v>
      </c>
      <c r="T25" s="84">
        <f>TrRoad_act!T79</f>
        <v>0</v>
      </c>
      <c r="U25" s="84">
        <f>TrRoad_act!U79</f>
        <v>0</v>
      </c>
      <c r="V25" s="84">
        <f>TrRoad_act!V79</f>
        <v>0</v>
      </c>
      <c r="W25" s="84">
        <f>TrRoad_act!W79</f>
        <v>0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27425</v>
      </c>
      <c r="C26" s="110">
        <f>TrRoad_act!C80</f>
        <v>27394</v>
      </c>
      <c r="D26" s="110">
        <f>TrRoad_act!D80</f>
        <v>27778</v>
      </c>
      <c r="E26" s="110">
        <f>TrRoad_act!E80</f>
        <v>35506</v>
      </c>
      <c r="F26" s="110">
        <f>TrRoad_act!F80</f>
        <v>35911</v>
      </c>
      <c r="G26" s="110">
        <f>TrRoad_act!G80</f>
        <v>33256</v>
      </c>
      <c r="H26" s="110">
        <f>TrRoad_act!H80</f>
        <v>34995</v>
      </c>
      <c r="I26" s="110">
        <f>TrRoad_act!I80</f>
        <v>38962</v>
      </c>
      <c r="J26" s="110">
        <f>TrRoad_act!J80</f>
        <v>34783</v>
      </c>
      <c r="K26" s="110">
        <f>TrRoad_act!K80</f>
        <v>33599</v>
      </c>
      <c r="L26" s="110">
        <f>TrRoad_act!L80</f>
        <v>31601</v>
      </c>
      <c r="M26" s="110">
        <f>TrRoad_act!M80</f>
        <v>32136</v>
      </c>
      <c r="N26" s="110">
        <f>TrRoad_act!N80</f>
        <v>34357</v>
      </c>
      <c r="O26" s="110">
        <f>TrRoad_act!O80</f>
        <v>36604</v>
      </c>
      <c r="P26" s="110">
        <f>TrRoad_act!P80</f>
        <v>38578</v>
      </c>
      <c r="Q26" s="110">
        <f>TrRoad_act!Q80</f>
        <v>37595</v>
      </c>
      <c r="R26" s="110">
        <f>TrRoad_act!R80</f>
        <v>38363</v>
      </c>
      <c r="S26" s="110">
        <f>TrRoad_act!S80</f>
        <v>36942</v>
      </c>
      <c r="T26" s="110">
        <f>TrRoad_act!T80</f>
        <v>40475</v>
      </c>
      <c r="U26" s="110">
        <f>TrRoad_act!U80</f>
        <v>39051</v>
      </c>
      <c r="V26" s="110">
        <f>TrRoad_act!V80</f>
        <v>40771</v>
      </c>
      <c r="W26" s="110">
        <f>TrRoad_act!W80</f>
        <v>45680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26106</v>
      </c>
      <c r="C27" s="102">
        <f>TrRoad_act!C81</f>
        <v>25980</v>
      </c>
      <c r="D27" s="102">
        <f>TrRoad_act!D81</f>
        <v>26291</v>
      </c>
      <c r="E27" s="102">
        <f>TrRoad_act!E81</f>
        <v>33986</v>
      </c>
      <c r="F27" s="102">
        <f>TrRoad_act!F81</f>
        <v>34113</v>
      </c>
      <c r="G27" s="102">
        <f>TrRoad_act!G81</f>
        <v>31395</v>
      </c>
      <c r="H27" s="102">
        <f>TrRoad_act!H81</f>
        <v>32618</v>
      </c>
      <c r="I27" s="102">
        <f>TrRoad_act!I81</f>
        <v>36334</v>
      </c>
      <c r="J27" s="102">
        <f>TrRoad_act!J81</f>
        <v>32337</v>
      </c>
      <c r="K27" s="102">
        <f>TrRoad_act!K81</f>
        <v>31569</v>
      </c>
      <c r="L27" s="102">
        <f>TrRoad_act!L81</f>
        <v>29335</v>
      </c>
      <c r="M27" s="102">
        <f>TrRoad_act!M81</f>
        <v>29579</v>
      </c>
      <c r="N27" s="102">
        <f>TrRoad_act!N81</f>
        <v>31395</v>
      </c>
      <c r="O27" s="102">
        <f>TrRoad_act!O81</f>
        <v>33142</v>
      </c>
      <c r="P27" s="102">
        <f>TrRoad_act!P81</f>
        <v>35295</v>
      </c>
      <c r="Q27" s="102">
        <f>TrRoad_act!Q81</f>
        <v>33929</v>
      </c>
      <c r="R27" s="102">
        <f>TrRoad_act!R81</f>
        <v>34596</v>
      </c>
      <c r="S27" s="102">
        <f>TrRoad_act!S81</f>
        <v>33160</v>
      </c>
      <c r="T27" s="102">
        <f>TrRoad_act!T81</f>
        <v>36871</v>
      </c>
      <c r="U27" s="102">
        <f>TrRoad_act!U81</f>
        <v>35496</v>
      </c>
      <c r="V27" s="102">
        <f>TrRoad_act!V81</f>
        <v>36813</v>
      </c>
      <c r="W27" s="102">
        <f>TrRoad_act!W81</f>
        <v>41605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1319</v>
      </c>
      <c r="C28" s="86">
        <f>TrRoad_act!C82</f>
        <v>1414</v>
      </c>
      <c r="D28" s="86">
        <f>TrRoad_act!D82</f>
        <v>1487</v>
      </c>
      <c r="E28" s="86">
        <f>TrRoad_act!E82</f>
        <v>1520</v>
      </c>
      <c r="F28" s="86">
        <f>TrRoad_act!F82</f>
        <v>1798</v>
      </c>
      <c r="G28" s="86">
        <f>TrRoad_act!G82</f>
        <v>1861</v>
      </c>
      <c r="H28" s="86">
        <f>TrRoad_act!H82</f>
        <v>2377</v>
      </c>
      <c r="I28" s="86">
        <f>TrRoad_act!I82</f>
        <v>2628</v>
      </c>
      <c r="J28" s="86">
        <f>TrRoad_act!J82</f>
        <v>2446</v>
      </c>
      <c r="K28" s="86">
        <f>TrRoad_act!K82</f>
        <v>2030</v>
      </c>
      <c r="L28" s="86">
        <f>TrRoad_act!L82</f>
        <v>2266</v>
      </c>
      <c r="M28" s="86">
        <f>TrRoad_act!M82</f>
        <v>2557</v>
      </c>
      <c r="N28" s="86">
        <f>TrRoad_act!N82</f>
        <v>2962</v>
      </c>
      <c r="O28" s="86">
        <f>TrRoad_act!O82</f>
        <v>3462</v>
      </c>
      <c r="P28" s="86">
        <f>TrRoad_act!P82</f>
        <v>3283</v>
      </c>
      <c r="Q28" s="86">
        <f>TrRoad_act!Q82</f>
        <v>3666</v>
      </c>
      <c r="R28" s="86">
        <f>TrRoad_act!R82</f>
        <v>3767</v>
      </c>
      <c r="S28" s="86">
        <f>TrRoad_act!S82</f>
        <v>3782</v>
      </c>
      <c r="T28" s="86">
        <f>TrRoad_act!T82</f>
        <v>3604</v>
      </c>
      <c r="U28" s="86">
        <f>TrRoad_act!U82</f>
        <v>3555</v>
      </c>
      <c r="V28" s="86">
        <f>TrRoad_act!V82</f>
        <v>3958</v>
      </c>
      <c r="W28" s="86">
        <f>TrRoad_act!W82</f>
        <v>4075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116761</v>
      </c>
      <c r="C30" s="54">
        <f>TrRoad_act!C111</f>
        <v>150795</v>
      </c>
      <c r="D30" s="54">
        <f>TrRoad_act!D111</f>
        <v>132770</v>
      </c>
      <c r="E30" s="54">
        <f>TrRoad_act!E111</f>
        <v>173422</v>
      </c>
      <c r="F30" s="54">
        <f>TrRoad_act!F111</f>
        <v>177863</v>
      </c>
      <c r="G30" s="54">
        <f>TrRoad_act!G111</f>
        <v>203417</v>
      </c>
      <c r="H30" s="54">
        <f>TrRoad_act!H111</f>
        <v>295019</v>
      </c>
      <c r="I30" s="54">
        <f>TrRoad_act!I111</f>
        <v>195310</v>
      </c>
      <c r="J30" s="54">
        <f>TrRoad_act!J111</f>
        <v>127304</v>
      </c>
      <c r="K30" s="54">
        <f>TrRoad_act!K111</f>
        <v>59892</v>
      </c>
      <c r="L30" s="54">
        <f>TrRoad_act!L111</f>
        <v>44405</v>
      </c>
      <c r="M30" s="54">
        <f>TrRoad_act!M111</f>
        <v>46130</v>
      </c>
      <c r="N30" s="54">
        <f>TrRoad_act!N111</f>
        <v>251023</v>
      </c>
      <c r="O30" s="54">
        <f>TrRoad_act!O111</f>
        <v>151278</v>
      </c>
      <c r="P30" s="54">
        <f>TrRoad_act!P111</f>
        <v>159811</v>
      </c>
      <c r="Q30" s="54">
        <f>TrRoad_act!Q111</f>
        <v>211241</v>
      </c>
      <c r="R30" s="54">
        <f>TrRoad_act!R111</f>
        <v>162146</v>
      </c>
      <c r="S30" s="54">
        <f>TrRoad_act!S111</f>
        <v>185352</v>
      </c>
      <c r="T30" s="54">
        <f>TrRoad_act!T111</f>
        <v>198345</v>
      </c>
      <c r="U30" s="54">
        <f>TrRoad_act!U111</f>
        <v>199408</v>
      </c>
      <c r="V30" s="54">
        <f>TrRoad_act!V111</f>
        <v>140926</v>
      </c>
      <c r="W30" s="54">
        <f>TrRoad_act!W111</f>
        <v>127196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116629</v>
      </c>
      <c r="C31" s="28">
        <f>TrRoad_act!C112</f>
        <v>145811</v>
      </c>
      <c r="D31" s="28">
        <f>TrRoad_act!D112</f>
        <v>124459</v>
      </c>
      <c r="E31" s="28">
        <f>TrRoad_act!E112</f>
        <v>161116</v>
      </c>
      <c r="F31" s="28">
        <f>TrRoad_act!F112</f>
        <v>171532</v>
      </c>
      <c r="G31" s="28">
        <f>TrRoad_act!G112</f>
        <v>196239</v>
      </c>
      <c r="H31" s="28">
        <f>TrRoad_act!H112</f>
        <v>280539</v>
      </c>
      <c r="I31" s="28">
        <f>TrRoad_act!I112</f>
        <v>181571</v>
      </c>
      <c r="J31" s="28">
        <f>TrRoad_act!J112</f>
        <v>121177</v>
      </c>
      <c r="K31" s="28">
        <f>TrRoad_act!K112</f>
        <v>49796</v>
      </c>
      <c r="L31" s="28">
        <f>TrRoad_act!L112</f>
        <v>43387</v>
      </c>
      <c r="M31" s="28">
        <f>TrRoad_act!M112</f>
        <v>31674</v>
      </c>
      <c r="N31" s="28">
        <f>TrRoad_act!N112</f>
        <v>234273</v>
      </c>
      <c r="O31" s="28">
        <f>TrRoad_act!O112</f>
        <v>135321</v>
      </c>
      <c r="P31" s="28">
        <f>TrRoad_act!P112</f>
        <v>144772</v>
      </c>
      <c r="Q31" s="28">
        <f>TrRoad_act!Q112</f>
        <v>199295</v>
      </c>
      <c r="R31" s="28">
        <f>TrRoad_act!R112</f>
        <v>145602</v>
      </c>
      <c r="S31" s="28">
        <f>TrRoad_act!S112</f>
        <v>168731</v>
      </c>
      <c r="T31" s="28">
        <f>TrRoad_act!T112</f>
        <v>180006</v>
      </c>
      <c r="U31" s="28">
        <f>TrRoad_act!U112</f>
        <v>182197</v>
      </c>
      <c r="V31" s="28">
        <f>TrRoad_act!V112</f>
        <v>130004</v>
      </c>
      <c r="W31" s="28">
        <f>TrRoad_act!W112</f>
        <v>114277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452</v>
      </c>
      <c r="C32" s="137">
        <f>TrRoad_act!C113</f>
        <v>840</v>
      </c>
      <c r="D32" s="137">
        <f>TrRoad_act!D113</f>
        <v>1292</v>
      </c>
      <c r="E32" s="137">
        <f>TrRoad_act!E113</f>
        <v>1405</v>
      </c>
      <c r="F32" s="137">
        <f>TrRoad_act!F113</f>
        <v>1579</v>
      </c>
      <c r="G32" s="137">
        <f>TrRoad_act!G113</f>
        <v>1984</v>
      </c>
      <c r="H32" s="137">
        <f>TrRoad_act!H113</f>
        <v>2948</v>
      </c>
      <c r="I32" s="137">
        <f>TrRoad_act!I113</f>
        <v>5311</v>
      </c>
      <c r="J32" s="137">
        <f>TrRoad_act!J113</f>
        <v>6746</v>
      </c>
      <c r="K32" s="137">
        <f>TrRoad_act!K113</f>
        <v>4668</v>
      </c>
      <c r="L32" s="137">
        <f>TrRoad_act!L113</f>
        <v>1568</v>
      </c>
      <c r="M32" s="137">
        <f>TrRoad_act!M113</f>
        <v>1700</v>
      </c>
      <c r="N32" s="137">
        <f>TrRoad_act!N113</f>
        <v>1557</v>
      </c>
      <c r="O32" s="137">
        <f>TrRoad_act!O113</f>
        <v>1604</v>
      </c>
      <c r="P32" s="137">
        <f>TrRoad_act!P113</f>
        <v>1742</v>
      </c>
      <c r="Q32" s="137">
        <f>TrRoad_act!Q113</f>
        <v>1745</v>
      </c>
      <c r="R32" s="137">
        <f>TrRoad_act!R113</f>
        <v>3284</v>
      </c>
      <c r="S32" s="137">
        <f>TrRoad_act!S113</f>
        <v>3878</v>
      </c>
      <c r="T32" s="137">
        <f>TrRoad_act!T113</f>
        <v>4939</v>
      </c>
      <c r="U32" s="137">
        <f>TrRoad_act!U113</f>
        <v>11136</v>
      </c>
      <c r="V32" s="137">
        <f>TrRoad_act!V113</f>
        <v>11120</v>
      </c>
      <c r="W32" s="137">
        <f>TrRoad_act!W113</f>
        <v>12346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115808</v>
      </c>
      <c r="C33" s="110">
        <f>TrRoad_act!C114</f>
        <v>144389</v>
      </c>
      <c r="D33" s="110">
        <f>TrRoad_act!D114</f>
        <v>122398</v>
      </c>
      <c r="E33" s="110">
        <f>TrRoad_act!E114</f>
        <v>158761</v>
      </c>
      <c r="F33" s="110">
        <f>TrRoad_act!F114</f>
        <v>168807</v>
      </c>
      <c r="G33" s="110">
        <f>TrRoad_act!G114</f>
        <v>192817</v>
      </c>
      <c r="H33" s="110">
        <f>TrRoad_act!H114</f>
        <v>276356</v>
      </c>
      <c r="I33" s="110">
        <f>TrRoad_act!I114</f>
        <v>175083</v>
      </c>
      <c r="J33" s="110">
        <f>TrRoad_act!J114</f>
        <v>113512</v>
      </c>
      <c r="K33" s="110">
        <f>TrRoad_act!K114</f>
        <v>44527</v>
      </c>
      <c r="L33" s="110">
        <f>TrRoad_act!L114</f>
        <v>41254</v>
      </c>
      <c r="M33" s="110">
        <f>TrRoad_act!M114</f>
        <v>29371</v>
      </c>
      <c r="N33" s="110">
        <f>TrRoad_act!N114</f>
        <v>232571</v>
      </c>
      <c r="O33" s="110">
        <f>TrRoad_act!O114</f>
        <v>132447</v>
      </c>
      <c r="P33" s="110">
        <f>TrRoad_act!P114</f>
        <v>142276</v>
      </c>
      <c r="Q33" s="110">
        <f>TrRoad_act!Q114</f>
        <v>196683</v>
      </c>
      <c r="R33" s="110">
        <f>TrRoad_act!R114</f>
        <v>141667</v>
      </c>
      <c r="S33" s="110">
        <f>TrRoad_act!S114</f>
        <v>163998</v>
      </c>
      <c r="T33" s="110">
        <f>TrRoad_act!T114</f>
        <v>174017</v>
      </c>
      <c r="U33" s="110">
        <f>TrRoad_act!U114</f>
        <v>170293</v>
      </c>
      <c r="V33" s="110">
        <f>TrRoad_act!V114</f>
        <v>118010</v>
      </c>
      <c r="W33" s="110">
        <f>TrRoad_act!W114</f>
        <v>101071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60808</v>
      </c>
      <c r="C34" s="84">
        <f>TrRoad_act!C115</f>
        <v>74342</v>
      </c>
      <c r="D34" s="84">
        <f>TrRoad_act!D115</f>
        <v>27787</v>
      </c>
      <c r="E34" s="84">
        <f>TrRoad_act!E115</f>
        <v>55184</v>
      </c>
      <c r="F34" s="84">
        <f>TrRoad_act!F115</f>
        <v>34095</v>
      </c>
      <c r="G34" s="84">
        <f>TrRoad_act!G115</f>
        <v>46836</v>
      </c>
      <c r="H34" s="84">
        <f>TrRoad_act!H115</f>
        <v>98738</v>
      </c>
      <c r="I34" s="84">
        <f>TrRoad_act!I115</f>
        <v>88458</v>
      </c>
      <c r="J34" s="84">
        <f>TrRoad_act!J115</f>
        <v>51877</v>
      </c>
      <c r="K34" s="84">
        <f>TrRoad_act!K115</f>
        <v>3375</v>
      </c>
      <c r="L34" s="84">
        <f>TrRoad_act!L115</f>
        <v>4</v>
      </c>
      <c r="M34" s="84">
        <f>TrRoad_act!M115</f>
        <v>28</v>
      </c>
      <c r="N34" s="84">
        <f>TrRoad_act!N115</f>
        <v>12</v>
      </c>
      <c r="O34" s="84">
        <f>TrRoad_act!O115</f>
        <v>16546</v>
      </c>
      <c r="P34" s="84">
        <f>TrRoad_act!P115</f>
        <v>36978</v>
      </c>
      <c r="Q34" s="84">
        <f>TrRoad_act!Q115</f>
        <v>35344</v>
      </c>
      <c r="R34" s="84">
        <f>TrRoad_act!R115</f>
        <v>33009</v>
      </c>
      <c r="S34" s="84">
        <f>TrRoad_act!S115</f>
        <v>45181</v>
      </c>
      <c r="T34" s="84">
        <f>TrRoad_act!T115</f>
        <v>47169</v>
      </c>
      <c r="U34" s="84">
        <f>TrRoad_act!U115</f>
        <v>54886</v>
      </c>
      <c r="V34" s="84">
        <f>TrRoad_act!V115</f>
        <v>40343</v>
      </c>
      <c r="W34" s="84">
        <f>TrRoad_act!W115</f>
        <v>34102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35000</v>
      </c>
      <c r="C35" s="84">
        <f>TrRoad_act!C116</f>
        <v>37047</v>
      </c>
      <c r="D35" s="84">
        <f>TrRoad_act!D116</f>
        <v>45130</v>
      </c>
      <c r="E35" s="84">
        <f>TrRoad_act!E116</f>
        <v>55429</v>
      </c>
      <c r="F35" s="84">
        <f>TrRoad_act!F116</f>
        <v>67236</v>
      </c>
      <c r="G35" s="84">
        <f>TrRoad_act!G116</f>
        <v>145981</v>
      </c>
      <c r="H35" s="84">
        <f>TrRoad_act!H116</f>
        <v>130192</v>
      </c>
      <c r="I35" s="84">
        <f>TrRoad_act!I116</f>
        <v>43353</v>
      </c>
      <c r="J35" s="84">
        <f>TrRoad_act!J116</f>
        <v>53861</v>
      </c>
      <c r="K35" s="84">
        <f>TrRoad_act!K116</f>
        <v>36553</v>
      </c>
      <c r="L35" s="84">
        <f>TrRoad_act!L116</f>
        <v>41250</v>
      </c>
      <c r="M35" s="84">
        <f>TrRoad_act!M116</f>
        <v>29341</v>
      </c>
      <c r="N35" s="84">
        <f>TrRoad_act!N116</f>
        <v>220756</v>
      </c>
      <c r="O35" s="84">
        <f>TrRoad_act!O116</f>
        <v>86712</v>
      </c>
      <c r="P35" s="84">
        <f>TrRoad_act!P116</f>
        <v>91258</v>
      </c>
      <c r="Q35" s="84">
        <f>TrRoad_act!Q116</f>
        <v>147524</v>
      </c>
      <c r="R35" s="84">
        <f>TrRoad_act!R116</f>
        <v>100508</v>
      </c>
      <c r="S35" s="84">
        <f>TrRoad_act!S116</f>
        <v>110344</v>
      </c>
      <c r="T35" s="84">
        <f>TrRoad_act!T116</f>
        <v>110076</v>
      </c>
      <c r="U35" s="84">
        <f>TrRoad_act!U116</f>
        <v>94162</v>
      </c>
      <c r="V35" s="84">
        <f>TrRoad_act!V116</f>
        <v>57110</v>
      </c>
      <c r="W35" s="84">
        <f>TrRoad_act!W116</f>
        <v>57005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20000</v>
      </c>
      <c r="C36" s="84">
        <f>TrRoad_act!C117</f>
        <v>33000</v>
      </c>
      <c r="D36" s="84">
        <f>TrRoad_act!D117</f>
        <v>49481</v>
      </c>
      <c r="E36" s="84">
        <f>TrRoad_act!E117</f>
        <v>48148</v>
      </c>
      <c r="F36" s="84">
        <f>TrRoad_act!F117</f>
        <v>67476</v>
      </c>
      <c r="G36" s="84">
        <f>TrRoad_act!G117</f>
        <v>0</v>
      </c>
      <c r="H36" s="84">
        <f>TrRoad_act!H117</f>
        <v>47426</v>
      </c>
      <c r="I36" s="84">
        <f>TrRoad_act!I117</f>
        <v>43272</v>
      </c>
      <c r="J36" s="84">
        <f>TrRoad_act!J117</f>
        <v>7774</v>
      </c>
      <c r="K36" s="84">
        <f>TrRoad_act!K117</f>
        <v>4599</v>
      </c>
      <c r="L36" s="84">
        <f>TrRoad_act!L117</f>
        <v>0</v>
      </c>
      <c r="M36" s="84">
        <f>TrRoad_act!M117</f>
        <v>0</v>
      </c>
      <c r="N36" s="84">
        <f>TrRoad_act!N117</f>
        <v>11802</v>
      </c>
      <c r="O36" s="84">
        <f>TrRoad_act!O117</f>
        <v>28052</v>
      </c>
      <c r="P36" s="84">
        <f>TrRoad_act!P117</f>
        <v>12162</v>
      </c>
      <c r="Q36" s="84">
        <f>TrRoad_act!Q117</f>
        <v>12711</v>
      </c>
      <c r="R36" s="84">
        <f>TrRoad_act!R117</f>
        <v>6151</v>
      </c>
      <c r="S36" s="84">
        <f>TrRoad_act!S117</f>
        <v>5237</v>
      </c>
      <c r="T36" s="84">
        <f>TrRoad_act!T117</f>
        <v>10884</v>
      </c>
      <c r="U36" s="84">
        <f>TrRoad_act!U117</f>
        <v>13956</v>
      </c>
      <c r="V36" s="84">
        <f>TrRoad_act!V117</f>
        <v>11680</v>
      </c>
      <c r="W36" s="84">
        <f>TrRoad_act!W117</f>
        <v>6581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1</v>
      </c>
      <c r="O37" s="84">
        <f>TrRoad_act!O118</f>
        <v>4</v>
      </c>
      <c r="P37" s="84">
        <f>TrRoad_act!P118</f>
        <v>23</v>
      </c>
      <c r="Q37" s="84">
        <f>TrRoad_act!Q118</f>
        <v>10</v>
      </c>
      <c r="R37" s="84">
        <f>TrRoad_act!R118</f>
        <v>12</v>
      </c>
      <c r="S37" s="84">
        <f>TrRoad_act!S118</f>
        <v>25</v>
      </c>
      <c r="T37" s="84">
        <f>TrRoad_act!T118</f>
        <v>26</v>
      </c>
      <c r="U37" s="84">
        <f>TrRoad_act!U118</f>
        <v>1</v>
      </c>
      <c r="V37" s="84">
        <f>TrRoad_act!V118</f>
        <v>82</v>
      </c>
      <c r="W37" s="84">
        <f>TrRoad_act!W118</f>
        <v>78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1129</v>
      </c>
      <c r="P38" s="84">
        <f>TrRoad_act!P119</f>
        <v>1798</v>
      </c>
      <c r="Q38" s="84">
        <f>TrRoad_act!Q119</f>
        <v>988</v>
      </c>
      <c r="R38" s="84">
        <f>TrRoad_act!R119</f>
        <v>1785</v>
      </c>
      <c r="S38" s="84">
        <f>TrRoad_act!S119</f>
        <v>2928</v>
      </c>
      <c r="T38" s="84">
        <f>TrRoad_act!T119</f>
        <v>5518</v>
      </c>
      <c r="U38" s="84">
        <f>TrRoad_act!U119</f>
        <v>6860</v>
      </c>
      <c r="V38" s="84">
        <f>TrRoad_act!V119</f>
        <v>8202</v>
      </c>
      <c r="W38" s="84">
        <f>TrRoad_act!W119</f>
        <v>396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2</v>
      </c>
      <c r="N39" s="84">
        <f>TrRoad_act!N120</f>
        <v>0</v>
      </c>
      <c r="O39" s="84">
        <f>TrRoad_act!O120</f>
        <v>4</v>
      </c>
      <c r="P39" s="84">
        <f>TrRoad_act!P120</f>
        <v>57</v>
      </c>
      <c r="Q39" s="84">
        <f>TrRoad_act!Q120</f>
        <v>106</v>
      </c>
      <c r="R39" s="84">
        <f>TrRoad_act!R120</f>
        <v>202</v>
      </c>
      <c r="S39" s="84">
        <f>TrRoad_act!S120</f>
        <v>283</v>
      </c>
      <c r="T39" s="84">
        <f>TrRoad_act!T120</f>
        <v>344</v>
      </c>
      <c r="U39" s="84">
        <f>TrRoad_act!U120</f>
        <v>428</v>
      </c>
      <c r="V39" s="84">
        <f>TrRoad_act!V120</f>
        <v>593</v>
      </c>
      <c r="W39" s="84">
        <f>TrRoad_act!W120</f>
        <v>2909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369</v>
      </c>
      <c r="C40" s="110">
        <f>TrRoad_act!C121</f>
        <v>582</v>
      </c>
      <c r="D40" s="110">
        <f>TrRoad_act!D121</f>
        <v>769</v>
      </c>
      <c r="E40" s="110">
        <f>TrRoad_act!E121</f>
        <v>950</v>
      </c>
      <c r="F40" s="110">
        <f>TrRoad_act!F121</f>
        <v>1146</v>
      </c>
      <c r="G40" s="110">
        <f>TrRoad_act!G121</f>
        <v>1438</v>
      </c>
      <c r="H40" s="110">
        <f>TrRoad_act!H121</f>
        <v>1235</v>
      </c>
      <c r="I40" s="110">
        <f>TrRoad_act!I121</f>
        <v>1177</v>
      </c>
      <c r="J40" s="110">
        <f>TrRoad_act!J121</f>
        <v>919</v>
      </c>
      <c r="K40" s="110">
        <f>TrRoad_act!K121</f>
        <v>601</v>
      </c>
      <c r="L40" s="110">
        <f>TrRoad_act!L121</f>
        <v>565</v>
      </c>
      <c r="M40" s="110">
        <f>TrRoad_act!M121</f>
        <v>603</v>
      </c>
      <c r="N40" s="110">
        <f>TrRoad_act!N121</f>
        <v>145</v>
      </c>
      <c r="O40" s="110">
        <f>TrRoad_act!O121</f>
        <v>1270</v>
      </c>
      <c r="P40" s="110">
        <f>TrRoad_act!P121</f>
        <v>754</v>
      </c>
      <c r="Q40" s="110">
        <f>TrRoad_act!Q121</f>
        <v>867</v>
      </c>
      <c r="R40" s="110">
        <f>TrRoad_act!R121</f>
        <v>651</v>
      </c>
      <c r="S40" s="110">
        <f>TrRoad_act!S121</f>
        <v>855</v>
      </c>
      <c r="T40" s="110">
        <f>TrRoad_act!T121</f>
        <v>1050</v>
      </c>
      <c r="U40" s="110">
        <f>TrRoad_act!U121</f>
        <v>768</v>
      </c>
      <c r="V40" s="110">
        <f>TrRoad_act!V121</f>
        <v>874</v>
      </c>
      <c r="W40" s="110">
        <f>TrRoad_act!W121</f>
        <v>860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17</v>
      </c>
      <c r="E41" s="102">
        <f>TrRoad_act!E122</f>
        <v>9</v>
      </c>
      <c r="F41" s="102">
        <f>TrRoad_act!F122</f>
        <v>0</v>
      </c>
      <c r="G41" s="102">
        <f>TrRoad_act!G122</f>
        <v>1</v>
      </c>
      <c r="H41" s="102">
        <f>TrRoad_act!H122</f>
        <v>2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161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369</v>
      </c>
      <c r="C42" s="102">
        <f>TrRoad_act!C123</f>
        <v>582</v>
      </c>
      <c r="D42" s="102">
        <f>TrRoad_act!D123</f>
        <v>750</v>
      </c>
      <c r="E42" s="102">
        <f>TrRoad_act!E123</f>
        <v>941</v>
      </c>
      <c r="F42" s="102">
        <f>TrRoad_act!F123</f>
        <v>1131</v>
      </c>
      <c r="G42" s="102">
        <f>TrRoad_act!G123</f>
        <v>1400</v>
      </c>
      <c r="H42" s="102">
        <f>TrRoad_act!H123</f>
        <v>1196</v>
      </c>
      <c r="I42" s="102">
        <f>TrRoad_act!I123</f>
        <v>1149</v>
      </c>
      <c r="J42" s="102">
        <f>TrRoad_act!J123</f>
        <v>914</v>
      </c>
      <c r="K42" s="102">
        <f>TrRoad_act!K123</f>
        <v>517</v>
      </c>
      <c r="L42" s="102">
        <f>TrRoad_act!L123</f>
        <v>515</v>
      </c>
      <c r="M42" s="102">
        <f>TrRoad_act!M123</f>
        <v>556</v>
      </c>
      <c r="N42" s="102">
        <f>TrRoad_act!N123</f>
        <v>145</v>
      </c>
      <c r="O42" s="102">
        <f>TrRoad_act!O123</f>
        <v>632</v>
      </c>
      <c r="P42" s="102">
        <f>TrRoad_act!P123</f>
        <v>632</v>
      </c>
      <c r="Q42" s="102">
        <f>TrRoad_act!Q123</f>
        <v>632</v>
      </c>
      <c r="R42" s="102">
        <f>TrRoad_act!R123</f>
        <v>640</v>
      </c>
      <c r="S42" s="102">
        <f>TrRoad_act!S123</f>
        <v>828</v>
      </c>
      <c r="T42" s="102">
        <f>TrRoad_act!T123</f>
        <v>1017</v>
      </c>
      <c r="U42" s="102">
        <f>TrRoad_act!U123</f>
        <v>632</v>
      </c>
      <c r="V42" s="102">
        <f>TrRoad_act!V123</f>
        <v>632</v>
      </c>
      <c r="W42" s="102">
        <f>TrRoad_act!W123</f>
        <v>744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2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6</v>
      </c>
      <c r="N43" s="102">
        <f>TrRoad_act!N124</f>
        <v>0</v>
      </c>
      <c r="O43" s="102">
        <f>TrRoad_act!O124</f>
        <v>30</v>
      </c>
      <c r="P43" s="102">
        <f>TrRoad_act!P124</f>
        <v>79</v>
      </c>
      <c r="Q43" s="102">
        <f>TrRoad_act!Q124</f>
        <v>1</v>
      </c>
      <c r="R43" s="102">
        <f>TrRoad_act!R124</f>
        <v>0</v>
      </c>
      <c r="S43" s="102">
        <f>TrRoad_act!S124</f>
        <v>6</v>
      </c>
      <c r="T43" s="102">
        <f>TrRoad_act!T124</f>
        <v>13</v>
      </c>
      <c r="U43" s="102">
        <f>TrRoad_act!U124</f>
        <v>41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80</v>
      </c>
      <c r="L44" s="102">
        <f>TrRoad_act!L125</f>
        <v>50</v>
      </c>
      <c r="M44" s="102">
        <f>TrRoad_act!M125</f>
        <v>39</v>
      </c>
      <c r="N44" s="102">
        <f>TrRoad_act!N125</f>
        <v>0</v>
      </c>
      <c r="O44" s="102">
        <f>TrRoad_act!O125</f>
        <v>97</v>
      </c>
      <c r="P44" s="102">
        <f>TrRoad_act!P125</f>
        <v>42</v>
      </c>
      <c r="Q44" s="102">
        <f>TrRoad_act!Q125</f>
        <v>234</v>
      </c>
      <c r="R44" s="102">
        <f>TrRoad_act!R125</f>
        <v>4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235</v>
      </c>
      <c r="W44" s="102">
        <f>TrRoad_act!W125</f>
        <v>113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15</v>
      </c>
      <c r="G45" s="102">
        <f>TrRoad_act!G126</f>
        <v>37</v>
      </c>
      <c r="H45" s="102">
        <f>TrRoad_act!H126</f>
        <v>37</v>
      </c>
      <c r="I45" s="102">
        <f>TrRoad_act!I126</f>
        <v>28</v>
      </c>
      <c r="J45" s="102">
        <f>TrRoad_act!J126</f>
        <v>5</v>
      </c>
      <c r="K45" s="102">
        <f>TrRoad_act!K126</f>
        <v>4</v>
      </c>
      <c r="L45" s="102">
        <f>TrRoad_act!L126</f>
        <v>0</v>
      </c>
      <c r="M45" s="102">
        <f>TrRoad_act!M126</f>
        <v>2</v>
      </c>
      <c r="N45" s="102">
        <f>TrRoad_act!N126</f>
        <v>0</v>
      </c>
      <c r="O45" s="102">
        <f>TrRoad_act!O126</f>
        <v>350</v>
      </c>
      <c r="P45" s="102">
        <f>TrRoad_act!P126</f>
        <v>1</v>
      </c>
      <c r="Q45" s="102">
        <f>TrRoad_act!Q126</f>
        <v>0</v>
      </c>
      <c r="R45" s="102">
        <f>TrRoad_act!R126</f>
        <v>7</v>
      </c>
      <c r="S45" s="102">
        <f>TrRoad_act!S126</f>
        <v>21</v>
      </c>
      <c r="T45" s="102">
        <f>TrRoad_act!T126</f>
        <v>20</v>
      </c>
      <c r="U45" s="102">
        <f>TrRoad_act!U126</f>
        <v>95</v>
      </c>
      <c r="V45" s="102">
        <f>TrRoad_act!V126</f>
        <v>7</v>
      </c>
      <c r="W45" s="102">
        <f>TrRoad_act!W126</f>
        <v>3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132</v>
      </c>
      <c r="C46" s="28">
        <f>TrRoad_act!C127</f>
        <v>4984</v>
      </c>
      <c r="D46" s="28">
        <f>TrRoad_act!D127</f>
        <v>8311</v>
      </c>
      <c r="E46" s="28">
        <f>TrRoad_act!E127</f>
        <v>12306</v>
      </c>
      <c r="F46" s="28">
        <f>TrRoad_act!F127</f>
        <v>6331</v>
      </c>
      <c r="G46" s="28">
        <f>TrRoad_act!G127</f>
        <v>7178</v>
      </c>
      <c r="H46" s="28">
        <f>TrRoad_act!H127</f>
        <v>14480</v>
      </c>
      <c r="I46" s="28">
        <f>TrRoad_act!I127</f>
        <v>13739</v>
      </c>
      <c r="J46" s="28">
        <f>TrRoad_act!J127</f>
        <v>6127</v>
      </c>
      <c r="K46" s="28">
        <f>TrRoad_act!K127</f>
        <v>10096</v>
      </c>
      <c r="L46" s="28">
        <f>TrRoad_act!L127</f>
        <v>1018</v>
      </c>
      <c r="M46" s="28">
        <f>TrRoad_act!M127</f>
        <v>14456</v>
      </c>
      <c r="N46" s="28">
        <f>TrRoad_act!N127</f>
        <v>16750</v>
      </c>
      <c r="O46" s="28">
        <f>TrRoad_act!O127</f>
        <v>15957</v>
      </c>
      <c r="P46" s="28">
        <f>TrRoad_act!P127</f>
        <v>15039</v>
      </c>
      <c r="Q46" s="28">
        <f>TrRoad_act!Q127</f>
        <v>11946</v>
      </c>
      <c r="R46" s="28">
        <f>TrRoad_act!R127</f>
        <v>16544</v>
      </c>
      <c r="S46" s="28">
        <f>TrRoad_act!S127</f>
        <v>16621</v>
      </c>
      <c r="T46" s="28">
        <f>TrRoad_act!T127</f>
        <v>18339</v>
      </c>
      <c r="U46" s="28">
        <f>TrRoad_act!U127</f>
        <v>17211</v>
      </c>
      <c r="V46" s="28">
        <f>TrRoad_act!V127</f>
        <v>10922</v>
      </c>
      <c r="W46" s="28">
        <f>TrRoad_act!W127</f>
        <v>12919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3466</v>
      </c>
      <c r="D47" s="137">
        <f>TrRoad_act!D128</f>
        <v>4730</v>
      </c>
      <c r="E47" s="137">
        <f>TrRoad_act!E128</f>
        <v>4458</v>
      </c>
      <c r="F47" s="137">
        <f>TrRoad_act!F128</f>
        <v>4177</v>
      </c>
      <c r="G47" s="137">
        <f>TrRoad_act!G128</f>
        <v>5184</v>
      </c>
      <c r="H47" s="137">
        <f>TrRoad_act!H128</f>
        <v>10133</v>
      </c>
      <c r="I47" s="137">
        <f>TrRoad_act!I128</f>
        <v>8201</v>
      </c>
      <c r="J47" s="137">
        <f>TrRoad_act!J128</f>
        <v>5747</v>
      </c>
      <c r="K47" s="137">
        <f>TrRoad_act!K128</f>
        <v>9773</v>
      </c>
      <c r="L47" s="137">
        <f>TrRoad_act!L128</f>
        <v>290</v>
      </c>
      <c r="M47" s="137">
        <f>TrRoad_act!M128</f>
        <v>10497</v>
      </c>
      <c r="N47" s="137">
        <f>TrRoad_act!N128</f>
        <v>11829</v>
      </c>
      <c r="O47" s="137">
        <f>TrRoad_act!O128</f>
        <v>10336</v>
      </c>
      <c r="P47" s="137">
        <f>TrRoad_act!P128</f>
        <v>10714</v>
      </c>
      <c r="Q47" s="137">
        <f>TrRoad_act!Q128</f>
        <v>10942</v>
      </c>
      <c r="R47" s="137">
        <f>TrRoad_act!R128</f>
        <v>11254</v>
      </c>
      <c r="S47" s="137">
        <f>TrRoad_act!S128</f>
        <v>12072</v>
      </c>
      <c r="T47" s="137">
        <f>TrRoad_act!T128</f>
        <v>12507</v>
      </c>
      <c r="U47" s="137">
        <f>TrRoad_act!U128</f>
        <v>12295</v>
      </c>
      <c r="V47" s="137">
        <f>TrRoad_act!V128</f>
        <v>6909</v>
      </c>
      <c r="W47" s="137">
        <f>TrRoad_act!W128</f>
        <v>7653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409</v>
      </c>
      <c r="D48" s="84">
        <f>TrRoad_act!D129</f>
        <v>409</v>
      </c>
      <c r="E48" s="84">
        <f>TrRoad_act!E129</f>
        <v>378</v>
      </c>
      <c r="F48" s="84">
        <f>TrRoad_act!F129</f>
        <v>354</v>
      </c>
      <c r="G48" s="84">
        <f>TrRoad_act!G129</f>
        <v>392</v>
      </c>
      <c r="H48" s="84">
        <f>TrRoad_act!H129</f>
        <v>1168</v>
      </c>
      <c r="I48" s="84">
        <f>TrRoad_act!I129</f>
        <v>951</v>
      </c>
      <c r="J48" s="84">
        <f>TrRoad_act!J129</f>
        <v>0</v>
      </c>
      <c r="K48" s="84">
        <f>TrRoad_act!K129</f>
        <v>727</v>
      </c>
      <c r="L48" s="84">
        <f>TrRoad_act!L129</f>
        <v>290</v>
      </c>
      <c r="M48" s="84">
        <f>TrRoad_act!M129</f>
        <v>278</v>
      </c>
      <c r="N48" s="84">
        <f>TrRoad_act!N129</f>
        <v>293</v>
      </c>
      <c r="O48" s="84">
        <f>TrRoad_act!O129</f>
        <v>299</v>
      </c>
      <c r="P48" s="84">
        <f>TrRoad_act!P129</f>
        <v>269</v>
      </c>
      <c r="Q48" s="84">
        <f>TrRoad_act!Q129</f>
        <v>224</v>
      </c>
      <c r="R48" s="84">
        <f>TrRoad_act!R129</f>
        <v>232</v>
      </c>
      <c r="S48" s="84">
        <f>TrRoad_act!S129</f>
        <v>256</v>
      </c>
      <c r="T48" s="84">
        <f>TrRoad_act!T129</f>
        <v>303</v>
      </c>
      <c r="U48" s="84">
        <f>TrRoad_act!U129</f>
        <v>873</v>
      </c>
      <c r="V48" s="84">
        <f>TrRoad_act!V129</f>
        <v>183</v>
      </c>
      <c r="W48" s="84">
        <f>TrRoad_act!W129</f>
        <v>247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3057</v>
      </c>
      <c r="D49" s="84">
        <f>TrRoad_act!D130</f>
        <v>4321</v>
      </c>
      <c r="E49" s="84">
        <f>TrRoad_act!E130</f>
        <v>4080</v>
      </c>
      <c r="F49" s="84">
        <f>TrRoad_act!F130</f>
        <v>3823</v>
      </c>
      <c r="G49" s="84">
        <f>TrRoad_act!G130</f>
        <v>4792</v>
      </c>
      <c r="H49" s="84">
        <f>TrRoad_act!H130</f>
        <v>8965</v>
      </c>
      <c r="I49" s="84">
        <f>TrRoad_act!I130</f>
        <v>7250</v>
      </c>
      <c r="J49" s="84">
        <f>TrRoad_act!J130</f>
        <v>5747</v>
      </c>
      <c r="K49" s="84">
        <f>TrRoad_act!K130</f>
        <v>9046</v>
      </c>
      <c r="L49" s="84">
        <f>TrRoad_act!L130</f>
        <v>0</v>
      </c>
      <c r="M49" s="84">
        <f>TrRoad_act!M130</f>
        <v>10219</v>
      </c>
      <c r="N49" s="84">
        <f>TrRoad_act!N130</f>
        <v>11536</v>
      </c>
      <c r="O49" s="84">
        <f>TrRoad_act!O130</f>
        <v>10037</v>
      </c>
      <c r="P49" s="84">
        <f>TrRoad_act!P130</f>
        <v>10445</v>
      </c>
      <c r="Q49" s="84">
        <f>TrRoad_act!Q130</f>
        <v>10718</v>
      </c>
      <c r="R49" s="84">
        <f>TrRoad_act!R130</f>
        <v>11022</v>
      </c>
      <c r="S49" s="84">
        <f>TrRoad_act!S130</f>
        <v>11816</v>
      </c>
      <c r="T49" s="84">
        <f>TrRoad_act!T130</f>
        <v>12204</v>
      </c>
      <c r="U49" s="84">
        <f>TrRoad_act!U130</f>
        <v>11422</v>
      </c>
      <c r="V49" s="84">
        <f>TrRoad_act!V130</f>
        <v>6726</v>
      </c>
      <c r="W49" s="84">
        <f>TrRoad_act!W130</f>
        <v>7406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0</v>
      </c>
      <c r="P52" s="84">
        <f>TrRoad_act!P133</f>
        <v>0</v>
      </c>
      <c r="Q52" s="84">
        <f>TrRoad_act!Q133</f>
        <v>0</v>
      </c>
      <c r="R52" s="84">
        <f>TrRoad_act!R133</f>
        <v>0</v>
      </c>
      <c r="S52" s="84">
        <f>TrRoad_act!S133</f>
        <v>0</v>
      </c>
      <c r="T52" s="84">
        <f>TrRoad_act!T133</f>
        <v>0</v>
      </c>
      <c r="U52" s="84">
        <f>TrRoad_act!U133</f>
        <v>0</v>
      </c>
      <c r="V52" s="84">
        <f>TrRoad_act!V133</f>
        <v>0</v>
      </c>
      <c r="W52" s="84">
        <f>TrRoad_act!W133</f>
        <v>0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132</v>
      </c>
      <c r="C53" s="110">
        <f>TrRoad_act!C134</f>
        <v>1518</v>
      </c>
      <c r="D53" s="110">
        <f>TrRoad_act!D134</f>
        <v>3581</v>
      </c>
      <c r="E53" s="110">
        <f>TrRoad_act!E134</f>
        <v>7848</v>
      </c>
      <c r="F53" s="110">
        <f>TrRoad_act!F134</f>
        <v>2154</v>
      </c>
      <c r="G53" s="110">
        <f>TrRoad_act!G134</f>
        <v>1994</v>
      </c>
      <c r="H53" s="110">
        <f>TrRoad_act!H134</f>
        <v>4347</v>
      </c>
      <c r="I53" s="110">
        <f>TrRoad_act!I134</f>
        <v>5538</v>
      </c>
      <c r="J53" s="110">
        <f>TrRoad_act!J134</f>
        <v>380</v>
      </c>
      <c r="K53" s="110">
        <f>TrRoad_act!K134</f>
        <v>323</v>
      </c>
      <c r="L53" s="110">
        <f>TrRoad_act!L134</f>
        <v>728</v>
      </c>
      <c r="M53" s="110">
        <f>TrRoad_act!M134</f>
        <v>3959</v>
      </c>
      <c r="N53" s="110">
        <f>TrRoad_act!N134</f>
        <v>4921</v>
      </c>
      <c r="O53" s="110">
        <f>TrRoad_act!O134</f>
        <v>5621</v>
      </c>
      <c r="P53" s="110">
        <f>TrRoad_act!P134</f>
        <v>4325</v>
      </c>
      <c r="Q53" s="110">
        <f>TrRoad_act!Q134</f>
        <v>1004</v>
      </c>
      <c r="R53" s="110">
        <f>TrRoad_act!R134</f>
        <v>5290</v>
      </c>
      <c r="S53" s="110">
        <f>TrRoad_act!S134</f>
        <v>4549</v>
      </c>
      <c r="T53" s="110">
        <f>TrRoad_act!T134</f>
        <v>5832</v>
      </c>
      <c r="U53" s="110">
        <f>TrRoad_act!U134</f>
        <v>4916</v>
      </c>
      <c r="V53" s="110">
        <f>TrRoad_act!V134</f>
        <v>4013</v>
      </c>
      <c r="W53" s="110">
        <f>TrRoad_act!W134</f>
        <v>5266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1337</v>
      </c>
      <c r="D54" s="102">
        <f>TrRoad_act!D135</f>
        <v>3404</v>
      </c>
      <c r="E54" s="102">
        <f>TrRoad_act!E135</f>
        <v>7695</v>
      </c>
      <c r="F54" s="102">
        <f>TrRoad_act!F135</f>
        <v>1741</v>
      </c>
      <c r="G54" s="102">
        <f>TrRoad_act!G135</f>
        <v>1779</v>
      </c>
      <c r="H54" s="102">
        <f>TrRoad_act!H135</f>
        <v>3665</v>
      </c>
      <c r="I54" s="102">
        <f>TrRoad_act!I135</f>
        <v>5103</v>
      </c>
      <c r="J54" s="102">
        <f>TrRoad_act!J135</f>
        <v>363</v>
      </c>
      <c r="K54" s="102">
        <f>TrRoad_act!K135</f>
        <v>323</v>
      </c>
      <c r="L54" s="102">
        <f>TrRoad_act!L135</f>
        <v>316</v>
      </c>
      <c r="M54" s="102">
        <f>TrRoad_act!M135</f>
        <v>3485</v>
      </c>
      <c r="N54" s="102">
        <f>TrRoad_act!N135</f>
        <v>4316</v>
      </c>
      <c r="O54" s="102">
        <f>TrRoad_act!O135</f>
        <v>4900</v>
      </c>
      <c r="P54" s="102">
        <f>TrRoad_act!P135</f>
        <v>4257</v>
      </c>
      <c r="Q54" s="102">
        <f>TrRoad_act!Q135</f>
        <v>353</v>
      </c>
      <c r="R54" s="102">
        <f>TrRoad_act!R135</f>
        <v>4898</v>
      </c>
      <c r="S54" s="102">
        <f>TrRoad_act!S135</f>
        <v>4219</v>
      </c>
      <c r="T54" s="102">
        <f>TrRoad_act!T135</f>
        <v>5676</v>
      </c>
      <c r="U54" s="102">
        <f>TrRoad_act!U135</f>
        <v>4619</v>
      </c>
      <c r="V54" s="102">
        <f>TrRoad_act!V135</f>
        <v>3259</v>
      </c>
      <c r="W54" s="102">
        <f>TrRoad_act!W135</f>
        <v>4792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132</v>
      </c>
      <c r="C55" s="86">
        <f>TrRoad_act!C136</f>
        <v>181</v>
      </c>
      <c r="D55" s="86">
        <f>TrRoad_act!D136</f>
        <v>177</v>
      </c>
      <c r="E55" s="86">
        <f>TrRoad_act!E136</f>
        <v>153</v>
      </c>
      <c r="F55" s="86">
        <f>TrRoad_act!F136</f>
        <v>413</v>
      </c>
      <c r="G55" s="86">
        <f>TrRoad_act!G136</f>
        <v>215</v>
      </c>
      <c r="H55" s="86">
        <f>TrRoad_act!H136</f>
        <v>682</v>
      </c>
      <c r="I55" s="86">
        <f>TrRoad_act!I136</f>
        <v>435</v>
      </c>
      <c r="J55" s="86">
        <f>TrRoad_act!J136</f>
        <v>17</v>
      </c>
      <c r="K55" s="86">
        <f>TrRoad_act!K136</f>
        <v>0</v>
      </c>
      <c r="L55" s="86">
        <f>TrRoad_act!L136</f>
        <v>412</v>
      </c>
      <c r="M55" s="86">
        <f>TrRoad_act!M136</f>
        <v>474</v>
      </c>
      <c r="N55" s="86">
        <f>TrRoad_act!N136</f>
        <v>605</v>
      </c>
      <c r="O55" s="86">
        <f>TrRoad_act!O136</f>
        <v>721</v>
      </c>
      <c r="P55" s="86">
        <f>TrRoad_act!P136</f>
        <v>68</v>
      </c>
      <c r="Q55" s="86">
        <f>TrRoad_act!Q136</f>
        <v>651</v>
      </c>
      <c r="R55" s="86">
        <f>TrRoad_act!R136</f>
        <v>392</v>
      </c>
      <c r="S55" s="86">
        <f>TrRoad_act!S136</f>
        <v>330</v>
      </c>
      <c r="T55" s="86">
        <f>TrRoad_act!T136</f>
        <v>156</v>
      </c>
      <c r="U55" s="86">
        <f>TrRoad_act!U136</f>
        <v>297</v>
      </c>
      <c r="V55" s="86">
        <f>TrRoad_act!V136</f>
        <v>754</v>
      </c>
      <c r="W55" s="86">
        <f>TrRoad_act!W136</f>
        <v>474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190</v>
      </c>
      <c r="C59" s="54">
        <f t="shared" si="0"/>
        <v>452</v>
      </c>
      <c r="D59" s="54">
        <f t="shared" si="0"/>
        <v>1265</v>
      </c>
      <c r="E59" s="54">
        <f t="shared" si="0"/>
        <v>2597</v>
      </c>
      <c r="F59" s="54">
        <f t="shared" si="0"/>
        <v>5047</v>
      </c>
      <c r="G59" s="54">
        <f t="shared" si="0"/>
        <v>1067</v>
      </c>
      <c r="H59" s="54">
        <f t="shared" si="0"/>
        <v>101828</v>
      </c>
      <c r="I59" s="54">
        <f t="shared" si="0"/>
        <v>73028</v>
      </c>
      <c r="J59" s="54">
        <f t="shared" si="0"/>
        <v>66294</v>
      </c>
      <c r="K59" s="54">
        <f t="shared" si="0"/>
        <v>33246</v>
      </c>
      <c r="L59" s="54">
        <f t="shared" ref="L59" si="1">L60+L75</f>
        <v>33174</v>
      </c>
      <c r="M59" s="54">
        <f t="shared" ref="M59:V59" si="2">M60+M75</f>
        <v>27509</v>
      </c>
      <c r="N59" s="54">
        <f t="shared" si="2"/>
        <v>205765</v>
      </c>
      <c r="O59" s="54">
        <f t="shared" si="2"/>
        <v>121864</v>
      </c>
      <c r="P59" s="54">
        <f t="shared" si="2"/>
        <v>137943</v>
      </c>
      <c r="Q59" s="54">
        <f t="shared" si="2"/>
        <v>192868</v>
      </c>
      <c r="R59" s="54">
        <f t="shared" si="2"/>
        <v>151997</v>
      </c>
      <c r="S59" s="54">
        <f t="shared" si="2"/>
        <v>177856</v>
      </c>
      <c r="T59" s="54">
        <f t="shared" si="2"/>
        <v>193741</v>
      </c>
      <c r="U59" s="54">
        <f t="shared" si="2"/>
        <v>197851</v>
      </c>
      <c r="V59" s="54">
        <f t="shared" si="2"/>
        <v>138674</v>
      </c>
      <c r="W59" s="54">
        <f t="shared" ref="W59" si="3">W60+W75</f>
        <v>127196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153</v>
      </c>
      <c r="C60" s="28">
        <f t="shared" si="4"/>
        <v>430</v>
      </c>
      <c r="D60" s="28">
        <f t="shared" si="4"/>
        <v>1171</v>
      </c>
      <c r="E60" s="28">
        <f t="shared" si="4"/>
        <v>2254</v>
      </c>
      <c r="F60" s="28">
        <f t="shared" si="4"/>
        <v>4925</v>
      </c>
      <c r="G60" s="28">
        <f t="shared" si="4"/>
        <v>879</v>
      </c>
      <c r="H60" s="28">
        <f t="shared" si="4"/>
        <v>101264</v>
      </c>
      <c r="I60" s="28">
        <f t="shared" si="4"/>
        <v>71935</v>
      </c>
      <c r="J60" s="28">
        <f t="shared" si="4"/>
        <v>66190</v>
      </c>
      <c r="K60" s="28">
        <f t="shared" si="4"/>
        <v>33127</v>
      </c>
      <c r="L60" s="28">
        <f t="shared" ref="L60" si="5">L61+L62+L69</f>
        <v>32980</v>
      </c>
      <c r="M60" s="28">
        <f t="shared" ref="M60:V60" si="6">M61+M62+M69</f>
        <v>25269</v>
      </c>
      <c r="N60" s="28">
        <f t="shared" si="6"/>
        <v>195794</v>
      </c>
      <c r="O60" s="28">
        <f t="shared" si="6"/>
        <v>110121</v>
      </c>
      <c r="P60" s="28">
        <f t="shared" si="6"/>
        <v>125913</v>
      </c>
      <c r="Q60" s="28">
        <f t="shared" si="6"/>
        <v>182746</v>
      </c>
      <c r="R60" s="28">
        <f t="shared" si="6"/>
        <v>137137</v>
      </c>
      <c r="S60" s="28">
        <f t="shared" si="6"/>
        <v>162366</v>
      </c>
      <c r="T60" s="28">
        <f t="shared" si="6"/>
        <v>175884</v>
      </c>
      <c r="U60" s="28">
        <f t="shared" si="6"/>
        <v>180830</v>
      </c>
      <c r="V60" s="28">
        <f t="shared" si="6"/>
        <v>127984</v>
      </c>
      <c r="W60" s="28">
        <f t="shared" ref="W60" si="7">W61+W62+W69</f>
        <v>114277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0</v>
      </c>
      <c r="E61" s="137">
        <v>317</v>
      </c>
      <c r="F61" s="137">
        <v>580</v>
      </c>
      <c r="G61" s="137">
        <v>875</v>
      </c>
      <c r="H61" s="137">
        <v>1517</v>
      </c>
      <c r="I61" s="137">
        <v>3111</v>
      </c>
      <c r="J61" s="137">
        <v>4412</v>
      </c>
      <c r="K61" s="137">
        <v>3350</v>
      </c>
      <c r="L61" s="137">
        <v>1215</v>
      </c>
      <c r="M61" s="137">
        <v>1406</v>
      </c>
      <c r="N61" s="137">
        <v>1356</v>
      </c>
      <c r="O61" s="137">
        <v>1457</v>
      </c>
      <c r="P61" s="137">
        <v>1635</v>
      </c>
      <c r="Q61" s="137">
        <v>1679</v>
      </c>
      <c r="R61" s="137">
        <v>3216</v>
      </c>
      <c r="S61" s="137">
        <v>3844</v>
      </c>
      <c r="T61" s="137">
        <v>4927</v>
      </c>
      <c r="U61" s="137">
        <v>11133</v>
      </c>
      <c r="V61" s="137">
        <v>11118</v>
      </c>
      <c r="W61" s="137">
        <v>12346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153</v>
      </c>
      <c r="C62" s="110">
        <f t="shared" si="8"/>
        <v>430</v>
      </c>
      <c r="D62" s="110">
        <f t="shared" si="8"/>
        <v>1171</v>
      </c>
      <c r="E62" s="110">
        <f t="shared" si="8"/>
        <v>1937</v>
      </c>
      <c r="F62" s="110">
        <f t="shared" si="8"/>
        <v>4345</v>
      </c>
      <c r="G62" s="110">
        <f t="shared" si="8"/>
        <v>0</v>
      </c>
      <c r="H62" s="110">
        <f t="shared" si="8"/>
        <v>99740</v>
      </c>
      <c r="I62" s="110">
        <f t="shared" si="8"/>
        <v>68817</v>
      </c>
      <c r="J62" s="110">
        <f t="shared" si="8"/>
        <v>61776</v>
      </c>
      <c r="K62" s="110">
        <f t="shared" si="8"/>
        <v>29722</v>
      </c>
      <c r="L62" s="110">
        <f t="shared" ref="L62" si="9">SUM(L63:L68)</f>
        <v>31726</v>
      </c>
      <c r="M62" s="110">
        <f t="shared" ref="M62:V62" si="10">SUM(M63:M68)</f>
        <v>23829</v>
      </c>
      <c r="N62" s="110">
        <f t="shared" si="10"/>
        <v>194438</v>
      </c>
      <c r="O62" s="110">
        <f t="shared" si="10"/>
        <v>108235</v>
      </c>
      <c r="P62" s="110">
        <f t="shared" si="10"/>
        <v>124169</v>
      </c>
      <c r="Q62" s="110">
        <f t="shared" si="10"/>
        <v>180836</v>
      </c>
      <c r="R62" s="110">
        <f t="shared" si="10"/>
        <v>133910</v>
      </c>
      <c r="S62" s="110">
        <f t="shared" si="10"/>
        <v>158496</v>
      </c>
      <c r="T62" s="110">
        <f t="shared" si="10"/>
        <v>170786</v>
      </c>
      <c r="U62" s="110">
        <f t="shared" si="10"/>
        <v>168934</v>
      </c>
      <c r="V62" s="110">
        <f t="shared" si="10"/>
        <v>115992</v>
      </c>
      <c r="W62" s="110">
        <f t="shared" ref="W62" si="11">SUM(W63:W68)</f>
        <v>101071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29025</v>
      </c>
      <c r="I63" s="84">
        <v>33714</v>
      </c>
      <c r="J63" s="84">
        <v>23478</v>
      </c>
      <c r="K63" s="84">
        <v>1772</v>
      </c>
      <c r="L63" s="84">
        <v>2</v>
      </c>
      <c r="M63" s="84">
        <v>19</v>
      </c>
      <c r="N63" s="84">
        <v>9</v>
      </c>
      <c r="O63" s="84">
        <v>13048</v>
      </c>
      <c r="P63" s="84">
        <v>31091</v>
      </c>
      <c r="Q63" s="84">
        <v>31300</v>
      </c>
      <c r="R63" s="84">
        <v>30454</v>
      </c>
      <c r="S63" s="84">
        <v>43014</v>
      </c>
      <c r="T63" s="84">
        <v>45954</v>
      </c>
      <c r="U63" s="84">
        <v>54301</v>
      </c>
      <c r="V63" s="84">
        <v>39424</v>
      </c>
      <c r="W63" s="84">
        <v>34102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64027</v>
      </c>
      <c r="I64" s="84">
        <v>26672</v>
      </c>
      <c r="J64" s="84">
        <v>36288</v>
      </c>
      <c r="K64" s="84">
        <v>26428</v>
      </c>
      <c r="L64" s="84">
        <v>31724</v>
      </c>
      <c r="M64" s="84">
        <v>23810</v>
      </c>
      <c r="N64" s="84">
        <v>187628</v>
      </c>
      <c r="O64" s="84">
        <v>76670</v>
      </c>
      <c r="P64" s="84">
        <v>83414</v>
      </c>
      <c r="Q64" s="84">
        <v>138580</v>
      </c>
      <c r="R64" s="84">
        <v>96500</v>
      </c>
      <c r="S64" s="84">
        <v>107730</v>
      </c>
      <c r="T64" s="84">
        <v>108756</v>
      </c>
      <c r="U64" s="84">
        <v>93722</v>
      </c>
      <c r="V64" s="84">
        <v>56556</v>
      </c>
      <c r="W64" s="84">
        <v>57005</v>
      </c>
      <c r="DA64" s="171" t="s">
        <v>841</v>
      </c>
    </row>
    <row r="65" spans="1:105" ht="11.45" customHeight="1" x14ac:dyDescent="0.25">
      <c r="A65" s="111" t="s">
        <v>112</v>
      </c>
      <c r="B65" s="84">
        <v>153</v>
      </c>
      <c r="C65" s="84">
        <v>430</v>
      </c>
      <c r="D65" s="84">
        <v>1171</v>
      </c>
      <c r="E65" s="84">
        <v>1937</v>
      </c>
      <c r="F65" s="84">
        <v>4345</v>
      </c>
      <c r="G65" s="84">
        <v>0</v>
      </c>
      <c r="H65" s="84">
        <v>6688</v>
      </c>
      <c r="I65" s="84">
        <v>8431</v>
      </c>
      <c r="J65" s="84">
        <v>2010</v>
      </c>
      <c r="K65" s="84">
        <v>1522</v>
      </c>
      <c r="L65" s="84">
        <v>0</v>
      </c>
      <c r="M65" s="84">
        <v>0</v>
      </c>
      <c r="N65" s="84">
        <v>6801</v>
      </c>
      <c r="O65" s="84">
        <v>18457</v>
      </c>
      <c r="P65" s="84">
        <v>8937</v>
      </c>
      <c r="Q65" s="84">
        <v>10225</v>
      </c>
      <c r="R65" s="84">
        <v>5319</v>
      </c>
      <c r="S65" s="84">
        <v>4789</v>
      </c>
      <c r="T65" s="84">
        <v>10372</v>
      </c>
      <c r="U65" s="84">
        <v>13673</v>
      </c>
      <c r="V65" s="84">
        <v>11144</v>
      </c>
      <c r="W65" s="84">
        <v>6581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3</v>
      </c>
      <c r="P66" s="84">
        <v>21</v>
      </c>
      <c r="Q66" s="84">
        <v>10</v>
      </c>
      <c r="R66" s="84">
        <v>12</v>
      </c>
      <c r="S66" s="84">
        <v>25</v>
      </c>
      <c r="T66" s="84">
        <v>26</v>
      </c>
      <c r="U66" s="84">
        <v>1</v>
      </c>
      <c r="V66" s="84">
        <v>81</v>
      </c>
      <c r="W66" s="84">
        <v>78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57</v>
      </c>
      <c r="P67" s="84">
        <v>692</v>
      </c>
      <c r="Q67" s="84">
        <v>626</v>
      </c>
      <c r="R67" s="84">
        <v>1434</v>
      </c>
      <c r="S67" s="84">
        <v>2662</v>
      </c>
      <c r="T67" s="84">
        <v>5338</v>
      </c>
      <c r="U67" s="84">
        <v>6810</v>
      </c>
      <c r="V67" s="84">
        <v>8198</v>
      </c>
      <c r="W67" s="84">
        <v>396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14</v>
      </c>
      <c r="Q68" s="84">
        <v>95</v>
      </c>
      <c r="R68" s="84">
        <v>191</v>
      </c>
      <c r="S68" s="84">
        <v>276</v>
      </c>
      <c r="T68" s="84">
        <v>340</v>
      </c>
      <c r="U68" s="84">
        <v>427</v>
      </c>
      <c r="V68" s="84">
        <v>589</v>
      </c>
      <c r="W68" s="84">
        <v>2909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4</v>
      </c>
      <c r="H69" s="110">
        <f t="shared" si="12"/>
        <v>7</v>
      </c>
      <c r="I69" s="110">
        <f t="shared" si="12"/>
        <v>7</v>
      </c>
      <c r="J69" s="110">
        <f t="shared" si="12"/>
        <v>2</v>
      </c>
      <c r="K69" s="110">
        <f t="shared" si="12"/>
        <v>55</v>
      </c>
      <c r="L69" s="110">
        <f t="shared" ref="L69" si="13">SUM(L70:L74)</f>
        <v>39</v>
      </c>
      <c r="M69" s="110">
        <f t="shared" ref="M69:V69" si="14">SUM(M70:M74)</f>
        <v>34</v>
      </c>
      <c r="N69" s="110">
        <f t="shared" si="14"/>
        <v>0</v>
      </c>
      <c r="O69" s="110">
        <f t="shared" si="14"/>
        <v>429</v>
      </c>
      <c r="P69" s="110">
        <f t="shared" si="14"/>
        <v>109</v>
      </c>
      <c r="Q69" s="110">
        <f t="shared" si="14"/>
        <v>231</v>
      </c>
      <c r="R69" s="110">
        <f t="shared" si="14"/>
        <v>11</v>
      </c>
      <c r="S69" s="110">
        <f t="shared" si="14"/>
        <v>26</v>
      </c>
      <c r="T69" s="110">
        <f t="shared" si="14"/>
        <v>171</v>
      </c>
      <c r="U69" s="110">
        <f t="shared" si="14"/>
        <v>763</v>
      </c>
      <c r="V69" s="110">
        <f t="shared" si="14"/>
        <v>874</v>
      </c>
      <c r="W69" s="110">
        <f t="shared" ref="W69" si="15">SUM(W70:W74)</f>
        <v>860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63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138</v>
      </c>
      <c r="U71" s="102">
        <v>627</v>
      </c>
      <c r="V71" s="102">
        <v>632</v>
      </c>
      <c r="W71" s="102">
        <v>744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21</v>
      </c>
      <c r="P72" s="102">
        <v>68</v>
      </c>
      <c r="Q72" s="102">
        <v>1</v>
      </c>
      <c r="R72" s="102">
        <v>0</v>
      </c>
      <c r="S72" s="102">
        <v>6</v>
      </c>
      <c r="T72" s="102">
        <v>13</v>
      </c>
      <c r="U72" s="102">
        <v>41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53</v>
      </c>
      <c r="L73" s="102">
        <v>39</v>
      </c>
      <c r="M73" s="102">
        <v>33</v>
      </c>
      <c r="N73" s="102">
        <v>0</v>
      </c>
      <c r="O73" s="102">
        <v>91</v>
      </c>
      <c r="P73" s="102">
        <v>40</v>
      </c>
      <c r="Q73" s="102">
        <v>230</v>
      </c>
      <c r="R73" s="102">
        <v>4</v>
      </c>
      <c r="S73" s="102">
        <v>0</v>
      </c>
      <c r="T73" s="102">
        <v>0</v>
      </c>
      <c r="U73" s="102">
        <v>0</v>
      </c>
      <c r="V73" s="102">
        <v>235</v>
      </c>
      <c r="W73" s="102">
        <v>113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4</v>
      </c>
      <c r="H74" s="102">
        <v>7</v>
      </c>
      <c r="I74" s="102">
        <v>7</v>
      </c>
      <c r="J74" s="102">
        <v>2</v>
      </c>
      <c r="K74" s="102">
        <v>2</v>
      </c>
      <c r="L74" s="102">
        <v>0</v>
      </c>
      <c r="M74" s="102">
        <v>1</v>
      </c>
      <c r="N74" s="102">
        <v>0</v>
      </c>
      <c r="O74" s="102">
        <v>254</v>
      </c>
      <c r="P74" s="102">
        <v>1</v>
      </c>
      <c r="Q74" s="102">
        <v>0</v>
      </c>
      <c r="R74" s="102">
        <v>7</v>
      </c>
      <c r="S74" s="102">
        <v>20</v>
      </c>
      <c r="T74" s="102">
        <v>20</v>
      </c>
      <c r="U74" s="102">
        <v>95</v>
      </c>
      <c r="V74" s="102">
        <v>7</v>
      </c>
      <c r="W74" s="102">
        <v>3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37</v>
      </c>
      <c r="C75" s="28">
        <f t="shared" si="16"/>
        <v>22</v>
      </c>
      <c r="D75" s="28">
        <f t="shared" si="16"/>
        <v>94</v>
      </c>
      <c r="E75" s="28">
        <f t="shared" si="16"/>
        <v>343</v>
      </c>
      <c r="F75" s="28">
        <f t="shared" si="16"/>
        <v>122</v>
      </c>
      <c r="G75" s="28">
        <f t="shared" si="16"/>
        <v>188</v>
      </c>
      <c r="H75" s="28">
        <f t="shared" si="16"/>
        <v>564</v>
      </c>
      <c r="I75" s="28">
        <f t="shared" si="16"/>
        <v>1093</v>
      </c>
      <c r="J75" s="28">
        <f t="shared" si="16"/>
        <v>104</v>
      </c>
      <c r="K75" s="28">
        <f t="shared" si="16"/>
        <v>119</v>
      </c>
      <c r="L75" s="28">
        <f t="shared" ref="L75" si="17">L76+L82</f>
        <v>194</v>
      </c>
      <c r="M75" s="28">
        <f t="shared" ref="M75:V75" si="18">M76+M82</f>
        <v>2240</v>
      </c>
      <c r="N75" s="28">
        <f t="shared" si="18"/>
        <v>9971</v>
      </c>
      <c r="O75" s="28">
        <f t="shared" si="18"/>
        <v>11743</v>
      </c>
      <c r="P75" s="28">
        <f t="shared" si="18"/>
        <v>12030</v>
      </c>
      <c r="Q75" s="28">
        <f t="shared" si="18"/>
        <v>10122</v>
      </c>
      <c r="R75" s="28">
        <f t="shared" si="18"/>
        <v>14860</v>
      </c>
      <c r="S75" s="28">
        <f t="shared" si="18"/>
        <v>15490</v>
      </c>
      <c r="T75" s="28">
        <f t="shared" si="18"/>
        <v>17857</v>
      </c>
      <c r="U75" s="28">
        <f t="shared" si="18"/>
        <v>17021</v>
      </c>
      <c r="V75" s="28">
        <f t="shared" si="18"/>
        <v>10690</v>
      </c>
      <c r="W75" s="28">
        <f t="shared" ref="W75" si="19">W76+W82</f>
        <v>12919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0</v>
      </c>
      <c r="K76" s="137">
        <f t="shared" si="20"/>
        <v>0</v>
      </c>
      <c r="L76" s="137">
        <f t="shared" ref="L76" si="21">SUM(L77:L81)</f>
        <v>0</v>
      </c>
      <c r="M76" s="137">
        <f t="shared" ref="M76:V76" si="22">SUM(M77:M81)</f>
        <v>0</v>
      </c>
      <c r="N76" s="137">
        <f t="shared" si="22"/>
        <v>6780</v>
      </c>
      <c r="O76" s="137">
        <f t="shared" si="22"/>
        <v>7663</v>
      </c>
      <c r="P76" s="137">
        <f t="shared" si="22"/>
        <v>8561</v>
      </c>
      <c r="Q76" s="137">
        <f t="shared" si="22"/>
        <v>9311</v>
      </c>
      <c r="R76" s="137">
        <f t="shared" si="22"/>
        <v>10031</v>
      </c>
      <c r="S76" s="137">
        <f t="shared" si="22"/>
        <v>11163</v>
      </c>
      <c r="T76" s="137">
        <f t="shared" si="22"/>
        <v>12128</v>
      </c>
      <c r="U76" s="137">
        <f t="shared" si="22"/>
        <v>12143</v>
      </c>
      <c r="V76" s="137">
        <f t="shared" si="22"/>
        <v>6710</v>
      </c>
      <c r="W76" s="137">
        <f t="shared" ref="W76" si="23">SUM(W77:W81)</f>
        <v>7653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13</v>
      </c>
      <c r="T77" s="84">
        <v>301</v>
      </c>
      <c r="U77" s="84">
        <v>872</v>
      </c>
      <c r="V77" s="84">
        <v>183</v>
      </c>
      <c r="W77" s="84">
        <v>247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6780</v>
      </c>
      <c r="O78" s="84">
        <v>7663</v>
      </c>
      <c r="P78" s="84">
        <v>8561</v>
      </c>
      <c r="Q78" s="84">
        <v>9311</v>
      </c>
      <c r="R78" s="84">
        <v>10031</v>
      </c>
      <c r="S78" s="84">
        <v>11150</v>
      </c>
      <c r="T78" s="84">
        <v>11827</v>
      </c>
      <c r="U78" s="84">
        <v>11271</v>
      </c>
      <c r="V78" s="84">
        <v>6527</v>
      </c>
      <c r="W78" s="84">
        <v>7406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37</v>
      </c>
      <c r="C82" s="110">
        <f t="shared" si="24"/>
        <v>22</v>
      </c>
      <c r="D82" s="110">
        <f t="shared" si="24"/>
        <v>94</v>
      </c>
      <c r="E82" s="110">
        <f t="shared" si="24"/>
        <v>343</v>
      </c>
      <c r="F82" s="110">
        <f t="shared" si="24"/>
        <v>122</v>
      </c>
      <c r="G82" s="110">
        <f t="shared" si="24"/>
        <v>188</v>
      </c>
      <c r="H82" s="110">
        <f t="shared" si="24"/>
        <v>564</v>
      </c>
      <c r="I82" s="110">
        <f t="shared" si="24"/>
        <v>1093</v>
      </c>
      <c r="J82" s="110">
        <f t="shared" si="24"/>
        <v>104</v>
      </c>
      <c r="K82" s="110">
        <f t="shared" si="24"/>
        <v>119</v>
      </c>
      <c r="L82" s="110">
        <f t="shared" ref="L82" si="25">SUM(L83:L84)</f>
        <v>194</v>
      </c>
      <c r="M82" s="110">
        <f t="shared" ref="M82:V82" si="26">SUM(M83:M84)</f>
        <v>2240</v>
      </c>
      <c r="N82" s="110">
        <f t="shared" si="26"/>
        <v>3191</v>
      </c>
      <c r="O82" s="110">
        <f t="shared" si="26"/>
        <v>4080</v>
      </c>
      <c r="P82" s="110">
        <f t="shared" si="26"/>
        <v>3469</v>
      </c>
      <c r="Q82" s="110">
        <f t="shared" si="26"/>
        <v>811</v>
      </c>
      <c r="R82" s="110">
        <f t="shared" si="26"/>
        <v>4829</v>
      </c>
      <c r="S82" s="110">
        <f t="shared" si="26"/>
        <v>4327</v>
      </c>
      <c r="T82" s="110">
        <f t="shared" si="26"/>
        <v>5729</v>
      </c>
      <c r="U82" s="110">
        <f t="shared" si="26"/>
        <v>4878</v>
      </c>
      <c r="V82" s="110">
        <f t="shared" si="26"/>
        <v>3980</v>
      </c>
      <c r="W82" s="110">
        <f t="shared" ref="W82" si="27">SUM(W83:W84)</f>
        <v>5266</v>
      </c>
      <c r="DA82" s="176" t="s">
        <v>859</v>
      </c>
    </row>
    <row r="83" spans="1:105" ht="11.45" customHeight="1" x14ac:dyDescent="0.25">
      <c r="A83" s="128" t="s">
        <v>27</v>
      </c>
      <c r="B83" s="102">
        <v>37</v>
      </c>
      <c r="C83" s="102">
        <v>22</v>
      </c>
      <c r="D83" s="102">
        <v>94</v>
      </c>
      <c r="E83" s="102">
        <v>343</v>
      </c>
      <c r="F83" s="102">
        <v>122</v>
      </c>
      <c r="G83" s="102">
        <v>188</v>
      </c>
      <c r="H83" s="102">
        <v>564</v>
      </c>
      <c r="I83" s="102">
        <v>1093</v>
      </c>
      <c r="J83" s="102">
        <v>104</v>
      </c>
      <c r="K83" s="102">
        <v>119</v>
      </c>
      <c r="L83" s="102">
        <v>145</v>
      </c>
      <c r="M83" s="102">
        <v>1914</v>
      </c>
      <c r="N83" s="102">
        <v>2763</v>
      </c>
      <c r="O83" s="102">
        <v>3557</v>
      </c>
      <c r="P83" s="102">
        <v>3418</v>
      </c>
      <c r="Q83" s="102">
        <v>307</v>
      </c>
      <c r="R83" s="102">
        <v>4514</v>
      </c>
      <c r="S83" s="102">
        <v>4052</v>
      </c>
      <c r="T83" s="102">
        <v>5592</v>
      </c>
      <c r="U83" s="102">
        <v>4606</v>
      </c>
      <c r="V83" s="102">
        <v>3259</v>
      </c>
      <c r="W83" s="102">
        <v>4792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49</v>
      </c>
      <c r="M84" s="86">
        <v>326</v>
      </c>
      <c r="N84" s="86">
        <v>428</v>
      </c>
      <c r="O84" s="86">
        <v>523</v>
      </c>
      <c r="P84" s="86">
        <v>51</v>
      </c>
      <c r="Q84" s="86">
        <v>504</v>
      </c>
      <c r="R84" s="86">
        <v>315</v>
      </c>
      <c r="S84" s="86">
        <v>275</v>
      </c>
      <c r="T84" s="86">
        <v>137</v>
      </c>
      <c r="U84" s="86">
        <v>272</v>
      </c>
      <c r="V84" s="86">
        <v>721</v>
      </c>
      <c r="W84" s="86">
        <v>474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4.7431385419004153</v>
      </c>
      <c r="C90" s="141">
        <v>4.7092382498882213</v>
      </c>
      <c r="D90" s="141">
        <v>4.6592296041736079</v>
      </c>
      <c r="E90" s="141">
        <v>4.606363076433718</v>
      </c>
      <c r="F90" s="141">
        <v>4.551734172247488</v>
      </c>
      <c r="G90" s="141">
        <v>4.485183004253753</v>
      </c>
      <c r="H90" s="141">
        <v>4.3841874402334575</v>
      </c>
      <c r="I90" s="141">
        <v>4.248365472794962</v>
      </c>
      <c r="J90" s="141">
        <v>4.0890639809461291</v>
      </c>
      <c r="K90" s="141">
        <v>3.9780913835095726</v>
      </c>
      <c r="L90" s="141">
        <v>3.9241936385208112</v>
      </c>
      <c r="M90" s="141">
        <v>3.8565046605176532</v>
      </c>
      <c r="N90" s="141">
        <v>3.7940451374016289</v>
      </c>
      <c r="O90" s="141">
        <v>3.7299712543087833</v>
      </c>
      <c r="P90" s="141">
        <v>3.659973596303169</v>
      </c>
      <c r="Q90" s="141">
        <v>3.5901043667409396</v>
      </c>
      <c r="R90" s="141">
        <v>3.4896844418607067</v>
      </c>
      <c r="S90" s="141">
        <v>3.3813157765482935</v>
      </c>
      <c r="T90" s="141">
        <v>3.2597113099296289</v>
      </c>
      <c r="U90" s="141">
        <v>3.0497490761429638</v>
      </c>
      <c r="V90" s="141">
        <v>2.8670047107508392</v>
      </c>
      <c r="W90" s="141">
        <v>2.3148136082150566</v>
      </c>
      <c r="DA90" s="174" t="s">
        <v>862</v>
      </c>
    </row>
    <row r="91" spans="1:105" ht="11.45" customHeight="1" x14ac:dyDescent="0.25">
      <c r="A91" s="109" t="s">
        <v>20</v>
      </c>
      <c r="B91" s="130">
        <v>7.987297550493774</v>
      </c>
      <c r="C91" s="130">
        <v>7.7949704322865729</v>
      </c>
      <c r="D91" s="130">
        <v>7.6163035604353126</v>
      </c>
      <c r="E91" s="130">
        <v>7.4740415550973305</v>
      </c>
      <c r="F91" s="130">
        <v>7.2975165391163266</v>
      </c>
      <c r="G91" s="130">
        <v>7.1682795712613006</v>
      </c>
      <c r="H91" s="130">
        <v>7.0803746273383581</v>
      </c>
      <c r="I91" s="130">
        <v>7.0640100167878961</v>
      </c>
      <c r="J91" s="130">
        <v>7.0322109454458435</v>
      </c>
      <c r="K91" s="130">
        <v>6.9872111288417598</v>
      </c>
      <c r="L91" s="130">
        <v>6.8890512800593173</v>
      </c>
      <c r="M91" s="130">
        <v>6.8487519931862151</v>
      </c>
      <c r="N91" s="130">
        <v>6.7497258952213963</v>
      </c>
      <c r="O91" s="130">
        <v>6.6667445007477681</v>
      </c>
      <c r="P91" s="130">
        <v>6.5656088973031448</v>
      </c>
      <c r="Q91" s="130">
        <v>6.409805752303317</v>
      </c>
      <c r="R91" s="130">
        <v>6.3127793848240801</v>
      </c>
      <c r="S91" s="130">
        <v>6.2085602918729119</v>
      </c>
      <c r="T91" s="130">
        <v>6.1013734914226392</v>
      </c>
      <c r="U91" s="130">
        <v>6.0000253660992353</v>
      </c>
      <c r="V91" s="130">
        <v>5.9306250500264133</v>
      </c>
      <c r="W91" s="130">
        <v>5.8625975066404177</v>
      </c>
      <c r="DA91" s="176" t="s">
        <v>863</v>
      </c>
    </row>
    <row r="92" spans="1:105" ht="11.45" customHeight="1" x14ac:dyDescent="0.25">
      <c r="A92" s="111" t="s">
        <v>110</v>
      </c>
      <c r="B92" s="96">
        <v>8.808279506699634</v>
      </c>
      <c r="C92" s="96">
        <v>8.7372055437420251</v>
      </c>
      <c r="D92" s="96">
        <v>8.7218167126354995</v>
      </c>
      <c r="E92" s="96">
        <v>8.6941471819311538</v>
      </c>
      <c r="F92" s="96">
        <v>8.6746207620042828</v>
      </c>
      <c r="G92" s="96">
        <v>8.648012274167634</v>
      </c>
      <c r="H92" s="96">
        <v>8.6032225003676945</v>
      </c>
      <c r="I92" s="96">
        <v>8.5588668643881682</v>
      </c>
      <c r="J92" s="96">
        <v>8.5127058554542625</v>
      </c>
      <c r="K92" s="96">
        <v>8.4920005962548579</v>
      </c>
      <c r="L92" s="96">
        <v>8.4693418172269723</v>
      </c>
      <c r="M92" s="96">
        <v>8.4586784103751498</v>
      </c>
      <c r="N92" s="96">
        <v>8.4582269167537554</v>
      </c>
      <c r="O92" s="96">
        <v>8.3664363364118497</v>
      </c>
      <c r="P92" s="96">
        <v>8.1464471297243293</v>
      </c>
      <c r="Q92" s="96">
        <v>7.8946030739126245</v>
      </c>
      <c r="R92" s="96">
        <v>7.5919020180242276</v>
      </c>
      <c r="S92" s="96">
        <v>7.199351542927011</v>
      </c>
      <c r="T92" s="96">
        <v>6.848002738376282</v>
      </c>
      <c r="U92" s="96">
        <v>6.4985252006931846</v>
      </c>
      <c r="V92" s="96">
        <v>6.2998951692708607</v>
      </c>
      <c r="W92" s="96">
        <v>6.1267473985324727</v>
      </c>
      <c r="DA92" s="171" t="s">
        <v>864</v>
      </c>
    </row>
    <row r="93" spans="1:105" ht="11.45" customHeight="1" x14ac:dyDescent="0.25">
      <c r="A93" s="111" t="s">
        <v>111</v>
      </c>
      <c r="B93" s="96">
        <v>6.9204218437864586</v>
      </c>
      <c r="C93" s="96">
        <v>6.5733723985783623</v>
      </c>
      <c r="D93" s="96">
        <v>6.4481416937653995</v>
      </c>
      <c r="E93" s="96">
        <v>6.3476094554489793</v>
      </c>
      <c r="F93" s="96">
        <v>6.2695874938131926</v>
      </c>
      <c r="G93" s="96">
        <v>6.2016367046364715</v>
      </c>
      <c r="H93" s="96">
        <v>6.1739959682368095</v>
      </c>
      <c r="I93" s="96">
        <v>6.1509717860272071</v>
      </c>
      <c r="J93" s="96">
        <v>6.1309751663557277</v>
      </c>
      <c r="K93" s="96">
        <v>6.1335533480327218</v>
      </c>
      <c r="L93" s="96">
        <v>6.1315956828669869</v>
      </c>
      <c r="M93" s="96">
        <v>6.1321255588775161</v>
      </c>
      <c r="N93" s="96">
        <v>6.1348276606079057</v>
      </c>
      <c r="O93" s="96">
        <v>6.100234183386652</v>
      </c>
      <c r="P93" s="96">
        <v>6.0387124579667724</v>
      </c>
      <c r="Q93" s="96">
        <v>5.9167705781498148</v>
      </c>
      <c r="R93" s="96">
        <v>5.8896659364554544</v>
      </c>
      <c r="S93" s="96">
        <v>5.8725980683855337</v>
      </c>
      <c r="T93" s="96">
        <v>5.8429916438313132</v>
      </c>
      <c r="U93" s="96">
        <v>5.8164060455612594</v>
      </c>
      <c r="V93" s="96">
        <v>5.7879197162375169</v>
      </c>
      <c r="W93" s="96">
        <v>5.7480857021896785</v>
      </c>
      <c r="DA93" s="171" t="s">
        <v>865</v>
      </c>
    </row>
    <row r="94" spans="1:105" ht="11.45" customHeight="1" x14ac:dyDescent="0.25">
      <c r="A94" s="111" t="s">
        <v>112</v>
      </c>
      <c r="B94" s="96">
        <v>6.8106675956780149</v>
      </c>
      <c r="C94" s="96">
        <v>6.3535748960431846</v>
      </c>
      <c r="D94" s="96">
        <v>6.1431148921974765</v>
      </c>
      <c r="E94" s="96">
        <v>6.0313922297133535</v>
      </c>
      <c r="F94" s="96">
        <v>5.9706144552316323</v>
      </c>
      <c r="G94" s="96">
        <v>5.8685094831724847</v>
      </c>
      <c r="H94" s="96">
        <v>5.9297189182990202</v>
      </c>
      <c r="I94" s="96">
        <v>5.9738353518118323</v>
      </c>
      <c r="J94" s="96">
        <v>5.9803277752502968</v>
      </c>
      <c r="K94" s="96">
        <v>5.9814296055153253</v>
      </c>
      <c r="L94" s="96">
        <v>5.9804992517396665</v>
      </c>
      <c r="M94" s="96">
        <v>5.972719399367076</v>
      </c>
      <c r="N94" s="96">
        <v>5.9930226382730654</v>
      </c>
      <c r="O94" s="96">
        <v>5.9874464512962051</v>
      </c>
      <c r="P94" s="96">
        <v>5.9725113851641005</v>
      </c>
      <c r="Q94" s="96">
        <v>5.9702616148596617</v>
      </c>
      <c r="R94" s="96">
        <v>5.9768938051848561</v>
      </c>
      <c r="S94" s="96">
        <v>5.9769475556857392</v>
      </c>
      <c r="T94" s="96">
        <v>5.9113627989397939</v>
      </c>
      <c r="U94" s="96">
        <v>5.8964517222770132</v>
      </c>
      <c r="V94" s="96">
        <v>5.8454349714071796</v>
      </c>
      <c r="W94" s="96">
        <v>5.741850599460558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6.8926986922475137</v>
      </c>
      <c r="O95" s="96">
        <v>5.5358503686815101</v>
      </c>
      <c r="P95" s="96">
        <v>5.1402210473718659</v>
      </c>
      <c r="Q95" s="96">
        <v>5.1314744219816886</v>
      </c>
      <c r="R95" s="96">
        <v>5.1434786788039446</v>
      </c>
      <c r="S95" s="96">
        <v>5.2042761165111235</v>
      </c>
      <c r="T95" s="96">
        <v>5.2422913212374267</v>
      </c>
      <c r="U95" s="96">
        <v>5.2248233414366769</v>
      </c>
      <c r="V95" s="96">
        <v>4.9712903673546203</v>
      </c>
      <c r="W95" s="96">
        <v>4.8267284575924094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3.5980198417212153</v>
      </c>
      <c r="P96" s="96">
        <v>2.935813113048952</v>
      </c>
      <c r="Q96" s="96">
        <v>2.8635109572686055</v>
      </c>
      <c r="R96" s="96">
        <v>2.9302172546878515</v>
      </c>
      <c r="S96" s="96">
        <v>2.9504362637659125</v>
      </c>
      <c r="T96" s="96">
        <v>3.1155556364034744</v>
      </c>
      <c r="U96" s="96">
        <v>3.3614215713438611</v>
      </c>
      <c r="V96" s="96">
        <v>3.4938087991512443</v>
      </c>
      <c r="W96" s="96">
        <v>3.5404866056425424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1.3424803607346911</v>
      </c>
      <c r="N97" s="96">
        <v>1.3424803607346911</v>
      </c>
      <c r="O97" s="96">
        <v>1.3064877858840327</v>
      </c>
      <c r="P97" s="96">
        <v>1.2932307390865097</v>
      </c>
      <c r="Q97" s="96">
        <v>1.296867244392651</v>
      </c>
      <c r="R97" s="96">
        <v>1.2666113088290276</v>
      </c>
      <c r="S97" s="96">
        <v>1.3367174021362087</v>
      </c>
      <c r="T97" s="96">
        <v>1.4159937890105221</v>
      </c>
      <c r="U97" s="96">
        <v>1.4482227924799058</v>
      </c>
      <c r="V97" s="96">
        <v>1.4522987497982875</v>
      </c>
      <c r="W97" s="96">
        <v>1.4471663918008586</v>
      </c>
      <c r="DA97" s="171" t="s">
        <v>869</v>
      </c>
    </row>
    <row r="98" spans="1:105" ht="11.45" customHeight="1" x14ac:dyDescent="0.25">
      <c r="A98" s="109" t="s">
        <v>21</v>
      </c>
      <c r="B98" s="130">
        <v>56.187027277909074</v>
      </c>
      <c r="C98" s="130">
        <v>53.524811196292283</v>
      </c>
      <c r="D98" s="130">
        <v>51.332361394874454</v>
      </c>
      <c r="E98" s="130">
        <v>48.92070928228101</v>
      </c>
      <c r="F98" s="130">
        <v>48.161387325855422</v>
      </c>
      <c r="G98" s="130">
        <v>47.777890979748726</v>
      </c>
      <c r="H98" s="130">
        <v>47.347230149932564</v>
      </c>
      <c r="I98" s="130">
        <v>47.013499345093791</v>
      </c>
      <c r="J98" s="130">
        <v>46.775209128750625</v>
      </c>
      <c r="K98" s="130">
        <v>46.294551339208368</v>
      </c>
      <c r="L98" s="130">
        <v>45.829193474426383</v>
      </c>
      <c r="M98" s="130">
        <v>45.179799121408294</v>
      </c>
      <c r="N98" s="130">
        <v>45.099458744550823</v>
      </c>
      <c r="O98" s="130">
        <v>40.502125686172874</v>
      </c>
      <c r="P98" s="130">
        <v>40.290974378146657</v>
      </c>
      <c r="Q98" s="130">
        <v>39.523969992738948</v>
      </c>
      <c r="R98" s="130">
        <v>38.876402830952436</v>
      </c>
      <c r="S98" s="130">
        <v>38.415638296835048</v>
      </c>
      <c r="T98" s="130">
        <v>38.215699199464488</v>
      </c>
      <c r="U98" s="130">
        <v>38.092300636535313</v>
      </c>
      <c r="V98" s="130">
        <v>37.687820569070468</v>
      </c>
      <c r="W98" s="130">
        <v>37.29576778343452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14.26734747075573</v>
      </c>
      <c r="E99" s="97">
        <v>14.204036112610133</v>
      </c>
      <c r="F99" s="97">
        <v>14.198833265622701</v>
      </c>
      <c r="G99" s="97">
        <v>14.18483398998295</v>
      </c>
      <c r="H99" s="97">
        <v>14.136023785597267</v>
      </c>
      <c r="I99" s="97">
        <v>14.127386889920048</v>
      </c>
      <c r="J99" s="97">
        <v>14.092295009554961</v>
      </c>
      <c r="K99" s="97">
        <v>14.081786689136838</v>
      </c>
      <c r="L99" s="97">
        <v>14.081786689136839</v>
      </c>
      <c r="M99" s="97">
        <v>14.017292675436124</v>
      </c>
      <c r="N99" s="97">
        <v>13.993749234269899</v>
      </c>
      <c r="O99" s="97">
        <v>9.9102279217521794</v>
      </c>
      <c r="P99" s="97">
        <v>9.7304817504902008</v>
      </c>
      <c r="Q99" s="97">
        <v>9.7304817504902008</v>
      </c>
      <c r="R99" s="97">
        <v>9.7304817504902026</v>
      </c>
      <c r="S99" s="97">
        <v>9.7304817504902008</v>
      </c>
      <c r="T99" s="97">
        <v>9.7304817504902008</v>
      </c>
      <c r="U99" s="97">
        <v>9.7304817504902008</v>
      </c>
      <c r="V99" s="97">
        <v>9.7304817504902008</v>
      </c>
      <c r="W99" s="97">
        <v>9.7304817504902008</v>
      </c>
      <c r="DA99" s="175" t="s">
        <v>871</v>
      </c>
    </row>
    <row r="100" spans="1:105" ht="11.45" customHeight="1" x14ac:dyDescent="0.25">
      <c r="A100" s="111" t="s">
        <v>111</v>
      </c>
      <c r="B100" s="97">
        <v>56.187027277909074</v>
      </c>
      <c r="C100" s="97">
        <v>52.609027698973982</v>
      </c>
      <c r="D100" s="97">
        <v>50.730858391680123</v>
      </c>
      <c r="E100" s="97">
        <v>49.033683409623194</v>
      </c>
      <c r="F100" s="97">
        <v>48.557186267850142</v>
      </c>
      <c r="G100" s="97">
        <v>48.426142802164634</v>
      </c>
      <c r="H100" s="97">
        <v>48.249994871651623</v>
      </c>
      <c r="I100" s="97">
        <v>48.059517780692637</v>
      </c>
      <c r="J100" s="97">
        <v>47.755402189553116</v>
      </c>
      <c r="K100" s="97">
        <v>47.486117880091932</v>
      </c>
      <c r="L100" s="97">
        <v>47.134089748179022</v>
      </c>
      <c r="M100" s="97">
        <v>46.490959841875402</v>
      </c>
      <c r="N100" s="97">
        <v>46.346227064661178</v>
      </c>
      <c r="O100" s="97">
        <v>45.426488968442506</v>
      </c>
      <c r="P100" s="97">
        <v>44.556309533552223</v>
      </c>
      <c r="Q100" s="97">
        <v>43.86496857692751</v>
      </c>
      <c r="R100" s="97">
        <v>43.307839066388368</v>
      </c>
      <c r="S100" s="97">
        <v>42.814602966615716</v>
      </c>
      <c r="T100" s="97">
        <v>42.432174102584668</v>
      </c>
      <c r="U100" s="97">
        <v>42.263079245806232</v>
      </c>
      <c r="V100" s="97">
        <v>42.030014110163947</v>
      </c>
      <c r="W100" s="97">
        <v>41.774126366742202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39.916306044142821</v>
      </c>
      <c r="E101" s="97">
        <v>39.916306044142821</v>
      </c>
      <c r="F101" s="97">
        <v>39.916306044142821</v>
      </c>
      <c r="G101" s="97">
        <v>39.916306044142821</v>
      </c>
      <c r="H101" s="97">
        <v>39.916306044142821</v>
      </c>
      <c r="I101" s="97">
        <v>39.916306044142821</v>
      </c>
      <c r="J101" s="97">
        <v>39.916306044142821</v>
      </c>
      <c r="K101" s="97">
        <v>39.916306044142821</v>
      </c>
      <c r="L101" s="97">
        <v>39.916306044142821</v>
      </c>
      <c r="M101" s="97">
        <v>37.109751646642422</v>
      </c>
      <c r="N101" s="97">
        <v>37.109751646642422</v>
      </c>
      <c r="O101" s="97">
        <v>36.352623222587887</v>
      </c>
      <c r="P101" s="97">
        <v>35.936609182354808</v>
      </c>
      <c r="Q101" s="97">
        <v>35.909569674184894</v>
      </c>
      <c r="R101" s="97">
        <v>35.90024104027836</v>
      </c>
      <c r="S101" s="97">
        <v>35.832934667643421</v>
      </c>
      <c r="T101" s="97">
        <v>35.68389955157523</v>
      </c>
      <c r="U101" s="97">
        <v>35.313330155965446</v>
      </c>
      <c r="V101" s="97">
        <v>35.287449510789791</v>
      </c>
      <c r="W101" s="97">
        <v>35.256625523955108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37.307437645031726</v>
      </c>
      <c r="L102" s="97">
        <v>37.170259921740758</v>
      </c>
      <c r="M102" s="97">
        <v>36.857969733569014</v>
      </c>
      <c r="N102" s="97">
        <v>36.847384706152411</v>
      </c>
      <c r="O102" s="97">
        <v>36.236150555295062</v>
      </c>
      <c r="P102" s="97">
        <v>36.030483756451432</v>
      </c>
      <c r="Q102" s="97">
        <v>35.34342132449234</v>
      </c>
      <c r="R102" s="97">
        <v>35.334632306575266</v>
      </c>
      <c r="S102" s="97">
        <v>35.276732673701737</v>
      </c>
      <c r="T102" s="97">
        <v>35.27780806441028</v>
      </c>
      <c r="U102" s="97">
        <v>35.22618029199618</v>
      </c>
      <c r="V102" s="97">
        <v>34.53342738286014</v>
      </c>
      <c r="W102" s="97">
        <v>34.327268183776177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29.026202381804477</v>
      </c>
      <c r="G103" s="97">
        <v>28.817495622373524</v>
      </c>
      <c r="H103" s="97">
        <v>28.659876129498191</v>
      </c>
      <c r="I103" s="97">
        <v>28.531369124867506</v>
      </c>
      <c r="J103" s="97">
        <v>28.496268684629388</v>
      </c>
      <c r="K103" s="97">
        <v>28.46171987158878</v>
      </c>
      <c r="L103" s="97">
        <v>28.459949189992809</v>
      </c>
      <c r="M103" s="97">
        <v>28.426511443307213</v>
      </c>
      <c r="N103" s="97">
        <v>28.418045339154816</v>
      </c>
      <c r="O103" s="97">
        <v>26.879909583136868</v>
      </c>
      <c r="P103" s="97">
        <v>26.812482371662814</v>
      </c>
      <c r="Q103" s="97">
        <v>26.806664453468418</v>
      </c>
      <c r="R103" s="97">
        <v>26.703727368984747</v>
      </c>
      <c r="S103" s="97">
        <v>26.506851722798615</v>
      </c>
      <c r="T103" s="97">
        <v>26.286528540822189</v>
      </c>
      <c r="U103" s="97">
        <v>25.345457887171246</v>
      </c>
      <c r="V103" s="97">
        <v>25.012714478263348</v>
      </c>
      <c r="W103" s="97">
        <v>24.909550357794895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12.196748115236716</v>
      </c>
      <c r="C105" s="141">
        <v>11.568494362151995</v>
      </c>
      <c r="D105" s="141">
        <v>10.83448469046953</v>
      </c>
      <c r="E105" s="141">
        <v>10.254658620191401</v>
      </c>
      <c r="F105" s="141">
        <v>9.818887700135658</v>
      </c>
      <c r="G105" s="141">
        <v>9.3993616795781385</v>
      </c>
      <c r="H105" s="141">
        <v>8.982449614260922</v>
      </c>
      <c r="I105" s="141">
        <v>8.7084400239699189</v>
      </c>
      <c r="J105" s="141">
        <v>8.4558051691526988</v>
      </c>
      <c r="K105" s="141">
        <v>8.2292000956961626</v>
      </c>
      <c r="L105" s="141">
        <v>8.1939602817581765</v>
      </c>
      <c r="M105" s="141">
        <v>8.1945769820554606</v>
      </c>
      <c r="N105" s="141">
        <v>8.1680429785409991</v>
      </c>
      <c r="O105" s="141">
        <v>8.0895938022642486</v>
      </c>
      <c r="P105" s="141">
        <v>7.9730240026517221</v>
      </c>
      <c r="Q105" s="141">
        <v>7.9175819258131659</v>
      </c>
      <c r="R105" s="141">
        <v>7.8168087372064319</v>
      </c>
      <c r="S105" s="141">
        <v>7.720768231867587</v>
      </c>
      <c r="T105" s="141">
        <v>7.5924512080708455</v>
      </c>
      <c r="U105" s="141">
        <v>7.48397483031858</v>
      </c>
      <c r="V105" s="141">
        <v>7.4520692924392904</v>
      </c>
      <c r="W105" s="141">
        <v>7.4157665144110787</v>
      </c>
      <c r="DA105" s="174" t="s">
        <v>876</v>
      </c>
    </row>
    <row r="106" spans="1:105" ht="11.45" customHeight="1" x14ac:dyDescent="0.25">
      <c r="A106" s="111" t="s">
        <v>110</v>
      </c>
      <c r="B106" s="96">
        <v>10.866255775775581</v>
      </c>
      <c r="C106" s="96">
        <v>10.522960922056203</v>
      </c>
      <c r="D106" s="96">
        <v>10.227471901490121</v>
      </c>
      <c r="E106" s="96">
        <v>9.9932117579987843</v>
      </c>
      <c r="F106" s="96">
        <v>9.8014875740354448</v>
      </c>
      <c r="G106" s="96">
        <v>9.6337020158069642</v>
      </c>
      <c r="H106" s="96">
        <v>9.4630334806496634</v>
      </c>
      <c r="I106" s="96">
        <v>9.3506542791502714</v>
      </c>
      <c r="J106" s="96">
        <v>9.2735427758474973</v>
      </c>
      <c r="K106" s="96">
        <v>9.1395331694842028</v>
      </c>
      <c r="L106" s="96">
        <v>9.1635870466570495</v>
      </c>
      <c r="M106" s="96">
        <v>9.1383494352865142</v>
      </c>
      <c r="N106" s="96">
        <v>8.9807984945246435</v>
      </c>
      <c r="O106" s="96">
        <v>8.77871533636735</v>
      </c>
      <c r="P106" s="96">
        <v>8.5155232356507309</v>
      </c>
      <c r="Q106" s="96">
        <v>8.2262020572530812</v>
      </c>
      <c r="R106" s="96">
        <v>7.8059192178705601</v>
      </c>
      <c r="S106" s="96">
        <v>7.3129727732432563</v>
      </c>
      <c r="T106" s="96">
        <v>6.9011290791158499</v>
      </c>
      <c r="U106" s="96">
        <v>6.9788519713606938</v>
      </c>
      <c r="V106" s="96">
        <v>6.8049812812607762</v>
      </c>
      <c r="W106" s="96">
        <v>6.6949492580675019</v>
      </c>
      <c r="DA106" s="171" t="s">
        <v>877</v>
      </c>
    </row>
    <row r="107" spans="1:105" ht="11.45" customHeight="1" x14ac:dyDescent="0.25">
      <c r="A107" s="111" t="s">
        <v>111</v>
      </c>
      <c r="B107" s="96">
        <v>12.433442398694499</v>
      </c>
      <c r="C107" s="96">
        <v>11.542248249734779</v>
      </c>
      <c r="D107" s="96">
        <v>10.617865506537953</v>
      </c>
      <c r="E107" s="96">
        <v>9.986578760938464</v>
      </c>
      <c r="F107" s="96">
        <v>9.5211772323285313</v>
      </c>
      <c r="G107" s="96">
        <v>9.1118849052100988</v>
      </c>
      <c r="H107" s="96">
        <v>8.7320692624568732</v>
      </c>
      <c r="I107" s="96">
        <v>8.503608209726325</v>
      </c>
      <c r="J107" s="96">
        <v>8.3108161293817133</v>
      </c>
      <c r="K107" s="96">
        <v>8.1429565915819868</v>
      </c>
      <c r="L107" s="96">
        <v>8.1160530959454142</v>
      </c>
      <c r="M107" s="96">
        <v>8.1376606606027693</v>
      </c>
      <c r="N107" s="96">
        <v>8.1288418241527207</v>
      </c>
      <c r="O107" s="96">
        <v>8.052618258095297</v>
      </c>
      <c r="P107" s="96">
        <v>7.9350902683337985</v>
      </c>
      <c r="Q107" s="96">
        <v>7.8903871929374283</v>
      </c>
      <c r="R107" s="96">
        <v>7.7967787115801928</v>
      </c>
      <c r="S107" s="96">
        <v>7.710221964486724</v>
      </c>
      <c r="T107" s="96">
        <v>7.5854151538406498</v>
      </c>
      <c r="U107" s="96">
        <v>7.4772606622696278</v>
      </c>
      <c r="V107" s="96">
        <v>7.443678102606988</v>
      </c>
      <c r="W107" s="96">
        <v>7.4026610009908227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DA110" s="171" t="s">
        <v>881</v>
      </c>
    </row>
    <row r="111" spans="1:105" ht="11.45" customHeight="1" x14ac:dyDescent="0.25">
      <c r="A111" s="109" t="s">
        <v>158</v>
      </c>
      <c r="B111" s="130">
        <v>27.820106834523337</v>
      </c>
      <c r="C111" s="130">
        <v>27.764881230943871</v>
      </c>
      <c r="D111" s="130">
        <v>27.586342909255251</v>
      </c>
      <c r="E111" s="130">
        <v>27.19827026261726</v>
      </c>
      <c r="F111" s="130">
        <v>27.14828537944376</v>
      </c>
      <c r="G111" s="130">
        <v>27.033287596951876</v>
      </c>
      <c r="H111" s="130">
        <v>26.900418078051249</v>
      </c>
      <c r="I111" s="130">
        <v>26.677981766288823</v>
      </c>
      <c r="J111" s="130">
        <v>26.562787790478733</v>
      </c>
      <c r="K111" s="130">
        <v>26.428357411107644</v>
      </c>
      <c r="L111" s="130">
        <v>26.389016428864323</v>
      </c>
      <c r="M111" s="130">
        <v>26.149862618057</v>
      </c>
      <c r="N111" s="130">
        <v>25.873889037152196</v>
      </c>
      <c r="O111" s="130">
        <v>25.565049666448317</v>
      </c>
      <c r="P111" s="130">
        <v>25.254205435389654</v>
      </c>
      <c r="Q111" s="130">
        <v>25.204723470065343</v>
      </c>
      <c r="R111" s="130">
        <v>24.794036914182062</v>
      </c>
      <c r="S111" s="130">
        <v>24.378992892115807</v>
      </c>
      <c r="T111" s="130">
        <v>23.974902188003902</v>
      </c>
      <c r="U111" s="130">
        <v>23.537671389140435</v>
      </c>
      <c r="V111" s="130">
        <v>23.326637021176658</v>
      </c>
      <c r="W111" s="130">
        <v>23.105720875605396</v>
      </c>
      <c r="DA111" s="176" t="s">
        <v>882</v>
      </c>
    </row>
    <row r="112" spans="1:105" ht="11.45" customHeight="1" x14ac:dyDescent="0.25">
      <c r="A112" s="128" t="s">
        <v>27</v>
      </c>
      <c r="B112" s="97">
        <v>27.369316570539617</v>
      </c>
      <c r="C112" s="97">
        <v>27.300174249831603</v>
      </c>
      <c r="D112" s="97">
        <v>27.115690817943765</v>
      </c>
      <c r="E112" s="97">
        <v>26.823760336826791</v>
      </c>
      <c r="F112" s="97">
        <v>26.741347335748518</v>
      </c>
      <c r="G112" s="97">
        <v>26.590608880657594</v>
      </c>
      <c r="H112" s="97">
        <v>26.402523742956529</v>
      </c>
      <c r="I112" s="97">
        <v>26.199768252280432</v>
      </c>
      <c r="J112" s="97">
        <v>26.066455760968445</v>
      </c>
      <c r="K112" s="97">
        <v>26.022939105498136</v>
      </c>
      <c r="L112" s="97">
        <v>25.941910379523947</v>
      </c>
      <c r="M112" s="97">
        <v>25.666462769375833</v>
      </c>
      <c r="N112" s="97">
        <v>25.36732944944476</v>
      </c>
      <c r="O112" s="97">
        <v>25.026878846961147</v>
      </c>
      <c r="P112" s="97">
        <v>24.75790298099831</v>
      </c>
      <c r="Q112" s="97">
        <v>24.684870930662196</v>
      </c>
      <c r="R112" s="97">
        <v>24.270029953199852</v>
      </c>
      <c r="S112" s="97">
        <v>23.826370169801589</v>
      </c>
      <c r="T112" s="97">
        <v>23.489106611967436</v>
      </c>
      <c r="U112" s="97">
        <v>23.04268718806642</v>
      </c>
      <c r="V112" s="97">
        <v>22.864064856996166</v>
      </c>
      <c r="W112" s="97">
        <v>22.710635181197759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36.303132552935921</v>
      </c>
      <c r="D113" s="98">
        <v>35.907737753014693</v>
      </c>
      <c r="E113" s="98">
        <v>35.572016537561275</v>
      </c>
      <c r="F113" s="98">
        <v>34.869018129485937</v>
      </c>
      <c r="G113" s="98">
        <v>34.501260889836857</v>
      </c>
      <c r="H113" s="98">
        <v>33.732692971664925</v>
      </c>
      <c r="I113" s="98">
        <v>33.289629337818873</v>
      </c>
      <c r="J113" s="98">
        <v>33.124475786502558</v>
      </c>
      <c r="K113" s="98">
        <v>32.733111346963113</v>
      </c>
      <c r="L113" s="98">
        <v>32.177125854018755</v>
      </c>
      <c r="M113" s="98">
        <v>31.74176098494797</v>
      </c>
      <c r="N113" s="98">
        <v>31.243044424078217</v>
      </c>
      <c r="O113" s="98">
        <v>30.717001514930043</v>
      </c>
      <c r="P113" s="98">
        <v>30.589872547099251</v>
      </c>
      <c r="Q113" s="98">
        <v>30.015982828878595</v>
      </c>
      <c r="R113" s="98">
        <v>29.606499038456136</v>
      </c>
      <c r="S113" s="98">
        <v>29.224304756721683</v>
      </c>
      <c r="T113" s="98">
        <v>28.944871301222694</v>
      </c>
      <c r="U113" s="98">
        <v>28.479994652522517</v>
      </c>
      <c r="V113" s="98">
        <v>27.628978880695726</v>
      </c>
      <c r="W113" s="98">
        <v>27.139473100348866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1.1275000000068982</v>
      </c>
      <c r="C117" s="150">
        <f>IF(TrRoad_act!C59=0,0,TrRoad_ene!C62/TrRoad_tech!C90)</f>
        <v>1.1276421810767248</v>
      </c>
      <c r="D117" s="150">
        <f>IF(TrRoad_act!D59=0,0,TrRoad_ene!D62/TrRoad_tech!D90)</f>
        <v>1.1281324814135276</v>
      </c>
      <c r="E117" s="150">
        <f>IF(TrRoad_act!E59=0,0,TrRoad_ene!E62/TrRoad_tech!E90)</f>
        <v>1.0739269186132583</v>
      </c>
      <c r="F117" s="150">
        <f>IF(TrRoad_act!F59=0,0,TrRoad_ene!F62/TrRoad_tech!F90)</f>
        <v>1.0752538342844342</v>
      </c>
      <c r="G117" s="150">
        <f>IF(TrRoad_act!G59=0,0,TrRoad_ene!G62/TrRoad_tech!G90)</f>
        <v>1.0774434343352355</v>
      </c>
      <c r="H117" s="150">
        <f>IF(TrRoad_act!H59=0,0,TrRoad_ene!H62/TrRoad_tech!H90)</f>
        <v>1.0815711224247193</v>
      </c>
      <c r="I117" s="150">
        <f>IF(TrRoad_act!I59=0,0,TrRoad_ene!I62/TrRoad_tech!I90)</f>
        <v>1.0891820030818575</v>
      </c>
      <c r="J117" s="150">
        <f>IF(TrRoad_act!J59=0,0,TrRoad_ene!J62/TrRoad_tech!J90)</f>
        <v>1.0988814396092734</v>
      </c>
      <c r="K117" s="150">
        <f>IF(TrRoad_act!K59=0,0,TrRoad_ene!K62/TrRoad_tech!K90)</f>
        <v>1.1060381760373124</v>
      </c>
      <c r="L117" s="150">
        <f>IF(TrRoad_act!L59=0,0,TrRoad_ene!L62/TrRoad_tech!L90)</f>
        <v>1.109695717193163</v>
      </c>
      <c r="M117" s="150">
        <f>IF(TrRoad_act!M59=0,0,TrRoad_ene!M62/TrRoad_tech!M90)</f>
        <v>1.1139582502555216</v>
      </c>
      <c r="N117" s="150">
        <f>IF(TrRoad_act!N59=0,0,TrRoad_ene!N62/TrRoad_tech!N90)</f>
        <v>1.1183891642413595</v>
      </c>
      <c r="O117" s="150">
        <f>IF(TrRoad_act!O59=0,0,TrRoad_ene!O62/TrRoad_tech!O90)</f>
        <v>1.1234511920772505</v>
      </c>
      <c r="P117" s="150">
        <f>IF(TrRoad_act!P59=0,0,TrRoad_ene!P62/TrRoad_tech!P90)</f>
        <v>1.1294340630090793</v>
      </c>
      <c r="Q117" s="150">
        <f>IF(TrRoad_act!Q59=0,0,TrRoad_ene!Q62/TrRoad_tech!Q90)</f>
        <v>1.1360329037844303</v>
      </c>
      <c r="R117" s="150">
        <f>IF(TrRoad_act!R59=0,0,TrRoad_ene!R62/TrRoad_tech!R90)</f>
        <v>1.2051429029416234</v>
      </c>
      <c r="S117" s="150">
        <f>IF(TrRoad_act!S59=0,0,TrRoad_ene!S62/TrRoad_tech!S90)</f>
        <v>1.2180961136155295</v>
      </c>
      <c r="T117" s="150">
        <f>IF(TrRoad_act!T59=0,0,TrRoad_ene!T62/TrRoad_tech!T90)</f>
        <v>1.2347785462680752</v>
      </c>
      <c r="U117" s="150">
        <f>IF(TrRoad_act!U59=0,0,TrRoad_ene!U62/TrRoad_tech!U90)</f>
        <v>1.2698268139109186</v>
      </c>
      <c r="V117" s="150">
        <f>IF(TrRoad_act!V59=0,0,TrRoad_ene!V62/TrRoad_tech!V90)</f>
        <v>1.3065645186659236</v>
      </c>
      <c r="W117" s="150">
        <f>IF(TrRoad_act!W59=0,0,TrRoad_ene!W62/TrRoad_tech!W90)</f>
        <v>1.3174541653680651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0.91056602503484019</v>
      </c>
      <c r="C118" s="151">
        <f>IF(TrRoad_act!C60=0,0,TrRoad_ene!C63/TrRoad_tech!C91)</f>
        <v>0.95735034651244411</v>
      </c>
      <c r="D118" s="151">
        <f>IF(TrRoad_act!D60=0,0,TrRoad_ene!D63/TrRoad_tech!D91)</f>
        <v>0.95749868451185194</v>
      </c>
      <c r="E118" s="151">
        <f>IF(TrRoad_act!E60=0,0,TrRoad_ene!E63/TrRoad_tech!E91)</f>
        <v>0.94027207963097748</v>
      </c>
      <c r="F118" s="151">
        <f>IF(TrRoad_act!F60=0,0,TrRoad_ene!F63/TrRoad_tech!F91)</f>
        <v>0.94357504471384324</v>
      </c>
      <c r="G118" s="151">
        <f>IF(TrRoad_act!G60=0,0,TrRoad_ene!G63/TrRoad_tech!G91)</f>
        <v>0.94596007505768676</v>
      </c>
      <c r="H118" s="151">
        <f>IF(TrRoad_act!H60=0,0,TrRoad_ene!H63/TrRoad_tech!H91)</f>
        <v>0.93321008304913688</v>
      </c>
      <c r="I118" s="151">
        <f>IF(TrRoad_act!I60=0,0,TrRoad_ene!I63/TrRoad_tech!I91)</f>
        <v>0.96206639967185792</v>
      </c>
      <c r="J118" s="151">
        <f>IF(TrRoad_act!J60=0,0,TrRoad_ene!J63/TrRoad_tech!J91)</f>
        <v>0.96115779070435525</v>
      </c>
      <c r="K118" s="151">
        <f>IF(TrRoad_act!K60=0,0,TrRoad_ene!K63/TrRoad_tech!K91)</f>
        <v>0.92927778940334316</v>
      </c>
      <c r="L118" s="151">
        <f>IF(TrRoad_act!L60=0,0,TrRoad_ene!L63/TrRoad_tech!L91)</f>
        <v>0.92417024480375187</v>
      </c>
      <c r="M118" s="151">
        <f>IF(TrRoad_act!M60=0,0,TrRoad_ene!M63/TrRoad_tech!M91)</f>
        <v>0.94062351789001653</v>
      </c>
      <c r="N118" s="151">
        <f>IF(TrRoad_act!N60=0,0,TrRoad_ene!N63/TrRoad_tech!N91)</f>
        <v>0.9146434456293322</v>
      </c>
      <c r="O118" s="151">
        <f>IF(TrRoad_act!O60=0,0,TrRoad_ene!O63/TrRoad_tech!O91)</f>
        <v>0.92545009246082899</v>
      </c>
      <c r="P118" s="151">
        <f>IF(TrRoad_act!P60=0,0,TrRoad_ene!P63/TrRoad_tech!P91)</f>
        <v>0.97338168732792973</v>
      </c>
      <c r="Q118" s="151">
        <f>IF(TrRoad_act!Q60=0,0,TrRoad_ene!Q63/TrRoad_tech!Q91)</f>
        <v>0.98535193416553635</v>
      </c>
      <c r="R118" s="151">
        <f>IF(TrRoad_act!R60=0,0,TrRoad_ene!R63/TrRoad_tech!R91)</f>
        <v>0.98634258614176562</v>
      </c>
      <c r="S118" s="151">
        <f>IF(TrRoad_act!S60=0,0,TrRoad_ene!S63/TrRoad_tech!S91)</f>
        <v>0.9946909688199026</v>
      </c>
      <c r="T118" s="151">
        <f>IF(TrRoad_act!T60=0,0,TrRoad_ene!T63/TrRoad_tech!T91)</f>
        <v>1.0033611614157596</v>
      </c>
      <c r="U118" s="151">
        <f>IF(TrRoad_act!U60=0,0,TrRoad_ene!U63/TrRoad_tech!U91)</f>
        <v>1.0103276644963881</v>
      </c>
      <c r="V118" s="151">
        <f>IF(TrRoad_act!V60=0,0,TrRoad_ene!V63/TrRoad_tech!V91)</f>
        <v>1.0159906148084736</v>
      </c>
      <c r="W118" s="151">
        <f>IF(TrRoad_act!W60=0,0,TrRoad_ene!W63/TrRoad_tech!W91)</f>
        <v>1.0236776144703998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0.93950158337695155</v>
      </c>
      <c r="C119" s="91">
        <f>IF(TrRoad_act!C61=0,0,TrRoad_ene!C64/TrRoad_tech!C92)</f>
        <v>0.99450104473132506</v>
      </c>
      <c r="D119" s="91">
        <f>IF(TrRoad_act!D61=0,0,TrRoad_ene!D64/TrRoad_tech!D92)</f>
        <v>0.98656449860756101</v>
      </c>
      <c r="E119" s="91">
        <f>IF(TrRoad_act!E61=0,0,TrRoad_ene!E64/TrRoad_tech!E92)</f>
        <v>0.96312578609236899</v>
      </c>
      <c r="F119" s="91">
        <f>IF(TrRoad_act!F61=0,0,TrRoad_ene!F64/TrRoad_tech!F92)</f>
        <v>0.96571450948446913</v>
      </c>
      <c r="G119" s="91">
        <f>IF(TrRoad_act!G61=0,0,TrRoad_ene!G64/TrRoad_tech!G92)</f>
        <v>0.91303185892658656</v>
      </c>
      <c r="H119" s="91">
        <f>IF(TrRoad_act!H61=0,0,TrRoad_ene!H64/TrRoad_tech!H92)</f>
        <v>0.9101753002687677</v>
      </c>
      <c r="I119" s="91">
        <f>IF(TrRoad_act!I61=0,0,TrRoad_ene!I64/TrRoad_tech!I92)</f>
        <v>0.95297541470201352</v>
      </c>
      <c r="J119" s="91">
        <f>IF(TrRoad_act!J61=0,0,TrRoad_ene!J64/TrRoad_tech!J92)</f>
        <v>0.95887173941150183</v>
      </c>
      <c r="K119" s="91">
        <f>IF(TrRoad_act!K61=0,0,TrRoad_ene!K64/TrRoad_tech!K92)</f>
        <v>0.92262197757508024</v>
      </c>
      <c r="L119" s="91">
        <f>IF(TrRoad_act!L61=0,0,TrRoad_ene!L64/TrRoad_tech!L92)</f>
        <v>0.9421104624368295</v>
      </c>
      <c r="M119" s="91">
        <f>IF(TrRoad_act!M61=0,0,TrRoad_ene!M64/TrRoad_tech!M92)</f>
        <v>0.93149719531871389</v>
      </c>
      <c r="N119" s="91">
        <f>IF(TrRoad_act!N61=0,0,TrRoad_ene!N64/TrRoad_tech!N92)</f>
        <v>0.92359168845145267</v>
      </c>
      <c r="O119" s="91">
        <f>IF(TrRoad_act!O61=0,0,TrRoad_ene!O64/TrRoad_tech!O92)</f>
        <v>0.94147059285776236</v>
      </c>
      <c r="P119" s="91">
        <f>IF(TrRoad_act!P61=0,0,TrRoad_ene!P64/TrRoad_tech!P92)</f>
        <v>0.95395259828233736</v>
      </c>
      <c r="Q119" s="91">
        <f>IF(TrRoad_act!Q61=0,0,TrRoad_ene!Q64/TrRoad_tech!Q92)</f>
        <v>0.96866120853737636</v>
      </c>
      <c r="R119" s="91">
        <f>IF(TrRoad_act!R61=0,0,TrRoad_ene!R64/TrRoad_tech!R92)</f>
        <v>1.035938302712559</v>
      </c>
      <c r="S119" s="91">
        <f>IF(TrRoad_act!S61=0,0,TrRoad_ene!S64/TrRoad_tech!S92)</f>
        <v>1.0377051512205782</v>
      </c>
      <c r="T119" s="91">
        <f>IF(TrRoad_act!T61=0,0,TrRoad_ene!T64/TrRoad_tech!T92)</f>
        <v>1.037411291268157</v>
      </c>
      <c r="U119" s="91">
        <f>IF(TrRoad_act!U61=0,0,TrRoad_ene!U64/TrRoad_tech!U92)</f>
        <v>1.0358851553954904</v>
      </c>
      <c r="V119" s="91">
        <f>IF(TrRoad_act!V61=0,0,TrRoad_ene!V64/TrRoad_tech!V92)</f>
        <v>1.0322617707017654</v>
      </c>
      <c r="W119" s="91">
        <f>IF(TrRoad_act!W61=0,0,TrRoad_ene!W64/TrRoad_tech!W92)</f>
        <v>1.0397266100696461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0.87978760633917119</v>
      </c>
      <c r="C120" s="91">
        <f>IF(TrRoad_act!C62=0,0,TrRoad_ene!C65/TrRoad_tech!C93)</f>
        <v>0.91075885358891817</v>
      </c>
      <c r="D120" s="91">
        <f>IF(TrRoad_act!D62=0,0,TrRoad_ene!D65/TrRoad_tech!D93)</f>
        <v>0.90702028602639873</v>
      </c>
      <c r="E120" s="91">
        <f>IF(TrRoad_act!E62=0,0,TrRoad_ene!E65/TrRoad_tech!E93)</f>
        <v>0.87566325533587874</v>
      </c>
      <c r="F120" s="91">
        <f>IF(TrRoad_act!F62=0,0,TrRoad_ene!F65/TrRoad_tech!F93)</f>
        <v>0.89823912503883474</v>
      </c>
      <c r="G120" s="91">
        <f>IF(TrRoad_act!G62=0,0,TrRoad_ene!G65/TrRoad_tech!G93)</f>
        <v>0.89426615584278779</v>
      </c>
      <c r="H120" s="91">
        <f>IF(TrRoad_act!H62=0,0,TrRoad_ene!H65/TrRoad_tech!H93)</f>
        <v>0.89244244759781888</v>
      </c>
      <c r="I120" s="91">
        <f>IF(TrRoad_act!I62=0,0,TrRoad_ene!I65/TrRoad_tech!I93)</f>
        <v>0.97484045307007305</v>
      </c>
      <c r="J120" s="91">
        <f>IF(TrRoad_act!J62=0,0,TrRoad_ene!J65/TrRoad_tech!J93)</f>
        <v>0.98548836502806492</v>
      </c>
      <c r="K120" s="91">
        <f>IF(TrRoad_act!K62=0,0,TrRoad_ene!K65/TrRoad_tech!K93)</f>
        <v>0.91374987553802445</v>
      </c>
      <c r="L120" s="91">
        <f>IF(TrRoad_act!L62=0,0,TrRoad_ene!L65/TrRoad_tech!L93)</f>
        <v>0.93981770163587941</v>
      </c>
      <c r="M120" s="91">
        <f>IF(TrRoad_act!M62=0,0,TrRoad_ene!M65/TrRoad_tech!M93)</f>
        <v>0.9666439458121302</v>
      </c>
      <c r="N120" s="91">
        <f>IF(TrRoad_act!N62=0,0,TrRoad_ene!N65/TrRoad_tech!N93)</f>
        <v>0.92083362629790722</v>
      </c>
      <c r="O120" s="91">
        <f>IF(TrRoad_act!O62=0,0,TrRoad_ene!O65/TrRoad_tech!O93)</f>
        <v>0.94306865174157295</v>
      </c>
      <c r="P120" s="91">
        <f>IF(TrRoad_act!P62=0,0,TrRoad_ene!P65/TrRoad_tech!P93)</f>
        <v>1.005921316381944</v>
      </c>
      <c r="Q120" s="91">
        <f>IF(TrRoad_act!Q62=0,0,TrRoad_ene!Q65/TrRoad_tech!Q93)</f>
        <v>1.0215977803155287</v>
      </c>
      <c r="R120" s="91">
        <f>IF(TrRoad_act!R62=0,0,TrRoad_ene!R65/TrRoad_tech!R93)</f>
        <v>1.0147584572208479</v>
      </c>
      <c r="S120" s="91">
        <f>IF(TrRoad_act!S62=0,0,TrRoad_ene!S65/TrRoad_tech!S93)</f>
        <v>1.0177888778523332</v>
      </c>
      <c r="T120" s="91">
        <f>IF(TrRoad_act!T62=0,0,TrRoad_ene!T65/TrRoad_tech!T93)</f>
        <v>1.0215491973383979</v>
      </c>
      <c r="U120" s="91">
        <f>IF(TrRoad_act!U62=0,0,TrRoad_ene!U65/TrRoad_tech!U93)</f>
        <v>1.0244579626496535</v>
      </c>
      <c r="V120" s="91">
        <f>IF(TrRoad_act!V62=0,0,TrRoad_ene!V65/TrRoad_tech!V93)</f>
        <v>1.0271840386455475</v>
      </c>
      <c r="W120" s="91">
        <f>IF(TrRoad_act!W62=0,0,TrRoad_ene!W65/TrRoad_tech!W93)</f>
        <v>1.030088661389186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0.95954427415200738</v>
      </c>
      <c r="C121" s="91">
        <f>IF(TrRoad_act!C63=0,0,TrRoad_ene!C66/TrRoad_tech!C94)</f>
        <v>1.1275725860483969</v>
      </c>
      <c r="D121" s="91">
        <f>IF(TrRoad_act!D63=0,0,TrRoad_ene!D66/TrRoad_tech!D94)</f>
        <v>1.1568461077409375</v>
      </c>
      <c r="E121" s="91">
        <f>IF(TrRoad_act!E63=0,0,TrRoad_ene!E66/TrRoad_tech!E94)</f>
        <v>1.2207593381666884</v>
      </c>
      <c r="F121" s="91">
        <f>IF(TrRoad_act!F63=0,0,TrRoad_ene!F66/TrRoad_tech!F94)</f>
        <v>1.1749162157732647</v>
      </c>
      <c r="G121" s="91">
        <f>IF(TrRoad_act!G63=0,0,TrRoad_ene!G66/TrRoad_tech!G94)</f>
        <v>1.3752240736930246</v>
      </c>
      <c r="H121" s="91">
        <f>IF(TrRoad_act!H63=0,0,TrRoad_ene!H66/TrRoad_tech!H94)</f>
        <v>1.3128969037104188</v>
      </c>
      <c r="I121" s="91">
        <f>IF(TrRoad_act!I63=0,0,TrRoad_ene!I66/TrRoad_tech!I94)</f>
        <v>1.1107413255016794</v>
      </c>
      <c r="J121" s="91">
        <f>IF(TrRoad_act!J63=0,0,TrRoad_ene!J66/TrRoad_tech!J94)</f>
        <v>1.0561849145235733</v>
      </c>
      <c r="K121" s="91">
        <f>IF(TrRoad_act!K63=0,0,TrRoad_ene!K66/TrRoad_tech!K94)</f>
        <v>1.2039921029274607</v>
      </c>
      <c r="L121" s="91">
        <f>IF(TrRoad_act!L63=0,0,TrRoad_ene!L66/TrRoad_tech!L94)</f>
        <v>1.0684919713781129</v>
      </c>
      <c r="M121" s="91">
        <f>IF(TrRoad_act!M63=0,0,TrRoad_ene!M66/TrRoad_tech!M94)</f>
        <v>1.0868146950729312</v>
      </c>
      <c r="N121" s="91">
        <f>IF(TrRoad_act!N63=0,0,TrRoad_ene!N66/TrRoad_tech!N94)</f>
        <v>1.1559740278898591</v>
      </c>
      <c r="O121" s="91">
        <f>IF(TrRoad_act!O63=0,0,TrRoad_ene!O66/TrRoad_tech!O94)</f>
        <v>1.0777212559444991</v>
      </c>
      <c r="P121" s="91">
        <f>IF(TrRoad_act!P63=0,0,TrRoad_ene!P66/TrRoad_tech!P94)</f>
        <v>1.0795832971442016</v>
      </c>
      <c r="Q121" s="91">
        <f>IF(TrRoad_act!Q63=0,0,TrRoad_ene!Q66/TrRoad_tech!Q94)</f>
        <v>1.0639681035055761</v>
      </c>
      <c r="R121" s="91">
        <f>IF(TrRoad_act!R63=0,0,TrRoad_ene!R66/TrRoad_tech!R94)</f>
        <v>1.0049387230745463</v>
      </c>
      <c r="S121" s="91">
        <f>IF(TrRoad_act!S63=0,0,TrRoad_ene!S66/TrRoad_tech!S94)</f>
        <v>1.0266099510845352</v>
      </c>
      <c r="T121" s="91">
        <f>IF(TrRoad_act!T63=0,0,TrRoad_ene!T66/TrRoad_tech!T94)</f>
        <v>1.0400521772265092</v>
      </c>
      <c r="U121" s="91">
        <f>IF(TrRoad_act!U63=0,0,TrRoad_ene!U66/TrRoad_tech!U94)</f>
        <v>1.0501216266463715</v>
      </c>
      <c r="V121" s="91">
        <f>IF(TrRoad_act!V63=0,0,TrRoad_ene!V66/TrRoad_tech!V94)</f>
        <v>1.0919403997858004</v>
      </c>
      <c r="W121" s="91">
        <f>IF(TrRoad_act!W63=0,0,TrRoad_ene!W66/TrRoad_tech!W94)</f>
        <v>1.1632412969393255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1.0655555555606802</v>
      </c>
      <c r="O122" s="91">
        <f>IF(TrRoad_act!O64=0,0,TrRoad_ene!O67/TrRoad_tech!O95)</f>
        <v>1.069767923919789</v>
      </c>
      <c r="P122" s="91">
        <f>IF(TrRoad_act!P64=0,0,TrRoad_ene!P67/TrRoad_tech!P95)</f>
        <v>1.0756889210655765</v>
      </c>
      <c r="Q122" s="91">
        <f>IF(TrRoad_act!Q64=0,0,TrRoad_ene!Q67/TrRoad_tech!Q95)</f>
        <v>1.0777577798539855</v>
      </c>
      <c r="R122" s="91">
        <f>IF(TrRoad_act!R64=0,0,TrRoad_ene!R67/TrRoad_tech!R95)</f>
        <v>1.0804623949306529</v>
      </c>
      <c r="S122" s="91">
        <f>IF(TrRoad_act!S64=0,0,TrRoad_ene!S67/TrRoad_tech!S95)</f>
        <v>1.084574037028621</v>
      </c>
      <c r="T122" s="91">
        <f>IF(TrRoad_act!T64=0,0,TrRoad_ene!T67/TrRoad_tech!T95)</f>
        <v>1.0874463061937922</v>
      </c>
      <c r="U122" s="91">
        <f>IF(TrRoad_act!U64=0,0,TrRoad_ene!U67/TrRoad_tech!U95)</f>
        <v>1.0877880855933681</v>
      </c>
      <c r="V122" s="91">
        <f>IF(TrRoad_act!V64=0,0,TrRoad_ene!V67/TrRoad_tech!V95)</f>
        <v>1.0925369427852647</v>
      </c>
      <c r="W122" s="91">
        <f>IF(TrRoad_act!W64=0,0,TrRoad_ene!W67/TrRoad_tech!W95)</f>
        <v>1.094555697135454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1.000049088023615</v>
      </c>
      <c r="P123" s="91">
        <f>IF(TrRoad_act!P65=0,0,TrRoad_ene!P68/TrRoad_tech!P96)</f>
        <v>1.017216736318864</v>
      </c>
      <c r="Q123" s="91">
        <f>IF(TrRoad_act!Q65=0,0,TrRoad_ene!Q68/TrRoad_tech!Q96)</f>
        <v>1.0288035232895045</v>
      </c>
      <c r="R123" s="91">
        <f>IF(TrRoad_act!R65=0,0,TrRoad_ene!R68/TrRoad_tech!R96)</f>
        <v>1.0760245309303558</v>
      </c>
      <c r="S123" s="91">
        <f>IF(TrRoad_act!S65=0,0,TrRoad_ene!S68/TrRoad_tech!S96)</f>
        <v>1.0778072287711513</v>
      </c>
      <c r="T123" s="91">
        <f>IF(TrRoad_act!T65=0,0,TrRoad_ene!T68/TrRoad_tech!T96)</f>
        <v>1.0783434678780848</v>
      </c>
      <c r="U123" s="91">
        <f>IF(TrRoad_act!U65=0,0,TrRoad_ene!U68/TrRoad_tech!U96)</f>
        <v>1.0757755290272499</v>
      </c>
      <c r="V123" s="91">
        <f>IF(TrRoad_act!V65=0,0,TrRoad_ene!V68/TrRoad_tech!V96)</f>
        <v>1.0736019276389919</v>
      </c>
      <c r="W123" s="91">
        <f>IF(TrRoad_act!W65=0,0,TrRoad_ene!W68/TrRoad_tech!W96)</f>
        <v>1.077890640385426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1.06037037037527</v>
      </c>
      <c r="N124" s="91">
        <f>IF(TrRoad_act!N66=0,0,TrRoad_ene!N69/TrRoad_tech!N97)</f>
        <v>1.06037037037527</v>
      </c>
      <c r="O124" s="91">
        <f>IF(TrRoad_act!O66=0,0,TrRoad_ene!O69/TrRoad_tech!O97)</f>
        <v>1.0676103871178537</v>
      </c>
      <c r="P124" s="91">
        <f>IF(TrRoad_act!P66=0,0,TrRoad_ene!P69/TrRoad_tech!P97)</f>
        <v>1.0761786640906308</v>
      </c>
      <c r="Q124" s="91">
        <f>IF(TrRoad_act!Q66=0,0,TrRoad_ene!Q69/TrRoad_tech!Q97)</f>
        <v>1.0814274906081767</v>
      </c>
      <c r="R124" s="91">
        <f>IF(TrRoad_act!R66=0,0,TrRoad_ene!R69/TrRoad_tech!R97)</f>
        <v>1.0859862161964267</v>
      </c>
      <c r="S124" s="91">
        <f>IF(TrRoad_act!S66=0,0,TrRoad_ene!S69/TrRoad_tech!S97)</f>
        <v>1.0889349156278216</v>
      </c>
      <c r="T124" s="91">
        <f>IF(TrRoad_act!T66=0,0,TrRoad_ene!T69/TrRoad_tech!T97)</f>
        <v>1.0913375538961054</v>
      </c>
      <c r="U124" s="91">
        <f>IF(TrRoad_act!U66=0,0,TrRoad_ene!U69/TrRoad_tech!U97)</f>
        <v>1.0931075038624871</v>
      </c>
      <c r="V124" s="91">
        <f>IF(TrRoad_act!V66=0,0,TrRoad_ene!V69/TrRoad_tech!V97)</f>
        <v>1.0946896410573548</v>
      </c>
      <c r="W124" s="91">
        <f>IF(TrRoad_act!W66=0,0,TrRoad_ene!W69/TrRoad_tech!W97)</f>
        <v>1.0973835675876014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1.1000000000067303</v>
      </c>
      <c r="C125" s="151">
        <f>IF(TrRoad_act!C67=0,0,TrRoad_ene!C70/TrRoad_tech!C98)</f>
        <v>1.0822738112001211</v>
      </c>
      <c r="D125" s="151">
        <f>IF(TrRoad_act!D67=0,0,TrRoad_ene!D70/TrRoad_tech!D98)</f>
        <v>1.087903177932213</v>
      </c>
      <c r="E125" s="151">
        <f>IF(TrRoad_act!E67=0,0,TrRoad_ene!E70/TrRoad_tech!E98)</f>
        <v>1.10706607588215</v>
      </c>
      <c r="F125" s="151">
        <f>IF(TrRoad_act!F67=0,0,TrRoad_ene!F70/TrRoad_tech!F98)</f>
        <v>1.1201878355683972</v>
      </c>
      <c r="G125" s="151">
        <f>IF(TrRoad_act!G67=0,0,TrRoad_ene!G70/TrRoad_tech!G98)</f>
        <v>1.1301590489877023</v>
      </c>
      <c r="H125" s="151">
        <f>IF(TrRoad_act!H67=0,0,TrRoad_ene!H70/TrRoad_tech!H98)</f>
        <v>1.1384452191021102</v>
      </c>
      <c r="I125" s="151">
        <f>IF(TrRoad_act!I67=0,0,TrRoad_ene!I70/TrRoad_tech!I98)</f>
        <v>1.1465958198758455</v>
      </c>
      <c r="J125" s="151">
        <f>IF(TrRoad_act!J67=0,0,TrRoad_ene!J70/TrRoad_tech!J98)</f>
        <v>1.1542999927561288</v>
      </c>
      <c r="K125" s="151">
        <f>IF(TrRoad_act!K67=0,0,TrRoad_ene!K70/TrRoad_tech!K98)</f>
        <v>1.1600496477768125</v>
      </c>
      <c r="L125" s="151">
        <f>IF(TrRoad_act!L67=0,0,TrRoad_ene!L70/TrRoad_tech!L98)</f>
        <v>1.1747118055499028</v>
      </c>
      <c r="M125" s="151">
        <f>IF(TrRoad_act!M67=0,0,TrRoad_ene!M70/TrRoad_tech!M98)</f>
        <v>1.1889073458127304</v>
      </c>
      <c r="N125" s="151">
        <f>IF(TrRoad_act!N67=0,0,TrRoad_ene!N70/TrRoad_tech!N98)</f>
        <v>1.1851502323869956</v>
      </c>
      <c r="O125" s="151">
        <f>IF(TrRoad_act!O67=0,0,TrRoad_ene!O70/TrRoad_tech!O98)</f>
        <v>1.2037812441178637</v>
      </c>
      <c r="P125" s="151">
        <f>IF(TrRoad_act!P67=0,0,TrRoad_ene!P70/TrRoad_tech!P98)</f>
        <v>1.2133729512628701</v>
      </c>
      <c r="Q125" s="151">
        <f>IF(TrRoad_act!Q67=0,0,TrRoad_ene!Q70/TrRoad_tech!Q98)</f>
        <v>1.2060817763044396</v>
      </c>
      <c r="R125" s="151">
        <f>IF(TrRoad_act!R67=0,0,TrRoad_ene!R70/TrRoad_tech!R98)</f>
        <v>1.2172657328911498</v>
      </c>
      <c r="S125" s="151">
        <f>IF(TrRoad_act!S67=0,0,TrRoad_ene!S70/TrRoad_tech!S98)</f>
        <v>1.2379931807951741</v>
      </c>
      <c r="T125" s="151">
        <f>IF(TrRoad_act!T67=0,0,TrRoad_ene!T70/TrRoad_tech!T98)</f>
        <v>1.2517645729021347</v>
      </c>
      <c r="U125" s="151">
        <f>IF(TrRoad_act!U67=0,0,TrRoad_ene!U70/TrRoad_tech!U98)</f>
        <v>1.2640753707883692</v>
      </c>
      <c r="V125" s="151">
        <f>IF(TrRoad_act!V67=0,0,TrRoad_ene!V70/TrRoad_tech!V98)</f>
        <v>1.2406693795469643</v>
      </c>
      <c r="W125" s="151">
        <f>IF(TrRoad_act!W67=0,0,TrRoad_ene!W70/TrRoad_tech!W98)</f>
        <v>1.216695663423162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1.1093333333401458</v>
      </c>
      <c r="E126" s="93">
        <f>IF(TrRoad_act!E68=0,0,TrRoad_ene!E71/TrRoad_tech!E99)</f>
        <v>1.1116776536238033</v>
      </c>
      <c r="F126" s="93">
        <f>IF(TrRoad_act!F68=0,0,TrRoad_ene!F71/TrRoad_tech!F99)</f>
        <v>1.1118712365042944</v>
      </c>
      <c r="G126" s="93">
        <f>IF(TrRoad_act!G68=0,0,TrRoad_ene!G71/TrRoad_tech!G99)</f>
        <v>1.1127925284200357</v>
      </c>
      <c r="H126" s="93">
        <f>IF(TrRoad_act!H68=0,0,TrRoad_ene!H71/TrRoad_tech!H99)</f>
        <v>1.1152974895539458</v>
      </c>
      <c r="I126" s="93">
        <f>IF(TrRoad_act!I68=0,0,TrRoad_ene!I71/TrRoad_tech!I99)</f>
        <v>1.1157551561200238</v>
      </c>
      <c r="J126" s="93">
        <f>IF(TrRoad_act!J68=0,0,TrRoad_ene!J71/TrRoad_tech!J99)</f>
        <v>1.1175673218927424</v>
      </c>
      <c r="K126" s="93">
        <f>IF(TrRoad_act!K68=0,0,TrRoad_ene!K71/TrRoad_tech!K99)</f>
        <v>1.1180681178581189</v>
      </c>
      <c r="L126" s="93">
        <f>IF(TrRoad_act!L68=0,0,TrRoad_ene!L71/TrRoad_tech!L99)</f>
        <v>1.1180681178581189</v>
      </c>
      <c r="M126" s="93">
        <f>IF(TrRoad_act!M68=0,0,TrRoad_ene!M71/TrRoad_tech!M99)</f>
        <v>1.1213138776236407</v>
      </c>
      <c r="N126" s="93">
        <f>IF(TrRoad_act!N68=0,0,TrRoad_ene!N71/TrRoad_tech!N99)</f>
        <v>1.1224639375031853</v>
      </c>
      <c r="O126" s="93">
        <f>IF(TrRoad_act!O68=0,0,TrRoad_ene!O71/TrRoad_tech!O99)</f>
        <v>1.2480500192531618</v>
      </c>
      <c r="P126" s="93">
        <f>IF(TrRoad_act!P68=0,0,TrRoad_ene!P71/TrRoad_tech!P99)</f>
        <v>1.2560000000062246</v>
      </c>
      <c r="Q126" s="93">
        <f>IF(TrRoad_act!Q68=0,0,TrRoad_ene!Q71/TrRoad_tech!Q99)</f>
        <v>1.2560000000062246</v>
      </c>
      <c r="R126" s="93">
        <f>IF(TrRoad_act!R68=0,0,TrRoad_ene!R71/TrRoad_tech!R99)</f>
        <v>1.2560000000062241</v>
      </c>
      <c r="S126" s="93">
        <f>IF(TrRoad_act!S68=0,0,TrRoad_ene!S71/TrRoad_tech!S99)</f>
        <v>1.2560000000062244</v>
      </c>
      <c r="T126" s="93">
        <f>IF(TrRoad_act!T68=0,0,TrRoad_ene!T71/TrRoad_tech!T99)</f>
        <v>1.2560000000062246</v>
      </c>
      <c r="U126" s="93">
        <f>IF(TrRoad_act!U68=0,0,TrRoad_ene!U71/TrRoad_tech!U99)</f>
        <v>1.2560000000062246</v>
      </c>
      <c r="V126" s="93">
        <f>IF(TrRoad_act!V68=0,0,TrRoad_ene!V71/TrRoad_tech!V99)</f>
        <v>1.2560000000062244</v>
      </c>
      <c r="W126" s="93">
        <f>IF(TrRoad_act!W68=0,0,TrRoad_ene!W71/TrRoad_tech!W99)</f>
        <v>1.2560000000062246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1.1011133248582718</v>
      </c>
      <c r="D127" s="93">
        <f>IF(TrRoad_act!D69=0,0,TrRoad_ene!D72/TrRoad_tech!D100)</f>
        <v>1.1039539162066379</v>
      </c>
      <c r="E127" s="93">
        <f>IF(TrRoad_act!E69=0,0,TrRoad_ene!E72/TrRoad_tech!E100)</f>
        <v>1.1090971051722036</v>
      </c>
      <c r="F127" s="93">
        <f>IF(TrRoad_act!F69=0,0,TrRoad_ene!F72/TrRoad_tech!F100)</f>
        <v>1.1175811101601212</v>
      </c>
      <c r="G127" s="93">
        <f>IF(TrRoad_act!G69=0,0,TrRoad_ene!G72/TrRoad_tech!G100)</f>
        <v>1.1278868571160243</v>
      </c>
      <c r="H127" s="93">
        <f>IF(TrRoad_act!H69=0,0,TrRoad_ene!H72/TrRoad_tech!H100)</f>
        <v>1.137127148100906</v>
      </c>
      <c r="I127" s="93">
        <f>IF(TrRoad_act!I69=0,0,TrRoad_ene!I72/TrRoad_tech!I100)</f>
        <v>1.1473340509170211</v>
      </c>
      <c r="J127" s="93">
        <f>IF(TrRoad_act!J69=0,0,TrRoad_ene!J72/TrRoad_tech!J100)</f>
        <v>1.1575126443565982</v>
      </c>
      <c r="K127" s="93">
        <f>IF(TrRoad_act!K69=0,0,TrRoad_ene!K72/TrRoad_tech!K100)</f>
        <v>1.1646455588120199</v>
      </c>
      <c r="L127" s="93">
        <f>IF(TrRoad_act!L69=0,0,TrRoad_ene!L72/TrRoad_tech!L100)</f>
        <v>1.1742143599693926</v>
      </c>
      <c r="M127" s="93">
        <f>IF(TrRoad_act!M69=0,0,TrRoad_ene!M72/TrRoad_tech!M100)</f>
        <v>1.18675972912757</v>
      </c>
      <c r="N127" s="93">
        <f>IF(TrRoad_act!N69=0,0,TrRoad_ene!N72/TrRoad_tech!N100)</f>
        <v>1.1901219725686571</v>
      </c>
      <c r="O127" s="93">
        <f>IF(TrRoad_act!O69=0,0,TrRoad_ene!O72/TrRoad_tech!O100)</f>
        <v>1.2147322256694704</v>
      </c>
      <c r="P127" s="93">
        <f>IF(TrRoad_act!P69=0,0,TrRoad_ene!P72/TrRoad_tech!P100)</f>
        <v>1.241202326049238</v>
      </c>
      <c r="Q127" s="93">
        <f>IF(TrRoad_act!Q69=0,0,TrRoad_ene!Q72/TrRoad_tech!Q100)</f>
        <v>1.2665092288906832</v>
      </c>
      <c r="R127" s="93">
        <f>IF(TrRoad_act!R69=0,0,TrRoad_ene!R72/TrRoad_tech!R100)</f>
        <v>1.2938161513980782</v>
      </c>
      <c r="S127" s="93">
        <f>IF(TrRoad_act!S69=0,0,TrRoad_ene!S72/TrRoad_tech!S100)</f>
        <v>1.3175795736288349</v>
      </c>
      <c r="T127" s="93">
        <f>IF(TrRoad_act!T69=0,0,TrRoad_ene!T72/TrRoad_tech!T100)</f>
        <v>1.3331924803412489</v>
      </c>
      <c r="U127" s="93">
        <f>IF(TrRoad_act!U69=0,0,TrRoad_ene!U72/TrRoad_tech!U100)</f>
        <v>1.3389905619760138</v>
      </c>
      <c r="V127" s="93">
        <f>IF(TrRoad_act!V69=0,0,TrRoad_ene!V72/TrRoad_tech!V100)</f>
        <v>1.3460191808181703</v>
      </c>
      <c r="W127" s="93">
        <f>IF(TrRoad_act!W69=0,0,TrRoad_ene!W72/TrRoad_tech!W100)</f>
        <v>1.3525141819988813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1.1093333333401461</v>
      </c>
      <c r="E128" s="93">
        <f>IF(TrRoad_act!E70=0,0,TrRoad_ene!E73/TrRoad_tech!E101)</f>
        <v>1.1093333333401461</v>
      </c>
      <c r="F128" s="93">
        <f>IF(TrRoad_act!F70=0,0,TrRoad_ene!F73/TrRoad_tech!F101)</f>
        <v>1.1093333333401461</v>
      </c>
      <c r="G128" s="93">
        <f>IF(TrRoad_act!G70=0,0,TrRoad_ene!G73/TrRoad_tech!G101)</f>
        <v>1.1093333333401461</v>
      </c>
      <c r="H128" s="93">
        <f>IF(TrRoad_act!H70=0,0,TrRoad_ene!H73/TrRoad_tech!H101)</f>
        <v>1.1093333333401463</v>
      </c>
      <c r="I128" s="93">
        <f>IF(TrRoad_act!I70=0,0,TrRoad_ene!I73/TrRoad_tech!I101)</f>
        <v>1.1093333333401461</v>
      </c>
      <c r="J128" s="93">
        <f>IF(TrRoad_act!J70=0,0,TrRoad_ene!J73/TrRoad_tech!J101)</f>
        <v>1.1093333333401461</v>
      </c>
      <c r="K128" s="93">
        <f>IF(TrRoad_act!K70=0,0,TrRoad_ene!K73/TrRoad_tech!K101)</f>
        <v>1.1093333333401461</v>
      </c>
      <c r="L128" s="93">
        <f>IF(TrRoad_act!L70=0,0,TrRoad_ene!L73/TrRoad_tech!L101)</f>
        <v>1.1093333333401463</v>
      </c>
      <c r="M128" s="93">
        <f>IF(TrRoad_act!M70=0,0,TrRoad_ene!M73/TrRoad_tech!M101)</f>
        <v>1.2049148676896253</v>
      </c>
      <c r="N128" s="93">
        <f>IF(TrRoad_act!N70=0,0,TrRoad_ene!N73/TrRoad_tech!N101)</f>
        <v>1.2049148676896253</v>
      </c>
      <c r="O128" s="93">
        <f>IF(TrRoad_act!O70=0,0,TrRoad_ene!O73/TrRoad_tech!O101)</f>
        <v>1.247018648360148</v>
      </c>
      <c r="P128" s="93">
        <f>IF(TrRoad_act!P70=0,0,TrRoad_ene!P73/TrRoad_tech!P101)</f>
        <v>1.2679309663747065</v>
      </c>
      <c r="Q128" s="93">
        <f>IF(TrRoad_act!Q70=0,0,TrRoad_ene!Q73/TrRoad_tech!Q101)</f>
        <v>1.2692097846998258</v>
      </c>
      <c r="R128" s="93">
        <f>IF(TrRoad_act!R70=0,0,TrRoad_ene!R73/TrRoad_tech!R101)</f>
        <v>1.2697470445345636</v>
      </c>
      <c r="S128" s="93">
        <f>IF(TrRoad_act!S70=0,0,TrRoad_ene!S73/TrRoad_tech!S101)</f>
        <v>1.2736089876052763</v>
      </c>
      <c r="T128" s="93">
        <f>IF(TrRoad_act!T70=0,0,TrRoad_ene!T73/TrRoad_tech!T101)</f>
        <v>1.2817007287906561</v>
      </c>
      <c r="U128" s="93">
        <f>IF(TrRoad_act!U70=0,0,TrRoad_ene!U73/TrRoad_tech!U101)</f>
        <v>1.3007373568528313</v>
      </c>
      <c r="V128" s="93">
        <f>IF(TrRoad_act!V70=0,0,TrRoad_ene!V73/TrRoad_tech!V101)</f>
        <v>1.3021579299421602</v>
      </c>
      <c r="W128" s="93">
        <f>IF(TrRoad_act!W70=0,0,TrRoad_ene!W73/TrRoad_tech!W101)</f>
        <v>1.3038500541863829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1.2205844844091507</v>
      </c>
      <c r="L129" s="93">
        <f>IF(TrRoad_act!L71=0,0,TrRoad_ene!L74/TrRoad_tech!L102)</f>
        <v>1.3745010994648894</v>
      </c>
      <c r="M129" s="93">
        <f>IF(TrRoad_act!M71=0,0,TrRoad_ene!M74/TrRoad_tech!M102)</f>
        <v>1.3941213729827049</v>
      </c>
      <c r="N129" s="93">
        <f>IF(TrRoad_act!N71=0,0,TrRoad_ene!N74/TrRoad_tech!N102)</f>
        <v>1.2819921109848174</v>
      </c>
      <c r="O129" s="93">
        <f>IF(TrRoad_act!O71=0,0,TrRoad_ene!O74/TrRoad_tech!O102)</f>
        <v>1.1877009338442137</v>
      </c>
      <c r="P129" s="93">
        <f>IF(TrRoad_act!P71=0,0,TrRoad_ene!P74/TrRoad_tech!P102)</f>
        <v>1.1345310837863962</v>
      </c>
      <c r="Q129" s="93">
        <f>IF(TrRoad_act!Q71=0,0,TrRoad_ene!Q74/TrRoad_tech!Q102)</f>
        <v>1.0673336011575261</v>
      </c>
      <c r="R129" s="93">
        <f>IF(TrRoad_act!R71=0,0,TrRoad_ene!R74/TrRoad_tech!R102)</f>
        <v>1.0081607978686107</v>
      </c>
      <c r="S129" s="93">
        <f>IF(TrRoad_act!S71=0,0,TrRoad_ene!S74/TrRoad_tech!S102)</f>
        <v>1.0083781339298397</v>
      </c>
      <c r="T129" s="93">
        <f>IF(TrRoad_act!T71=0,0,TrRoad_ene!T74/TrRoad_tech!T102)</f>
        <v>1.0123946847884346</v>
      </c>
      <c r="U129" s="93">
        <f>IF(TrRoad_act!U71=0,0,TrRoad_ene!U74/TrRoad_tech!U102)</f>
        <v>1.0248847665963701</v>
      </c>
      <c r="V129" s="93">
        <f>IF(TrRoad_act!V71=0,0,TrRoad_ene!V74/TrRoad_tech!V102)</f>
        <v>1.0220438640294627</v>
      </c>
      <c r="W129" s="93">
        <f>IF(TrRoad_act!W71=0,0,TrRoad_ene!W74/TrRoad_tech!W102)</f>
        <v>1.0476327868475042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1.1240000000066173</v>
      </c>
      <c r="G130" s="93">
        <f>IF(TrRoad_act!G72=0,0,TrRoad_ene!G75/TrRoad_tech!G103)</f>
        <v>1.1306919432706315</v>
      </c>
      <c r="H130" s="93">
        <f>IF(TrRoad_act!H72=0,0,TrRoad_ene!H75/TrRoad_tech!H103)</f>
        <v>1.136335916508</v>
      </c>
      <c r="I130" s="93">
        <f>IF(TrRoad_act!I72=0,0,TrRoad_ene!I75/TrRoad_tech!I103)</f>
        <v>1.1413527404628849</v>
      </c>
      <c r="J130" s="93">
        <f>IF(TrRoad_act!J72=0,0,TrRoad_ene!J75/TrRoad_tech!J103)</f>
        <v>1.1428040364753991</v>
      </c>
      <c r="K130" s="93">
        <f>IF(TrRoad_act!K72=0,0,TrRoad_ene!K75/TrRoad_tech!K103)</f>
        <v>1.1443488911654331</v>
      </c>
      <c r="L130" s="93">
        <f>IF(TrRoad_act!L72=0,0,TrRoad_ene!L75/TrRoad_tech!L103)</f>
        <v>1.1444330755238117</v>
      </c>
      <c r="M130" s="93">
        <f>IF(TrRoad_act!M72=0,0,TrRoad_ene!M75/TrRoad_tech!M103)</f>
        <v>1.1460432447703559</v>
      </c>
      <c r="N130" s="93">
        <f>IF(TrRoad_act!N72=0,0,TrRoad_ene!N75/TrRoad_tech!N103)</f>
        <v>1.1464049860904033</v>
      </c>
      <c r="O130" s="93">
        <f>IF(TrRoad_act!O72=0,0,TrRoad_ene!O75/TrRoad_tech!O103)</f>
        <v>1.2338231038082552</v>
      </c>
      <c r="P130" s="93">
        <f>IF(TrRoad_act!P72=0,0,TrRoad_ene!P75/TrRoad_tech!P103)</f>
        <v>1.2378293361259667</v>
      </c>
      <c r="Q130" s="93">
        <f>IF(TrRoad_act!Q72=0,0,TrRoad_ene!Q75/TrRoad_tech!Q103)</f>
        <v>1.2381744934311143</v>
      </c>
      <c r="R130" s="93">
        <f>IF(TrRoad_act!R72=0,0,TrRoad_ene!R75/TrRoad_tech!R103)</f>
        <v>1.2427623680481428</v>
      </c>
      <c r="S130" s="93">
        <f>IF(TrRoad_act!S72=0,0,TrRoad_ene!S75/TrRoad_tech!S103)</f>
        <v>1.2475861195517883</v>
      </c>
      <c r="T130" s="93">
        <f>IF(TrRoad_act!T72=0,0,TrRoad_ene!T75/TrRoad_tech!T103)</f>
        <v>1.252568561566189</v>
      </c>
      <c r="U130" s="93">
        <f>IF(TrRoad_act!U72=0,0,TrRoad_ene!U75/TrRoad_tech!U103)</f>
        <v>1.271687799828255</v>
      </c>
      <c r="V130" s="93">
        <f>IF(TrRoad_act!V72=0,0,TrRoad_ene!V75/TrRoad_tech!V103)</f>
        <v>1.2808483632251422</v>
      </c>
      <c r="W130" s="93">
        <f>IF(TrRoad_act!W72=0,0,TrRoad_ene!W75/TrRoad_tech!W103)</f>
        <v>1.2834531847276147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0.98713626601900917</v>
      </c>
      <c r="C132" s="150">
        <f>IF(TrRoad_act!C74=0,0,TrRoad_ene!C77/TrRoad_tech!C105)</f>
        <v>1.0136469633882532</v>
      </c>
      <c r="D132" s="150">
        <f>IF(TrRoad_act!D74=0,0,TrRoad_ene!D77/TrRoad_tech!D105)</f>
        <v>1.0030711010383693</v>
      </c>
      <c r="E132" s="150">
        <f>IF(TrRoad_act!E74=0,0,TrRoad_ene!E77/TrRoad_tech!E105)</f>
        <v>1.0096659229672191</v>
      </c>
      <c r="F132" s="150">
        <f>IF(TrRoad_act!F74=0,0,TrRoad_ene!F77/TrRoad_tech!F105)</f>
        <v>1.046379898065553</v>
      </c>
      <c r="G132" s="150">
        <f>IF(TrRoad_act!G74=0,0,TrRoad_ene!G77/TrRoad_tech!G105)</f>
        <v>1.0395527260176054</v>
      </c>
      <c r="H132" s="150">
        <f>IF(TrRoad_act!H74=0,0,TrRoad_ene!H77/TrRoad_tech!H105)</f>
        <v>1.0319532830807081</v>
      </c>
      <c r="I132" s="150">
        <f>IF(TrRoad_act!I74=0,0,TrRoad_ene!I77/TrRoad_tech!I105)</f>
        <v>1.0790753002903797</v>
      </c>
      <c r="J132" s="150">
        <f>IF(TrRoad_act!J74=0,0,TrRoad_ene!J77/TrRoad_tech!J105)</f>
        <v>1.076763476620767</v>
      </c>
      <c r="K132" s="150">
        <f>IF(TrRoad_act!K74=0,0,TrRoad_ene!K77/TrRoad_tech!K105)</f>
        <v>1.0324903539367067</v>
      </c>
      <c r="L132" s="150">
        <f>IF(TrRoad_act!L74=0,0,TrRoad_ene!L77/TrRoad_tech!L105)</f>
        <v>1.0724970194956014</v>
      </c>
      <c r="M132" s="150">
        <f>IF(TrRoad_act!M74=0,0,TrRoad_ene!M77/TrRoad_tech!M105)</f>
        <v>1.0682442743734681</v>
      </c>
      <c r="N132" s="150">
        <f>IF(TrRoad_act!N74=0,0,TrRoad_ene!N77/TrRoad_tech!N105)</f>
        <v>1.0596812191933276</v>
      </c>
      <c r="O132" s="150">
        <f>IF(TrRoad_act!O74=0,0,TrRoad_ene!O77/TrRoad_tech!O105)</f>
        <v>1.0718908635354718</v>
      </c>
      <c r="P132" s="150">
        <f>IF(TrRoad_act!P74=0,0,TrRoad_ene!P77/TrRoad_tech!P105)</f>
        <v>1.1144462937971182</v>
      </c>
      <c r="Q132" s="150">
        <f>IF(TrRoad_act!Q74=0,0,TrRoad_ene!Q77/TrRoad_tech!Q105)</f>
        <v>1.1391092731928534</v>
      </c>
      <c r="R132" s="150">
        <f>IF(TrRoad_act!R74=0,0,TrRoad_ene!R77/TrRoad_tech!R105)</f>
        <v>1.1592882960996171</v>
      </c>
      <c r="S132" s="150">
        <f>IF(TrRoad_act!S74=0,0,TrRoad_ene!S77/TrRoad_tech!S105)</f>
        <v>1.209019719806218</v>
      </c>
      <c r="T132" s="150">
        <f>IF(TrRoad_act!T74=0,0,TrRoad_ene!T77/TrRoad_tech!T105)</f>
        <v>1.2392079343399536</v>
      </c>
      <c r="U132" s="150">
        <f>IF(TrRoad_act!U74=0,0,TrRoad_ene!U77/TrRoad_tech!U105)</f>
        <v>1.2571026262420402</v>
      </c>
      <c r="V132" s="150">
        <f>IF(TrRoad_act!V74=0,0,TrRoad_ene!V77/TrRoad_tech!V105)</f>
        <v>1.263920433751089</v>
      </c>
      <c r="W132" s="150">
        <f>IF(TrRoad_act!W74=0,0,TrRoad_ene!W77/TrRoad_tech!W105)</f>
        <v>1.2663507984241142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1.1000713505409547</v>
      </c>
      <c r="D133" s="91">
        <f>IF(TrRoad_act!D75=0,0,TrRoad_ene!D78/TrRoad_tech!D106)</f>
        <v>1.1002333132039797</v>
      </c>
      <c r="E133" s="91">
        <f>IF(TrRoad_act!E75=0,0,TrRoad_ene!E78/TrRoad_tech!E106)</f>
        <v>1.1004810934042943</v>
      </c>
      <c r="F133" s="91">
        <f>IF(TrRoad_act!F75=0,0,TrRoad_ene!F78/TrRoad_tech!F106)</f>
        <v>1.1008330194226921</v>
      </c>
      <c r="G133" s="91">
        <f>IF(TrRoad_act!G75=0,0,TrRoad_ene!G78/TrRoad_tech!G106)</f>
        <v>1.1013392313912493</v>
      </c>
      <c r="H133" s="91">
        <f>IF(TrRoad_act!H75=0,0,TrRoad_ene!H78/TrRoad_tech!H106)</f>
        <v>1.1037405725327321</v>
      </c>
      <c r="I133" s="91">
        <f>IF(TrRoad_act!I75=0,0,TrRoad_ene!I78/TrRoad_tech!I106)</f>
        <v>1.1063698190668803</v>
      </c>
      <c r="J133" s="91">
        <f>IF(TrRoad_act!J75=0,0,TrRoad_ene!J78/TrRoad_tech!J106)</f>
        <v>1.1067888563727908</v>
      </c>
      <c r="K133" s="91">
        <f>IF(TrRoad_act!K75=0,0,TrRoad_ene!K78/TrRoad_tech!K106)</f>
        <v>1.1128184706793414</v>
      </c>
      <c r="L133" s="91">
        <f>IF(TrRoad_act!L75=0,0,TrRoad_ene!L78/TrRoad_tech!L106)</f>
        <v>1.1162958395740474</v>
      </c>
      <c r="M133" s="91">
        <f>IF(TrRoad_act!M75=0,0,TrRoad_ene!M78/TrRoad_tech!M106)</f>
        <v>1.1212807981275863</v>
      </c>
      <c r="N133" s="91">
        <f>IF(TrRoad_act!N75=0,0,TrRoad_ene!N78/TrRoad_tech!N106)</f>
        <v>1.1300832509296561</v>
      </c>
      <c r="O133" s="91">
        <f>IF(TrRoad_act!O75=0,0,TrRoad_ene!O78/TrRoad_tech!O106)</f>
        <v>1.1402521527898792</v>
      </c>
      <c r="P133" s="91">
        <f>IF(TrRoad_act!P75=0,0,TrRoad_ene!P78/TrRoad_tech!P106)</f>
        <v>1.1537435470992039</v>
      </c>
      <c r="Q133" s="91">
        <f>IF(TrRoad_act!Q75=0,0,TrRoad_ene!Q78/TrRoad_tech!Q106)</f>
        <v>1.1672062083330621</v>
      </c>
      <c r="R133" s="91">
        <f>IF(TrRoad_act!R75=0,0,TrRoad_ene!R78/TrRoad_tech!R106)</f>
        <v>1.1842476468988907</v>
      </c>
      <c r="S133" s="91">
        <f>IF(TrRoad_act!S75=0,0,TrRoad_ene!S78/TrRoad_tech!S106)</f>
        <v>1.2079196337339946</v>
      </c>
      <c r="T133" s="91">
        <f>IF(TrRoad_act!T75=0,0,TrRoad_ene!T78/TrRoad_tech!T106)</f>
        <v>1.2356067853394399</v>
      </c>
      <c r="U133" s="91">
        <f>IF(TrRoad_act!U75=0,0,TrRoad_ene!U78/TrRoad_tech!U106)</f>
        <v>1.298511949476193</v>
      </c>
      <c r="V133" s="91">
        <f>IF(TrRoad_act!V75=0,0,TrRoad_ene!V78/TrRoad_tech!V106)</f>
        <v>1.3166178649037639</v>
      </c>
      <c r="W133" s="91">
        <f>IF(TrRoad_act!W75=0,0,TrRoad_ene!W78/TrRoad_tech!W106)</f>
        <v>1.331998429443181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0.9694756524884538</v>
      </c>
      <c r="C134" s="91">
        <f>IF(TrRoad_act!C76=0,0,TrRoad_ene!C79/TrRoad_tech!C107)</f>
        <v>1.017975723699307</v>
      </c>
      <c r="D134" s="91">
        <f>IF(TrRoad_act!D76=0,0,TrRoad_ene!D79/TrRoad_tech!D107)</f>
        <v>1.0184416799715337</v>
      </c>
      <c r="E134" s="91">
        <f>IF(TrRoad_act!E76=0,0,TrRoad_ene!E79/TrRoad_tech!E107)</f>
        <v>1.0284773671224281</v>
      </c>
      <c r="F134" s="91">
        <f>IF(TrRoad_act!F76=0,0,TrRoad_ene!F79/TrRoad_tech!F107)</f>
        <v>1.0726383132906521</v>
      </c>
      <c r="G134" s="91">
        <f>IF(TrRoad_act!G76=0,0,TrRoad_ene!G79/TrRoad_tech!G107)</f>
        <v>1.0623203095068756</v>
      </c>
      <c r="H134" s="91">
        <f>IF(TrRoad_act!H76=0,0,TrRoad_ene!H79/TrRoad_tech!H107)</f>
        <v>1.0467342102681567</v>
      </c>
      <c r="I134" s="91">
        <f>IF(TrRoad_act!I76=0,0,TrRoad_ene!I79/TrRoad_tech!I107)</f>
        <v>1.0926767807386839</v>
      </c>
      <c r="J134" s="91">
        <f>IF(TrRoad_act!J76=0,0,TrRoad_ene!J79/TrRoad_tech!J107)</f>
        <v>1.0821379790307211</v>
      </c>
      <c r="K134" s="91">
        <f>IF(TrRoad_act!K76=0,0,TrRoad_ene!K79/TrRoad_tech!K107)</f>
        <v>1.0274239409755741</v>
      </c>
      <c r="L134" s="91">
        <f>IF(TrRoad_act!L76=0,0,TrRoad_ene!L79/TrRoad_tech!L107)</f>
        <v>1.0694642138948274</v>
      </c>
      <c r="M134" s="91">
        <f>IF(TrRoad_act!M76=0,0,TrRoad_ene!M79/TrRoad_tech!M107)</f>
        <v>1.0650891786534229</v>
      </c>
      <c r="N134" s="91">
        <f>IF(TrRoad_act!N76=0,0,TrRoad_ene!N79/TrRoad_tech!N107)</f>
        <v>1.0567357406669067</v>
      </c>
      <c r="O134" s="91">
        <f>IF(TrRoad_act!O76=0,0,TrRoad_ene!O79/TrRoad_tech!O107)</f>
        <v>1.0706361366833383</v>
      </c>
      <c r="P134" s="91">
        <f>IF(TrRoad_act!P76=0,0,TrRoad_ene!P79/TrRoad_tech!P107)</f>
        <v>1.1162589378470262</v>
      </c>
      <c r="Q134" s="91">
        <f>IF(TrRoad_act!Q76=0,0,TrRoad_ene!Q79/TrRoad_tech!Q107)</f>
        <v>1.1412420032719928</v>
      </c>
      <c r="R134" s="91">
        <f>IF(TrRoad_act!R76=0,0,TrRoad_ene!R79/TrRoad_tech!R107)</f>
        <v>1.1617676177624787</v>
      </c>
      <c r="S134" s="91">
        <f>IF(TrRoad_act!S76=0,0,TrRoad_ene!S79/TrRoad_tech!S107)</f>
        <v>1.2119509893748439</v>
      </c>
      <c r="T134" s="91">
        <f>IF(TrRoad_act!T76=0,0,TrRoad_ene!T79/TrRoad_tech!T107)</f>
        <v>1.2424546298980106</v>
      </c>
      <c r="U134" s="91">
        <f>IF(TrRoad_act!U76=0,0,TrRoad_ene!U79/TrRoad_tech!U107)</f>
        <v>1.2592917094392342</v>
      </c>
      <c r="V134" s="91">
        <f>IF(TrRoad_act!V76=0,0,TrRoad_ene!V79/TrRoad_tech!V107)</f>
        <v>1.266569896371504</v>
      </c>
      <c r="W134" s="91">
        <f>IF(TrRoad_act!W76=0,0,TrRoad_ene!W79/TrRoad_tech!W107)</f>
        <v>1.2697168589449082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0</v>
      </c>
      <c r="P137" s="91">
        <f>IF(TrRoad_act!P79=0,0,TrRoad_ene!P82/TrRoad_tech!P110)</f>
        <v>0</v>
      </c>
      <c r="Q137" s="91">
        <f>IF(TrRoad_act!Q79=0,0,TrRoad_ene!Q82/TrRoad_tech!Q110)</f>
        <v>0</v>
      </c>
      <c r="R137" s="91">
        <f>IF(TrRoad_act!R79=0,0,TrRoad_ene!R82/TrRoad_tech!R110)</f>
        <v>0</v>
      </c>
      <c r="S137" s="91">
        <f>IF(TrRoad_act!S79=0,0,TrRoad_ene!S82/TrRoad_tech!S110)</f>
        <v>0</v>
      </c>
      <c r="T137" s="91">
        <f>IF(TrRoad_act!T79=0,0,TrRoad_ene!T82/TrRoad_tech!T110)</f>
        <v>0</v>
      </c>
      <c r="U137" s="91">
        <f>IF(TrRoad_act!U79=0,0,TrRoad_ene!U82/TrRoad_tech!U110)</f>
        <v>0</v>
      </c>
      <c r="V137" s="91">
        <f>IF(TrRoad_act!V79=0,0,TrRoad_ene!V82/TrRoad_tech!V110)</f>
        <v>0</v>
      </c>
      <c r="W137" s="91">
        <f>IF(TrRoad_act!W79=0,0,TrRoad_ene!W82/TrRoad_tech!W110)</f>
        <v>0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1.4577383586668957</v>
      </c>
      <c r="C138" s="151">
        <f>IF(TrRoad_act!C80=0,0,TrRoad_ene!C83/TrRoad_tech!C111)</f>
        <v>1.9641864426421618</v>
      </c>
      <c r="D138" s="151">
        <f>IF(TrRoad_act!D80=0,0,TrRoad_ene!D83/TrRoad_tech!D111)</f>
        <v>1.9732952522695653</v>
      </c>
      <c r="E138" s="151">
        <f>IF(TrRoad_act!E80=0,0,TrRoad_ene!E83/TrRoad_tech!E111)</f>
        <v>1.3329536445226613</v>
      </c>
      <c r="F138" s="151">
        <f>IF(TrRoad_act!F80=0,0,TrRoad_ene!F83/TrRoad_tech!F111)</f>
        <v>1.5675754412969261</v>
      </c>
      <c r="G138" s="151">
        <f>IF(TrRoad_act!G80=0,0,TrRoad_ene!G83/TrRoad_tech!G111)</f>
        <v>1.5428786341101084</v>
      </c>
      <c r="H138" s="151">
        <f>IF(TrRoad_act!H80=0,0,TrRoad_ene!H83/TrRoad_tech!H111)</f>
        <v>1.3145798274461371</v>
      </c>
      <c r="I138" s="151">
        <f>IF(TrRoad_act!I80=0,0,TrRoad_ene!I83/TrRoad_tech!I111)</f>
        <v>1.9861302943299202</v>
      </c>
      <c r="J138" s="151">
        <f>IF(TrRoad_act!J80=0,0,TrRoad_ene!J83/TrRoad_tech!J111)</f>
        <v>2.3484693910353256</v>
      </c>
      <c r="K138" s="151">
        <f>IF(TrRoad_act!K80=0,0,TrRoad_ene!K83/TrRoad_tech!K111)</f>
        <v>1.3070658894850318</v>
      </c>
      <c r="L138" s="151">
        <f>IF(TrRoad_act!L80=0,0,TrRoad_ene!L83/TrRoad_tech!L111)</f>
        <v>1.7682333400450541</v>
      </c>
      <c r="M138" s="151">
        <f>IF(TrRoad_act!M80=0,0,TrRoad_ene!M83/TrRoad_tech!M111)</f>
        <v>2.0630052832086814</v>
      </c>
      <c r="N138" s="151">
        <f>IF(TrRoad_act!N80=0,0,TrRoad_ene!N83/TrRoad_tech!N111)</f>
        <v>1.2737550207618415</v>
      </c>
      <c r="O138" s="151">
        <f>IF(TrRoad_act!O80=0,0,TrRoad_ene!O83/TrRoad_tech!O111)</f>
        <v>1.3268221384193519</v>
      </c>
      <c r="P138" s="151">
        <f>IF(TrRoad_act!P80=0,0,TrRoad_ene!P83/TrRoad_tech!P111)</f>
        <v>2.2579212114137222</v>
      </c>
      <c r="Q138" s="151">
        <f>IF(TrRoad_act!Q80=0,0,TrRoad_ene!Q83/TrRoad_tech!Q111)</f>
        <v>2.3737237255970833</v>
      </c>
      <c r="R138" s="151">
        <f>IF(TrRoad_act!R80=0,0,TrRoad_ene!R83/TrRoad_tech!R111)</f>
        <v>2.2145580747501836</v>
      </c>
      <c r="S138" s="151">
        <f>IF(TrRoad_act!S80=0,0,TrRoad_ene!S83/TrRoad_tech!S111)</f>
        <v>2.3137664347913049</v>
      </c>
      <c r="T138" s="151">
        <f>IF(TrRoad_act!T80=0,0,TrRoad_ene!T83/TrRoad_tech!T111)</f>
        <v>2.5139489253152361</v>
      </c>
      <c r="U138" s="151">
        <f>IF(TrRoad_act!U80=0,0,TrRoad_ene!U83/TrRoad_tech!U111)</f>
        <v>2.6401831050795521</v>
      </c>
      <c r="V138" s="151">
        <f>IF(TrRoad_act!V80=0,0,TrRoad_ene!V83/TrRoad_tech!V111)</f>
        <v>2.6839335519015788</v>
      </c>
      <c r="W138" s="151">
        <f>IF(TrRoad_act!W80=0,0,TrRoad_ene!W83/TrRoad_tech!W111)</f>
        <v>2.8511050252656256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1.2059426666579138</v>
      </c>
      <c r="C139" s="93">
        <f>IF(TrRoad_act!C81=0,0,TrRoad_ene!C84/TrRoad_tech!C112)</f>
        <v>1.394797937865055</v>
      </c>
      <c r="D139" s="93">
        <f>IF(TrRoad_act!D81=0,0,TrRoad_ene!D84/TrRoad_tech!D112)</f>
        <v>1.3979704891636759</v>
      </c>
      <c r="E139" s="93">
        <f>IF(TrRoad_act!E81=0,0,TrRoad_ene!E84/TrRoad_tech!E112)</f>
        <v>1.1656168830272373</v>
      </c>
      <c r="F139" s="93">
        <f>IF(TrRoad_act!F81=0,0,TrRoad_ene!F84/TrRoad_tech!F112)</f>
        <v>1.2520941879936252</v>
      </c>
      <c r="G139" s="93">
        <f>IF(TrRoad_act!G81=0,0,TrRoad_ene!G84/TrRoad_tech!G112)</f>
        <v>1.2415396996022585</v>
      </c>
      <c r="H139" s="93">
        <f>IF(TrRoad_act!H81=0,0,TrRoad_ene!H84/TrRoad_tech!H112)</f>
        <v>1.1558976176591544</v>
      </c>
      <c r="I139" s="93">
        <f>IF(TrRoad_act!I81=0,0,TrRoad_ene!I84/TrRoad_tech!I112)</f>
        <v>1.4109143064587475</v>
      </c>
      <c r="J139" s="93">
        <f>IF(TrRoad_act!J81=0,0,TrRoad_ene!J84/TrRoad_tech!J112)</f>
        <v>1.545934636019167</v>
      </c>
      <c r="K139" s="93">
        <f>IF(TrRoad_act!K81=0,0,TrRoad_ene!K84/TrRoad_tech!K112)</f>
        <v>1.1638637324948982</v>
      </c>
      <c r="L139" s="93">
        <f>IF(TrRoad_act!L81=0,0,TrRoad_ene!L84/TrRoad_tech!L112)</f>
        <v>1.3305508265978452</v>
      </c>
      <c r="M139" s="93">
        <f>IF(TrRoad_act!M81=0,0,TrRoad_ene!M84/TrRoad_tech!M112)</f>
        <v>1.4441926051768312</v>
      </c>
      <c r="N139" s="93">
        <f>IF(TrRoad_act!N81=0,0,TrRoad_ene!N84/TrRoad_tech!N112)</f>
        <v>1.1608893663571709</v>
      </c>
      <c r="O139" s="93">
        <f>IF(TrRoad_act!O81=0,0,TrRoad_ene!O84/TrRoad_tech!O112)</f>
        <v>1.1904759733844992</v>
      </c>
      <c r="P139" s="93">
        <f>IF(TrRoad_act!P81=0,0,TrRoad_ene!P84/TrRoad_tech!P112)</f>
        <v>1.548475644787922</v>
      </c>
      <c r="Q139" s="93">
        <f>IF(TrRoad_act!Q81=0,0,TrRoad_ene!Q84/TrRoad_tech!Q112)</f>
        <v>1.5889608046247934</v>
      </c>
      <c r="R139" s="93">
        <f>IF(TrRoad_act!R81=0,0,TrRoad_ene!R84/TrRoad_tech!R112)</f>
        <v>1.5454608373033534</v>
      </c>
      <c r="S139" s="93">
        <f>IF(TrRoad_act!S81=0,0,TrRoad_ene!S84/TrRoad_tech!S112)</f>
        <v>1.6021556044885397</v>
      </c>
      <c r="T139" s="93">
        <f>IF(TrRoad_act!T81=0,0,TrRoad_ene!T84/TrRoad_tech!T112)</f>
        <v>1.693449501551735</v>
      </c>
      <c r="U139" s="93">
        <f>IF(TrRoad_act!U81=0,0,TrRoad_ene!U84/TrRoad_tech!U112)</f>
        <v>1.7638415041282105</v>
      </c>
      <c r="V139" s="93">
        <f>IF(TrRoad_act!V81=0,0,TrRoad_ene!V84/TrRoad_tech!V112)</f>
        <v>1.7869126903832369</v>
      </c>
      <c r="W139" s="93">
        <f>IF(TrRoad_act!W81=0,0,TrRoad_ene!W84/TrRoad_tech!W112)</f>
        <v>1.8542100406563087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1.7198250803437838</v>
      </c>
      <c r="C140" s="94">
        <f>IF(TrRoad_act!C82=0,0,TrRoad_ene!C85/TrRoad_tech!C113)</f>
        <v>2.7569247811875623</v>
      </c>
      <c r="D140" s="94">
        <f>IF(TrRoad_act!D82=0,0,TrRoad_ene!D85/TrRoad_tech!D113)</f>
        <v>2.7270231780699206</v>
      </c>
      <c r="E140" s="94">
        <f>IF(TrRoad_act!E82=0,0,TrRoad_ene!E85/TrRoad_tech!E113)</f>
        <v>1.4846733013151472</v>
      </c>
      <c r="F140" s="94">
        <f>IF(TrRoad_act!F82=0,0,TrRoad_ene!F85/TrRoad_tech!F113)</f>
        <v>1.9392544457010148</v>
      </c>
      <c r="G140" s="94">
        <f>IF(TrRoad_act!G82=0,0,TrRoad_ene!G85/TrRoad_tech!G113)</f>
        <v>1.8192033096985987</v>
      </c>
      <c r="H140" s="94">
        <f>IF(TrRoad_act!H82=0,0,TrRoad_ene!H85/TrRoad_tech!H113)</f>
        <v>1.3297471792030424</v>
      </c>
      <c r="I140" s="94">
        <f>IF(TrRoad_act!I82=0,0,TrRoad_ene!I85/TrRoad_tech!I113)</f>
        <v>2.5481810553050477</v>
      </c>
      <c r="J140" s="94">
        <f>IF(TrRoad_act!J82=0,0,TrRoad_ene!J85/TrRoad_tech!J113)</f>
        <v>3.1403946821457338</v>
      </c>
      <c r="K140" s="94">
        <f>IF(TrRoad_act!K82=0,0,TrRoad_ene!K85/TrRoad_tech!K113)</f>
        <v>1.3438789593504041</v>
      </c>
      <c r="L140" s="94">
        <f>IF(TrRoad_act!L82=0,0,TrRoad_ene!L85/TrRoad_tech!L113)</f>
        <v>2.0890172495343693</v>
      </c>
      <c r="M140" s="94">
        <f>IF(TrRoad_act!M82=0,0,TrRoad_ene!M85/TrRoad_tech!M113)</f>
        <v>2.5141962915935325</v>
      </c>
      <c r="N140" s="94">
        <f>IF(TrRoad_act!N82=0,0,TrRoad_ene!N85/TrRoad_tech!N113)</f>
        <v>1.2163302066088502</v>
      </c>
      <c r="O140" s="94">
        <f>IF(TrRoad_act!O82=0,0,TrRoad_ene!O85/TrRoad_tech!O113)</f>
        <v>1.2818499144983966</v>
      </c>
      <c r="P140" s="94">
        <f>IF(TrRoad_act!P82=0,0,TrRoad_ene!P85/TrRoad_tech!P113)</f>
        <v>2.7876701262635284</v>
      </c>
      <c r="Q140" s="94">
        <f>IF(TrRoad_act!Q82=0,0,TrRoad_ene!Q85/TrRoad_tech!Q113)</f>
        <v>2.8920746413504022</v>
      </c>
      <c r="R140" s="94">
        <f>IF(TrRoad_act!R82=0,0,TrRoad_ene!R85/TrRoad_tech!R113)</f>
        <v>2.6106782469299787</v>
      </c>
      <c r="S140" s="94">
        <f>IF(TrRoad_act!S82=0,0,TrRoad_ene!S85/TrRoad_tech!S113)</f>
        <v>2.7530566455121055</v>
      </c>
      <c r="T140" s="94">
        <f>IF(TrRoad_act!T82=0,0,TrRoad_ene!T85/TrRoad_tech!T113)</f>
        <v>3.1178751204372954</v>
      </c>
      <c r="U140" s="94">
        <f>IF(TrRoad_act!U82=0,0,TrRoad_ene!U85/TrRoad_tech!U113)</f>
        <v>3.3412963268040818</v>
      </c>
      <c r="V140" s="94">
        <f>IF(TrRoad_act!V82=0,0,TrRoad_ene!V85/TrRoad_tech!V113)</f>
        <v>3.379832227826296</v>
      </c>
      <c r="W140" s="94">
        <f>IF(TrRoad_act!W82=0,0,TrRoad_ene!W85/TrRoad_tech!W113)</f>
        <v>3.5752527455090481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3.9540419795235571</v>
      </c>
      <c r="C144" s="141">
        <v>3.9357329838776405</v>
      </c>
      <c r="D144" s="141">
        <v>3.9154890703530194</v>
      </c>
      <c r="E144" s="141">
        <v>3.8738404684457111</v>
      </c>
      <c r="F144" s="141">
        <v>3.8692902310021036</v>
      </c>
      <c r="G144" s="141">
        <v>3.825087924407057</v>
      </c>
      <c r="H144" s="141">
        <v>3.7598059463895819</v>
      </c>
      <c r="I144" s="141">
        <v>3.7132820900784083</v>
      </c>
      <c r="J144" s="141">
        <v>3.5615456006323871</v>
      </c>
      <c r="K144" s="141">
        <v>3.397876345645475</v>
      </c>
      <c r="L144" s="141">
        <v>3.2956817271415906</v>
      </c>
      <c r="M144" s="141">
        <v>3.0042560502397739</v>
      </c>
      <c r="N144" s="141">
        <v>2.9348689754018862</v>
      </c>
      <c r="O144" s="141">
        <v>2.8574012470726928</v>
      </c>
      <c r="P144" s="141">
        <v>2.7503656378694532</v>
      </c>
      <c r="Q144" s="141">
        <v>2.6729922419243981</v>
      </c>
      <c r="R144" s="141">
        <v>2.595289439672734</v>
      </c>
      <c r="S144" s="141">
        <v>2.5331271978714027</v>
      </c>
      <c r="T144" s="141">
        <v>2.4833974044303377</v>
      </c>
      <c r="U144" s="141">
        <v>2.4436135696774857</v>
      </c>
      <c r="V144" s="141">
        <v>2.4117865018752043</v>
      </c>
      <c r="W144" s="141">
        <v>2.3863248476333792</v>
      </c>
      <c r="DA144" s="174" t="s">
        <v>885</v>
      </c>
    </row>
    <row r="145" spans="1:105" ht="11.45" customHeight="1" x14ac:dyDescent="0.25">
      <c r="A145" s="109" t="s">
        <v>20</v>
      </c>
      <c r="B145" s="130">
        <v>7.3785754695683572</v>
      </c>
      <c r="C145" s="130">
        <v>7.4268529316749579</v>
      </c>
      <c r="D145" s="130">
        <v>6.7219913702893042</v>
      </c>
      <c r="E145" s="130">
        <v>6.9764122493085585</v>
      </c>
      <c r="F145" s="130">
        <v>6.6171035309130515</v>
      </c>
      <c r="G145" s="130">
        <v>6.6828405967443709</v>
      </c>
      <c r="H145" s="130">
        <v>6.9000186023707579</v>
      </c>
      <c r="I145" s="130">
        <v>7.1011139510190375</v>
      </c>
      <c r="J145" s="130">
        <v>6.6757483109618336</v>
      </c>
      <c r="K145" s="130">
        <v>5.7586548811795621</v>
      </c>
      <c r="L145" s="130">
        <v>5.4195528792198893</v>
      </c>
      <c r="M145" s="130">
        <v>5.8020355587789449</v>
      </c>
      <c r="N145" s="130">
        <v>5.8816808399250347</v>
      </c>
      <c r="O145" s="130">
        <v>5.6232742308780121</v>
      </c>
      <c r="P145" s="130">
        <v>5.595769021566638</v>
      </c>
      <c r="Q145" s="130">
        <v>5.3689565950416229</v>
      </c>
      <c r="R145" s="130">
        <v>5.1246841942617607</v>
      </c>
      <c r="S145" s="130">
        <v>5.2103932130839388</v>
      </c>
      <c r="T145" s="130">
        <v>5.3638651302852729</v>
      </c>
      <c r="U145" s="130">
        <v>5.3124582815183787</v>
      </c>
      <c r="V145" s="130">
        <v>4.9745376423477223</v>
      </c>
      <c r="W145" s="130">
        <v>4.8371853127154294</v>
      </c>
      <c r="DA145" s="176" t="s">
        <v>886</v>
      </c>
    </row>
    <row r="146" spans="1:105" ht="11.45" customHeight="1" x14ac:dyDescent="0.25">
      <c r="A146" s="111" t="s">
        <v>110</v>
      </c>
      <c r="B146" s="96">
        <v>8.5896927093307784</v>
      </c>
      <c r="C146" s="96">
        <v>8.5928052482616177</v>
      </c>
      <c r="D146" s="96">
        <v>8.5408432082027854</v>
      </c>
      <c r="E146" s="96">
        <v>8.4339396533110964</v>
      </c>
      <c r="F146" s="96">
        <v>8.4222601121969536</v>
      </c>
      <c r="G146" s="96">
        <v>8.3088017128024312</v>
      </c>
      <c r="H146" s="96">
        <v>8.1412360515117808</v>
      </c>
      <c r="I146" s="96">
        <v>8.0218187025692291</v>
      </c>
      <c r="J146" s="96">
        <v>7.6323417601098775</v>
      </c>
      <c r="K146" s="96">
        <v>7.2122358169736449</v>
      </c>
      <c r="L146" s="96">
        <v>6.9480833248815852</v>
      </c>
      <c r="M146" s="96">
        <v>6.1985829529388905</v>
      </c>
      <c r="N146" s="96">
        <v>6.0137754320509567</v>
      </c>
      <c r="O146" s="96">
        <v>5.8246936995634275</v>
      </c>
      <c r="P146" s="96">
        <v>5.5541723267278966</v>
      </c>
      <c r="Q146" s="96">
        <v>5.3590960776532981</v>
      </c>
      <c r="R146" s="96">
        <v>5.2831338127558904</v>
      </c>
      <c r="S146" s="96">
        <v>5.2613794837789349</v>
      </c>
      <c r="T146" s="96">
        <v>5.2873656686965349</v>
      </c>
      <c r="U146" s="96">
        <v>5.3901822234360033</v>
      </c>
      <c r="V146" s="96">
        <v>5.0223664044818896</v>
      </c>
      <c r="W146" s="96">
        <v>4.8196533571742313</v>
      </c>
      <c r="DA146" s="171" t="s">
        <v>887</v>
      </c>
    </row>
    <row r="147" spans="1:105" ht="11.45" customHeight="1" x14ac:dyDescent="0.25">
      <c r="A147" s="111" t="s">
        <v>111</v>
      </c>
      <c r="B147" s="96">
        <v>6.1390659958781919</v>
      </c>
      <c r="C147" s="96">
        <v>6.1729930332433556</v>
      </c>
      <c r="D147" s="96">
        <v>6.1695855402371329</v>
      </c>
      <c r="E147" s="96">
        <v>6.1836414488878049</v>
      </c>
      <c r="F147" s="96">
        <v>6.1428580169695657</v>
      </c>
      <c r="G147" s="96">
        <v>6.1611732918780167</v>
      </c>
      <c r="H147" s="96">
        <v>6.2006789139189236</v>
      </c>
      <c r="I147" s="96">
        <v>6.1436034060646776</v>
      </c>
      <c r="J147" s="96">
        <v>5.8664251468396786</v>
      </c>
      <c r="K147" s="96">
        <v>5.6358869481373652</v>
      </c>
      <c r="L147" s="96">
        <v>5.4194046580857647</v>
      </c>
      <c r="M147" s="96">
        <v>5.8019611163045788</v>
      </c>
      <c r="N147" s="96">
        <v>5.8799852585599295</v>
      </c>
      <c r="O147" s="96">
        <v>5.7171393561070234</v>
      </c>
      <c r="P147" s="96">
        <v>5.6404819975998439</v>
      </c>
      <c r="Q147" s="96">
        <v>5.3786750244514101</v>
      </c>
      <c r="R147" s="96">
        <v>5.1549019128317948</v>
      </c>
      <c r="S147" s="96">
        <v>5.2689604869238744</v>
      </c>
      <c r="T147" s="96">
        <v>5.4785205478710086</v>
      </c>
      <c r="U147" s="96">
        <v>5.3023780758030963</v>
      </c>
      <c r="V147" s="96">
        <v>5.1753882227173875</v>
      </c>
      <c r="W147" s="96">
        <v>5.0605603532557701</v>
      </c>
      <c r="DA147" s="171" t="s">
        <v>888</v>
      </c>
    </row>
    <row r="148" spans="1:105" ht="11.45" customHeight="1" x14ac:dyDescent="0.25">
      <c r="A148" s="111" t="s">
        <v>112</v>
      </c>
      <c r="B148" s="96">
        <v>6.0417036402768938</v>
      </c>
      <c r="C148" s="96">
        <v>6.2078384025086004</v>
      </c>
      <c r="D148" s="96">
        <v>6.2044116748537341</v>
      </c>
      <c r="E148" s="96">
        <v>6.2185469264300588</v>
      </c>
      <c r="F148" s="96">
        <v>6.1775332798108735</v>
      </c>
      <c r="G148" s="96">
        <v>0</v>
      </c>
      <c r="H148" s="96">
        <v>6.2356805647043938</v>
      </c>
      <c r="I148" s="96">
        <v>6.1782828764853797</v>
      </c>
      <c r="J148" s="96">
        <v>5.8995399988098178</v>
      </c>
      <c r="K148" s="96">
        <v>5.6677004559102446</v>
      </c>
      <c r="L148" s="96">
        <v>0</v>
      </c>
      <c r="M148" s="96">
        <v>0</v>
      </c>
      <c r="N148" s="96">
        <v>5.9131766547765308</v>
      </c>
      <c r="O148" s="96">
        <v>5.2965090985015628</v>
      </c>
      <c r="P148" s="96">
        <v>5.8604186281966379</v>
      </c>
      <c r="Q148" s="96">
        <v>5.5282953340514442</v>
      </c>
      <c r="R148" s="96">
        <v>4.5041835124832348</v>
      </c>
      <c r="S148" s="96">
        <v>4.9846613122909575</v>
      </c>
      <c r="T148" s="96">
        <v>5.6777946900355598</v>
      </c>
      <c r="U148" s="96">
        <v>5.9238324599371008</v>
      </c>
      <c r="V148" s="96">
        <v>4.831966839091991</v>
      </c>
      <c r="W148" s="96">
        <v>4.592131523546942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6.8926986922475137</v>
      </c>
      <c r="O149" s="96">
        <v>5.2088883838099127</v>
      </c>
      <c r="P149" s="96">
        <v>5.0579194171025561</v>
      </c>
      <c r="Q149" s="96">
        <v>5.1080498858948333</v>
      </c>
      <c r="R149" s="96">
        <v>5.1789441877337259</v>
      </c>
      <c r="S149" s="96">
        <v>5.3155092762728859</v>
      </c>
      <c r="T149" s="96">
        <v>5.3358645901571853</v>
      </c>
      <c r="U149" s="96">
        <v>4.9428303241403375</v>
      </c>
      <c r="V149" s="96">
        <v>4.7047801843744956</v>
      </c>
      <c r="W149" s="96">
        <v>4.5271274422258507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3.5980198417212153</v>
      </c>
      <c r="P150" s="96">
        <v>2.5350167297310953</v>
      </c>
      <c r="Q150" s="96">
        <v>2.6599235619518398</v>
      </c>
      <c r="R150" s="96">
        <v>3.0696742286061891</v>
      </c>
      <c r="S150" s="96">
        <v>2.9862734788915359</v>
      </c>
      <c r="T150" s="96">
        <v>3.3496965617817804</v>
      </c>
      <c r="U150" s="96">
        <v>3.8223568914214088</v>
      </c>
      <c r="V150" s="96">
        <v>3.8006229174412214</v>
      </c>
      <c r="W150" s="96">
        <v>3.2519141973603478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1.3424803607346911</v>
      </c>
      <c r="N151" s="96">
        <v>0</v>
      </c>
      <c r="O151" s="96">
        <v>1.2897678417884781</v>
      </c>
      <c r="P151" s="96">
        <v>1.2919174548581256</v>
      </c>
      <c r="Q151" s="96">
        <v>1.2990277134731134</v>
      </c>
      <c r="R151" s="96">
        <v>1.2477309639820386</v>
      </c>
      <c r="S151" s="96">
        <v>1.4139079965606192</v>
      </c>
      <c r="T151" s="96">
        <v>1.5432087472481899</v>
      </c>
      <c r="U151" s="96">
        <v>1.5118582452626879</v>
      </c>
      <c r="V151" s="96">
        <v>1.4596359080704842</v>
      </c>
      <c r="W151" s="96">
        <v>1.4439338255928555</v>
      </c>
      <c r="DA151" s="171" t="s">
        <v>892</v>
      </c>
    </row>
    <row r="152" spans="1:105" ht="11.45" customHeight="1" x14ac:dyDescent="0.25">
      <c r="A152" s="109" t="s">
        <v>21</v>
      </c>
      <c r="B152" s="130">
        <v>48.819192837470283</v>
      </c>
      <c r="C152" s="130">
        <v>48.752461243701347</v>
      </c>
      <c r="D152" s="130">
        <v>47.894920705956174</v>
      </c>
      <c r="E152" s="130">
        <v>48.19841993078122</v>
      </c>
      <c r="F152" s="130">
        <v>48.252842412215209</v>
      </c>
      <c r="G152" s="130">
        <v>47.814350748019713</v>
      </c>
      <c r="H152" s="130">
        <v>47.4508562162735</v>
      </c>
      <c r="I152" s="130">
        <v>47.447088849939497</v>
      </c>
      <c r="J152" s="130">
        <v>47.20768015962873</v>
      </c>
      <c r="K152" s="130">
        <v>45.26612497222996</v>
      </c>
      <c r="L152" s="130">
        <v>45.380706963359877</v>
      </c>
      <c r="M152" s="130">
        <v>44.126685999784918</v>
      </c>
      <c r="N152" s="130">
        <v>44.51706348154314</v>
      </c>
      <c r="O152" s="130">
        <v>34.059086289141142</v>
      </c>
      <c r="P152" s="130">
        <v>42.269761247544004</v>
      </c>
      <c r="Q152" s="130">
        <v>40.859128027594956</v>
      </c>
      <c r="R152" s="130">
        <v>42.589751661511414</v>
      </c>
      <c r="S152" s="130">
        <v>42.000468852719067</v>
      </c>
      <c r="T152" s="130">
        <v>41.77200759955678</v>
      </c>
      <c r="U152" s="130">
        <v>39.120598819271571</v>
      </c>
      <c r="V152" s="130">
        <v>39.347312009978566</v>
      </c>
      <c r="W152" s="130">
        <v>40.386694787155818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14.26734747075573</v>
      </c>
      <c r="E153" s="97">
        <v>14.08876672336139</v>
      </c>
      <c r="F153" s="97">
        <v>0</v>
      </c>
      <c r="G153" s="97">
        <v>13.879725714705808</v>
      </c>
      <c r="H153" s="97">
        <v>13.59980984978224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9.7304817504902008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48.819192837470275</v>
      </c>
      <c r="C154" s="97">
        <v>48.752461243701347</v>
      </c>
      <c r="D154" s="97">
        <v>48.678422005052226</v>
      </c>
      <c r="E154" s="97">
        <v>48.524654658588645</v>
      </c>
      <c r="F154" s="97">
        <v>48.507837638082727</v>
      </c>
      <c r="G154" s="97">
        <v>48.342804897637244</v>
      </c>
      <c r="H154" s="97">
        <v>48.095326347897291</v>
      </c>
      <c r="I154" s="97">
        <v>47.916996442404383</v>
      </c>
      <c r="J154" s="97">
        <v>47.313398025964702</v>
      </c>
      <c r="K154" s="97">
        <v>46.634297056289654</v>
      </c>
      <c r="L154" s="97">
        <v>46.198377359096092</v>
      </c>
      <c r="M154" s="97">
        <v>44.846117379969392</v>
      </c>
      <c r="N154" s="97">
        <v>44.51706348154314</v>
      </c>
      <c r="O154" s="97">
        <v>44.140362637871341</v>
      </c>
      <c r="P154" s="97">
        <v>43.600795754961119</v>
      </c>
      <c r="Q154" s="97">
        <v>43.199999999908329</v>
      </c>
      <c r="R154" s="97">
        <v>42.842434841495916</v>
      </c>
      <c r="S154" s="97">
        <v>42.523157319501422</v>
      </c>
      <c r="T154" s="97">
        <v>42.237842420087738</v>
      </c>
      <c r="U154" s="97">
        <v>41.982696154368782</v>
      </c>
      <c r="V154" s="97">
        <v>41.754382560734619</v>
      </c>
      <c r="W154" s="97">
        <v>41.549962115329024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39.916306044142821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36.7738162515749</v>
      </c>
      <c r="N155" s="97">
        <v>0</v>
      </c>
      <c r="O155" s="97">
        <v>36.195097363054501</v>
      </c>
      <c r="P155" s="97">
        <v>35.752652519068114</v>
      </c>
      <c r="Q155" s="97">
        <v>35.423999999924824</v>
      </c>
      <c r="R155" s="97">
        <v>0</v>
      </c>
      <c r="S155" s="97">
        <v>34.868989001991153</v>
      </c>
      <c r="T155" s="97">
        <v>34.635030784471923</v>
      </c>
      <c r="U155" s="97">
        <v>34.425810846582365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37.307437645031726</v>
      </c>
      <c r="L156" s="97">
        <v>36.958701887276874</v>
      </c>
      <c r="M156" s="97">
        <v>35.876893903975514</v>
      </c>
      <c r="N156" s="97">
        <v>0</v>
      </c>
      <c r="O156" s="97">
        <v>35.312290110297077</v>
      </c>
      <c r="P156" s="97">
        <v>34.880636603968895</v>
      </c>
      <c r="Q156" s="97">
        <v>34.559999999926667</v>
      </c>
      <c r="R156" s="97">
        <v>34.27394787319674</v>
      </c>
      <c r="S156" s="97">
        <v>0</v>
      </c>
      <c r="T156" s="97">
        <v>0</v>
      </c>
      <c r="U156" s="97">
        <v>0</v>
      </c>
      <c r="V156" s="97">
        <v>33.403506048587701</v>
      </c>
      <c r="W156" s="97">
        <v>33.239969692263223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29.026202381804474</v>
      </c>
      <c r="G157" s="97">
        <v>28.735940357986429</v>
      </c>
      <c r="H157" s="97">
        <v>28.448580954406566</v>
      </c>
      <c r="I157" s="97">
        <v>28.1640951448625</v>
      </c>
      <c r="J157" s="97">
        <v>27.882454193413874</v>
      </c>
      <c r="K157" s="97">
        <v>27.603629651479736</v>
      </c>
      <c r="L157" s="97">
        <v>0</v>
      </c>
      <c r="M157" s="97">
        <v>27.054317421415291</v>
      </c>
      <c r="N157" s="97">
        <v>0</v>
      </c>
      <c r="O157" s="97">
        <v>26.515936504729126</v>
      </c>
      <c r="P157" s="97">
        <v>26.250777139681833</v>
      </c>
      <c r="Q157" s="97">
        <v>0</v>
      </c>
      <c r="R157" s="97">
        <v>24.239177370537654</v>
      </c>
      <c r="S157" s="97">
        <v>23.429174976936899</v>
      </c>
      <c r="T157" s="97">
        <v>22.723341905362666</v>
      </c>
      <c r="U157" s="97">
        <v>22.106291357153875</v>
      </c>
      <c r="V157" s="97">
        <v>21.565285274124847</v>
      </c>
      <c r="W157" s="97">
        <v>21.089709307821934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8.131471228603468</v>
      </c>
      <c r="D159" s="141">
        <v>8.1343215163285816</v>
      </c>
      <c r="E159" s="141">
        <v>8.1625547778578227</v>
      </c>
      <c r="F159" s="141">
        <v>8.1875783555684034</v>
      </c>
      <c r="G159" s="141">
        <v>8.215558803710854</v>
      </c>
      <c r="H159" s="141">
        <v>8.3034078692075166</v>
      </c>
      <c r="I159" s="141">
        <v>8.2841525704271106</v>
      </c>
      <c r="J159" s="141">
        <v>8.1274547991466815</v>
      </c>
      <c r="K159" s="141">
        <v>8.1114748991211343</v>
      </c>
      <c r="L159" s="141">
        <v>9.0441460488586269</v>
      </c>
      <c r="M159" s="141">
        <v>8.2236888709620359</v>
      </c>
      <c r="N159" s="141">
        <v>8.0891858656000082</v>
      </c>
      <c r="O159" s="141">
        <v>7.7090248430876818</v>
      </c>
      <c r="P159" s="141">
        <v>7.4231763483685071</v>
      </c>
      <c r="Q159" s="141">
        <v>7.7549233943587055</v>
      </c>
      <c r="R159" s="141">
        <v>7.4621162144976836</v>
      </c>
      <c r="S159" s="141">
        <v>7.4511451227492547</v>
      </c>
      <c r="T159" s="141">
        <v>7.1954232281340724</v>
      </c>
      <c r="U159" s="141">
        <v>7.1558883403696925</v>
      </c>
      <c r="V159" s="141">
        <v>7.0857920465321484</v>
      </c>
      <c r="W159" s="141">
        <v>6.9894460526266329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9.353284423063343</v>
      </c>
      <c r="D160" s="96">
        <v>9.2967236462470346</v>
      </c>
      <c r="E160" s="96">
        <v>9.1803589288061502</v>
      </c>
      <c r="F160" s="96">
        <v>9.1676457266777156</v>
      </c>
      <c r="G160" s="96">
        <v>9.0441460488586269</v>
      </c>
      <c r="H160" s="96">
        <v>8.8617505162812744</v>
      </c>
      <c r="I160" s="96">
        <v>8.7317645108456379</v>
      </c>
      <c r="J160" s="96">
        <v>0</v>
      </c>
      <c r="K160" s="96">
        <v>7.8505320408613173</v>
      </c>
      <c r="L160" s="96">
        <v>7.565003899180839</v>
      </c>
      <c r="M160" s="96">
        <v>6.7507708878742028</v>
      </c>
      <c r="N160" s="96">
        <v>6.5537420776528776</v>
      </c>
      <c r="O160" s="96">
        <v>6.0532297410264029</v>
      </c>
      <c r="P160" s="96">
        <v>6.6304855308606774</v>
      </c>
      <c r="Q160" s="96">
        <v>5.6009769442830581</v>
      </c>
      <c r="R160" s="96">
        <v>5.7049867047203779</v>
      </c>
      <c r="S160" s="96">
        <v>6.0324511248796711</v>
      </c>
      <c r="T160" s="96">
        <v>6.6062858719836486</v>
      </c>
      <c r="U160" s="96">
        <v>7.4384413353005305</v>
      </c>
      <c r="V160" s="96">
        <v>5.6278364943141996</v>
      </c>
      <c r="W160" s="96">
        <v>5.6272757489568779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8.1696898288126114</v>
      </c>
      <c r="D161" s="96">
        <v>8.1651801588996893</v>
      </c>
      <c r="E161" s="96">
        <v>8.1837825472904928</v>
      </c>
      <c r="F161" s="96">
        <v>8.1298074355202061</v>
      </c>
      <c r="G161" s="96">
        <v>8.1540469113021619</v>
      </c>
      <c r="H161" s="96">
        <v>8.2063308968551034</v>
      </c>
      <c r="I161" s="96">
        <v>8.130793925813661</v>
      </c>
      <c r="J161" s="96">
        <v>7.7639604638344073</v>
      </c>
      <c r="K161" s="96">
        <v>7.4588531087882739</v>
      </c>
      <c r="L161" s="96">
        <v>0</v>
      </c>
      <c r="M161" s="96">
        <v>7.6786451019425277</v>
      </c>
      <c r="N161" s="96">
        <v>7.7819066863883437</v>
      </c>
      <c r="O161" s="96">
        <v>7.3846864255902576</v>
      </c>
      <c r="P161" s="96">
        <v>7.2238056600375806</v>
      </c>
      <c r="Q161" s="96">
        <v>6.9261525343117158</v>
      </c>
      <c r="R161" s="96">
        <v>6.8667962724205509</v>
      </c>
      <c r="S161" s="96">
        <v>6.5504598694665015</v>
      </c>
      <c r="T161" s="96">
        <v>6.7488262095479925</v>
      </c>
      <c r="U161" s="96">
        <v>6.9364800366180637</v>
      </c>
      <c r="V161" s="96">
        <v>7.4136928105925026</v>
      </c>
      <c r="W161" s="96">
        <v>7.2543107866302989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0</v>
      </c>
      <c r="P164" s="96">
        <v>0</v>
      </c>
      <c r="Q164" s="96">
        <v>0</v>
      </c>
      <c r="R164" s="96">
        <v>0</v>
      </c>
      <c r="S164" s="96">
        <v>0</v>
      </c>
      <c r="T164" s="96">
        <v>0</v>
      </c>
      <c r="U164" s="96">
        <v>0</v>
      </c>
      <c r="V164" s="96">
        <v>0</v>
      </c>
      <c r="W164" s="96">
        <v>0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26.90529114537652</v>
      </c>
      <c r="D165" s="130">
        <v>26.298051493925271</v>
      </c>
      <c r="E165" s="130">
        <v>25.967056765452931</v>
      </c>
      <c r="F165" s="130">
        <v>27.058056447367235</v>
      </c>
      <c r="G165" s="130">
        <v>26.294792007312594</v>
      </c>
      <c r="H165" s="130">
        <v>26.442092768023382</v>
      </c>
      <c r="I165" s="130">
        <v>25.698687308264798</v>
      </c>
      <c r="J165" s="130">
        <v>25.250310264991061</v>
      </c>
      <c r="K165" s="130">
        <v>24.724617987847338</v>
      </c>
      <c r="L165" s="130">
        <v>27.948443877481921</v>
      </c>
      <c r="M165" s="130">
        <v>24.911260166289754</v>
      </c>
      <c r="N165" s="130">
        <v>24.613978845579691</v>
      </c>
      <c r="O165" s="130">
        <v>24.308131412342338</v>
      </c>
      <c r="P165" s="130">
        <v>23.368664900233533</v>
      </c>
      <c r="Q165" s="130">
        <v>26.149001267601157</v>
      </c>
      <c r="R165" s="130">
        <v>22.923967524633856</v>
      </c>
      <c r="S165" s="130">
        <v>22.643252578419169</v>
      </c>
      <c r="T165" s="130">
        <v>22.176776380026059</v>
      </c>
      <c r="U165" s="130">
        <v>21.961804613432584</v>
      </c>
      <c r="V165" s="130">
        <v>22.337531391226012</v>
      </c>
      <c r="W165" s="130">
        <v>21.81087083794117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26.025773195824463</v>
      </c>
      <c r="D166" s="97">
        <v>25.936946476642007</v>
      </c>
      <c r="E166" s="97">
        <v>25.826340677431549</v>
      </c>
      <c r="F166" s="97">
        <v>25.694236849612107</v>
      </c>
      <c r="G166" s="97">
        <v>25.540968302156642</v>
      </c>
      <c r="H166" s="97">
        <v>25.366918523086543</v>
      </c>
      <c r="I166" s="97">
        <v>25.172518817355872</v>
      </c>
      <c r="J166" s="97">
        <v>24.958245687793418</v>
      </c>
      <c r="K166" s="97">
        <v>24.724617987847338</v>
      </c>
      <c r="L166" s="97">
        <v>24.472193877492671</v>
      </c>
      <c r="M166" s="97">
        <v>24.201567614150456</v>
      </c>
      <c r="N166" s="97">
        <v>23.913366211701266</v>
      </c>
      <c r="O166" s="97">
        <v>23.608246001062707</v>
      </c>
      <c r="P166" s="97">
        <v>23.286889125013396</v>
      </c>
      <c r="Q166" s="97">
        <v>22.949999999951295</v>
      </c>
      <c r="R166" s="97">
        <v>22.589488683438546</v>
      </c>
      <c r="S166" s="97">
        <v>22.337130761879621</v>
      </c>
      <c r="T166" s="97">
        <v>22.072154944242751</v>
      </c>
      <c r="U166" s="97">
        <v>21.748295611575468</v>
      </c>
      <c r="V166" s="97">
        <v>21.749455560010155</v>
      </c>
      <c r="W166" s="97">
        <v>21.531961004410054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137.61990705929463</v>
      </c>
      <c r="C171" s="152">
        <v>136.63630622309981</v>
      </c>
      <c r="D171" s="152">
        <v>135.18532917180565</v>
      </c>
      <c r="E171" s="152">
        <v>133.65143203389997</v>
      </c>
      <c r="F171" s="152">
        <v>132.06640038229489</v>
      </c>
      <c r="G171" s="152">
        <v>130.13544992131264</v>
      </c>
      <c r="H171" s="152">
        <v>127.20511170515222</v>
      </c>
      <c r="I171" s="152">
        <v>123.26430197118079</v>
      </c>
      <c r="J171" s="152">
        <v>118.64224501269702</v>
      </c>
      <c r="K171" s="152">
        <v>115.42242792103171</v>
      </c>
      <c r="L171" s="152">
        <v>113.8586105055094</v>
      </c>
      <c r="M171" s="152">
        <v>111.89464702870131</v>
      </c>
      <c r="N171" s="152">
        <v>110.08241369622287</v>
      </c>
      <c r="O171" s="152">
        <v>108.22334047745228</v>
      </c>
      <c r="P171" s="152">
        <v>106.19239174930462</v>
      </c>
      <c r="Q171" s="152">
        <v>104.16516931130978</v>
      </c>
      <c r="R171" s="152">
        <v>101.2515329907941</v>
      </c>
      <c r="S171" s="152">
        <v>98.107267750239089</v>
      </c>
      <c r="T171" s="152">
        <v>94.578972035024648</v>
      </c>
      <c r="U171" s="152">
        <v>88.487017763727849</v>
      </c>
      <c r="V171" s="152">
        <v>83.184776988193292</v>
      </c>
      <c r="W171" s="152">
        <v>67.16321499108237</v>
      </c>
      <c r="DA171" s="174" t="s">
        <v>908</v>
      </c>
    </row>
    <row r="172" spans="1:105" ht="11.45" customHeight="1" x14ac:dyDescent="0.25">
      <c r="A172" s="109" t="s">
        <v>20</v>
      </c>
      <c r="B172" s="116">
        <v>231.29422615338481</v>
      </c>
      <c r="C172" s="116">
        <v>225.64265310558392</v>
      </c>
      <c r="D172" s="116">
        <v>218.78617946602847</v>
      </c>
      <c r="E172" s="116">
        <v>216.25925349950597</v>
      </c>
      <c r="F172" s="116">
        <v>210.0876783558675</v>
      </c>
      <c r="G172" s="116">
        <v>218.03944302994535</v>
      </c>
      <c r="H172" s="116">
        <v>208.60725090156214</v>
      </c>
      <c r="I172" s="116">
        <v>204.05707489470043</v>
      </c>
      <c r="J172" s="116">
        <v>208.82424345996546</v>
      </c>
      <c r="K172" s="116">
        <v>212.16838174973208</v>
      </c>
      <c r="L172" s="116">
        <v>213.72550106415878</v>
      </c>
      <c r="M172" s="116">
        <v>212.45960366463089</v>
      </c>
      <c r="N172" s="116">
        <v>207.81787607305714</v>
      </c>
      <c r="O172" s="116">
        <v>198.63153330059461</v>
      </c>
      <c r="P172" s="116">
        <v>197.06913006522961</v>
      </c>
      <c r="Q172" s="116">
        <v>194.33413287594169</v>
      </c>
      <c r="R172" s="116">
        <v>190.97292638333431</v>
      </c>
      <c r="S172" s="116">
        <v>187.30883816466095</v>
      </c>
      <c r="T172" s="116">
        <v>182.38984099026294</v>
      </c>
      <c r="U172" s="116">
        <v>177.28115714006975</v>
      </c>
      <c r="V172" s="116">
        <v>172.27368838833434</v>
      </c>
      <c r="W172" s="116">
        <v>174.40214469646392</v>
      </c>
      <c r="DA172" s="176" t="s">
        <v>909</v>
      </c>
    </row>
    <row r="173" spans="1:105" ht="11.45" customHeight="1" x14ac:dyDescent="0.25">
      <c r="A173" s="111" t="s">
        <v>110</v>
      </c>
      <c r="B173" s="87">
        <v>255.5680371458447</v>
      </c>
      <c r="C173" s="87">
        <v>253.50585994183609</v>
      </c>
      <c r="D173" s="87">
        <v>253.05936033236378</v>
      </c>
      <c r="E173" s="87">
        <v>252.25654206967383</v>
      </c>
      <c r="F173" s="87">
        <v>251.68999229007156</v>
      </c>
      <c r="G173" s="87">
        <v>250.91795968113141</v>
      </c>
      <c r="H173" s="87">
        <v>249.6184057142585</v>
      </c>
      <c r="I173" s="87">
        <v>248.33144804959522</v>
      </c>
      <c r="J173" s="87">
        <v>246.99210834801823</v>
      </c>
      <c r="K173" s="87">
        <v>246.39135510805093</v>
      </c>
      <c r="L173" s="87">
        <v>245.7339214201356</v>
      </c>
      <c r="M173" s="87">
        <v>245.42452774611164</v>
      </c>
      <c r="N173" s="87">
        <v>245.41142787359786</v>
      </c>
      <c r="O173" s="87">
        <v>242.7481678772937</v>
      </c>
      <c r="P173" s="87">
        <v>236.36528576011767</v>
      </c>
      <c r="Q173" s="87">
        <v>229.05815035851163</v>
      </c>
      <c r="R173" s="87">
        <v>220.27542330761239</v>
      </c>
      <c r="S173" s="87">
        <v>208.88575812669279</v>
      </c>
      <c r="T173" s="87">
        <v>198.6915398046844</v>
      </c>
      <c r="U173" s="87">
        <v>188.55161540011724</v>
      </c>
      <c r="V173" s="87">
        <v>182.78845958629344</v>
      </c>
      <c r="W173" s="87">
        <v>177.76465943665798</v>
      </c>
      <c r="DA173" s="171" t="s">
        <v>910</v>
      </c>
    </row>
    <row r="174" spans="1:105" ht="11.45" customHeight="1" x14ac:dyDescent="0.25">
      <c r="A174" s="111" t="s">
        <v>111</v>
      </c>
      <c r="B174" s="87">
        <v>214.70046832093774</v>
      </c>
      <c r="C174" s="87">
        <v>203.93354108750609</v>
      </c>
      <c r="D174" s="87">
        <v>200.04836015801618</v>
      </c>
      <c r="E174" s="87">
        <v>196.92942909642676</v>
      </c>
      <c r="F174" s="87">
        <v>194.50886109050936</v>
      </c>
      <c r="G174" s="87">
        <v>192.40074303234238</v>
      </c>
      <c r="H174" s="87">
        <v>191.5432116298208</v>
      </c>
      <c r="I174" s="87">
        <v>190.82890507240387</v>
      </c>
      <c r="J174" s="87">
        <v>190.2085261843514</v>
      </c>
      <c r="K174" s="87">
        <v>190.28851217739657</v>
      </c>
      <c r="L174" s="87">
        <v>190.22777720525377</v>
      </c>
      <c r="M174" s="87">
        <v>190.24421617822114</v>
      </c>
      <c r="N174" s="87">
        <v>190.32804669029986</v>
      </c>
      <c r="O174" s="87">
        <v>189.25481214941399</v>
      </c>
      <c r="P174" s="87">
        <v>187.34615057390329</v>
      </c>
      <c r="Q174" s="87">
        <v>183.56300276938859</v>
      </c>
      <c r="R174" s="87">
        <v>182.7221032697901</v>
      </c>
      <c r="S174" s="87">
        <v>182.19258652202967</v>
      </c>
      <c r="T174" s="87">
        <v>181.27407124065172</v>
      </c>
      <c r="U174" s="87">
        <v>180.44927464182908</v>
      </c>
      <c r="V174" s="87">
        <v>179.56550940545938</v>
      </c>
      <c r="W174" s="87">
        <v>178.32969146484459</v>
      </c>
      <c r="DA174" s="171" t="s">
        <v>911</v>
      </c>
    </row>
    <row r="175" spans="1:105" ht="11.45" customHeight="1" x14ac:dyDescent="0.25">
      <c r="A175" s="111" t="s">
        <v>112</v>
      </c>
      <c r="B175" s="87">
        <v>179.92903849527954</v>
      </c>
      <c r="C175" s="87">
        <v>167.8532399346953</v>
      </c>
      <c r="D175" s="87">
        <v>162.29315854741668</v>
      </c>
      <c r="E175" s="87">
        <v>159.34159015026606</v>
      </c>
      <c r="F175" s="87">
        <v>157.73591987334359</v>
      </c>
      <c r="G175" s="87">
        <v>155.03843843116479</v>
      </c>
      <c r="H175" s="87">
        <v>156.6555126246177</v>
      </c>
      <c r="I175" s="87">
        <v>157.82101179959406</v>
      </c>
      <c r="J175" s="87">
        <v>157.99253323862726</v>
      </c>
      <c r="K175" s="87">
        <v>158.02164217066459</v>
      </c>
      <c r="L175" s="87">
        <v>157.99706342592879</v>
      </c>
      <c r="M175" s="87">
        <v>157.79152977781419</v>
      </c>
      <c r="N175" s="87">
        <v>158.32791511792578</v>
      </c>
      <c r="O175" s="87">
        <v>158.18059946243073</v>
      </c>
      <c r="P175" s="87">
        <v>157.78603431132592</v>
      </c>
      <c r="Q175" s="87">
        <v>157.72659828658587</v>
      </c>
      <c r="R175" s="87">
        <v>157.90181218618767</v>
      </c>
      <c r="S175" s="87">
        <v>157.90323220497532</v>
      </c>
      <c r="T175" s="87">
        <v>156.17056766725315</v>
      </c>
      <c r="U175" s="87">
        <v>155.77663628693355</v>
      </c>
      <c r="V175" s="87">
        <v>154.42883964259465</v>
      </c>
      <c r="W175" s="87">
        <v>151.69227436677346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161.89534846317764</v>
      </c>
      <c r="O176" s="87">
        <v>130.02576559537218</v>
      </c>
      <c r="P176" s="87">
        <v>120.73324466917593</v>
      </c>
      <c r="Q176" s="87">
        <v>120.52780438683595</v>
      </c>
      <c r="R176" s="87">
        <v>120.80975974685578</v>
      </c>
      <c r="S176" s="87">
        <v>122.23776680225522</v>
      </c>
      <c r="T176" s="87">
        <v>123.13066595407599</v>
      </c>
      <c r="U176" s="87">
        <v>122.72037895285092</v>
      </c>
      <c r="V176" s="87">
        <v>116.76540964132623</v>
      </c>
      <c r="W176" s="87">
        <v>113.36994702205074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78.258747422290682</v>
      </c>
      <c r="P177" s="87">
        <v>57.232945116133848</v>
      </c>
      <c r="Q177" s="87">
        <v>54.114925637752812</v>
      </c>
      <c r="R177" s="87">
        <v>54.010753770389449</v>
      </c>
      <c r="S177" s="87">
        <v>53.359391971827087</v>
      </c>
      <c r="T177" s="87">
        <v>55.479363913883901</v>
      </c>
      <c r="U177" s="87">
        <v>60.082523027061661</v>
      </c>
      <c r="V177" s="87">
        <v>60.771450207137015</v>
      </c>
      <c r="W177" s="87">
        <v>60.713853837464505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1743.1568974309791</v>
      </c>
      <c r="C179" s="116">
        <v>1660.5638052182769</v>
      </c>
      <c r="D179" s="116">
        <v>1591.3530589016809</v>
      </c>
      <c r="E179" s="116">
        <v>1517.4530272336588</v>
      </c>
      <c r="F179" s="116">
        <v>1482.4034375229412</v>
      </c>
      <c r="G179" s="116">
        <v>1459.3296873748147</v>
      </c>
      <c r="H179" s="116">
        <v>1442.4808599902606</v>
      </c>
      <c r="I179" s="116">
        <v>1437.959266683838</v>
      </c>
      <c r="J179" s="116">
        <v>1446.4996285973903</v>
      </c>
      <c r="K179" s="116">
        <v>1392.1460489771209</v>
      </c>
      <c r="L179" s="116">
        <v>1396.9212763269261</v>
      </c>
      <c r="M179" s="116">
        <v>1379.1864624605639</v>
      </c>
      <c r="N179" s="116">
        <v>1399.1740867891886</v>
      </c>
      <c r="O179" s="116">
        <v>955.14612348535547</v>
      </c>
      <c r="P179" s="116">
        <v>1218.5637575896039</v>
      </c>
      <c r="Q179" s="116">
        <v>1158.0189682941614</v>
      </c>
      <c r="R179" s="116">
        <v>1197.2791100869233</v>
      </c>
      <c r="S179" s="116">
        <v>1174.4540495553319</v>
      </c>
      <c r="T179" s="116">
        <v>1171.5194263995807</v>
      </c>
      <c r="U179" s="116">
        <v>1090.9352858341322</v>
      </c>
      <c r="V179" s="116">
        <v>1099.2695787536968</v>
      </c>
      <c r="W179" s="116">
        <v>1124.5671714007237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413.96029560658144</v>
      </c>
      <c r="E180" s="101">
        <v>412.12334668619343</v>
      </c>
      <c r="F180" s="101">
        <v>411.97238855740835</v>
      </c>
      <c r="G180" s="101">
        <v>411.56620623837608</v>
      </c>
      <c r="H180" s="101">
        <v>410.15000139178278</v>
      </c>
      <c r="I180" s="101">
        <v>409.8994059748706</v>
      </c>
      <c r="J180" s="101">
        <v>408.8812317698127</v>
      </c>
      <c r="K180" s="101">
        <v>408.57633785484131</v>
      </c>
      <c r="L180" s="101">
        <v>408.57633785484131</v>
      </c>
      <c r="M180" s="101">
        <v>406.7050747464657</v>
      </c>
      <c r="N180" s="101">
        <v>406.02197300770558</v>
      </c>
      <c r="O180" s="101">
        <v>287.54054588114872</v>
      </c>
      <c r="P180" s="101">
        <v>282.32529628115992</v>
      </c>
      <c r="Q180" s="101">
        <v>282.32529628115998</v>
      </c>
      <c r="R180" s="101">
        <v>282.32529628116004</v>
      </c>
      <c r="S180" s="101">
        <v>282.32529628115998</v>
      </c>
      <c r="T180" s="101">
        <v>282.32529628115992</v>
      </c>
      <c r="U180" s="101">
        <v>282.32529628115998</v>
      </c>
      <c r="V180" s="101">
        <v>282.32529628115998</v>
      </c>
      <c r="W180" s="101">
        <v>282.32529628115998</v>
      </c>
      <c r="DA180" s="175" t="s">
        <v>917</v>
      </c>
    </row>
    <row r="181" spans="1:105" ht="11.45" customHeight="1" x14ac:dyDescent="0.25">
      <c r="A181" s="111" t="s">
        <v>111</v>
      </c>
      <c r="B181" s="101">
        <v>1743.1568974309794</v>
      </c>
      <c r="C181" s="101">
        <v>1632.1523658301764</v>
      </c>
      <c r="D181" s="101">
        <v>1573.8836881448617</v>
      </c>
      <c r="E181" s="101">
        <v>1521.2302124326311</v>
      </c>
      <c r="F181" s="101">
        <v>1506.4472755248014</v>
      </c>
      <c r="G181" s="101">
        <v>1502.3817584092026</v>
      </c>
      <c r="H181" s="101">
        <v>1496.9169118971556</v>
      </c>
      <c r="I181" s="101">
        <v>1491.0075148175508</v>
      </c>
      <c r="J181" s="101">
        <v>1481.5725755443077</v>
      </c>
      <c r="K181" s="101">
        <v>1473.2182485021337</v>
      </c>
      <c r="L181" s="101">
        <v>1462.2968615563786</v>
      </c>
      <c r="M181" s="101">
        <v>1442.3442784347926</v>
      </c>
      <c r="N181" s="101">
        <v>1437.8540615447364</v>
      </c>
      <c r="O181" s="101">
        <v>1409.3199339368866</v>
      </c>
      <c r="P181" s="101">
        <v>1382.3233235551165</v>
      </c>
      <c r="Q181" s="101">
        <v>1360.8750317446918</v>
      </c>
      <c r="R181" s="101">
        <v>1343.5905410693774</v>
      </c>
      <c r="S181" s="101">
        <v>1328.2882915816438</v>
      </c>
      <c r="T181" s="101">
        <v>1316.4237466073182</v>
      </c>
      <c r="U181" s="101">
        <v>1311.1777159807909</v>
      </c>
      <c r="V181" s="101">
        <v>1303.9470593963788</v>
      </c>
      <c r="W181" s="101">
        <v>1296.0083499375669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1054.5372338188442</v>
      </c>
      <c r="E182" s="101">
        <v>1054.5372338188445</v>
      </c>
      <c r="F182" s="101">
        <v>1054.5372338188445</v>
      </c>
      <c r="G182" s="101">
        <v>1054.5372338188445</v>
      </c>
      <c r="H182" s="101">
        <v>1054.5372338188445</v>
      </c>
      <c r="I182" s="101">
        <v>1054.5372338188445</v>
      </c>
      <c r="J182" s="101">
        <v>1054.5372338188445</v>
      </c>
      <c r="K182" s="101">
        <v>1054.5372338188445</v>
      </c>
      <c r="L182" s="101">
        <v>1054.5372338188445</v>
      </c>
      <c r="M182" s="101">
        <v>980.39169270516561</v>
      </c>
      <c r="N182" s="101">
        <v>980.39169270516538</v>
      </c>
      <c r="O182" s="101">
        <v>960.38933795156856</v>
      </c>
      <c r="P182" s="101">
        <v>949.3987844987505</v>
      </c>
      <c r="Q182" s="101">
        <v>948.68443562794607</v>
      </c>
      <c r="R182" s="101">
        <v>948.43798517273035</v>
      </c>
      <c r="S182" s="101">
        <v>946.65983776754865</v>
      </c>
      <c r="T182" s="101">
        <v>942.72252255439707</v>
      </c>
      <c r="U182" s="101">
        <v>932.93255789804573</v>
      </c>
      <c r="V182" s="101">
        <v>932.24882469029842</v>
      </c>
      <c r="W182" s="101">
        <v>931.43449478271725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876.27515541974776</v>
      </c>
      <c r="L183" s="101">
        <v>873.05313218833123</v>
      </c>
      <c r="M183" s="101">
        <v>865.71807648764297</v>
      </c>
      <c r="N183" s="101">
        <v>865.46945591410304</v>
      </c>
      <c r="O183" s="101">
        <v>851.11281996294167</v>
      </c>
      <c r="P183" s="101">
        <v>846.28212888637597</v>
      </c>
      <c r="Q183" s="101">
        <v>830.14444221176745</v>
      </c>
      <c r="R183" s="101">
        <v>829.93800621596006</v>
      </c>
      <c r="S183" s="101">
        <v>828.57806264980752</v>
      </c>
      <c r="T183" s="101">
        <v>828.60332137084936</v>
      </c>
      <c r="U183" s="101">
        <v>827.3906909370312</v>
      </c>
      <c r="V183" s="101">
        <v>811.11934663039517</v>
      </c>
      <c r="W183" s="101">
        <v>806.27709008258932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382.62743421752168</v>
      </c>
      <c r="C186" s="152">
        <v>363.59897363927098</v>
      </c>
      <c r="D186" s="152">
        <v>339.29760410916003</v>
      </c>
      <c r="E186" s="152">
        <v>320.29802354081147</v>
      </c>
      <c r="F186" s="152">
        <v>303.87357005418886</v>
      </c>
      <c r="G186" s="152">
        <v>290.24081694333665</v>
      </c>
      <c r="H186" s="152">
        <v>275.72999144174423</v>
      </c>
      <c r="I186" s="152">
        <v>265.3044624104009</v>
      </c>
      <c r="J186" s="152">
        <v>250.60177549337996</v>
      </c>
      <c r="K186" s="152">
        <v>234.48973232879112</v>
      </c>
      <c r="L186" s="152">
        <v>198.86158376781421</v>
      </c>
      <c r="M186" s="152">
        <v>236.26271189681856</v>
      </c>
      <c r="N186" s="152">
        <v>242.49847115100161</v>
      </c>
      <c r="O186" s="152">
        <v>238.79078776527976</v>
      </c>
      <c r="P186" s="152">
        <v>239.85739674908922</v>
      </c>
      <c r="Q186" s="152">
        <v>218.29074858536197</v>
      </c>
      <c r="R186" s="152">
        <v>222.13698201262656</v>
      </c>
      <c r="S186" s="152">
        <v>209.95688574026497</v>
      </c>
      <c r="T186" s="152">
        <v>220.47738448221909</v>
      </c>
      <c r="U186" s="152">
        <v>225.11153989843245</v>
      </c>
      <c r="V186" s="152">
        <v>240.03467509827573</v>
      </c>
      <c r="W186" s="152">
        <v>236.67077221618916</v>
      </c>
      <c r="DA186" s="174" t="s">
        <v>922</v>
      </c>
    </row>
    <row r="187" spans="1:105" ht="11.45" customHeight="1" x14ac:dyDescent="0.25">
      <c r="A187" s="111" t="s">
        <v>110</v>
      </c>
      <c r="B187" s="87">
        <v>315.27923899637926</v>
      </c>
      <c r="C187" s="87">
        <v>305.31870222406184</v>
      </c>
      <c r="D187" s="87">
        <v>296.7452289451108</v>
      </c>
      <c r="E187" s="87">
        <v>289.94828238953795</v>
      </c>
      <c r="F187" s="87">
        <v>284.38549645255318</v>
      </c>
      <c r="G187" s="87">
        <v>279.51727834647954</v>
      </c>
      <c r="H187" s="87">
        <v>274.56541203711322</v>
      </c>
      <c r="I187" s="87">
        <v>271.30478299810824</v>
      </c>
      <c r="J187" s="87">
        <v>269.06742943485386</v>
      </c>
      <c r="K187" s="87">
        <v>265.1792044947955</v>
      </c>
      <c r="L187" s="87">
        <v>265.87711629132008</v>
      </c>
      <c r="M187" s="87">
        <v>265.14485901050705</v>
      </c>
      <c r="N187" s="87">
        <v>260.57359345854911</v>
      </c>
      <c r="O187" s="87">
        <v>254.71024681619858</v>
      </c>
      <c r="P187" s="87">
        <v>247.07385329334582</v>
      </c>
      <c r="Q187" s="87">
        <v>238.6793370190189</v>
      </c>
      <c r="R187" s="87">
        <v>226.48503048896657</v>
      </c>
      <c r="S187" s="87">
        <v>212.182424040613</v>
      </c>
      <c r="T187" s="87">
        <v>200.23297529310474</v>
      </c>
      <c r="U187" s="87">
        <v>202.48806801549216</v>
      </c>
      <c r="V187" s="87">
        <v>197.44329270469154</v>
      </c>
      <c r="W187" s="87">
        <v>194.25076592698173</v>
      </c>
      <c r="DA187" s="171" t="s">
        <v>923</v>
      </c>
    </row>
    <row r="188" spans="1:105" ht="11.45" customHeight="1" x14ac:dyDescent="0.25">
      <c r="A188" s="111" t="s">
        <v>111</v>
      </c>
      <c r="B188" s="87">
        <v>385.73745446426915</v>
      </c>
      <c r="C188" s="87">
        <v>358.08887964244275</v>
      </c>
      <c r="D188" s="87">
        <v>329.41065563354869</v>
      </c>
      <c r="E188" s="87">
        <v>309.82549695616194</v>
      </c>
      <c r="F188" s="87">
        <v>295.38679243708003</v>
      </c>
      <c r="G188" s="87">
        <v>282.68883033360027</v>
      </c>
      <c r="H188" s="87">
        <v>270.90535842748335</v>
      </c>
      <c r="I188" s="87">
        <v>263.81753977689289</v>
      </c>
      <c r="J188" s="87">
        <v>257.83632203137063</v>
      </c>
      <c r="K188" s="87">
        <v>252.62861617307883</v>
      </c>
      <c r="L188" s="87">
        <v>251.79395706659261</v>
      </c>
      <c r="M188" s="87">
        <v>252.46431421474446</v>
      </c>
      <c r="N188" s="87">
        <v>252.19071697477696</v>
      </c>
      <c r="O188" s="87">
        <v>249.82594273138105</v>
      </c>
      <c r="P188" s="87">
        <v>246.17973228175819</v>
      </c>
      <c r="Q188" s="87">
        <v>244.79285566648306</v>
      </c>
      <c r="R188" s="87">
        <v>241.88872854246171</v>
      </c>
      <c r="S188" s="87">
        <v>239.20337574796548</v>
      </c>
      <c r="T188" s="87">
        <v>235.33134579080127</v>
      </c>
      <c r="U188" s="87">
        <v>231.97594051125742</v>
      </c>
      <c r="V188" s="87">
        <v>230.93406886676252</v>
      </c>
      <c r="W188" s="87">
        <v>229.66154659500748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863.09622461433696</v>
      </c>
      <c r="C192" s="116">
        <v>861.38289510647394</v>
      </c>
      <c r="D192" s="116">
        <v>855.84388864920186</v>
      </c>
      <c r="E192" s="116">
        <v>843.80424990224742</v>
      </c>
      <c r="F192" s="116">
        <v>842.25350948951461</v>
      </c>
      <c r="G192" s="116">
        <v>838.68579666590335</v>
      </c>
      <c r="H192" s="116">
        <v>834.5636277320607</v>
      </c>
      <c r="I192" s="116">
        <v>827.66272177791654</v>
      </c>
      <c r="J192" s="116">
        <v>824.08892221591691</v>
      </c>
      <c r="K192" s="116">
        <v>819.91832885339693</v>
      </c>
      <c r="L192" s="116">
        <v>818.69780682417525</v>
      </c>
      <c r="M192" s="116">
        <v>811.27825403677252</v>
      </c>
      <c r="N192" s="116">
        <v>802.71639777974883</v>
      </c>
      <c r="O192" s="116">
        <v>793.13490708122993</v>
      </c>
      <c r="P192" s="116">
        <v>783.4912172181505</v>
      </c>
      <c r="Q192" s="116">
        <v>781.95607942331969</v>
      </c>
      <c r="R192" s="116">
        <v>769.21486250452415</v>
      </c>
      <c r="S192" s="116">
        <v>756.3384587356644</v>
      </c>
      <c r="T192" s="116">
        <v>743.80187276224456</v>
      </c>
      <c r="U192" s="116">
        <v>730.23714225891399</v>
      </c>
      <c r="V192" s="116">
        <v>723.6899723527448</v>
      </c>
      <c r="W192" s="116">
        <v>716.83622832030642</v>
      </c>
      <c r="DA192" s="176" t="s">
        <v>928</v>
      </c>
    </row>
    <row r="193" spans="1:105" ht="11.45" customHeight="1" x14ac:dyDescent="0.25">
      <c r="A193" s="128" t="s">
        <v>27</v>
      </c>
      <c r="B193" s="101">
        <v>794.10769249951943</v>
      </c>
      <c r="C193" s="101">
        <v>792.10156097592119</v>
      </c>
      <c r="D193" s="101">
        <v>786.748862013809</v>
      </c>
      <c r="E193" s="101">
        <v>778.27863806310904</v>
      </c>
      <c r="F193" s="101">
        <v>775.88746406541145</v>
      </c>
      <c r="G193" s="101">
        <v>771.51385954245291</v>
      </c>
      <c r="H193" s="101">
        <v>766.05665880058211</v>
      </c>
      <c r="I193" s="101">
        <v>760.17380475022867</v>
      </c>
      <c r="J193" s="101">
        <v>756.30580627155734</v>
      </c>
      <c r="K193" s="101">
        <v>755.04319122701429</v>
      </c>
      <c r="L193" s="101">
        <v>752.69218131254661</v>
      </c>
      <c r="M193" s="101">
        <v>744.70020001716159</v>
      </c>
      <c r="N193" s="101">
        <v>736.02098912682175</v>
      </c>
      <c r="O193" s="101">
        <v>726.14297695024652</v>
      </c>
      <c r="P193" s="101">
        <v>718.33877023184709</v>
      </c>
      <c r="Q193" s="101">
        <v>716.21978005460062</v>
      </c>
      <c r="R193" s="101">
        <v>704.18336655783605</v>
      </c>
      <c r="S193" s="101">
        <v>691.31078912459236</v>
      </c>
      <c r="T193" s="101">
        <v>681.52524753148793</v>
      </c>
      <c r="U193" s="101">
        <v>668.57260044264569</v>
      </c>
      <c r="V193" s="101">
        <v>663.38995853087192</v>
      </c>
      <c r="W193" s="101">
        <v>658.9382695201067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1053.3181107323408</v>
      </c>
      <c r="D194" s="88">
        <v>1041.8459188205509</v>
      </c>
      <c r="E194" s="88">
        <v>1032.1051275574687</v>
      </c>
      <c r="F194" s="88">
        <v>1011.7079633744049</v>
      </c>
      <c r="G194" s="88">
        <v>1001.0376621184329</v>
      </c>
      <c r="H194" s="88">
        <v>978.73802981100334</v>
      </c>
      <c r="I194" s="88">
        <v>965.88274937324979</v>
      </c>
      <c r="J194" s="88">
        <v>961.09089769489742</v>
      </c>
      <c r="K194" s="88">
        <v>949.73564477113371</v>
      </c>
      <c r="L194" s="88">
        <v>933.60399034244779</v>
      </c>
      <c r="M194" s="88">
        <v>920.9720859000364</v>
      </c>
      <c r="N194" s="88">
        <v>906.50206227548381</v>
      </c>
      <c r="O194" s="88">
        <v>891.23917766297404</v>
      </c>
      <c r="P194" s="88">
        <v>887.55059117475241</v>
      </c>
      <c r="Q194" s="88">
        <v>870.89945417208583</v>
      </c>
      <c r="R194" s="88">
        <v>859.01847690726254</v>
      </c>
      <c r="S194" s="88">
        <v>847.92929174721542</v>
      </c>
      <c r="T194" s="88">
        <v>839.82166304623718</v>
      </c>
      <c r="U194" s="88">
        <v>826.33348836548635</v>
      </c>
      <c r="V194" s="88">
        <v>801.64167082943936</v>
      </c>
      <c r="W194" s="88">
        <v>787.43889361742663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</v>
      </c>
      <c r="C198" s="150">
        <f>IF(TrRoad_act!C59=0,0,TrRoad_emi!C56/TrRoad_tech!C171)</f>
        <v>1.127642181076725</v>
      </c>
      <c r="D198" s="150">
        <f>IF(TrRoad_act!D59=0,0,TrRoad_emi!D56/TrRoad_tech!D171)</f>
        <v>1.1281324814135274</v>
      </c>
      <c r="E198" s="150">
        <f>IF(TrRoad_act!E59=0,0,TrRoad_emi!E56/TrRoad_tech!E171)</f>
        <v>1.0739269186132581</v>
      </c>
      <c r="F198" s="150">
        <f>IF(TrRoad_act!F59=0,0,TrRoad_emi!F56/TrRoad_tech!F171)</f>
        <v>1.075253834284434</v>
      </c>
      <c r="G198" s="150">
        <f>IF(TrRoad_act!G59=0,0,TrRoad_emi!G56/TrRoad_tech!G171)</f>
        <v>1.0754653042072759</v>
      </c>
      <c r="H198" s="150">
        <f>IF(TrRoad_act!H59=0,0,TrRoad_emi!H56/TrRoad_tech!H171)</f>
        <v>1.066636162591462</v>
      </c>
      <c r="I198" s="150">
        <f>IF(TrRoad_act!I59=0,0,TrRoad_emi!I56/TrRoad_tech!I171)</f>
        <v>1.0614297443509213</v>
      </c>
      <c r="J198" s="150">
        <f>IF(TrRoad_act!J59=0,0,TrRoad_emi!J56/TrRoad_tech!J171)</f>
        <v>1.061338813040668</v>
      </c>
      <c r="K198" s="150">
        <f>IF(TrRoad_act!K59=0,0,TrRoad_emi!K56/TrRoad_tech!K171)</f>
        <v>1.0666706443613505</v>
      </c>
      <c r="L198" s="150">
        <f>IF(TrRoad_act!L59=0,0,TrRoad_emi!L56/TrRoad_tech!L171)</f>
        <v>1.0723567614611613</v>
      </c>
      <c r="M198" s="150">
        <f>IF(TrRoad_act!M59=0,0,TrRoad_emi!M56/TrRoad_tech!M171)</f>
        <v>1.073674534534127</v>
      </c>
      <c r="N198" s="150">
        <f>IF(TrRoad_act!N59=0,0,TrRoad_emi!N56/TrRoad_tech!N171)</f>
        <v>1.0792340981659052</v>
      </c>
      <c r="O198" s="150">
        <f>IF(TrRoad_act!O59=0,0,TrRoad_emi!O56/TrRoad_tech!O171)</f>
        <v>1.0899295714457757</v>
      </c>
      <c r="P198" s="150">
        <f>IF(TrRoad_act!P59=0,0,TrRoad_emi!P56/TrRoad_tech!P171)</f>
        <v>1.0983968121630456</v>
      </c>
      <c r="Q198" s="150">
        <f>IF(TrRoad_act!Q59=0,0,TrRoad_emi!Q56/TrRoad_tech!Q171)</f>
        <v>1.0835862643652545</v>
      </c>
      <c r="R198" s="150">
        <f>IF(TrRoad_act!R59=0,0,TrRoad_emi!R56/TrRoad_tech!R171)</f>
        <v>1.170148105476738</v>
      </c>
      <c r="S198" s="150">
        <f>IF(TrRoad_act!S59=0,0,TrRoad_emi!S56/TrRoad_tech!S171)</f>
        <v>1.1724946044064537</v>
      </c>
      <c r="T198" s="150">
        <f>IF(TrRoad_act!T59=0,0,TrRoad_emi!T56/TrRoad_tech!T171)</f>
        <v>1.1936887605676414</v>
      </c>
      <c r="U198" s="150">
        <f>IF(TrRoad_act!U59=0,0,TrRoad_emi!U56/TrRoad_tech!U171)</f>
        <v>1.2208020943727036</v>
      </c>
      <c r="V198" s="150">
        <f>IF(TrRoad_act!V59=0,0,TrRoad_emi!V56/TrRoad_tech!V171)</f>
        <v>1.2251919582840143</v>
      </c>
      <c r="W198" s="150">
        <f>IF(TrRoad_act!W59=0,0,TrRoad_emi!W56/TrRoad_tech!W171)</f>
        <v>1.231772794313202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0.91367454253051494</v>
      </c>
      <c r="C199" s="151">
        <f>IF(TrRoad_act!C60=0,0,TrRoad_emi!C57/TrRoad_tech!C172)</f>
        <v>0.96262935034862973</v>
      </c>
      <c r="D199" s="151">
        <f>IF(TrRoad_act!D60=0,0,TrRoad_emi!D57/TrRoad_tech!D172)</f>
        <v>0.96849301890491313</v>
      </c>
      <c r="E199" s="151">
        <f>IF(TrRoad_act!E60=0,0,TrRoad_emi!E57/TrRoad_tech!E172)</f>
        <v>0.94505076868737614</v>
      </c>
      <c r="F199" s="151">
        <f>IF(TrRoad_act!F60=0,0,TrRoad_emi!F57/TrRoad_tech!F172)</f>
        <v>0.95233069645221158</v>
      </c>
      <c r="G199" s="151">
        <f>IF(TrRoad_act!G60=0,0,TrRoad_emi!G57/TrRoad_tech!G172)</f>
        <v>0.90597339492677675</v>
      </c>
      <c r="H199" s="151">
        <f>IF(TrRoad_act!H60=0,0,TrRoad_emi!H57/TrRoad_tech!H172)</f>
        <v>0.91649760922394896</v>
      </c>
      <c r="I199" s="151">
        <f>IF(TrRoad_act!I60=0,0,TrRoad_emi!I57/TrRoad_tech!I172)</f>
        <v>0.95014914818397911</v>
      </c>
      <c r="J199" s="151">
        <f>IF(TrRoad_act!J60=0,0,TrRoad_emi!J57/TrRoad_tech!J172)</f>
        <v>0.92056844029340301</v>
      </c>
      <c r="K199" s="151">
        <f>IF(TrRoad_act!K60=0,0,TrRoad_emi!K57/TrRoad_tech!K172)</f>
        <v>0.871426226677814</v>
      </c>
      <c r="L199" s="151">
        <f>IF(TrRoad_act!L60=0,0,TrRoad_emi!L57/TrRoad_tech!L172)</f>
        <v>0.85718970884884227</v>
      </c>
      <c r="M199" s="151">
        <f>IF(TrRoad_act!M60=0,0,TrRoad_emi!M57/TrRoad_tech!M172)</f>
        <v>0.87325604481561203</v>
      </c>
      <c r="N199" s="151">
        <f>IF(TrRoad_act!N60=0,0,TrRoad_emi!N57/TrRoad_tech!N172)</f>
        <v>0.85416683290803141</v>
      </c>
      <c r="O199" s="151">
        <f>IF(TrRoad_act!O60=0,0,TrRoad_emi!O57/TrRoad_tech!O172)</f>
        <v>0.8959395810216163</v>
      </c>
      <c r="P199" s="151">
        <f>IF(TrRoad_act!P60=0,0,TrRoad_emi!P57/TrRoad_tech!P172)</f>
        <v>0.9372380132372401</v>
      </c>
      <c r="Q199" s="151">
        <f>IF(TrRoad_act!Q60=0,0,TrRoad_emi!Q57/TrRoad_tech!Q172)</f>
        <v>0.93961898068087368</v>
      </c>
      <c r="R199" s="151">
        <f>IF(TrRoad_act!R60=0,0,TrRoad_emi!R57/TrRoad_tech!R172)</f>
        <v>0.9545416784182309</v>
      </c>
      <c r="S199" s="151">
        <f>IF(TrRoad_act!S60=0,0,TrRoad_emi!S57/TrRoad_tech!S172)</f>
        <v>0.96067565049664094</v>
      </c>
      <c r="T199" s="151">
        <f>IF(TrRoad_act!T60=0,0,TrRoad_emi!T57/TrRoad_tech!T172)</f>
        <v>0.97792537311535499</v>
      </c>
      <c r="U199" s="151">
        <f>IF(TrRoad_act!U60=0,0,TrRoad_emi!U57/TrRoad_tech!U172)</f>
        <v>0.99822826815529986</v>
      </c>
      <c r="V199" s="151">
        <f>IF(TrRoad_act!V60=0,0,TrRoad_emi!V57/TrRoad_tech!V172)</f>
        <v>1.0050279059473239</v>
      </c>
      <c r="W199" s="151">
        <f>IF(TrRoad_act!W60=0,0,TrRoad_emi!W57/TrRoad_tech!W172)</f>
        <v>0.97894380726264774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0.93950158337695144</v>
      </c>
      <c r="C200" s="91">
        <f>IF(TrRoad_act!C61=0,0,TrRoad_emi!C58/TrRoad_tech!C173)</f>
        <v>0.99450104473132506</v>
      </c>
      <c r="D200" s="91">
        <f>IF(TrRoad_act!D61=0,0,TrRoad_emi!D58/TrRoad_tech!D173)</f>
        <v>0.98656449860756101</v>
      </c>
      <c r="E200" s="91">
        <f>IF(TrRoad_act!E61=0,0,TrRoad_emi!E58/TrRoad_tech!E173)</f>
        <v>0.96312578609236899</v>
      </c>
      <c r="F200" s="91">
        <f>IF(TrRoad_act!F61=0,0,TrRoad_emi!F58/TrRoad_tech!F173)</f>
        <v>0.96571450948446935</v>
      </c>
      <c r="G200" s="91">
        <f>IF(TrRoad_act!G61=0,0,TrRoad_emi!G58/TrRoad_tech!G173)</f>
        <v>0.9113555799031372</v>
      </c>
      <c r="H200" s="91">
        <f>IF(TrRoad_act!H61=0,0,TrRoad_emi!H58/TrRoad_tech!H173)</f>
        <v>0.89760707311393884</v>
      </c>
      <c r="I200" s="91">
        <f>IF(TrRoad_act!I61=0,0,TrRoad_emi!I58/TrRoad_tech!I173)</f>
        <v>0.92869368749921488</v>
      </c>
      <c r="J200" s="91">
        <f>IF(TrRoad_act!J61=0,0,TrRoad_emi!J58/TrRoad_tech!J173)</f>
        <v>0.92611246043713402</v>
      </c>
      <c r="K200" s="91">
        <f>IF(TrRoad_act!K61=0,0,TrRoad_emi!K58/TrRoad_tech!K173)</f>
        <v>0.88978283086745347</v>
      </c>
      <c r="L200" s="91">
        <f>IF(TrRoad_act!L61=0,0,TrRoad_emi!L58/TrRoad_tech!L173)</f>
        <v>0.9104104024054529</v>
      </c>
      <c r="M200" s="91">
        <f>IF(TrRoad_act!M61=0,0,TrRoad_emi!M58/TrRoad_tech!M173)</f>
        <v>0.89781176033684817</v>
      </c>
      <c r="N200" s="91">
        <f>IF(TrRoad_act!N61=0,0,TrRoad_emi!N58/TrRoad_tech!N173)</f>
        <v>0.89125652753938522</v>
      </c>
      <c r="O200" s="91">
        <f>IF(TrRoad_act!O61=0,0,TrRoad_emi!O58/TrRoad_tech!O173)</f>
        <v>0.91337892294630485</v>
      </c>
      <c r="P200" s="91">
        <f>IF(TrRoad_act!P61=0,0,TrRoad_emi!P58/TrRoad_tech!P173)</f>
        <v>0.92773764066964437</v>
      </c>
      <c r="Q200" s="91">
        <f>IF(TrRoad_act!Q61=0,0,TrRoad_emi!Q58/TrRoad_tech!Q173)</f>
        <v>0.92394153100491727</v>
      </c>
      <c r="R200" s="91">
        <f>IF(TrRoad_act!R61=0,0,TrRoad_emi!R58/TrRoad_tech!R173)</f>
        <v>1.0058568484708632</v>
      </c>
      <c r="S200" s="91">
        <f>IF(TrRoad_act!S61=0,0,TrRoad_emi!S58/TrRoad_tech!S173)</f>
        <v>0.99885688589836696</v>
      </c>
      <c r="T200" s="91">
        <f>IF(TrRoad_act!T61=0,0,TrRoad_emi!T58/TrRoad_tech!T173)</f>
        <v>1.0028893053053685</v>
      </c>
      <c r="U200" s="91">
        <f>IF(TrRoad_act!U61=0,0,TrRoad_emi!U58/TrRoad_tech!U173)</f>
        <v>0.99589231648176824</v>
      </c>
      <c r="V200" s="91">
        <f>IF(TrRoad_act!V61=0,0,TrRoad_emi!V58/TrRoad_tech!V173)</f>
        <v>0.96797272713265625</v>
      </c>
      <c r="W200" s="91">
        <f>IF(TrRoad_act!W61=0,0,TrRoad_emi!W58/TrRoad_tech!W173)</f>
        <v>0.97210740644588778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0.87978760633917097</v>
      </c>
      <c r="C201" s="91">
        <f>IF(TrRoad_act!C62=0,0,TrRoad_emi!C59/TrRoad_tech!C174)</f>
        <v>0.91075885358891806</v>
      </c>
      <c r="D201" s="91">
        <f>IF(TrRoad_act!D62=0,0,TrRoad_emi!D59/TrRoad_tech!D174)</f>
        <v>0.90702028602639873</v>
      </c>
      <c r="E201" s="91">
        <f>IF(TrRoad_act!E62=0,0,TrRoad_emi!E59/TrRoad_tech!E174)</f>
        <v>0.87566325533587863</v>
      </c>
      <c r="F201" s="91">
        <f>IF(TrRoad_act!F62=0,0,TrRoad_emi!F59/TrRoad_tech!F174)</f>
        <v>0.89699183211870459</v>
      </c>
      <c r="G201" s="91">
        <f>IF(TrRoad_act!G62=0,0,TrRoad_emi!G59/TrRoad_tech!G174)</f>
        <v>0.89088672247328171</v>
      </c>
      <c r="H201" s="91">
        <f>IF(TrRoad_act!H62=0,0,TrRoad_emi!H59/TrRoad_tech!H174)</f>
        <v>0.8761248222828476</v>
      </c>
      <c r="I201" s="91">
        <f>IF(TrRoad_act!I62=0,0,TrRoad_emi!I59/TrRoad_tech!I174)</f>
        <v>0.93311762495814465</v>
      </c>
      <c r="J201" s="91">
        <f>IF(TrRoad_act!J62=0,0,TrRoad_emi!J59/TrRoad_tech!J174)</f>
        <v>0.93999444108820729</v>
      </c>
      <c r="K201" s="91">
        <f>IF(TrRoad_act!K62=0,0,TrRoad_emi!K59/TrRoad_tech!K174)</f>
        <v>0.87074815515573911</v>
      </c>
      <c r="L201" s="91">
        <f>IF(TrRoad_act!L62=0,0,TrRoad_emi!L59/TrRoad_tech!L174)</f>
        <v>0.90453801341506823</v>
      </c>
      <c r="M201" s="91">
        <f>IF(TrRoad_act!M62=0,0,TrRoad_emi!M59/TrRoad_tech!M174)</f>
        <v>0.93097958745018894</v>
      </c>
      <c r="N201" s="91">
        <f>IF(TrRoad_act!N62=0,0,TrRoad_emi!N59/TrRoad_tech!N174)</f>
        <v>0.87586468391793726</v>
      </c>
      <c r="O201" s="91">
        <f>IF(TrRoad_act!O62=0,0,TrRoad_emi!O59/TrRoad_tech!O174)</f>
        <v>0.8983749432663436</v>
      </c>
      <c r="P201" s="91">
        <f>IF(TrRoad_act!P62=0,0,TrRoad_emi!P59/TrRoad_tech!P174)</f>
        <v>0.96041106467232995</v>
      </c>
      <c r="Q201" s="91">
        <f>IF(TrRoad_act!Q62=0,0,TrRoad_emi!Q59/TrRoad_tech!Q174)</f>
        <v>0.97761340136434527</v>
      </c>
      <c r="R201" s="91">
        <f>IF(TrRoad_act!R62=0,0,TrRoad_emi!R59/TrRoad_tech!R174)</f>
        <v>0.9801078942400735</v>
      </c>
      <c r="S201" s="91">
        <f>IF(TrRoad_act!S62=0,0,TrRoad_emi!S59/TrRoad_tech!S174)</f>
        <v>0.97657074711800651</v>
      </c>
      <c r="T201" s="91">
        <f>IF(TrRoad_act!T62=0,0,TrRoad_emi!T59/TrRoad_tech!T174)</f>
        <v>0.97895054142119742</v>
      </c>
      <c r="U201" s="91">
        <f>IF(TrRoad_act!U62=0,0,TrRoad_emi!U59/TrRoad_tech!U174)</f>
        <v>0.98604927853731206</v>
      </c>
      <c r="V201" s="91">
        <f>IF(TrRoad_act!V62=0,0,TrRoad_emi!V59/TrRoad_tech!V174)</f>
        <v>0.97543552276819678</v>
      </c>
      <c r="W201" s="91">
        <f>IF(TrRoad_act!W62=0,0,TrRoad_emi!W59/TrRoad_tech!W174)</f>
        <v>0.96591799720367322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0.95954427415200738</v>
      </c>
      <c r="C202" s="91">
        <f>IF(TrRoad_act!C63=0,0,TrRoad_emi!C60/TrRoad_tech!C175)</f>
        <v>1.1275725860483969</v>
      </c>
      <c r="D202" s="91">
        <f>IF(TrRoad_act!D63=0,0,TrRoad_emi!D60/TrRoad_tech!D175)</f>
        <v>1.1568461077409373</v>
      </c>
      <c r="E202" s="91">
        <f>IF(TrRoad_act!E63=0,0,TrRoad_emi!E60/TrRoad_tech!E175)</f>
        <v>1.2207593381666881</v>
      </c>
      <c r="F202" s="91">
        <f>IF(TrRoad_act!F63=0,0,TrRoad_emi!F60/TrRoad_tech!F175)</f>
        <v>1.1749162157732647</v>
      </c>
      <c r="G202" s="91">
        <f>IF(TrRoad_act!G63=0,0,TrRoad_emi!G60/TrRoad_tech!G175)</f>
        <v>1.375224073693025</v>
      </c>
      <c r="H202" s="91">
        <f>IF(TrRoad_act!H63=0,0,TrRoad_emi!H60/TrRoad_tech!H175)</f>
        <v>1.3128969037104186</v>
      </c>
      <c r="I202" s="91">
        <f>IF(TrRoad_act!I63=0,0,TrRoad_emi!I60/TrRoad_tech!I175)</f>
        <v>1.1107413255016796</v>
      </c>
      <c r="J202" s="91">
        <f>IF(TrRoad_act!J63=0,0,TrRoad_emi!J60/TrRoad_tech!J175)</f>
        <v>1.0561849145235731</v>
      </c>
      <c r="K202" s="91">
        <f>IF(TrRoad_act!K63=0,0,TrRoad_emi!K60/TrRoad_tech!K175)</f>
        <v>1.2039921029274607</v>
      </c>
      <c r="L202" s="91">
        <f>IF(TrRoad_act!L63=0,0,TrRoad_emi!L60/TrRoad_tech!L175)</f>
        <v>1.0684919713781127</v>
      </c>
      <c r="M202" s="91">
        <f>IF(TrRoad_act!M63=0,0,TrRoad_emi!M60/TrRoad_tech!M175)</f>
        <v>1.0868146950729312</v>
      </c>
      <c r="N202" s="91">
        <f>IF(TrRoad_act!N63=0,0,TrRoad_emi!N60/TrRoad_tech!N175)</f>
        <v>1.1559740278898591</v>
      </c>
      <c r="O202" s="91">
        <f>IF(TrRoad_act!O63=0,0,TrRoad_emi!O60/TrRoad_tech!O175)</f>
        <v>1.0777212559444989</v>
      </c>
      <c r="P202" s="91">
        <f>IF(TrRoad_act!P63=0,0,TrRoad_emi!P60/TrRoad_tech!P175)</f>
        <v>1.0795832971442016</v>
      </c>
      <c r="Q202" s="91">
        <f>IF(TrRoad_act!Q63=0,0,TrRoad_emi!Q60/TrRoad_tech!Q175)</f>
        <v>1.0639681035055761</v>
      </c>
      <c r="R202" s="91">
        <f>IF(TrRoad_act!R63=0,0,TrRoad_emi!R60/TrRoad_tech!R175)</f>
        <v>1.0049387230745463</v>
      </c>
      <c r="S202" s="91">
        <f>IF(TrRoad_act!S63=0,0,TrRoad_emi!S60/TrRoad_tech!S175)</f>
        <v>1.0266099510845352</v>
      </c>
      <c r="T202" s="91">
        <f>IF(TrRoad_act!T63=0,0,TrRoad_emi!T60/TrRoad_tech!T175)</f>
        <v>1.0400521772265092</v>
      </c>
      <c r="U202" s="91">
        <f>IF(TrRoad_act!U63=0,0,TrRoad_emi!U60/TrRoad_tech!U175)</f>
        <v>1.0501216266463713</v>
      </c>
      <c r="V202" s="91">
        <f>IF(TrRoad_act!V63=0,0,TrRoad_emi!V60/TrRoad_tech!V175)</f>
        <v>1.0919403997858004</v>
      </c>
      <c r="W202" s="91">
        <f>IF(TrRoad_act!W63=0,0,TrRoad_emi!W60/TrRoad_tech!W175)</f>
        <v>1.1632412969393258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1.0655555555606799</v>
      </c>
      <c r="O203" s="91">
        <f>IF(TrRoad_act!O64=0,0,TrRoad_emi!O61/TrRoad_tech!O176)</f>
        <v>1.069767923919789</v>
      </c>
      <c r="P203" s="91">
        <f>IF(TrRoad_act!P64=0,0,TrRoad_emi!P61/TrRoad_tech!P176)</f>
        <v>1.0756889210655765</v>
      </c>
      <c r="Q203" s="91">
        <f>IF(TrRoad_act!Q64=0,0,TrRoad_emi!Q61/TrRoad_tech!Q176)</f>
        <v>1.0777577798539855</v>
      </c>
      <c r="R203" s="91">
        <f>IF(TrRoad_act!R64=0,0,TrRoad_emi!R61/TrRoad_tech!R176)</f>
        <v>1.0804623949306527</v>
      </c>
      <c r="S203" s="91">
        <f>IF(TrRoad_act!S64=0,0,TrRoad_emi!S61/TrRoad_tech!S176)</f>
        <v>1.084574037028621</v>
      </c>
      <c r="T203" s="91">
        <f>IF(TrRoad_act!T64=0,0,TrRoad_emi!T61/TrRoad_tech!T176)</f>
        <v>1.0874463061937922</v>
      </c>
      <c r="U203" s="91">
        <f>IF(TrRoad_act!U64=0,0,TrRoad_emi!U61/TrRoad_tech!U176)</f>
        <v>1.0877880855933681</v>
      </c>
      <c r="V203" s="91">
        <f>IF(TrRoad_act!V64=0,0,TrRoad_emi!V61/TrRoad_tech!V176)</f>
        <v>1.0925369427852647</v>
      </c>
      <c r="W203" s="91">
        <f>IF(TrRoad_act!W64=0,0,TrRoad_emi!W61/TrRoad_tech!W176)</f>
        <v>1.094555697135454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0.94718508900172504</v>
      </c>
      <c r="P204" s="91">
        <f>IF(TrRoad_act!P65=0,0,TrRoad_emi!P62/TrRoad_tech!P177)</f>
        <v>0.9621546944151429</v>
      </c>
      <c r="Q204" s="91">
        <f>IF(TrRoad_act!Q65=0,0,TrRoad_emi!Q62/TrRoad_tech!Q177)</f>
        <v>0.95695441517710711</v>
      </c>
      <c r="R204" s="91">
        <f>IF(TrRoad_act!R65=0,0,TrRoad_emi!R62/TrRoad_tech!R177)</f>
        <v>1.0422038125099502</v>
      </c>
      <c r="S204" s="91">
        <f>IF(TrRoad_act!S65=0,0,TrRoad_emi!S62/TrRoad_tech!S177)</f>
        <v>1.0334270405920007</v>
      </c>
      <c r="T204" s="91">
        <f>IF(TrRoad_act!T65=0,0,TrRoad_emi!T62/TrRoad_tech!T177)</f>
        <v>1.0359377534595118</v>
      </c>
      <c r="U204" s="91">
        <f>IF(TrRoad_act!U65=0,0,TrRoad_emi!U62/TrRoad_tech!U177)</f>
        <v>1.0245351044917057</v>
      </c>
      <c r="V204" s="91">
        <f>IF(TrRoad_act!V65=0,0,TrRoad_emi!V62/TrRoad_tech!V177)</f>
        <v>0.99400979862452421</v>
      </c>
      <c r="W204" s="91">
        <f>IF(TrRoad_act!W65=0,0,TrRoad_emi!W62/TrRoad_tech!W177)</f>
        <v>0.9964998204739588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1.1000000000067303</v>
      </c>
      <c r="C206" s="151">
        <f>IF(TrRoad_act!C67=0,0,TrRoad_emi!C64/TrRoad_tech!C179)</f>
        <v>1.0822738112001211</v>
      </c>
      <c r="D206" s="151">
        <f>IF(TrRoad_act!D67=0,0,TrRoad_emi!D64/TrRoad_tech!D179)</f>
        <v>1.0885895929033245</v>
      </c>
      <c r="E206" s="151">
        <f>IF(TrRoad_act!E67=0,0,TrRoad_emi!E64/TrRoad_tech!E179)</f>
        <v>1.1070922078922143</v>
      </c>
      <c r="F206" s="151">
        <f>IF(TrRoad_act!F67=0,0,TrRoad_emi!F64/TrRoad_tech!F179)</f>
        <v>1.123738511254353</v>
      </c>
      <c r="G206" s="151">
        <f>IF(TrRoad_act!G67=0,0,TrRoad_emi!G64/TrRoad_tech!G179)</f>
        <v>1.1303726146199016</v>
      </c>
      <c r="H206" s="151">
        <f>IF(TrRoad_act!H67=0,0,TrRoad_emi!H64/TrRoad_tech!H179)</f>
        <v>1.114918443028112</v>
      </c>
      <c r="I206" s="151">
        <f>IF(TrRoad_act!I67=0,0,TrRoad_emi!I64/TrRoad_tech!I179)</f>
        <v>1.0821064810292362</v>
      </c>
      <c r="J206" s="151">
        <f>IF(TrRoad_act!J67=0,0,TrRoad_emi!J64/TrRoad_tech!J179)</f>
        <v>1.0708508572495119</v>
      </c>
      <c r="K206" s="151">
        <f>IF(TrRoad_act!K67=0,0,TrRoad_emi!K64/TrRoad_tech!K179)</f>
        <v>1.0985122428124932</v>
      </c>
      <c r="L206" s="151">
        <f>IF(TrRoad_act!L67=0,0,TrRoad_emi!L64/TrRoad_tech!L179)</f>
        <v>1.1031060305493656</v>
      </c>
      <c r="M206" s="151">
        <f>IF(TrRoad_act!M67=0,0,TrRoad_emi!M64/TrRoad_tech!M179)</f>
        <v>1.1130983345514052</v>
      </c>
      <c r="N206" s="151">
        <f>IF(TrRoad_act!N67=0,0,TrRoad_emi!N64/TrRoad_tech!N179)</f>
        <v>1.0802240082529444</v>
      </c>
      <c r="O206" s="151">
        <f>IF(TrRoad_act!O67=0,0,TrRoad_emi!O64/TrRoad_tech!O179)</f>
        <v>1.2908714293490176</v>
      </c>
      <c r="P206" s="151">
        <f>IF(TrRoad_act!P67=0,0,TrRoad_emi!P64/TrRoad_tech!P179)</f>
        <v>1.017584465218567</v>
      </c>
      <c r="Q206" s="151">
        <f>IF(TrRoad_act!Q67=0,0,TrRoad_emi!Q64/TrRoad_tech!Q179)</f>
        <v>1.0321631821556421</v>
      </c>
      <c r="R206" s="151">
        <f>IF(TrRoad_act!R67=0,0,TrRoad_emi!R64/TrRoad_tech!R179)</f>
        <v>1.0007154478373335</v>
      </c>
      <c r="S206" s="151">
        <f>IF(TrRoad_act!S67=0,0,TrRoad_emi!S64/TrRoad_tech!S179)</f>
        <v>1.0201287735986555</v>
      </c>
      <c r="T206" s="151">
        <f>IF(TrRoad_act!T67=0,0,TrRoad_emi!T64/TrRoad_tech!T179)</f>
        <v>1.0296585210646179</v>
      </c>
      <c r="U206" s="151">
        <f>IF(TrRoad_act!U67=0,0,TrRoad_emi!U64/TrRoad_tech!U179)</f>
        <v>1.1174248114399423</v>
      </c>
      <c r="V206" s="151">
        <f>IF(TrRoad_act!V67=0,0,TrRoad_emi!V64/TrRoad_tech!V179)</f>
        <v>1.0581698591474757</v>
      </c>
      <c r="W206" s="151">
        <f>IF(TrRoad_act!W67=0,0,TrRoad_emi!W64/TrRoad_tech!W179)</f>
        <v>0.95737981246685699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1.1093333333401461</v>
      </c>
      <c r="E207" s="93">
        <f>IF(TrRoad_act!E68=0,0,TrRoad_emi!E65/TrRoad_tech!E180)</f>
        <v>1.1116776536238036</v>
      </c>
      <c r="F207" s="93">
        <f>IF(TrRoad_act!F68=0,0,TrRoad_emi!F65/TrRoad_tech!F180)</f>
        <v>1.1118712365042942</v>
      </c>
      <c r="G207" s="93">
        <f>IF(TrRoad_act!G68=0,0,TrRoad_emi!G65/TrRoad_tech!G180)</f>
        <v>1.1107494991931754</v>
      </c>
      <c r="H207" s="93">
        <f>IF(TrRoad_act!H68=0,0,TrRoad_emi!H65/TrRoad_tech!H180)</f>
        <v>1.0998968165299854</v>
      </c>
      <c r="I207" s="93">
        <f>IF(TrRoad_act!I68=0,0,TrRoad_emi!I65/TrRoad_tech!I180)</f>
        <v>1.0873258158578785</v>
      </c>
      <c r="J207" s="93">
        <f>IF(TrRoad_act!J68=0,0,TrRoad_emi!J65/TrRoad_tech!J180)</f>
        <v>1.0793863033417204</v>
      </c>
      <c r="K207" s="93">
        <f>IF(TrRoad_act!K68=0,0,TrRoad_emi!K65/TrRoad_tech!K180)</f>
        <v>1.0782724010381441</v>
      </c>
      <c r="L207" s="93">
        <f>IF(TrRoad_act!L68=0,0,TrRoad_emi!L65/TrRoad_tech!L180)</f>
        <v>1.080447448235583</v>
      </c>
      <c r="M207" s="93">
        <f>IF(TrRoad_act!M68=0,0,TrRoad_emi!M65/TrRoad_tech!M180)</f>
        <v>1.0807641627036388</v>
      </c>
      <c r="N207" s="93">
        <f>IF(TrRoad_act!N68=0,0,TrRoad_emi!N65/TrRoad_tech!N180)</f>
        <v>1.083166212663313</v>
      </c>
      <c r="O207" s="93">
        <f>IF(TrRoad_act!O68=0,0,TrRoad_emi!O65/TrRoad_tech!O180)</f>
        <v>1.2108106095043916</v>
      </c>
      <c r="P207" s="93">
        <f>IF(TrRoad_act!P68=0,0,TrRoad_emi!P65/TrRoad_tech!P180)</f>
        <v>1.2214846720737977</v>
      </c>
      <c r="Q207" s="93">
        <f>IF(TrRoad_act!Q68=0,0,TrRoad_emi!Q65/TrRoad_tech!Q180)</f>
        <v>1.198014902135053</v>
      </c>
      <c r="R207" s="93">
        <f>IF(TrRoad_act!R68=0,0,TrRoad_emi!R65/TrRoad_tech!R180)</f>
        <v>1.2195284201555456</v>
      </c>
      <c r="S207" s="93">
        <f>IF(TrRoad_act!S68=0,0,TrRoad_emi!S65/TrRoad_tech!S180)</f>
        <v>1.2089794940488747</v>
      </c>
      <c r="T207" s="93">
        <f>IF(TrRoad_act!T68=0,0,TrRoad_emi!T65/TrRoad_tech!T180)</f>
        <v>1.2142040269582801</v>
      </c>
      <c r="U207" s="93">
        <f>IF(TrRoad_act!U68=0,0,TrRoad_emi!U65/TrRoad_tech!U180)</f>
        <v>1.2075090978881164</v>
      </c>
      <c r="V207" s="93">
        <f>IF(TrRoad_act!V68=0,0,TrRoad_emi!V65/TrRoad_tech!V180)</f>
        <v>1.1777765870939094</v>
      </c>
      <c r="W207" s="93">
        <f>IF(TrRoad_act!W68=0,0,TrRoad_emi!W65/TrRoad_tech!W180)</f>
        <v>1.1743153350863063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</v>
      </c>
      <c r="C208" s="93">
        <f>IF(TrRoad_act!C69=0,0,TrRoad_emi!C66/TrRoad_tech!C181)</f>
        <v>1.1011133248582718</v>
      </c>
      <c r="D208" s="93">
        <f>IF(TrRoad_act!D69=0,0,TrRoad_emi!D66/TrRoad_tech!D181)</f>
        <v>1.1039539162066381</v>
      </c>
      <c r="E208" s="93">
        <f>IF(TrRoad_act!E69=0,0,TrRoad_emi!E66/TrRoad_tech!E181)</f>
        <v>1.1090971051722036</v>
      </c>
      <c r="F208" s="93">
        <f>IF(TrRoad_act!F69=0,0,TrRoad_emi!F66/TrRoad_tech!F181)</f>
        <v>1.1160292394304714</v>
      </c>
      <c r="G208" s="93">
        <f>IF(TrRoad_act!G69=0,0,TrRoad_emi!G66/TrRoad_tech!G181)</f>
        <v>1.1236245707071497</v>
      </c>
      <c r="H208" s="93">
        <f>IF(TrRoad_act!H69=0,0,TrRoad_emi!H66/TrRoad_tech!H181)</f>
        <v>1.1163356508025226</v>
      </c>
      <c r="I208" s="93">
        <f>IF(TrRoad_act!I69=0,0,TrRoad_emi!I66/TrRoad_tech!I181)</f>
        <v>1.0982285575589894</v>
      </c>
      <c r="J208" s="93">
        <f>IF(TrRoad_act!J69=0,0,TrRoad_emi!J66/TrRoad_tech!J181)</f>
        <v>1.1040774196796606</v>
      </c>
      <c r="K208" s="93">
        <f>IF(TrRoad_act!K69=0,0,TrRoad_emi!K66/TrRoad_tech!K181)</f>
        <v>1.1098365087587805</v>
      </c>
      <c r="L208" s="93">
        <f>IF(TrRoad_act!L69=0,0,TrRoad_emi!L66/TrRoad_tech!L181)</f>
        <v>1.1301356876353728</v>
      </c>
      <c r="M208" s="93">
        <f>IF(TrRoad_act!M69=0,0,TrRoad_emi!M66/TrRoad_tech!M181)</f>
        <v>1.142974192113146</v>
      </c>
      <c r="N208" s="93">
        <f>IF(TrRoad_act!N69=0,0,TrRoad_emi!N66/TrRoad_tech!N181)</f>
        <v>1.1320023243703827</v>
      </c>
      <c r="O208" s="93">
        <f>IF(TrRoad_act!O69=0,0,TrRoad_emi!O66/TrRoad_tech!O181)</f>
        <v>1.1571638950190153</v>
      </c>
      <c r="P208" s="93">
        <f>IF(TrRoad_act!P69=0,0,TrRoad_emi!P66/TrRoad_tech!P181)</f>
        <v>1.1850474068113888</v>
      </c>
      <c r="Q208" s="93">
        <f>IF(TrRoad_act!Q69=0,0,TrRoad_emi!Q66/TrRoad_tech!Q181)</f>
        <v>1.2119803106196454</v>
      </c>
      <c r="R208" s="93">
        <f>IF(TrRoad_act!R69=0,0,TrRoad_emi!R66/TrRoad_tech!R181)</f>
        <v>1.2496367136998268</v>
      </c>
      <c r="S208" s="93">
        <f>IF(TrRoad_act!S69=0,0,TrRoad_emi!S66/TrRoad_tech!S181)</f>
        <v>1.2642206027258431</v>
      </c>
      <c r="T208" s="93">
        <f>IF(TrRoad_act!T69=0,0,TrRoad_emi!T66/TrRoad_tech!T181)</f>
        <v>1.2775982829306631</v>
      </c>
      <c r="U208" s="93">
        <f>IF(TrRoad_act!U69=0,0,TrRoad_emi!U66/TrRoad_tech!U181)</f>
        <v>1.2887895118603723</v>
      </c>
      <c r="V208" s="93">
        <f>IF(TrRoad_act!V69=0,0,TrRoad_emi!V66/TrRoad_tech!V181)</f>
        <v>1.2782080658385857</v>
      </c>
      <c r="W208" s="93">
        <f>IF(TrRoad_act!W69=0,0,TrRoad_emi!W66/TrRoad_tech!W181)</f>
        <v>1.2682576159066525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1.1093333333401463</v>
      </c>
      <c r="E209" s="93">
        <f>IF(TrRoad_act!E70=0,0,TrRoad_emi!E67/TrRoad_tech!E182)</f>
        <v>1.1093333333401461</v>
      </c>
      <c r="F209" s="93">
        <f>IF(TrRoad_act!F70=0,0,TrRoad_emi!F67/TrRoad_tech!F182)</f>
        <v>1.1093333333401461</v>
      </c>
      <c r="G209" s="93">
        <f>IF(TrRoad_act!G70=0,0,TrRoad_emi!G67/TrRoad_tech!G182)</f>
        <v>1.1093333333401461</v>
      </c>
      <c r="H209" s="93">
        <f>IF(TrRoad_act!H70=0,0,TrRoad_emi!H67/TrRoad_tech!H182)</f>
        <v>1.1093333333401461</v>
      </c>
      <c r="I209" s="93">
        <f>IF(TrRoad_act!I70=0,0,TrRoad_emi!I67/TrRoad_tech!I182)</f>
        <v>1.1093333333401458</v>
      </c>
      <c r="J209" s="93">
        <f>IF(TrRoad_act!J70=0,0,TrRoad_emi!J67/TrRoad_tech!J182)</f>
        <v>1.1093333333401461</v>
      </c>
      <c r="K209" s="93">
        <f>IF(TrRoad_act!K70=0,0,TrRoad_emi!K67/TrRoad_tech!K182)</f>
        <v>1.1093333333401461</v>
      </c>
      <c r="L209" s="93">
        <f>IF(TrRoad_act!L70=0,0,TrRoad_emi!L67/TrRoad_tech!L182)</f>
        <v>1.1093333333401463</v>
      </c>
      <c r="M209" s="93">
        <f>IF(TrRoad_act!M70=0,0,TrRoad_emi!M67/TrRoad_tech!M182)</f>
        <v>1.2049148676896253</v>
      </c>
      <c r="N209" s="93">
        <f>IF(TrRoad_act!N70=0,0,TrRoad_emi!N67/TrRoad_tech!N182)</f>
        <v>1.2049148676896255</v>
      </c>
      <c r="O209" s="93">
        <f>IF(TrRoad_act!O70=0,0,TrRoad_emi!O67/TrRoad_tech!O182)</f>
        <v>1.247018648360148</v>
      </c>
      <c r="P209" s="93">
        <f>IF(TrRoad_act!P70=0,0,TrRoad_emi!P67/TrRoad_tech!P182)</f>
        <v>1.2679309663747067</v>
      </c>
      <c r="Q209" s="93">
        <f>IF(TrRoad_act!Q70=0,0,TrRoad_emi!Q67/TrRoad_tech!Q182)</f>
        <v>1.269209784699826</v>
      </c>
      <c r="R209" s="93">
        <f>IF(TrRoad_act!R70=0,0,TrRoad_emi!R67/TrRoad_tech!R182)</f>
        <v>1.2697470445345638</v>
      </c>
      <c r="S209" s="93">
        <f>IF(TrRoad_act!S70=0,0,TrRoad_emi!S67/TrRoad_tech!S182)</f>
        <v>1.2736089876052763</v>
      </c>
      <c r="T209" s="93">
        <f>IF(TrRoad_act!T70=0,0,TrRoad_emi!T67/TrRoad_tech!T182)</f>
        <v>1.2817007287906561</v>
      </c>
      <c r="U209" s="93">
        <f>IF(TrRoad_act!U70=0,0,TrRoad_emi!U67/TrRoad_tech!U182)</f>
        <v>1.3007373568528313</v>
      </c>
      <c r="V209" s="93">
        <f>IF(TrRoad_act!V70=0,0,TrRoad_emi!V67/TrRoad_tech!V182)</f>
        <v>1.3021579299421602</v>
      </c>
      <c r="W209" s="93">
        <f>IF(TrRoad_act!W70=0,0,TrRoad_emi!W67/TrRoad_tech!W182)</f>
        <v>1.3038500541863831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1.2205844844091507</v>
      </c>
      <c r="L210" s="93">
        <f>IF(TrRoad_act!L71=0,0,TrRoad_emi!L68/TrRoad_tech!L183)</f>
        <v>1.3745010994648892</v>
      </c>
      <c r="M210" s="93">
        <f>IF(TrRoad_act!M71=0,0,TrRoad_emi!M68/TrRoad_tech!M183)</f>
        <v>1.3941213729827049</v>
      </c>
      <c r="N210" s="93">
        <f>IF(TrRoad_act!N71=0,0,TrRoad_emi!N68/TrRoad_tech!N183)</f>
        <v>1.2819921109848178</v>
      </c>
      <c r="O210" s="93">
        <f>IF(TrRoad_act!O71=0,0,TrRoad_emi!O68/TrRoad_tech!O183)</f>
        <v>1.1877009338442137</v>
      </c>
      <c r="P210" s="93">
        <f>IF(TrRoad_act!P71=0,0,TrRoad_emi!P68/TrRoad_tech!P183)</f>
        <v>1.1345310837863962</v>
      </c>
      <c r="Q210" s="93">
        <f>IF(TrRoad_act!Q71=0,0,TrRoad_emi!Q68/TrRoad_tech!Q183)</f>
        <v>1.0673336011575258</v>
      </c>
      <c r="R210" s="93">
        <f>IF(TrRoad_act!R71=0,0,TrRoad_emi!R68/TrRoad_tech!R183)</f>
        <v>1.0081607978686105</v>
      </c>
      <c r="S210" s="93">
        <f>IF(TrRoad_act!S71=0,0,TrRoad_emi!S68/TrRoad_tech!S183)</f>
        <v>1.0083781339298397</v>
      </c>
      <c r="T210" s="93">
        <f>IF(TrRoad_act!T71=0,0,TrRoad_emi!T68/TrRoad_tech!T183)</f>
        <v>1.0123946847884346</v>
      </c>
      <c r="U210" s="93">
        <f>IF(TrRoad_act!U71=0,0,TrRoad_emi!U68/TrRoad_tech!U183)</f>
        <v>1.0248847665963701</v>
      </c>
      <c r="V210" s="93">
        <f>IF(TrRoad_act!V71=0,0,TrRoad_emi!V68/TrRoad_tech!V183)</f>
        <v>1.0220438640294625</v>
      </c>
      <c r="W210" s="93">
        <f>IF(TrRoad_act!W71=0,0,TrRoad_emi!W68/TrRoad_tech!W183)</f>
        <v>1.0476327868475042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0.96747434853112513</v>
      </c>
      <c r="C213" s="150">
        <f>IF(TrRoad_act!C74=0,0,TrRoad_emi!C71/TrRoad_tech!C186)</f>
        <v>0.99195248631207666</v>
      </c>
      <c r="D213" s="150">
        <f>IF(TrRoad_act!D74=0,0,TrRoad_emi!D71/TrRoad_tech!D186)</f>
        <v>0.98549781912084344</v>
      </c>
      <c r="E213" s="150">
        <f>IF(TrRoad_act!E74=0,0,TrRoad_emi!E71/TrRoad_tech!E186)</f>
        <v>0.99500457735431558</v>
      </c>
      <c r="F213" s="150">
        <f>IF(TrRoad_act!F74=0,0,TrRoad_emi!F71/TrRoad_tech!F186)</f>
        <v>1.0400606908611132</v>
      </c>
      <c r="G213" s="150">
        <f>IF(TrRoad_act!G74=0,0,TrRoad_emi!G71/TrRoad_tech!G186)</f>
        <v>1.0335131519823348</v>
      </c>
      <c r="H213" s="150">
        <f>IF(TrRoad_act!H74=0,0,TrRoad_emi!H71/TrRoad_tech!H186)</f>
        <v>1.0169784566042519</v>
      </c>
      <c r="I213" s="150">
        <f>IF(TrRoad_act!I74=0,0,TrRoad_emi!I71/TrRoad_tech!I186)</f>
        <v>1.0463007945659271</v>
      </c>
      <c r="J213" s="150">
        <f>IF(TrRoad_act!J74=0,0,TrRoad_emi!J71/TrRoad_tech!J186)</f>
        <v>1.0695041403779524</v>
      </c>
      <c r="K213" s="150">
        <f>IF(TrRoad_act!K74=0,0,TrRoad_emi!K71/TrRoad_tech!K186)</f>
        <v>1.066280465135951</v>
      </c>
      <c r="L213" s="150">
        <f>IF(TrRoad_act!L74=0,0,TrRoad_emi!L71/TrRoad_tech!L186)</f>
        <v>1.3129998576062929</v>
      </c>
      <c r="M213" s="150">
        <f>IF(TrRoad_act!M74=0,0,TrRoad_emi!M71/TrRoad_tech!M186)</f>
        <v>1.1025264489599405</v>
      </c>
      <c r="N213" s="150">
        <f>IF(TrRoad_act!N74=0,0,TrRoad_emi!N71/TrRoad_tech!N186)</f>
        <v>1.0506167563256457</v>
      </c>
      <c r="O213" s="150">
        <f>IF(TrRoad_act!O74=0,0,TrRoad_emi!O71/TrRoad_tech!O186)</f>
        <v>1.0710748026492285</v>
      </c>
      <c r="P213" s="150">
        <f>IF(TrRoad_act!P74=0,0,TrRoad_emi!P71/TrRoad_tech!P186)</f>
        <v>1.0956353154862277</v>
      </c>
      <c r="Q213" s="150">
        <f>IF(TrRoad_act!Q74=0,0,TrRoad_emi!Q71/TrRoad_tech!Q186)</f>
        <v>1.2245209626596112</v>
      </c>
      <c r="R213" s="150">
        <f>IF(TrRoad_act!R74=0,0,TrRoad_emi!R71/TrRoad_tech!R186)</f>
        <v>1.2208359177625578</v>
      </c>
      <c r="S213" s="150">
        <f>IF(TrRoad_act!S74=0,0,TrRoad_emi!S71/TrRoad_tech!S186)</f>
        <v>1.321966129182137</v>
      </c>
      <c r="T213" s="150">
        <f>IF(TrRoad_act!T74=0,0,TrRoad_emi!T71/TrRoad_tech!T186)</f>
        <v>1.2675621169731077</v>
      </c>
      <c r="U213" s="150">
        <f>IF(TrRoad_act!U74=0,0,TrRoad_emi!U71/TrRoad_tech!U186)</f>
        <v>1.2462139599593249</v>
      </c>
      <c r="V213" s="150">
        <f>IF(TrRoad_act!V74=0,0,TrRoad_emi!V71/TrRoad_tech!V186)</f>
        <v>1.1544040835359273</v>
      </c>
      <c r="W213" s="150">
        <f>IF(TrRoad_act!W74=0,0,TrRoad_emi!W71/TrRoad_tech!W186)</f>
        <v>1.1530554815343985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1.1000713505409547</v>
      </c>
      <c r="D214" s="91">
        <f>IF(TrRoad_act!D75=0,0,TrRoad_emi!D72/TrRoad_tech!D187)</f>
        <v>1.1002333132039797</v>
      </c>
      <c r="E214" s="91">
        <f>IF(TrRoad_act!E75=0,0,TrRoad_emi!E72/TrRoad_tech!E187)</f>
        <v>1.1004810934042943</v>
      </c>
      <c r="F214" s="91">
        <f>IF(TrRoad_act!F75=0,0,TrRoad_emi!F72/TrRoad_tech!F187)</f>
        <v>1.1008330194226921</v>
      </c>
      <c r="G214" s="91">
        <f>IF(TrRoad_act!G75=0,0,TrRoad_emi!G72/TrRoad_tech!G187)</f>
        <v>1.0993172298222644</v>
      </c>
      <c r="H214" s="91">
        <f>IF(TrRoad_act!H75=0,0,TrRoad_emi!H72/TrRoad_tech!H187)</f>
        <v>1.088499484105595</v>
      </c>
      <c r="I214" s="91">
        <f>IF(TrRoad_act!I75=0,0,TrRoad_emi!I72/TrRoad_tech!I187)</f>
        <v>1.078179616342299</v>
      </c>
      <c r="J214" s="91">
        <f>IF(TrRoad_act!J75=0,0,TrRoad_emi!J72/TrRoad_tech!J187)</f>
        <v>1.0689760776440211</v>
      </c>
      <c r="K214" s="91">
        <f>IF(TrRoad_act!K75=0,0,TrRoad_emi!K72/TrRoad_tech!K187)</f>
        <v>1.0732096060459149</v>
      </c>
      <c r="L214" s="91">
        <f>IF(TrRoad_act!L75=0,0,TrRoad_emi!L72/TrRoad_tech!L187)</f>
        <v>1.0787348034342477</v>
      </c>
      <c r="M214" s="91">
        <f>IF(TrRoad_act!M75=0,0,TrRoad_emi!M72/TrRoad_tech!M187)</f>
        <v>1.0807322794508145</v>
      </c>
      <c r="N214" s="91">
        <f>IF(TrRoad_act!N75=0,0,TrRoad_emi!N72/TrRoad_tech!N187)</f>
        <v>1.0905187721456273</v>
      </c>
      <c r="O214" s="91">
        <f>IF(TrRoad_act!O75=0,0,TrRoad_emi!O72/TrRoad_tech!O187)</f>
        <v>1.1062292238370239</v>
      </c>
      <c r="P214" s="91">
        <f>IF(TrRoad_act!P75=0,0,TrRoad_emi!P72/TrRoad_tech!P187)</f>
        <v>1.1220382629607857</v>
      </c>
      <c r="Q214" s="91">
        <f>IF(TrRoad_act!Q75=0,0,TrRoad_emi!Q72/TrRoad_tech!Q187)</f>
        <v>1.1133204071979537</v>
      </c>
      <c r="R214" s="91">
        <f>IF(TrRoad_act!R75=0,0,TrRoad_emi!R72/TrRoad_tech!R187)</f>
        <v>1.1498596034143076</v>
      </c>
      <c r="S214" s="91">
        <f>IF(TrRoad_act!S75=0,0,TrRoad_emi!S72/TrRoad_tech!S187)</f>
        <v>1.1626990984364569</v>
      </c>
      <c r="T214" s="91">
        <f>IF(TrRoad_act!T75=0,0,TrRoad_emi!T72/TrRoad_tech!T187)</f>
        <v>1.1944894382871716</v>
      </c>
      <c r="U214" s="91">
        <f>IF(TrRoad_act!U75=0,0,TrRoad_emi!U72/TrRoad_tech!U187)</f>
        <v>1.2483797712588909</v>
      </c>
      <c r="V214" s="91">
        <f>IF(TrRoad_act!V75=0,0,TrRoad_emi!V72/TrRoad_tech!V187)</f>
        <v>1.2346191842560035</v>
      </c>
      <c r="W214" s="91">
        <f>IF(TrRoad_act!W75=0,0,TrRoad_emi!W72/TrRoad_tech!W187)</f>
        <v>1.2453711640113463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0.96947565248845358</v>
      </c>
      <c r="C215" s="91">
        <f>IF(TrRoad_act!C76=0,0,TrRoad_emi!C73/TrRoad_tech!C188)</f>
        <v>1.017975723699307</v>
      </c>
      <c r="D215" s="91">
        <f>IF(TrRoad_act!D76=0,0,TrRoad_emi!D73/TrRoad_tech!D188)</f>
        <v>1.0184416799715337</v>
      </c>
      <c r="E215" s="91">
        <f>IF(TrRoad_act!E76=0,0,TrRoad_emi!E73/TrRoad_tech!E188)</f>
        <v>1.0284773671224283</v>
      </c>
      <c r="F215" s="91">
        <f>IF(TrRoad_act!F76=0,0,TrRoad_emi!F73/TrRoad_tech!F188)</f>
        <v>1.0711488500322242</v>
      </c>
      <c r="G215" s="91">
        <f>IF(TrRoad_act!G76=0,0,TrRoad_emi!G73/TrRoad_tech!G188)</f>
        <v>1.0583057991962754</v>
      </c>
      <c r="H215" s="91">
        <f>IF(TrRoad_act!H76=0,0,TrRoad_emi!H73/TrRoad_tech!H188)</f>
        <v>1.0275954784726298</v>
      </c>
      <c r="I215" s="91">
        <f>IF(TrRoad_act!I76=0,0,TrRoad_emi!I73/TrRoad_tech!I188)</f>
        <v>1.0459105992973217</v>
      </c>
      <c r="J215" s="91">
        <f>IF(TrRoad_act!J76=0,0,TrRoad_emi!J73/TrRoad_tech!J188)</f>
        <v>1.0321823380942063</v>
      </c>
      <c r="K215" s="91">
        <f>IF(TrRoad_act!K76=0,0,TrRoad_emi!K73/TrRoad_tech!K188)</f>
        <v>0.97907263805705547</v>
      </c>
      <c r="L215" s="91">
        <f>IF(TrRoad_act!L76=0,0,TrRoad_emi!L73/TrRoad_tech!L188)</f>
        <v>1.0293177429740841</v>
      </c>
      <c r="M215" s="91">
        <f>IF(TrRoad_act!M76=0,0,TrRoad_emi!M73/TrRoad_tech!M188)</f>
        <v>1.025792680372448</v>
      </c>
      <c r="N215" s="91">
        <f>IF(TrRoad_act!N76=0,0,TrRoad_emi!N73/TrRoad_tech!N188)</f>
        <v>1.0051300137735977</v>
      </c>
      <c r="O215" s="91">
        <f>IF(TrRoad_act!O76=0,0,TrRoad_emi!O73/TrRoad_tech!O188)</f>
        <v>1.019896777159931</v>
      </c>
      <c r="P215" s="91">
        <f>IF(TrRoad_act!P76=0,0,TrRoad_emi!P73/TrRoad_tech!P188)</f>
        <v>1.0657567520326883</v>
      </c>
      <c r="Q215" s="91">
        <f>IF(TrRoad_act!Q76=0,0,TrRoad_emi!Q73/TrRoad_tech!Q188)</f>
        <v>1.0921064024375633</v>
      </c>
      <c r="R215" s="91">
        <f>IF(TrRoad_act!R76=0,0,TrRoad_emi!R73/TrRoad_tech!R188)</f>
        <v>1.1220971900642922</v>
      </c>
      <c r="S215" s="91">
        <f>IF(TrRoad_act!S76=0,0,TrRoad_emi!S73/TrRoad_tech!S188)</f>
        <v>1.162869735481542</v>
      </c>
      <c r="T215" s="91">
        <f>IF(TrRoad_act!T76=0,0,TrRoad_emi!T73/TrRoad_tech!T188)</f>
        <v>1.1906442056818722</v>
      </c>
      <c r="U215" s="91">
        <f>IF(TrRoad_act!U76=0,0,TrRoad_emi!U73/TrRoad_tech!U188)</f>
        <v>1.2120787058445879</v>
      </c>
      <c r="V215" s="91">
        <f>IF(TrRoad_act!V76=0,0,TrRoad_emi!V73/TrRoad_tech!V188)</f>
        <v>1.2027613577589098</v>
      </c>
      <c r="W215" s="91">
        <f>IF(TrRoad_act!W76=0,0,TrRoad_emi!W73/TrRoad_tech!W188)</f>
        <v>1.1906182558633491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1.4577383586668953</v>
      </c>
      <c r="C219" s="151">
        <f>IF(TrRoad_act!C80=0,0,TrRoad_emi!C77/TrRoad_tech!C192)</f>
        <v>1.9641864426421625</v>
      </c>
      <c r="D219" s="151">
        <f>IF(TrRoad_act!D80=0,0,TrRoad_emi!D77/TrRoad_tech!D192)</f>
        <v>1.9732952522695655</v>
      </c>
      <c r="E219" s="151">
        <f>IF(TrRoad_act!E80=0,0,TrRoad_emi!E77/TrRoad_tech!E192)</f>
        <v>1.3329536445226609</v>
      </c>
      <c r="F219" s="151">
        <f>IF(TrRoad_act!F80=0,0,TrRoad_emi!F77/TrRoad_tech!F192)</f>
        <v>1.5653987094053878</v>
      </c>
      <c r="G219" s="151">
        <f>IF(TrRoad_act!G80=0,0,TrRoad_emi!G77/TrRoad_tech!G192)</f>
        <v>1.5370480930489898</v>
      </c>
      <c r="H219" s="151">
        <f>IF(TrRoad_act!H80=0,0,TrRoad_emi!H77/TrRoad_tech!H192)</f>
        <v>1.2905437440789411</v>
      </c>
      <c r="I219" s="151">
        <f>IF(TrRoad_act!I80=0,0,TrRoad_emi!I77/TrRoad_tech!I192)</f>
        <v>1.9011246171267973</v>
      </c>
      <c r="J219" s="151">
        <f>IF(TrRoad_act!J80=0,0,TrRoad_emi!J77/TrRoad_tech!J192)</f>
        <v>2.240055033603717</v>
      </c>
      <c r="K219" s="151">
        <f>IF(TrRoad_act!K80=0,0,TrRoad_emi!K77/TrRoad_tech!K192)</f>
        <v>1.2455544371658029</v>
      </c>
      <c r="L219" s="151">
        <f>IF(TrRoad_act!L80=0,0,TrRoad_emi!L77/TrRoad_tech!L192)</f>
        <v>1.7018558704253102</v>
      </c>
      <c r="M219" s="151">
        <f>IF(TrRoad_act!M80=0,0,TrRoad_emi!M77/TrRoad_tech!M192)</f>
        <v>1.9868906392990073</v>
      </c>
      <c r="N219" s="151">
        <f>IF(TrRoad_act!N80=0,0,TrRoad_emi!N77/TrRoad_tech!N192)</f>
        <v>1.2115511497269389</v>
      </c>
      <c r="O219" s="151">
        <f>IF(TrRoad_act!O80=0,0,TrRoad_emi!O77/TrRoad_tech!O192)</f>
        <v>1.2639416665221217</v>
      </c>
      <c r="P219" s="151">
        <f>IF(TrRoad_act!P80=0,0,TrRoad_emi!P77/TrRoad_tech!P192)</f>
        <v>2.1557675329913253</v>
      </c>
      <c r="Q219" s="151">
        <f>IF(TrRoad_act!Q80=0,0,TrRoad_emi!Q77/TrRoad_tech!Q192)</f>
        <v>2.2715242436837322</v>
      </c>
      <c r="R219" s="151">
        <f>IF(TrRoad_act!R80=0,0,TrRoad_emi!R77/TrRoad_tech!R192)</f>
        <v>2.1389384201440302</v>
      </c>
      <c r="S219" s="151">
        <f>IF(TrRoad_act!S80=0,0,TrRoad_emi!S77/TrRoad_tech!S192)</f>
        <v>2.2200641656142572</v>
      </c>
      <c r="T219" s="151">
        <f>IF(TrRoad_act!T80=0,0,TrRoad_emi!T77/TrRoad_tech!T192)</f>
        <v>2.4091171212847104</v>
      </c>
      <c r="U219" s="151">
        <f>IF(TrRoad_act!U80=0,0,TrRoad_emi!U77/TrRoad_tech!U192)</f>
        <v>2.5411981173310401</v>
      </c>
      <c r="V219" s="151">
        <f>IF(TrRoad_act!V80=0,0,TrRoad_emi!V77/TrRoad_tech!V192)</f>
        <v>2.5487196342403644</v>
      </c>
      <c r="W219" s="151">
        <f>IF(TrRoad_act!W80=0,0,TrRoad_emi!W77/TrRoad_tech!W192)</f>
        <v>2.6734918643875996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1.2894711630498037</v>
      </c>
      <c r="C220" s="93">
        <f>IF(TrRoad_act!C81=0,0,TrRoad_emi!C78/TrRoad_tech!C193)</f>
        <v>1.4914073188427208</v>
      </c>
      <c r="D220" s="93">
        <f>IF(TrRoad_act!D81=0,0,TrRoad_emi!D78/TrRoad_tech!D193)</f>
        <v>1.4947996139542339</v>
      </c>
      <c r="E220" s="93">
        <f>IF(TrRoad_act!E81=0,0,TrRoad_emi!E78/TrRoad_tech!E193)</f>
        <v>1.2463522515486043</v>
      </c>
      <c r="F220" s="93">
        <f>IF(TrRoad_act!F81=0,0,TrRoad_emi!F78/TrRoad_tech!F193)</f>
        <v>1.3369602449141091</v>
      </c>
      <c r="G220" s="93">
        <f>IF(TrRoad_act!G81=0,0,TrRoad_emi!G78/TrRoad_tech!G193)</f>
        <v>1.3225170388265159</v>
      </c>
      <c r="H220" s="93">
        <f>IF(TrRoad_act!H81=0,0,TrRoad_emi!H78/TrRoad_tech!H193)</f>
        <v>1.2133612139915246</v>
      </c>
      <c r="I220" s="93">
        <f>IF(TrRoad_act!I81=0,0,TrRoad_emi!I78/TrRoad_tech!I193)</f>
        <v>1.4440707131262844</v>
      </c>
      <c r="J220" s="93">
        <f>IF(TrRoad_act!J81=0,0,TrRoad_emi!J78/TrRoad_tech!J193)</f>
        <v>1.5767029671105302</v>
      </c>
      <c r="K220" s="93">
        <f>IF(TrRoad_act!K81=0,0,TrRoad_emi!K78/TrRoad_tech!K193)</f>
        <v>1.1859116645415735</v>
      </c>
      <c r="L220" s="93">
        <f>IF(TrRoad_act!L81=0,0,TrRoad_emi!L78/TrRoad_tech!L193)</f>
        <v>1.3693032678391432</v>
      </c>
      <c r="M220" s="93">
        <f>IF(TrRoad_act!M81=0,0,TrRoad_emi!M78/TrRoad_tech!M193)</f>
        <v>1.4872490966726175</v>
      </c>
      <c r="N220" s="93">
        <f>IF(TrRoad_act!N81=0,0,TrRoad_emi!N78/TrRoad_tech!N193)</f>
        <v>1.1806784913253563</v>
      </c>
      <c r="O220" s="93">
        <f>IF(TrRoad_act!O81=0,0,TrRoad_emi!O78/TrRoad_tech!O193)</f>
        <v>1.2126066056193729</v>
      </c>
      <c r="P220" s="93">
        <f>IF(TrRoad_act!P81=0,0,TrRoad_emi!P78/TrRoad_tech!P193)</f>
        <v>1.5808202692316138</v>
      </c>
      <c r="Q220" s="93">
        <f>IF(TrRoad_act!Q81=0,0,TrRoad_emi!Q78/TrRoad_tech!Q193)</f>
        <v>1.6258682998730156</v>
      </c>
      <c r="R220" s="93">
        <f>IF(TrRoad_act!R81=0,0,TrRoad_emi!R78/TrRoad_tech!R193)</f>
        <v>1.5960782718626079</v>
      </c>
      <c r="S220" s="93">
        <f>IF(TrRoad_act!S81=0,0,TrRoad_emi!S78/TrRoad_tech!S193)</f>
        <v>1.6437496636909039</v>
      </c>
      <c r="T220" s="93">
        <f>IF(TrRoad_act!T81=0,0,TrRoad_emi!T78/TrRoad_tech!T193)</f>
        <v>1.7352365545131521</v>
      </c>
      <c r="U220" s="93">
        <f>IF(TrRoad_act!U81=0,0,TrRoad_emi!U78/TrRoad_tech!U193)</f>
        <v>1.8153025103552001</v>
      </c>
      <c r="V220" s="93">
        <f>IF(TrRoad_act!V81=0,0,TrRoad_emi!V78/TrRoad_tech!V193)</f>
        <v>1.8144232888772474</v>
      </c>
      <c r="W220" s="93">
        <f>IF(TrRoad_act!W81=0,0,TrRoad_emi!W78/TrRoad_tech!W193)</f>
        <v>1.8591291188739199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1.8389471638307984</v>
      </c>
      <c r="C221" s="94">
        <f>IF(TrRoad_act!C82=0,0,TrRoad_emi!C79/TrRoad_tech!C194)</f>
        <v>2.9478806101875663</v>
      </c>
      <c r="D221" s="94">
        <f>IF(TrRoad_act!D82=0,0,TrRoad_emi!D79/TrRoad_tech!D194)</f>
        <v>2.915907900360478</v>
      </c>
      <c r="E221" s="94">
        <f>IF(TrRoad_act!E82=0,0,TrRoad_emi!E79/TrRoad_tech!E194)</f>
        <v>1.5875078156919535</v>
      </c>
      <c r="F221" s="94">
        <f>IF(TrRoad_act!F82=0,0,TrRoad_emi!F79/TrRoad_tech!F194)</f>
        <v>2.0706957380177573</v>
      </c>
      <c r="G221" s="94">
        <f>IF(TrRoad_act!G82=0,0,TrRoad_emi!G79/TrRoad_tech!G194)</f>
        <v>1.9378577865345381</v>
      </c>
      <c r="H221" s="94">
        <f>IF(TrRoad_act!H82=0,0,TrRoad_emi!H79/TrRoad_tech!H194)</f>
        <v>1.395853427682537</v>
      </c>
      <c r="I221" s="94">
        <f>IF(TrRoad_act!I82=0,0,TrRoad_emi!I79/TrRoad_tech!I194)</f>
        <v>2.6080631664619363</v>
      </c>
      <c r="J221" s="94">
        <f>IF(TrRoad_act!J82=0,0,TrRoad_emi!J79/TrRoad_tech!J194)</f>
        <v>3.2028971328228382</v>
      </c>
      <c r="K221" s="94">
        <f>IF(TrRoad_act!K82=0,0,TrRoad_emi!K79/TrRoad_tech!K194)</f>
        <v>1.3693370530665807</v>
      </c>
      <c r="L221" s="94">
        <f>IF(TrRoad_act!L82=0,0,TrRoad_emi!L79/TrRoad_tech!L194)</f>
        <v>2.1498601099470278</v>
      </c>
      <c r="M221" s="94">
        <f>IF(TrRoad_act!M82=0,0,TrRoad_emi!M79/TrRoad_tech!M194)</f>
        <v>2.589153378937489</v>
      </c>
      <c r="N221" s="94">
        <f>IF(TrRoad_act!N82=0,0,TrRoad_emi!N79/TrRoad_tech!N194)</f>
        <v>1.2370644050249249</v>
      </c>
      <c r="O221" s="94">
        <f>IF(TrRoad_act!O82=0,0,TrRoad_emi!O79/TrRoad_tech!O194)</f>
        <v>1.3056791640358052</v>
      </c>
      <c r="P221" s="94">
        <f>IF(TrRoad_act!P82=0,0,TrRoad_emi!P79/TrRoad_tech!P194)</f>
        <v>2.845899097193997</v>
      </c>
      <c r="Q221" s="94">
        <f>IF(TrRoad_act!Q82=0,0,TrRoad_emi!Q79/TrRoad_tech!Q194)</f>
        <v>2.9592501379217913</v>
      </c>
      <c r="R221" s="94">
        <f>IF(TrRoad_act!R82=0,0,TrRoad_emi!R79/TrRoad_tech!R194)</f>
        <v>2.6961840275551463</v>
      </c>
      <c r="S221" s="94">
        <f>IF(TrRoad_act!S82=0,0,TrRoad_emi!S79/TrRoad_tech!S194)</f>
        <v>2.8245296040562602</v>
      </c>
      <c r="T221" s="94">
        <f>IF(TrRoad_act!T82=0,0,TrRoad_emi!T79/TrRoad_tech!T194)</f>
        <v>3.1948108735645149</v>
      </c>
      <c r="U221" s="94">
        <f>IF(TrRoad_act!U82=0,0,TrRoad_emi!U79/TrRoad_tech!U194)</f>
        <v>3.4387804095164149</v>
      </c>
      <c r="V221" s="94">
        <f>IF(TrRoad_act!V82=0,0,TrRoad_emi!V79/TrRoad_tech!V194)</f>
        <v>3.4318667832342089</v>
      </c>
      <c r="W221" s="94">
        <f>IF(TrRoad_act!W82=0,0,TrRoad_emi!W79/TrRoad_tech!W194)</f>
        <v>3.5847376191303031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114.72464591189377</v>
      </c>
      <c r="C225" s="152">
        <v>114.19341911830942</v>
      </c>
      <c r="D225" s="152">
        <v>113.60605160349537</v>
      </c>
      <c r="E225" s="152">
        <v>112.39763724388933</v>
      </c>
      <c r="F225" s="152">
        <v>112.26561427037609</v>
      </c>
      <c r="G225" s="152">
        <v>110.98310538481876</v>
      </c>
      <c r="H225" s="152">
        <v>109.08897986686324</v>
      </c>
      <c r="I225" s="152">
        <v>107.73911232135015</v>
      </c>
      <c r="J225" s="152">
        <v>103.33655030664282</v>
      </c>
      <c r="K225" s="152">
        <v>98.587764779762949</v>
      </c>
      <c r="L225" s="152">
        <v>95.62263656851114</v>
      </c>
      <c r="M225" s="152">
        <v>87.167059271827142</v>
      </c>
      <c r="N225" s="152">
        <v>85.153826323653448</v>
      </c>
      <c r="O225" s="152">
        <v>82.906137060820569</v>
      </c>
      <c r="P225" s="152">
        <v>79.800549808738566</v>
      </c>
      <c r="Q225" s="152">
        <v>77.555597555129253</v>
      </c>
      <c r="R225" s="152">
        <v>75.301087734331105</v>
      </c>
      <c r="S225" s="152">
        <v>73.497479877692555</v>
      </c>
      <c r="T225" s="152">
        <v>72.054593592381735</v>
      </c>
      <c r="U225" s="152">
        <v>70.900284564133088</v>
      </c>
      <c r="V225" s="152">
        <v>69.976837341534164</v>
      </c>
      <c r="W225" s="152">
        <v>69.238079563455031</v>
      </c>
      <c r="DA225" s="174" t="s">
        <v>931</v>
      </c>
    </row>
    <row r="226" spans="1:105" ht="11.45" customHeight="1" x14ac:dyDescent="0.25">
      <c r="A226" s="109" t="s">
        <v>20</v>
      </c>
      <c r="B226" s="116">
        <v>213.66699970287922</v>
      </c>
      <c r="C226" s="116">
        <v>214.98667817737172</v>
      </c>
      <c r="D226" s="116">
        <v>193.09613891297593</v>
      </c>
      <c r="E226" s="116">
        <v>201.8604919464662</v>
      </c>
      <c r="F226" s="116">
        <v>190.49931724009159</v>
      </c>
      <c r="G226" s="116">
        <v>203.27371820344069</v>
      </c>
      <c r="H226" s="116">
        <v>203.29346786997587</v>
      </c>
      <c r="I226" s="116">
        <v>205.12889108243212</v>
      </c>
      <c r="J226" s="116">
        <v>198.238946667059</v>
      </c>
      <c r="K226" s="116">
        <v>174.86296959765644</v>
      </c>
      <c r="L226" s="116">
        <v>168.13587351392192</v>
      </c>
      <c r="M226" s="116">
        <v>179.98873028146943</v>
      </c>
      <c r="N226" s="116">
        <v>181.09156414161652</v>
      </c>
      <c r="O226" s="116">
        <v>167.54198132592884</v>
      </c>
      <c r="P226" s="116">
        <v>167.95903477879403</v>
      </c>
      <c r="Q226" s="116">
        <v>162.77740147914065</v>
      </c>
      <c r="R226" s="116">
        <v>155.0309107461168</v>
      </c>
      <c r="S226" s="116">
        <v>157.19468817937104</v>
      </c>
      <c r="T226" s="116">
        <v>160.3433242664573</v>
      </c>
      <c r="U226" s="116">
        <v>156.96579496599881</v>
      </c>
      <c r="V226" s="116">
        <v>144.50111757950947</v>
      </c>
      <c r="W226" s="116">
        <v>143.89790393699451</v>
      </c>
      <c r="DA226" s="176" t="s">
        <v>932</v>
      </c>
    </row>
    <row r="227" spans="1:105" ht="11.45" customHeight="1" x14ac:dyDescent="0.25">
      <c r="A227" s="111" t="s">
        <v>110</v>
      </c>
      <c r="B227" s="87">
        <v>249.2258452675029</v>
      </c>
      <c r="C227" s="87">
        <v>249.31615410301271</v>
      </c>
      <c r="D227" s="87">
        <v>247.80850024463669</v>
      </c>
      <c r="E227" s="87">
        <v>244.70674448554649</v>
      </c>
      <c r="F227" s="87">
        <v>244.36786815958121</v>
      </c>
      <c r="G227" s="87">
        <v>241.07592670734726</v>
      </c>
      <c r="H227" s="87">
        <v>236.21408880625381</v>
      </c>
      <c r="I227" s="87">
        <v>232.74925126934374</v>
      </c>
      <c r="J227" s="87">
        <v>221.44876317491028</v>
      </c>
      <c r="K227" s="87">
        <v>209.25958920524147</v>
      </c>
      <c r="L227" s="87">
        <v>201.59533038377657</v>
      </c>
      <c r="M227" s="87">
        <v>179.84893385403632</v>
      </c>
      <c r="N227" s="87">
        <v>174.48683160385286</v>
      </c>
      <c r="O227" s="87">
        <v>169.00071513863188</v>
      </c>
      <c r="P227" s="87">
        <v>161.15166627398241</v>
      </c>
      <c r="Q227" s="87">
        <v>155.49162176337748</v>
      </c>
      <c r="R227" s="87">
        <v>153.2876128054173</v>
      </c>
      <c r="S227" s="87">
        <v>152.65642130521152</v>
      </c>
      <c r="T227" s="87">
        <v>153.41039809117169</v>
      </c>
      <c r="U227" s="87">
        <v>156.39357148625729</v>
      </c>
      <c r="V227" s="87">
        <v>145.72157057963349</v>
      </c>
      <c r="W227" s="87">
        <v>139.8399480034123</v>
      </c>
      <c r="DA227" s="171" t="s">
        <v>933</v>
      </c>
    </row>
    <row r="228" spans="1:105" ht="11.45" customHeight="1" x14ac:dyDescent="0.25">
      <c r="A228" s="111" t="s">
        <v>111</v>
      </c>
      <c r="B228" s="87">
        <v>190.45953760053226</v>
      </c>
      <c r="C228" s="87">
        <v>191.51209638603214</v>
      </c>
      <c r="D228" s="87">
        <v>191.40638168239838</v>
      </c>
      <c r="E228" s="87">
        <v>191.84245483488763</v>
      </c>
      <c r="F228" s="87">
        <v>190.57718197577103</v>
      </c>
      <c r="G228" s="87">
        <v>191.14539850780247</v>
      </c>
      <c r="H228" s="87">
        <v>192.37102835305649</v>
      </c>
      <c r="I228" s="87">
        <v>190.60030706719093</v>
      </c>
      <c r="J228" s="87">
        <v>182.00107664348181</v>
      </c>
      <c r="K228" s="87">
        <v>174.84881622575986</v>
      </c>
      <c r="L228" s="87">
        <v>168.13262896052848</v>
      </c>
      <c r="M228" s="87">
        <v>180.00113244092313</v>
      </c>
      <c r="N228" s="87">
        <v>182.42176809879186</v>
      </c>
      <c r="O228" s="87">
        <v>177.36960620606325</v>
      </c>
      <c r="P228" s="87">
        <v>174.99137390415314</v>
      </c>
      <c r="Q228" s="87">
        <v>166.86902514948517</v>
      </c>
      <c r="R228" s="87">
        <v>159.92664606525324</v>
      </c>
      <c r="S228" s="87">
        <v>163.46522071089782</v>
      </c>
      <c r="T228" s="87">
        <v>169.96665143901319</v>
      </c>
      <c r="U228" s="87">
        <v>164.50197427079351</v>
      </c>
      <c r="V228" s="87">
        <v>160.56221719457011</v>
      </c>
      <c r="W228" s="87">
        <v>156.99977578475341</v>
      </c>
      <c r="DA228" s="171" t="s">
        <v>934</v>
      </c>
    </row>
    <row r="229" spans="1:105" ht="11.45" customHeight="1" x14ac:dyDescent="0.25">
      <c r="A229" s="111" t="s">
        <v>112</v>
      </c>
      <c r="B229" s="87">
        <v>159.61400429501231</v>
      </c>
      <c r="C229" s="87">
        <v>164.00307006706123</v>
      </c>
      <c r="D229" s="87">
        <v>163.91254034975179</v>
      </c>
      <c r="E229" s="87">
        <v>164.28597543365325</v>
      </c>
      <c r="F229" s="87">
        <v>163.20244787960578</v>
      </c>
      <c r="G229" s="87">
        <v>0</v>
      </c>
      <c r="H229" s="87">
        <v>164.73862402020052</v>
      </c>
      <c r="I229" s="87">
        <v>163.22225125526731</v>
      </c>
      <c r="J229" s="87">
        <v>155.85822456287696</v>
      </c>
      <c r="K229" s="87">
        <v>149.73332337615963</v>
      </c>
      <c r="L229" s="87">
        <v>0</v>
      </c>
      <c r="M229" s="87">
        <v>0</v>
      </c>
      <c r="N229" s="87">
        <v>156.218487394958</v>
      </c>
      <c r="O229" s="87">
        <v>139.92692729265607</v>
      </c>
      <c r="P229" s="87">
        <v>154.82468849608756</v>
      </c>
      <c r="Q229" s="87">
        <v>146.05042016806757</v>
      </c>
      <c r="R229" s="87">
        <v>118.99470899470897</v>
      </c>
      <c r="S229" s="87">
        <v>131.68831168831164</v>
      </c>
      <c r="T229" s="87">
        <v>150</v>
      </c>
      <c r="U229" s="87">
        <v>156.5</v>
      </c>
      <c r="V229" s="87">
        <v>127.6543209876543</v>
      </c>
      <c r="W229" s="87">
        <v>121.3181818181818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161.89534846317764</v>
      </c>
      <c r="O230" s="87">
        <v>122.3460994967313</v>
      </c>
      <c r="P230" s="87">
        <v>118.80014825709516</v>
      </c>
      <c r="Q230" s="87">
        <v>119.97761010130378</v>
      </c>
      <c r="R230" s="87">
        <v>121.64277177639201</v>
      </c>
      <c r="S230" s="87">
        <v>124.8504054746152</v>
      </c>
      <c r="T230" s="87">
        <v>125.3285100286533</v>
      </c>
      <c r="U230" s="87">
        <v>116.0969416262314</v>
      </c>
      <c r="V230" s="87">
        <v>110.50563232201858</v>
      </c>
      <c r="W230" s="87">
        <v>106.33293395237381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78.258747422290682</v>
      </c>
      <c r="P231" s="87">
        <v>45.82883874518437</v>
      </c>
      <c r="Q231" s="87">
        <v>45.56583249700536</v>
      </c>
      <c r="R231" s="87">
        <v>53.551658578075752</v>
      </c>
      <c r="S231" s="87">
        <v>52.003223523861955</v>
      </c>
      <c r="T231" s="87">
        <v>58.198899284534953</v>
      </c>
      <c r="U231" s="87">
        <v>68.847457627118644</v>
      </c>
      <c r="V231" s="87">
        <v>61.443478260869568</v>
      </c>
      <c r="W231" s="87">
        <v>47.025252525252533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1514.5758165979312</v>
      </c>
      <c r="C233" s="116">
        <v>1512.5055230873045</v>
      </c>
      <c r="D233" s="116">
        <v>1484.7890589909071</v>
      </c>
      <c r="E233" s="116">
        <v>1495.0486063032988</v>
      </c>
      <c r="F233" s="116">
        <v>1485.2184173631485</v>
      </c>
      <c r="G233" s="116">
        <v>1460.4433158992551</v>
      </c>
      <c r="H233" s="116">
        <v>1445.6379320474757</v>
      </c>
      <c r="I233" s="116">
        <v>1451.2210756347772</v>
      </c>
      <c r="J233" s="116">
        <v>1459.8735759767042</v>
      </c>
      <c r="K233" s="116">
        <v>1361.2197377366811</v>
      </c>
      <c r="L233" s="116">
        <v>1383.2509430315338</v>
      </c>
      <c r="M233" s="116">
        <v>1347.0384806406466</v>
      </c>
      <c r="N233" s="116">
        <v>1381.1057466593288</v>
      </c>
      <c r="O233" s="116">
        <v>803.20239215573724</v>
      </c>
      <c r="P233" s="116">
        <v>1278.410360960647</v>
      </c>
      <c r="Q233" s="116">
        <v>1197.1379720358823</v>
      </c>
      <c r="R233" s="116">
        <v>1311.6393558798864</v>
      </c>
      <c r="S233" s="116">
        <v>1284.0505303113096</v>
      </c>
      <c r="T233" s="116">
        <v>1280.5396579863552</v>
      </c>
      <c r="U233" s="116">
        <v>1120.3849844125934</v>
      </c>
      <c r="V233" s="116">
        <v>1147.6732388658315</v>
      </c>
      <c r="W233" s="116">
        <v>1217.7668893356063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413.96029560658144</v>
      </c>
      <c r="E234" s="101">
        <v>408.77886022537041</v>
      </c>
      <c r="F234" s="101">
        <v>0</v>
      </c>
      <c r="G234" s="101">
        <v>402.71363486274885</v>
      </c>
      <c r="H234" s="101">
        <v>394.59200928194321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282.32529628115992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1514.5758165979312</v>
      </c>
      <c r="C235" s="101">
        <v>1512.5055230873045</v>
      </c>
      <c r="D235" s="101">
        <v>1510.2085158280772</v>
      </c>
      <c r="E235" s="101">
        <v>1505.43800876313</v>
      </c>
      <c r="F235" s="101">
        <v>1504.9162743573547</v>
      </c>
      <c r="G235" s="101">
        <v>1499.7962675916187</v>
      </c>
      <c r="H235" s="101">
        <v>1492.1184465385188</v>
      </c>
      <c r="I235" s="101">
        <v>1486.5859060244845</v>
      </c>
      <c r="J235" s="101">
        <v>1467.8597552763579</v>
      </c>
      <c r="K235" s="101">
        <v>1446.791199122177</v>
      </c>
      <c r="L235" s="101">
        <v>1433.2671444835407</v>
      </c>
      <c r="M235" s="101">
        <v>1391.3143766662379</v>
      </c>
      <c r="N235" s="101">
        <v>1381.1057466593288</v>
      </c>
      <c r="O235" s="101">
        <v>1369.4189088654966</v>
      </c>
      <c r="P235" s="101">
        <v>1352.6792844515157</v>
      </c>
      <c r="Q235" s="101">
        <v>1340.2449215971562</v>
      </c>
      <c r="R235" s="101">
        <v>1329.1517529003197</v>
      </c>
      <c r="S235" s="101">
        <v>1319.2464270337882</v>
      </c>
      <c r="T235" s="101">
        <v>1310.3947639551773</v>
      </c>
      <c r="U235" s="101">
        <v>1302.4790582400142</v>
      </c>
      <c r="V235" s="101">
        <v>1295.3958143881521</v>
      </c>
      <c r="W235" s="101">
        <v>1289.0538360588453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1054.5372338188442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971.51671359601198</v>
      </c>
      <c r="N236" s="101">
        <v>0</v>
      </c>
      <c r="O236" s="101">
        <v>956.22770826610702</v>
      </c>
      <c r="P236" s="101">
        <v>944.53888712672506</v>
      </c>
      <c r="Q236" s="101">
        <v>935.85631219001414</v>
      </c>
      <c r="R236" s="101">
        <v>0</v>
      </c>
      <c r="S236" s="101">
        <v>921.19363869881579</v>
      </c>
      <c r="T236" s="101">
        <v>915.01276486597476</v>
      </c>
      <c r="U236" s="101">
        <v>909.48544441909246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876.27515541974776</v>
      </c>
      <c r="L237" s="101">
        <v>868.0840680758613</v>
      </c>
      <c r="M237" s="101">
        <v>842.67461841809393</v>
      </c>
      <c r="N237" s="101">
        <v>0</v>
      </c>
      <c r="O237" s="101">
        <v>829.41323387157206</v>
      </c>
      <c r="P237" s="101">
        <v>819.27457876091808</v>
      </c>
      <c r="Q237" s="101">
        <v>811.74348287827775</v>
      </c>
      <c r="R237" s="101">
        <v>805.02470540035574</v>
      </c>
      <c r="S237" s="101">
        <v>0</v>
      </c>
      <c r="T237" s="101">
        <v>0</v>
      </c>
      <c r="U237" s="101">
        <v>0</v>
      </c>
      <c r="V237" s="101">
        <v>784.57981308691353</v>
      </c>
      <c r="W237" s="101">
        <v>780.73867965345471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255.57298126629254</v>
      </c>
      <c r="D240" s="152">
        <v>254.73807757296024</v>
      </c>
      <c r="E240" s="152">
        <v>254.95243276491146</v>
      </c>
      <c r="F240" s="152">
        <v>253.38803548701358</v>
      </c>
      <c r="G240" s="152">
        <v>253.68642894291523</v>
      </c>
      <c r="H240" s="152">
        <v>254.8857693650732</v>
      </c>
      <c r="I240" s="152">
        <v>252.37845563308863</v>
      </c>
      <c r="J240" s="152">
        <v>240.87056905456586</v>
      </c>
      <c r="K240" s="152">
        <v>231.13517179894444</v>
      </c>
      <c r="L240" s="152">
        <v>219.49498719287604</v>
      </c>
      <c r="M240" s="152">
        <v>237.10205404182102</v>
      </c>
      <c r="N240" s="152">
        <v>240.15730700950394</v>
      </c>
      <c r="O240" s="152">
        <v>227.55705171102335</v>
      </c>
      <c r="P240" s="152">
        <v>223.31599076296627</v>
      </c>
      <c r="Q240" s="152">
        <v>213.80619093535151</v>
      </c>
      <c r="R240" s="152">
        <v>212.05737930187578</v>
      </c>
      <c r="S240" s="152">
        <v>202.62481377358719</v>
      </c>
      <c r="T240" s="152">
        <v>208.94807883588615</v>
      </c>
      <c r="U240" s="152">
        <v>215.24297985557061</v>
      </c>
      <c r="V240" s="152">
        <v>228.23671183907561</v>
      </c>
      <c r="W240" s="152">
        <v>223.06495106391682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271.38109537179753</v>
      </c>
      <c r="D241" s="87">
        <v>269.74001135540215</v>
      </c>
      <c r="E241" s="87">
        <v>266.36374446846037</v>
      </c>
      <c r="F241" s="87">
        <v>265.99487696018804</v>
      </c>
      <c r="G241" s="87">
        <v>262.41159259411381</v>
      </c>
      <c r="H241" s="87">
        <v>257.11947303665545</v>
      </c>
      <c r="I241" s="87">
        <v>253.34799096227903</v>
      </c>
      <c r="J241" s="87">
        <v>0</v>
      </c>
      <c r="K241" s="87">
        <v>227.77945031233969</v>
      </c>
      <c r="L241" s="87">
        <v>219.49498719287604</v>
      </c>
      <c r="M241" s="87">
        <v>195.87040394472737</v>
      </c>
      <c r="N241" s="87">
        <v>190.15370680186928</v>
      </c>
      <c r="O241" s="87">
        <v>175.63157959852435</v>
      </c>
      <c r="P241" s="87">
        <v>192.38038156680989</v>
      </c>
      <c r="Q241" s="87">
        <v>162.50967997334746</v>
      </c>
      <c r="R241" s="87">
        <v>165.52747366379032</v>
      </c>
      <c r="S241" s="87">
        <v>175.0286979416482</v>
      </c>
      <c r="T241" s="87">
        <v>191.67823998353052</v>
      </c>
      <c r="U241" s="87">
        <v>215.8228346456693</v>
      </c>
      <c r="V241" s="87">
        <v>163.28899703235521</v>
      </c>
      <c r="W241" s="87">
        <v>163.27272727272731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253.45799315077031</v>
      </c>
      <c r="D242" s="87">
        <v>253.31808430357384</v>
      </c>
      <c r="E242" s="87">
        <v>253.89520829825912</v>
      </c>
      <c r="F242" s="87">
        <v>252.22067428337675</v>
      </c>
      <c r="G242" s="87">
        <v>252.97268433705759</v>
      </c>
      <c r="H242" s="87">
        <v>254.59475253424134</v>
      </c>
      <c r="I242" s="87">
        <v>252.25127934370104</v>
      </c>
      <c r="J242" s="87">
        <v>240.87056905456586</v>
      </c>
      <c r="K242" s="87">
        <v>231.4048611114319</v>
      </c>
      <c r="L242" s="87">
        <v>0</v>
      </c>
      <c r="M242" s="87">
        <v>238.22372922794412</v>
      </c>
      <c r="N242" s="87">
        <v>241.42733603696902</v>
      </c>
      <c r="O242" s="87">
        <v>229.10389998856019</v>
      </c>
      <c r="P242" s="87">
        <v>224.11270487246998</v>
      </c>
      <c r="Q242" s="87">
        <v>214.87825834116313</v>
      </c>
      <c r="R242" s="87">
        <v>213.03677851327441</v>
      </c>
      <c r="S242" s="87">
        <v>203.22269847678422</v>
      </c>
      <c r="T242" s="87">
        <v>209.37685310434432</v>
      </c>
      <c r="U242" s="87">
        <v>215.19866071428569</v>
      </c>
      <c r="V242" s="87">
        <v>230.00379953007021</v>
      </c>
      <c r="W242" s="87">
        <v>225.0591016548463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834.71481068889636</v>
      </c>
      <c r="D246" s="116">
        <v>815.87569358121857</v>
      </c>
      <c r="E246" s="116">
        <v>805.60685089808374</v>
      </c>
      <c r="F246" s="116">
        <v>839.45423013773325</v>
      </c>
      <c r="G246" s="116">
        <v>815.77457065576345</v>
      </c>
      <c r="H246" s="116">
        <v>820.34445714859783</v>
      </c>
      <c r="I246" s="116">
        <v>797.28090640482105</v>
      </c>
      <c r="J246" s="116">
        <v>783.37037271941256</v>
      </c>
      <c r="K246" s="116">
        <v>767.06119668315762</v>
      </c>
      <c r="L246" s="116">
        <v>867.077777162448</v>
      </c>
      <c r="M246" s="116">
        <v>772.85161871588457</v>
      </c>
      <c r="N246" s="116">
        <v>763.62870713328732</v>
      </c>
      <c r="O246" s="116">
        <v>754.14003886521425</v>
      </c>
      <c r="P246" s="116">
        <v>724.99385317384633</v>
      </c>
      <c r="Q246" s="116">
        <v>811.25153133829679</v>
      </c>
      <c r="R246" s="116">
        <v>711.19747819013537</v>
      </c>
      <c r="S246" s="116">
        <v>702.48852492436095</v>
      </c>
      <c r="T246" s="116">
        <v>688.01647964788799</v>
      </c>
      <c r="U246" s="116">
        <v>681.34715514639981</v>
      </c>
      <c r="V246" s="116">
        <v>693.0037733372975</v>
      </c>
      <c r="W246" s="116">
        <v>676.66455732000441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755.12542100880569</v>
      </c>
      <c r="D247" s="101">
        <v>752.54815603324494</v>
      </c>
      <c r="E247" s="101">
        <v>749.33898141751399</v>
      </c>
      <c r="F247" s="101">
        <v>745.50605173475492</v>
      </c>
      <c r="G247" s="101">
        <v>741.05903778616323</v>
      </c>
      <c r="H247" s="101">
        <v>736.00906629413907</v>
      </c>
      <c r="I247" s="101">
        <v>730.36865136662357</v>
      </c>
      <c r="J247" s="101">
        <v>724.15161850637878</v>
      </c>
      <c r="K247" s="101">
        <v>717.3730219992284</v>
      </c>
      <c r="L247" s="101">
        <v>710.04905659116412</v>
      </c>
      <c r="M247" s="101">
        <v>702.19696437839116</v>
      </c>
      <c r="N247" s="101">
        <v>693.8349378701954</v>
      </c>
      <c r="O247" s="101">
        <v>684.98202019573796</v>
      </c>
      <c r="P247" s="101">
        <v>675.65800340304031</v>
      </c>
      <c r="Q247" s="101">
        <v>665.88332579858684</v>
      </c>
      <c r="R247" s="101">
        <v>655.42326155335616</v>
      </c>
      <c r="S247" s="101">
        <v>648.10121658169464</v>
      </c>
      <c r="T247" s="101">
        <v>640.41306936145008</v>
      </c>
      <c r="U247" s="101">
        <v>631.01644498115115</v>
      </c>
      <c r="V247" s="101">
        <v>631.05010033284816</v>
      </c>
      <c r="W247" s="101">
        <v>624.73959932951959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611</v>
      </c>
      <c r="C4" s="28">
        <f t="shared" ref="C4:V4" si="1">SUM(C5,C6,C9)</f>
        <v>533</v>
      </c>
      <c r="D4" s="28">
        <f t="shared" si="1"/>
        <v>498</v>
      </c>
      <c r="E4" s="28">
        <f t="shared" si="1"/>
        <v>432</v>
      </c>
      <c r="F4" s="28">
        <f t="shared" si="1"/>
        <v>444</v>
      </c>
      <c r="G4" s="28">
        <f t="shared" si="1"/>
        <v>280</v>
      </c>
      <c r="H4" s="28">
        <f t="shared" si="1"/>
        <v>268</v>
      </c>
      <c r="I4" s="28">
        <f t="shared" si="1"/>
        <v>246</v>
      </c>
      <c r="J4" s="28">
        <f t="shared" si="1"/>
        <v>258</v>
      </c>
      <c r="K4" s="28">
        <f t="shared" si="1"/>
        <v>231</v>
      </c>
      <c r="L4" s="28">
        <f t="shared" si="1"/>
        <v>244</v>
      </c>
      <c r="M4" s="28">
        <f t="shared" si="1"/>
        <v>269</v>
      </c>
      <c r="N4" s="28">
        <f t="shared" si="1"/>
        <v>278</v>
      </c>
      <c r="O4" s="28">
        <f t="shared" si="1"/>
        <v>278</v>
      </c>
      <c r="P4" s="28">
        <f t="shared" si="1"/>
        <v>270</v>
      </c>
      <c r="Q4" s="28">
        <f t="shared" si="1"/>
        <v>262</v>
      </c>
      <c r="R4" s="28">
        <f t="shared" si="1"/>
        <v>280</v>
      </c>
      <c r="S4" s="28">
        <f t="shared" si="1"/>
        <v>315</v>
      </c>
      <c r="T4" s="28">
        <f t="shared" si="1"/>
        <v>354</v>
      </c>
      <c r="U4" s="28">
        <f t="shared" si="1"/>
        <v>359</v>
      </c>
      <c r="V4" s="28">
        <f t="shared" si="1"/>
        <v>237</v>
      </c>
      <c r="W4" s="28">
        <f t="shared" ref="W4" si="2">SUM(W5,W6,W9)</f>
        <v>287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0</v>
      </c>
      <c r="U5" s="108">
        <v>0</v>
      </c>
      <c r="V5" s="108">
        <v>0</v>
      </c>
      <c r="W5" s="108">
        <v>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611</v>
      </c>
      <c r="C6" s="110">
        <f t="shared" ref="C6:V6" si="4">SUM(C7:C8)</f>
        <v>533</v>
      </c>
      <c r="D6" s="110">
        <f t="shared" si="4"/>
        <v>498</v>
      </c>
      <c r="E6" s="110">
        <f t="shared" si="4"/>
        <v>432</v>
      </c>
      <c r="F6" s="110">
        <f t="shared" si="4"/>
        <v>444</v>
      </c>
      <c r="G6" s="110">
        <f t="shared" si="4"/>
        <v>280</v>
      </c>
      <c r="H6" s="110">
        <f t="shared" si="4"/>
        <v>268</v>
      </c>
      <c r="I6" s="110">
        <f t="shared" si="4"/>
        <v>246</v>
      </c>
      <c r="J6" s="110">
        <f t="shared" si="4"/>
        <v>258</v>
      </c>
      <c r="K6" s="110">
        <f t="shared" si="4"/>
        <v>231</v>
      </c>
      <c r="L6" s="110">
        <f t="shared" si="4"/>
        <v>244</v>
      </c>
      <c r="M6" s="110">
        <f t="shared" si="4"/>
        <v>269</v>
      </c>
      <c r="N6" s="110">
        <f t="shared" si="4"/>
        <v>278</v>
      </c>
      <c r="O6" s="110">
        <f t="shared" si="4"/>
        <v>278</v>
      </c>
      <c r="P6" s="110">
        <f t="shared" si="4"/>
        <v>270</v>
      </c>
      <c r="Q6" s="110">
        <f t="shared" si="4"/>
        <v>262</v>
      </c>
      <c r="R6" s="110">
        <f t="shared" si="4"/>
        <v>280</v>
      </c>
      <c r="S6" s="110">
        <f t="shared" si="4"/>
        <v>315</v>
      </c>
      <c r="T6" s="110">
        <f t="shared" si="4"/>
        <v>354</v>
      </c>
      <c r="U6" s="110">
        <f t="shared" si="4"/>
        <v>359</v>
      </c>
      <c r="V6" s="110">
        <f t="shared" si="4"/>
        <v>237</v>
      </c>
      <c r="W6" s="110">
        <f t="shared" ref="W6" si="5">SUM(W7:W8)</f>
        <v>287</v>
      </c>
      <c r="DA6" s="176" t="s">
        <v>377</v>
      </c>
    </row>
    <row r="7" spans="1:105" ht="11.45" customHeight="1" x14ac:dyDescent="0.25">
      <c r="A7" s="111" t="s">
        <v>90</v>
      </c>
      <c r="B7" s="84">
        <v>549.26941314149622</v>
      </c>
      <c r="C7" s="84">
        <v>481.26827143283879</v>
      </c>
      <c r="D7" s="84">
        <v>445.62140399997833</v>
      </c>
      <c r="E7" s="84">
        <v>372.11458939271728</v>
      </c>
      <c r="F7" s="84">
        <v>372.78605489002524</v>
      </c>
      <c r="G7" s="84">
        <v>220.29175600799311</v>
      </c>
      <c r="H7" s="84">
        <v>207.33875890132248</v>
      </c>
      <c r="I7" s="84">
        <v>182.75776527512093</v>
      </c>
      <c r="J7" s="84">
        <v>189.47436583175326</v>
      </c>
      <c r="K7" s="84">
        <v>160.32306495263867</v>
      </c>
      <c r="L7" s="84">
        <v>175.2858660998937</v>
      </c>
      <c r="M7" s="84">
        <v>194.01909038754479</v>
      </c>
      <c r="N7" s="84">
        <v>198.80582992050108</v>
      </c>
      <c r="O7" s="84">
        <v>196.82427152856908</v>
      </c>
      <c r="P7" s="84">
        <v>177.92575973893537</v>
      </c>
      <c r="Q7" s="84">
        <v>180.80496320991062</v>
      </c>
      <c r="R7" s="84">
        <v>194.34378008343137</v>
      </c>
      <c r="S7" s="84">
        <v>227.50906829723286</v>
      </c>
      <c r="T7" s="84">
        <v>250.86914052494063</v>
      </c>
      <c r="U7" s="84">
        <v>263.12413343879405</v>
      </c>
      <c r="V7" s="84">
        <v>177.01071026936327</v>
      </c>
      <c r="W7" s="84">
        <v>215.79397170315988</v>
      </c>
      <c r="DA7" s="171" t="s">
        <v>1029</v>
      </c>
    </row>
    <row r="8" spans="1:105" ht="11.45" customHeight="1" x14ac:dyDescent="0.25">
      <c r="A8" s="111" t="s">
        <v>93</v>
      </c>
      <c r="B8" s="84">
        <v>61.730586858503784</v>
      </c>
      <c r="C8" s="84">
        <v>51.731728567161213</v>
      </c>
      <c r="D8" s="84">
        <v>52.378596000021673</v>
      </c>
      <c r="E8" s="84">
        <v>59.885410607282722</v>
      </c>
      <c r="F8" s="84">
        <v>71.213945109974759</v>
      </c>
      <c r="G8" s="84">
        <v>59.708243992006885</v>
      </c>
      <c r="H8" s="84">
        <v>60.661241098677522</v>
      </c>
      <c r="I8" s="84">
        <v>63.242234724879069</v>
      </c>
      <c r="J8" s="84">
        <v>68.525634168246739</v>
      </c>
      <c r="K8" s="84">
        <v>70.676935047361326</v>
      </c>
      <c r="L8" s="84">
        <v>68.714133900106305</v>
      </c>
      <c r="M8" s="84">
        <v>74.980909612455207</v>
      </c>
      <c r="N8" s="84">
        <v>79.194170079498917</v>
      </c>
      <c r="O8" s="84">
        <v>81.175728471430915</v>
      </c>
      <c r="P8" s="84">
        <v>92.074240261064631</v>
      </c>
      <c r="Q8" s="84">
        <v>81.195036790089375</v>
      </c>
      <c r="R8" s="84">
        <v>85.656219916568631</v>
      </c>
      <c r="S8" s="84">
        <v>87.490931702767142</v>
      </c>
      <c r="T8" s="84">
        <v>103.13085947505937</v>
      </c>
      <c r="U8" s="84">
        <v>95.875866561205953</v>
      </c>
      <c r="V8" s="84">
        <v>59.989289730636727</v>
      </c>
      <c r="W8" s="84">
        <v>71.206028296840117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8918.0000000000018</v>
      </c>
      <c r="C10" s="28">
        <f t="shared" ref="C10:V10" si="7">SUM(C11:C12)</f>
        <v>7741</v>
      </c>
      <c r="D10" s="28">
        <f t="shared" si="7"/>
        <v>9766.9999999999982</v>
      </c>
      <c r="E10" s="28">
        <f t="shared" si="7"/>
        <v>11457</v>
      </c>
      <c r="F10" s="28">
        <f t="shared" si="7"/>
        <v>11637</v>
      </c>
      <c r="G10" s="28">
        <f t="shared" si="7"/>
        <v>12456.999999999998</v>
      </c>
      <c r="H10" s="28">
        <f t="shared" si="7"/>
        <v>12896</v>
      </c>
      <c r="I10" s="28">
        <f t="shared" si="7"/>
        <v>14373</v>
      </c>
      <c r="J10" s="28">
        <f t="shared" si="7"/>
        <v>14748.000000000002</v>
      </c>
      <c r="K10" s="28">
        <f t="shared" si="7"/>
        <v>11887.999999999998</v>
      </c>
      <c r="L10" s="28">
        <f t="shared" si="7"/>
        <v>13431</v>
      </c>
      <c r="M10" s="28">
        <f t="shared" si="7"/>
        <v>15088</v>
      </c>
      <c r="N10" s="28">
        <f t="shared" si="7"/>
        <v>14172</v>
      </c>
      <c r="O10" s="28">
        <f t="shared" si="7"/>
        <v>13344</v>
      </c>
      <c r="P10" s="28">
        <f t="shared" si="7"/>
        <v>14307</v>
      </c>
      <c r="Q10" s="28">
        <f t="shared" si="7"/>
        <v>14035.999999999998</v>
      </c>
      <c r="R10" s="28">
        <f t="shared" si="7"/>
        <v>13790</v>
      </c>
      <c r="S10" s="28">
        <f t="shared" si="7"/>
        <v>15414</v>
      </c>
      <c r="T10" s="28">
        <f t="shared" si="7"/>
        <v>16885</v>
      </c>
      <c r="U10" s="28">
        <f t="shared" si="7"/>
        <v>16181.000000000002</v>
      </c>
      <c r="V10" s="28">
        <f t="shared" si="7"/>
        <v>15865</v>
      </c>
      <c r="W10" s="28">
        <f t="shared" ref="W10" si="8">SUM(W11:W12)</f>
        <v>14566</v>
      </c>
      <c r="DA10" s="173" t="s">
        <v>383</v>
      </c>
    </row>
    <row r="11" spans="1:105" ht="11.45" customHeight="1" x14ac:dyDescent="0.25">
      <c r="A11" s="83" t="s">
        <v>90</v>
      </c>
      <c r="B11" s="84">
        <v>8918.0000000000018</v>
      </c>
      <c r="C11" s="84">
        <v>7741</v>
      </c>
      <c r="D11" s="84">
        <v>9766.9999999999982</v>
      </c>
      <c r="E11" s="84">
        <v>11457</v>
      </c>
      <c r="F11" s="84">
        <v>11637</v>
      </c>
      <c r="G11" s="84">
        <v>12456.999999999998</v>
      </c>
      <c r="H11" s="84">
        <v>12896</v>
      </c>
      <c r="I11" s="84">
        <v>14373</v>
      </c>
      <c r="J11" s="84">
        <v>14748.000000000002</v>
      </c>
      <c r="K11" s="84">
        <v>11887.999999999998</v>
      </c>
      <c r="L11" s="84">
        <v>13431</v>
      </c>
      <c r="M11" s="84">
        <v>15088</v>
      </c>
      <c r="N11" s="84">
        <v>14172</v>
      </c>
      <c r="O11" s="84">
        <v>13344</v>
      </c>
      <c r="P11" s="84">
        <v>14307</v>
      </c>
      <c r="Q11" s="84">
        <v>14035.999999999998</v>
      </c>
      <c r="R11" s="84">
        <v>13790</v>
      </c>
      <c r="S11" s="84">
        <v>15414</v>
      </c>
      <c r="T11" s="84">
        <v>16885</v>
      </c>
      <c r="U11" s="84">
        <v>16181.000000000002</v>
      </c>
      <c r="V11" s="84">
        <v>15865</v>
      </c>
      <c r="W11" s="84">
        <v>14566</v>
      </c>
      <c r="DA11" s="171" t="s">
        <v>1031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17.960568510899993</v>
      </c>
      <c r="C14" s="62">
        <f t="shared" ref="C14:V14" si="10">C15+C21</f>
        <v>15.896307805388627</v>
      </c>
      <c r="D14" s="62">
        <f t="shared" si="10"/>
        <v>16.753937702197778</v>
      </c>
      <c r="E14" s="62">
        <f t="shared" si="10"/>
        <v>18.179012331354038</v>
      </c>
      <c r="F14" s="62">
        <f t="shared" si="10"/>
        <v>18.121633467139453</v>
      </c>
      <c r="G14" s="62">
        <f t="shared" si="10"/>
        <v>17.6457330598335</v>
      </c>
      <c r="H14" s="62">
        <f t="shared" si="10"/>
        <v>16.945905578916069</v>
      </c>
      <c r="I14" s="62">
        <f t="shared" si="10"/>
        <v>17.538631560831181</v>
      </c>
      <c r="J14" s="62">
        <f t="shared" si="10"/>
        <v>18.870736636058755</v>
      </c>
      <c r="K14" s="62">
        <f t="shared" si="10"/>
        <v>14.808346935291748</v>
      </c>
      <c r="L14" s="62">
        <f t="shared" si="10"/>
        <v>15.726065829790027</v>
      </c>
      <c r="M14" s="62">
        <f t="shared" si="10"/>
        <v>16.975453761446865</v>
      </c>
      <c r="N14" s="62">
        <f t="shared" si="10"/>
        <v>16.247734459794206</v>
      </c>
      <c r="O14" s="62">
        <f t="shared" si="10"/>
        <v>15.179914947364267</v>
      </c>
      <c r="P14" s="62">
        <f t="shared" si="10"/>
        <v>16.10124430563495</v>
      </c>
      <c r="Q14" s="62">
        <f t="shared" si="10"/>
        <v>15.193954638258093</v>
      </c>
      <c r="R14" s="62">
        <f t="shared" si="10"/>
        <v>14.983013406766812</v>
      </c>
      <c r="S14" s="62">
        <f t="shared" si="10"/>
        <v>16.239923444489722</v>
      </c>
      <c r="T14" s="62">
        <f t="shared" si="10"/>
        <v>18.527350076377875</v>
      </c>
      <c r="U14" s="62">
        <f t="shared" si="10"/>
        <v>16.974518333630407</v>
      </c>
      <c r="V14" s="62">
        <f t="shared" si="10"/>
        <v>16.208899150099736</v>
      </c>
      <c r="W14" s="62">
        <f t="shared" ref="W14" si="11">W15+W21</f>
        <v>16.051945842818739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4.7444977187534958</v>
      </c>
      <c r="C15" s="29">
        <f t="shared" ref="C15:V15" si="13">SUM(C16,C17,C20)</f>
        <v>4.1932664956822023</v>
      </c>
      <c r="D15" s="29">
        <f t="shared" si="13"/>
        <v>4.0150068911794881</v>
      </c>
      <c r="E15" s="29">
        <f t="shared" si="13"/>
        <v>3.5324429420373313</v>
      </c>
      <c r="F15" s="29">
        <f t="shared" si="13"/>
        <v>3.6075306788545736</v>
      </c>
      <c r="G15" s="29">
        <f t="shared" si="13"/>
        <v>2.3105455397396026</v>
      </c>
      <c r="H15" s="29">
        <f t="shared" si="13"/>
        <v>2.1526168292467185</v>
      </c>
      <c r="I15" s="29">
        <f t="shared" si="13"/>
        <v>1.977694517586748</v>
      </c>
      <c r="J15" s="29">
        <f t="shared" si="13"/>
        <v>2.2215409437835381</v>
      </c>
      <c r="K15" s="29">
        <f t="shared" si="13"/>
        <v>2.0895669186266419</v>
      </c>
      <c r="L15" s="29">
        <f t="shared" si="13"/>
        <v>2.2445764731916245</v>
      </c>
      <c r="M15" s="29">
        <f t="shared" si="13"/>
        <v>2.3761503840691054</v>
      </c>
      <c r="N15" s="29">
        <f t="shared" si="13"/>
        <v>2.4678997567482814</v>
      </c>
      <c r="O15" s="29">
        <f t="shared" si="13"/>
        <v>2.3890103113606926</v>
      </c>
      <c r="P15" s="29">
        <f t="shared" si="13"/>
        <v>2.2897802748535119</v>
      </c>
      <c r="Q15" s="29">
        <f t="shared" si="13"/>
        <v>2.32749843914806</v>
      </c>
      <c r="R15" s="29">
        <f t="shared" si="13"/>
        <v>2.2685941389829773</v>
      </c>
      <c r="S15" s="29">
        <f t="shared" si="13"/>
        <v>2.6493846046061491</v>
      </c>
      <c r="T15" s="29">
        <f t="shared" si="13"/>
        <v>3.1547835417237784</v>
      </c>
      <c r="U15" s="29">
        <f t="shared" si="13"/>
        <v>3.1266959358290043</v>
      </c>
      <c r="V15" s="29">
        <f t="shared" si="13"/>
        <v>2.6120956548384071</v>
      </c>
      <c r="W15" s="29">
        <f t="shared" ref="W15" si="14">SUM(W16,W17,W20)</f>
        <v>2.9738910285260665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</v>
      </c>
      <c r="U16" s="115">
        <v>0</v>
      </c>
      <c r="V16" s="115">
        <v>0</v>
      </c>
      <c r="W16" s="115">
        <v>0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4.7444977187534958</v>
      </c>
      <c r="C17" s="116">
        <f t="shared" ref="C17:V17" si="16">SUM(C18:C19)</f>
        <v>4.1932664956822023</v>
      </c>
      <c r="D17" s="116">
        <f t="shared" si="16"/>
        <v>4.0150068911794881</v>
      </c>
      <c r="E17" s="116">
        <f t="shared" si="16"/>
        <v>3.5324429420373313</v>
      </c>
      <c r="F17" s="116">
        <f t="shared" si="16"/>
        <v>3.6075306788545736</v>
      </c>
      <c r="G17" s="116">
        <f t="shared" si="16"/>
        <v>2.3105455397396026</v>
      </c>
      <c r="H17" s="116">
        <f t="shared" si="16"/>
        <v>2.1526168292467185</v>
      </c>
      <c r="I17" s="116">
        <f t="shared" si="16"/>
        <v>1.977694517586748</v>
      </c>
      <c r="J17" s="116">
        <f t="shared" si="16"/>
        <v>2.2215409437835381</v>
      </c>
      <c r="K17" s="116">
        <f t="shared" si="16"/>
        <v>2.0895669186266419</v>
      </c>
      <c r="L17" s="116">
        <f t="shared" si="16"/>
        <v>2.2445764731916245</v>
      </c>
      <c r="M17" s="116">
        <f t="shared" si="16"/>
        <v>2.3761503840691054</v>
      </c>
      <c r="N17" s="116">
        <f t="shared" si="16"/>
        <v>2.4678997567482814</v>
      </c>
      <c r="O17" s="116">
        <f t="shared" si="16"/>
        <v>2.3890103113606926</v>
      </c>
      <c r="P17" s="116">
        <f t="shared" si="16"/>
        <v>2.2897802748535119</v>
      </c>
      <c r="Q17" s="116">
        <f t="shared" si="16"/>
        <v>2.32749843914806</v>
      </c>
      <c r="R17" s="116">
        <f t="shared" si="16"/>
        <v>2.2685941389829773</v>
      </c>
      <c r="S17" s="116">
        <f t="shared" si="16"/>
        <v>2.6493846046061491</v>
      </c>
      <c r="T17" s="116">
        <f t="shared" si="16"/>
        <v>3.1547835417237784</v>
      </c>
      <c r="U17" s="116">
        <f t="shared" si="16"/>
        <v>3.1266959358290043</v>
      </c>
      <c r="V17" s="116">
        <f t="shared" si="16"/>
        <v>2.6120956548384071</v>
      </c>
      <c r="W17" s="116">
        <f t="shared" ref="W17" si="17">SUM(W18:W19)</f>
        <v>2.9738910285260665</v>
      </c>
      <c r="DA17" s="176" t="s">
        <v>1036</v>
      </c>
    </row>
    <row r="18" spans="1:105" ht="11.45" customHeight="1" x14ac:dyDescent="0.25">
      <c r="A18" s="111" t="s">
        <v>92</v>
      </c>
      <c r="B18" s="87">
        <v>4.358469598866531</v>
      </c>
      <c r="C18" s="87">
        <v>3.8614340244614871</v>
      </c>
      <c r="D18" s="87">
        <v>3.6790549269073041</v>
      </c>
      <c r="E18" s="87">
        <v>3.1394656596096819</v>
      </c>
      <c r="F18" s="87">
        <v>3.1552238296212551</v>
      </c>
      <c r="G18" s="87">
        <v>1.8611969199705753</v>
      </c>
      <c r="H18" s="87">
        <v>1.7026606914898257</v>
      </c>
      <c r="I18" s="87">
        <v>1.5218246518303324</v>
      </c>
      <c r="J18" s="87">
        <v>1.6201917878093119</v>
      </c>
      <c r="K18" s="87">
        <v>1.4227231490896344</v>
      </c>
      <c r="L18" s="87">
        <v>1.5751172346099216</v>
      </c>
      <c r="M18" s="87">
        <v>1.7479747001592087</v>
      </c>
      <c r="N18" s="87">
        <v>1.7708095636203285</v>
      </c>
      <c r="O18" s="87">
        <v>1.7457397332962168</v>
      </c>
      <c r="P18" s="87">
        <v>1.5629475163192181</v>
      </c>
      <c r="Q18" s="87">
        <v>1.5922883740271789</v>
      </c>
      <c r="R18" s="87">
        <v>1.4596235860546691</v>
      </c>
      <c r="S18" s="87">
        <v>1.8555374979447465</v>
      </c>
      <c r="T18" s="87">
        <v>2.0230120660836635</v>
      </c>
      <c r="U18" s="87">
        <v>2.1002959110285375</v>
      </c>
      <c r="V18" s="87">
        <v>1.6926813695955627</v>
      </c>
      <c r="W18" s="87">
        <v>2.1419786249338757</v>
      </c>
      <c r="DA18" s="171" t="s">
        <v>1037</v>
      </c>
    </row>
    <row r="19" spans="1:105" ht="11.45" customHeight="1" x14ac:dyDescent="0.25">
      <c r="A19" s="111" t="s">
        <v>93</v>
      </c>
      <c r="B19" s="87">
        <v>0.38602811988696489</v>
      </c>
      <c r="C19" s="87">
        <v>0.33183247122071524</v>
      </c>
      <c r="D19" s="87">
        <v>0.33595196427218393</v>
      </c>
      <c r="E19" s="87">
        <v>0.3929772824276494</v>
      </c>
      <c r="F19" s="87">
        <v>0.45230684923331838</v>
      </c>
      <c r="G19" s="87">
        <v>0.44934861976902729</v>
      </c>
      <c r="H19" s="87">
        <v>0.4499561377568928</v>
      </c>
      <c r="I19" s="87">
        <v>0.45586986575641553</v>
      </c>
      <c r="J19" s="87">
        <v>0.60134915597422611</v>
      </c>
      <c r="K19" s="87">
        <v>0.66684376953700752</v>
      </c>
      <c r="L19" s="87">
        <v>0.66945923858170286</v>
      </c>
      <c r="M19" s="87">
        <v>0.62817568390989664</v>
      </c>
      <c r="N19" s="87">
        <v>0.69709019312795295</v>
      </c>
      <c r="O19" s="87">
        <v>0.64327057806447585</v>
      </c>
      <c r="P19" s="87">
        <v>0.72683275853429374</v>
      </c>
      <c r="Q19" s="87">
        <v>0.73521006512088105</v>
      </c>
      <c r="R19" s="87">
        <v>0.80897055292830822</v>
      </c>
      <c r="S19" s="87">
        <v>0.79384710666140257</v>
      </c>
      <c r="T19" s="87">
        <v>1.1317714756401149</v>
      </c>
      <c r="U19" s="87">
        <v>1.0264000248004668</v>
      </c>
      <c r="V19" s="87">
        <v>0.91941428524284441</v>
      </c>
      <c r="W19" s="87">
        <v>0.83191240359219076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13.216070792146498</v>
      </c>
      <c r="C21" s="29">
        <f t="shared" ref="C21:V21" si="19">SUM(C22:C23)</f>
        <v>11.703041309706425</v>
      </c>
      <c r="D21" s="29">
        <f t="shared" si="19"/>
        <v>12.738930811018289</v>
      </c>
      <c r="E21" s="29">
        <f t="shared" si="19"/>
        <v>14.646569389316705</v>
      </c>
      <c r="F21" s="29">
        <f t="shared" si="19"/>
        <v>14.514102788284879</v>
      </c>
      <c r="G21" s="29">
        <f t="shared" si="19"/>
        <v>15.335187520093898</v>
      </c>
      <c r="H21" s="29">
        <f t="shared" si="19"/>
        <v>14.793288749669349</v>
      </c>
      <c r="I21" s="29">
        <f t="shared" si="19"/>
        <v>15.560937043244435</v>
      </c>
      <c r="J21" s="29">
        <f t="shared" si="19"/>
        <v>16.649195692275217</v>
      </c>
      <c r="K21" s="29">
        <f t="shared" si="19"/>
        <v>12.718780016665107</v>
      </c>
      <c r="L21" s="29">
        <f t="shared" si="19"/>
        <v>13.481489356598402</v>
      </c>
      <c r="M21" s="29">
        <f t="shared" si="19"/>
        <v>14.59930337737776</v>
      </c>
      <c r="N21" s="29">
        <f t="shared" si="19"/>
        <v>13.779834703045925</v>
      </c>
      <c r="O21" s="29">
        <f t="shared" si="19"/>
        <v>12.790904636003575</v>
      </c>
      <c r="P21" s="29">
        <f t="shared" si="19"/>
        <v>13.811464030781439</v>
      </c>
      <c r="Q21" s="29">
        <f t="shared" si="19"/>
        <v>12.866456199110033</v>
      </c>
      <c r="R21" s="29">
        <f t="shared" si="19"/>
        <v>12.714419267783834</v>
      </c>
      <c r="S21" s="29">
        <f t="shared" si="19"/>
        <v>13.590538839883575</v>
      </c>
      <c r="T21" s="29">
        <f t="shared" si="19"/>
        <v>15.372566534654096</v>
      </c>
      <c r="U21" s="29">
        <f t="shared" si="19"/>
        <v>13.847822397801401</v>
      </c>
      <c r="V21" s="29">
        <f t="shared" si="19"/>
        <v>13.59680349526133</v>
      </c>
      <c r="W21" s="29">
        <f t="shared" ref="W21" si="20">SUM(W22:W23)</f>
        <v>13.078054814292674</v>
      </c>
      <c r="DA21" s="173" t="s">
        <v>1040</v>
      </c>
    </row>
    <row r="22" spans="1:105" ht="11.45" customHeight="1" x14ac:dyDescent="0.25">
      <c r="A22" s="83" t="s">
        <v>92</v>
      </c>
      <c r="B22" s="87">
        <v>13.216070792146498</v>
      </c>
      <c r="C22" s="87">
        <v>11.703041309706425</v>
      </c>
      <c r="D22" s="87">
        <v>12.738930811018289</v>
      </c>
      <c r="E22" s="87">
        <v>14.646569389316705</v>
      </c>
      <c r="F22" s="87">
        <v>14.514102788284879</v>
      </c>
      <c r="G22" s="87">
        <v>15.335187520093898</v>
      </c>
      <c r="H22" s="87">
        <v>14.793288749669349</v>
      </c>
      <c r="I22" s="87">
        <v>15.560937043244435</v>
      </c>
      <c r="J22" s="87">
        <v>16.649195692275217</v>
      </c>
      <c r="K22" s="87">
        <v>12.718780016665107</v>
      </c>
      <c r="L22" s="87">
        <v>13.481489356598402</v>
      </c>
      <c r="M22" s="87">
        <v>14.59930337737776</v>
      </c>
      <c r="N22" s="87">
        <v>13.779834703045925</v>
      </c>
      <c r="O22" s="87">
        <v>12.790904636003575</v>
      </c>
      <c r="P22" s="87">
        <v>13.811464030781439</v>
      </c>
      <c r="Q22" s="87">
        <v>12.866456199110033</v>
      </c>
      <c r="R22" s="87">
        <v>12.714419267783834</v>
      </c>
      <c r="S22" s="87">
        <v>13.590538839883575</v>
      </c>
      <c r="T22" s="87">
        <v>15.372566534654096</v>
      </c>
      <c r="U22" s="87">
        <v>13.847822397801401</v>
      </c>
      <c r="V22" s="87">
        <v>13.59680349526133</v>
      </c>
      <c r="W22" s="87">
        <v>13.078054814292674</v>
      </c>
      <c r="DA22" s="171" t="s">
        <v>1041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97.710339000000005</v>
      </c>
      <c r="C25" s="62">
        <f t="shared" ref="C25:V25" si="22">C26+C32</f>
        <v>87.939306000000002</v>
      </c>
      <c r="D25" s="62">
        <f t="shared" si="22"/>
        <v>90.461367999999993</v>
      </c>
      <c r="E25" s="62">
        <f t="shared" si="22"/>
        <v>97.474082999999993</v>
      </c>
      <c r="F25" s="62">
        <f t="shared" si="22"/>
        <v>96.620719000000008</v>
      </c>
      <c r="G25" s="62">
        <f t="shared" si="22"/>
        <v>97.800775999999999</v>
      </c>
      <c r="H25" s="62">
        <f t="shared" si="22"/>
        <v>92.189685999999995</v>
      </c>
      <c r="I25" s="62">
        <f t="shared" si="22"/>
        <v>93.161707000000007</v>
      </c>
      <c r="J25" s="62">
        <f t="shared" si="22"/>
        <v>98.056252999999998</v>
      </c>
      <c r="K25" s="62">
        <f t="shared" si="22"/>
        <v>90.568391000000005</v>
      </c>
      <c r="L25" s="62">
        <f t="shared" si="22"/>
        <v>84.993752999999998</v>
      </c>
      <c r="M25" s="62">
        <f t="shared" si="22"/>
        <v>88.855391999999995</v>
      </c>
      <c r="N25" s="62">
        <f t="shared" si="22"/>
        <v>85.35184000000001</v>
      </c>
      <c r="O25" s="62">
        <f t="shared" si="22"/>
        <v>79.982704999999996</v>
      </c>
      <c r="P25" s="62">
        <f t="shared" si="22"/>
        <v>84.322524000000001</v>
      </c>
      <c r="Q25" s="62">
        <f t="shared" si="22"/>
        <v>79.84893799999999</v>
      </c>
      <c r="R25" s="62">
        <f t="shared" si="22"/>
        <v>78.696059000000005</v>
      </c>
      <c r="S25" s="62">
        <f t="shared" si="22"/>
        <v>85.615259999999992</v>
      </c>
      <c r="T25" s="62">
        <f t="shared" si="22"/>
        <v>97.894724999999994</v>
      </c>
      <c r="U25" s="62">
        <f t="shared" si="22"/>
        <v>91.544562999999997</v>
      </c>
      <c r="V25" s="62">
        <f t="shared" si="22"/>
        <v>86.29900099999999</v>
      </c>
      <c r="W25" s="62">
        <f t="shared" ref="W25" si="23">W26+W32</f>
        <v>86.443220999999994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31.629985000000001</v>
      </c>
      <c r="C26" s="29">
        <f t="shared" ref="C26:V26" si="25">SUM(C27,C28,C31)</f>
        <v>28.466987</v>
      </c>
      <c r="D26" s="29">
        <f t="shared" si="25"/>
        <v>26.766712999999999</v>
      </c>
      <c r="E26" s="29">
        <f t="shared" si="25"/>
        <v>24.241236000000001</v>
      </c>
      <c r="F26" s="29">
        <f t="shared" si="25"/>
        <v>24.050205000000002</v>
      </c>
      <c r="G26" s="29">
        <f t="shared" si="25"/>
        <v>21.124838</v>
      </c>
      <c r="H26" s="29">
        <f t="shared" si="25"/>
        <v>18.223241999999999</v>
      </c>
      <c r="I26" s="29">
        <f t="shared" si="25"/>
        <v>15.357021</v>
      </c>
      <c r="J26" s="29">
        <f t="shared" si="25"/>
        <v>14.810274</v>
      </c>
      <c r="K26" s="29">
        <f t="shared" si="25"/>
        <v>13.930446999999997</v>
      </c>
      <c r="L26" s="29">
        <f t="shared" si="25"/>
        <v>14.963843999999998</v>
      </c>
      <c r="M26" s="29">
        <f t="shared" si="25"/>
        <v>15.858874999999999</v>
      </c>
      <c r="N26" s="29">
        <f t="shared" si="25"/>
        <v>16.452666000000001</v>
      </c>
      <c r="O26" s="29">
        <f t="shared" si="25"/>
        <v>16.028181</v>
      </c>
      <c r="P26" s="29">
        <f t="shared" si="25"/>
        <v>15.265203</v>
      </c>
      <c r="Q26" s="29">
        <f t="shared" si="25"/>
        <v>15.516656999999999</v>
      </c>
      <c r="R26" s="29">
        <f t="shared" si="25"/>
        <v>15.123962000000001</v>
      </c>
      <c r="S26" s="29">
        <f t="shared" si="25"/>
        <v>17.662565000000001</v>
      </c>
      <c r="T26" s="29">
        <f t="shared" si="25"/>
        <v>21.031891999999999</v>
      </c>
      <c r="U26" s="29">
        <f t="shared" si="25"/>
        <v>21.289764999999999</v>
      </c>
      <c r="V26" s="29">
        <f t="shared" si="25"/>
        <v>18.314982999999998</v>
      </c>
      <c r="W26" s="29">
        <f t="shared" ref="W26" si="26">SUM(W27,W28,W31)</f>
        <v>21.052945999999999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0</v>
      </c>
      <c r="U27" s="115">
        <v>0</v>
      </c>
      <c r="V27" s="115">
        <v>0</v>
      </c>
      <c r="W27" s="115">
        <v>0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31.629985000000001</v>
      </c>
      <c r="C28" s="116">
        <f t="shared" ref="C28:V28" si="28">SUM(C29:C30)</f>
        <v>28.466987</v>
      </c>
      <c r="D28" s="116">
        <f t="shared" si="28"/>
        <v>26.766712999999999</v>
      </c>
      <c r="E28" s="116">
        <f t="shared" si="28"/>
        <v>24.241236000000001</v>
      </c>
      <c r="F28" s="116">
        <f t="shared" si="28"/>
        <v>24.050205000000002</v>
      </c>
      <c r="G28" s="116">
        <f t="shared" si="28"/>
        <v>21.124838</v>
      </c>
      <c r="H28" s="116">
        <f t="shared" si="28"/>
        <v>18.223241999999999</v>
      </c>
      <c r="I28" s="116">
        <f t="shared" si="28"/>
        <v>15.357021</v>
      </c>
      <c r="J28" s="116">
        <f t="shared" si="28"/>
        <v>14.810274</v>
      </c>
      <c r="K28" s="116">
        <f t="shared" si="28"/>
        <v>13.930446999999997</v>
      </c>
      <c r="L28" s="116">
        <f t="shared" si="28"/>
        <v>14.963843999999998</v>
      </c>
      <c r="M28" s="116">
        <f t="shared" si="28"/>
        <v>15.858874999999999</v>
      </c>
      <c r="N28" s="116">
        <f t="shared" si="28"/>
        <v>16.452666000000001</v>
      </c>
      <c r="O28" s="116">
        <f t="shared" si="28"/>
        <v>16.028181</v>
      </c>
      <c r="P28" s="116">
        <f t="shared" si="28"/>
        <v>15.265203</v>
      </c>
      <c r="Q28" s="116">
        <f t="shared" si="28"/>
        <v>15.516656999999999</v>
      </c>
      <c r="R28" s="116">
        <f t="shared" si="28"/>
        <v>15.123962000000001</v>
      </c>
      <c r="S28" s="116">
        <f t="shared" si="28"/>
        <v>17.662565000000001</v>
      </c>
      <c r="T28" s="116">
        <f t="shared" si="28"/>
        <v>21.031891999999999</v>
      </c>
      <c r="U28" s="116">
        <f t="shared" si="28"/>
        <v>21.289764999999999</v>
      </c>
      <c r="V28" s="116">
        <f t="shared" si="28"/>
        <v>18.314982999999998</v>
      </c>
      <c r="W28" s="116">
        <f t="shared" ref="W28" si="29">SUM(W29:W30)</f>
        <v>21.052945999999999</v>
      </c>
      <c r="DA28" s="176" t="s">
        <v>1046</v>
      </c>
    </row>
    <row r="29" spans="1:105" ht="11.45" customHeight="1" x14ac:dyDescent="0.25">
      <c r="A29" s="111" t="s">
        <v>92</v>
      </c>
      <c r="B29" s="87">
        <v>29.056464000000002</v>
      </c>
      <c r="C29" s="87">
        <v>26.150818000000001</v>
      </c>
      <c r="D29" s="87">
        <v>24.527032999999999</v>
      </c>
      <c r="E29" s="87">
        <v>21.621387000000002</v>
      </c>
      <c r="F29" s="87">
        <v>21.034826000000002</v>
      </c>
      <c r="G29" s="87">
        <v>18.129180000000002</v>
      </c>
      <c r="H29" s="87">
        <v>15.223533999999999</v>
      </c>
      <c r="I29" s="87">
        <v>12.317888</v>
      </c>
      <c r="J29" s="87">
        <v>10.801278999999999</v>
      </c>
      <c r="K29" s="87">
        <v>9.4848209999999984</v>
      </c>
      <c r="L29" s="87">
        <v>10.500781999999999</v>
      </c>
      <c r="M29" s="87">
        <v>11.653165</v>
      </c>
      <c r="N29" s="87">
        <v>11.805397999999999</v>
      </c>
      <c r="O29" s="87">
        <v>11.638264999999999</v>
      </c>
      <c r="P29" s="87">
        <v>10.419651</v>
      </c>
      <c r="Q29" s="87">
        <v>10.615255999999999</v>
      </c>
      <c r="R29" s="87">
        <v>9.7308240000000001</v>
      </c>
      <c r="S29" s="87">
        <v>12.370249999999999</v>
      </c>
      <c r="T29" s="87">
        <v>13.486747999999999</v>
      </c>
      <c r="U29" s="87">
        <v>14.001973</v>
      </c>
      <c r="V29" s="87">
        <v>11.284542999999999</v>
      </c>
      <c r="W29" s="87">
        <v>14.279857999999999</v>
      </c>
      <c r="DA29" s="171" t="s">
        <v>1047</v>
      </c>
    </row>
    <row r="30" spans="1:105" ht="11.45" customHeight="1" x14ac:dyDescent="0.25">
      <c r="A30" s="111" t="s">
        <v>93</v>
      </c>
      <c r="B30" s="87">
        <v>2.5735209999999999</v>
      </c>
      <c r="C30" s="87">
        <v>2.3161689999999999</v>
      </c>
      <c r="D30" s="87">
        <v>2.2396800000000003</v>
      </c>
      <c r="E30" s="87">
        <v>2.6198490000000003</v>
      </c>
      <c r="F30" s="87">
        <v>3.0153790000000003</v>
      </c>
      <c r="G30" s="87">
        <v>2.9956580000000002</v>
      </c>
      <c r="H30" s="87">
        <v>2.999708</v>
      </c>
      <c r="I30" s="87">
        <v>3.0391330000000001</v>
      </c>
      <c r="J30" s="87">
        <v>4.0089950000000005</v>
      </c>
      <c r="K30" s="87">
        <v>4.4456259999999999</v>
      </c>
      <c r="L30" s="87">
        <v>4.4630619999999999</v>
      </c>
      <c r="M30" s="87">
        <v>4.2057099999999998</v>
      </c>
      <c r="N30" s="87">
        <v>4.6472680000000004</v>
      </c>
      <c r="O30" s="87">
        <v>4.3899160000000004</v>
      </c>
      <c r="P30" s="87">
        <v>4.8455520000000005</v>
      </c>
      <c r="Q30" s="87">
        <v>4.9014009999999999</v>
      </c>
      <c r="R30" s="87">
        <v>5.3931380000000004</v>
      </c>
      <c r="S30" s="87">
        <v>5.2923150000000003</v>
      </c>
      <c r="T30" s="87">
        <v>7.5451440000000005</v>
      </c>
      <c r="U30" s="87">
        <v>7.2877920000000005</v>
      </c>
      <c r="V30" s="87">
        <v>7.0304400000000005</v>
      </c>
      <c r="W30" s="87">
        <v>6.7730880000000004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66.080354</v>
      </c>
      <c r="C32" s="29">
        <f t="shared" ref="C32:V32" si="31">SUM(C33:C34)</f>
        <v>59.472318999999999</v>
      </c>
      <c r="D32" s="29">
        <f t="shared" si="31"/>
        <v>63.694654999999997</v>
      </c>
      <c r="E32" s="29">
        <f t="shared" si="31"/>
        <v>73.232846999999992</v>
      </c>
      <c r="F32" s="29">
        <f t="shared" si="31"/>
        <v>72.570514000000003</v>
      </c>
      <c r="G32" s="29">
        <f t="shared" si="31"/>
        <v>76.675938000000002</v>
      </c>
      <c r="H32" s="29">
        <f t="shared" si="31"/>
        <v>73.966443999999996</v>
      </c>
      <c r="I32" s="29">
        <f t="shared" si="31"/>
        <v>77.804686000000004</v>
      </c>
      <c r="J32" s="29">
        <f t="shared" si="31"/>
        <v>83.245978999999991</v>
      </c>
      <c r="K32" s="29">
        <f t="shared" si="31"/>
        <v>76.637944000000005</v>
      </c>
      <c r="L32" s="29">
        <f t="shared" si="31"/>
        <v>70.029909000000004</v>
      </c>
      <c r="M32" s="29">
        <f t="shared" si="31"/>
        <v>72.996516999999997</v>
      </c>
      <c r="N32" s="29">
        <f t="shared" si="31"/>
        <v>68.899174000000002</v>
      </c>
      <c r="O32" s="29">
        <f t="shared" si="31"/>
        <v>63.954523999999999</v>
      </c>
      <c r="P32" s="29">
        <f t="shared" si="31"/>
        <v>69.057321000000002</v>
      </c>
      <c r="Q32" s="29">
        <f t="shared" si="31"/>
        <v>64.332280999999995</v>
      </c>
      <c r="R32" s="29">
        <f t="shared" si="31"/>
        <v>63.572096999999999</v>
      </c>
      <c r="S32" s="29">
        <f t="shared" si="31"/>
        <v>67.952694999999991</v>
      </c>
      <c r="T32" s="29">
        <f t="shared" si="31"/>
        <v>76.862832999999995</v>
      </c>
      <c r="U32" s="29">
        <f t="shared" si="31"/>
        <v>70.254797999999994</v>
      </c>
      <c r="V32" s="29">
        <f t="shared" si="31"/>
        <v>67.984017999999992</v>
      </c>
      <c r="W32" s="29">
        <f t="shared" ref="W32" si="32">SUM(W33:W34)</f>
        <v>65.390275000000003</v>
      </c>
      <c r="DA32" s="173" t="s">
        <v>1050</v>
      </c>
    </row>
    <row r="33" spans="1:105" ht="11.45" customHeight="1" x14ac:dyDescent="0.25">
      <c r="A33" s="83" t="s">
        <v>92</v>
      </c>
      <c r="B33" s="87">
        <v>66.080354</v>
      </c>
      <c r="C33" s="87">
        <v>59.472318999999999</v>
      </c>
      <c r="D33" s="87">
        <v>63.694654999999997</v>
      </c>
      <c r="E33" s="87">
        <v>73.232846999999992</v>
      </c>
      <c r="F33" s="87">
        <v>72.570514000000003</v>
      </c>
      <c r="G33" s="87">
        <v>76.675938000000002</v>
      </c>
      <c r="H33" s="87">
        <v>73.966443999999996</v>
      </c>
      <c r="I33" s="87">
        <v>77.804686000000004</v>
      </c>
      <c r="J33" s="87">
        <v>83.245978999999991</v>
      </c>
      <c r="K33" s="87">
        <v>76.637944000000005</v>
      </c>
      <c r="L33" s="87">
        <v>70.029909000000004</v>
      </c>
      <c r="M33" s="87">
        <v>72.996516999999997</v>
      </c>
      <c r="N33" s="87">
        <v>68.899174000000002</v>
      </c>
      <c r="O33" s="87">
        <v>63.954523999999999</v>
      </c>
      <c r="P33" s="87">
        <v>69.057321000000002</v>
      </c>
      <c r="Q33" s="87">
        <v>64.332280999999995</v>
      </c>
      <c r="R33" s="87">
        <v>63.572096999999999</v>
      </c>
      <c r="S33" s="87">
        <v>67.952694999999991</v>
      </c>
      <c r="T33" s="87">
        <v>76.862832999999995</v>
      </c>
      <c r="U33" s="87">
        <v>70.254797999999994</v>
      </c>
      <c r="V33" s="87">
        <v>67.984017999999992</v>
      </c>
      <c r="W33" s="87">
        <v>65.390275000000003</v>
      </c>
      <c r="DA33" s="171" t="s">
        <v>1051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0</v>
      </c>
      <c r="D36" s="54">
        <f t="shared" ref="D36:V36" si="34">D37+D43</f>
        <v>6.6012290000000036</v>
      </c>
      <c r="E36" s="54">
        <f t="shared" si="34"/>
        <v>12.363431</v>
      </c>
      <c r="F36" s="54">
        <f t="shared" si="34"/>
        <v>2.4634000000000174</v>
      </c>
      <c r="G36" s="54">
        <f t="shared" si="34"/>
        <v>6.5307730000000044</v>
      </c>
      <c r="H36" s="54">
        <f t="shared" si="34"/>
        <v>7.0227000000000039E-2</v>
      </c>
      <c r="I36" s="54">
        <f t="shared" si="34"/>
        <v>6.3227370000000134</v>
      </c>
      <c r="J36" s="54">
        <f t="shared" si="34"/>
        <v>8.8562249999999931</v>
      </c>
      <c r="K36" s="54">
        <f t="shared" si="34"/>
        <v>0.50280799999999903</v>
      </c>
      <c r="L36" s="54">
        <f t="shared" si="34"/>
        <v>1.9712680000000002</v>
      </c>
      <c r="M36" s="54">
        <f t="shared" si="34"/>
        <v>7.3695779999999989</v>
      </c>
      <c r="N36" s="54">
        <f t="shared" si="34"/>
        <v>1.531661999999999</v>
      </c>
      <c r="O36" s="54">
        <f t="shared" si="34"/>
        <v>0.70456099999999999</v>
      </c>
      <c r="P36" s="54">
        <f t="shared" si="34"/>
        <v>8.0035030000000074</v>
      </c>
      <c r="Q36" s="54">
        <f t="shared" si="34"/>
        <v>1.1893249999999975</v>
      </c>
      <c r="R36" s="54">
        <f t="shared" si="34"/>
        <v>2.17662300000001</v>
      </c>
      <c r="S36" s="54">
        <f t="shared" si="34"/>
        <v>10.270610999999995</v>
      </c>
      <c r="T36" s="54">
        <f t="shared" si="34"/>
        <v>15.596229000000008</v>
      </c>
      <c r="U36" s="54">
        <f t="shared" si="34"/>
        <v>1.3869190000000007</v>
      </c>
      <c r="V36" s="54">
        <f t="shared" si="34"/>
        <v>0.10811300000000301</v>
      </c>
      <c r="W36" s="54">
        <f t="shared" ref="W36" si="35">W37+W43</f>
        <v>3.8670089999999995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0</v>
      </c>
      <c r="D37" s="28">
        <f t="shared" ref="D37:V37" si="37">SUM(D38,D39,D42)</f>
        <v>0</v>
      </c>
      <c r="E37" s="28">
        <f t="shared" si="37"/>
        <v>0.44634600000000013</v>
      </c>
      <c r="F37" s="28">
        <f t="shared" si="37"/>
        <v>0.74684000000000195</v>
      </c>
      <c r="G37" s="28">
        <f t="shared" si="37"/>
        <v>4.6456000000000053E-2</v>
      </c>
      <c r="H37" s="28">
        <f t="shared" si="37"/>
        <v>7.0227000000000039E-2</v>
      </c>
      <c r="I37" s="28">
        <f t="shared" si="37"/>
        <v>0.1056020000000002</v>
      </c>
      <c r="J37" s="28">
        <f t="shared" si="37"/>
        <v>1.0360390000000002</v>
      </c>
      <c r="K37" s="28">
        <f t="shared" si="37"/>
        <v>0.50280799999999903</v>
      </c>
      <c r="L37" s="28">
        <f t="shared" si="37"/>
        <v>1.9712680000000002</v>
      </c>
      <c r="M37" s="28">
        <f t="shared" si="37"/>
        <v>2.0240770000000001</v>
      </c>
      <c r="N37" s="28">
        <f t="shared" si="37"/>
        <v>1.531661999999999</v>
      </c>
      <c r="O37" s="28">
        <f t="shared" si="37"/>
        <v>0.70456099999999999</v>
      </c>
      <c r="P37" s="28">
        <f t="shared" si="37"/>
        <v>0.52181299999999986</v>
      </c>
      <c r="Q37" s="28">
        <f t="shared" si="37"/>
        <v>1.1893249999999975</v>
      </c>
      <c r="R37" s="28">
        <f t="shared" si="37"/>
        <v>0.55791400000000024</v>
      </c>
      <c r="S37" s="28">
        <f t="shared" si="37"/>
        <v>3.5111199999999982</v>
      </c>
      <c r="T37" s="28">
        <f t="shared" si="37"/>
        <v>4.3071979999999996</v>
      </c>
      <c r="U37" s="28">
        <f t="shared" si="37"/>
        <v>1.3869190000000007</v>
      </c>
      <c r="V37" s="28">
        <f t="shared" si="37"/>
        <v>0</v>
      </c>
      <c r="W37" s="28">
        <f t="shared" ref="W37" si="38">SUM(W38,W39,W42)</f>
        <v>3.8670089999999995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0</v>
      </c>
      <c r="E39" s="110">
        <f t="shared" si="40"/>
        <v>0.44634600000000013</v>
      </c>
      <c r="F39" s="110">
        <f t="shared" si="40"/>
        <v>0.74684000000000195</v>
      </c>
      <c r="G39" s="110">
        <f t="shared" si="40"/>
        <v>4.6456000000000053E-2</v>
      </c>
      <c r="H39" s="110">
        <f t="shared" si="40"/>
        <v>7.0227000000000039E-2</v>
      </c>
      <c r="I39" s="110">
        <f t="shared" si="40"/>
        <v>0.1056020000000002</v>
      </c>
      <c r="J39" s="110">
        <f t="shared" si="40"/>
        <v>1.0360390000000002</v>
      </c>
      <c r="K39" s="110">
        <f t="shared" si="40"/>
        <v>0.50280799999999903</v>
      </c>
      <c r="L39" s="110">
        <f t="shared" si="40"/>
        <v>1.9712680000000002</v>
      </c>
      <c r="M39" s="110">
        <f t="shared" si="40"/>
        <v>2.0240770000000001</v>
      </c>
      <c r="N39" s="110">
        <f t="shared" si="40"/>
        <v>1.531661999999999</v>
      </c>
      <c r="O39" s="110">
        <f t="shared" si="40"/>
        <v>0.70456099999999999</v>
      </c>
      <c r="P39" s="110">
        <f t="shared" si="40"/>
        <v>0.52181299999999986</v>
      </c>
      <c r="Q39" s="110">
        <f t="shared" si="40"/>
        <v>1.1893249999999975</v>
      </c>
      <c r="R39" s="110">
        <f t="shared" si="40"/>
        <v>0.55791400000000024</v>
      </c>
      <c r="S39" s="110">
        <f t="shared" si="40"/>
        <v>3.5111199999999982</v>
      </c>
      <c r="T39" s="110">
        <f t="shared" si="40"/>
        <v>4.3071979999999996</v>
      </c>
      <c r="U39" s="110">
        <f t="shared" si="40"/>
        <v>1.3869190000000007</v>
      </c>
      <c r="V39" s="110">
        <f t="shared" si="40"/>
        <v>0</v>
      </c>
      <c r="W39" s="110">
        <f t="shared" ref="W39" si="41">SUM(W40:W41)</f>
        <v>3.8670089999999995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0.28513300000000186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1.8876550000000005</v>
      </c>
      <c r="M40" s="84">
        <v>2.0240770000000001</v>
      </c>
      <c r="N40" s="84">
        <v>1.0239269999999987</v>
      </c>
      <c r="O40" s="84">
        <v>0.70456099999999999</v>
      </c>
      <c r="P40" s="84">
        <v>0</v>
      </c>
      <c r="Q40" s="84">
        <v>1.0672989999999984</v>
      </c>
      <c r="R40" s="84">
        <v>0</v>
      </c>
      <c r="S40" s="84">
        <v>3.5111199999999982</v>
      </c>
      <c r="T40" s="84">
        <v>1.9881919999999997</v>
      </c>
      <c r="U40" s="84">
        <v>1.3869190000000007</v>
      </c>
      <c r="V40" s="84">
        <v>0</v>
      </c>
      <c r="W40" s="84">
        <v>3.8670089999999995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0.44634600000000013</v>
      </c>
      <c r="F41" s="84">
        <v>0.46170700000000009</v>
      </c>
      <c r="G41" s="84">
        <v>4.6456000000000053E-2</v>
      </c>
      <c r="H41" s="84">
        <v>7.0227000000000039E-2</v>
      </c>
      <c r="I41" s="84">
        <v>0.1056020000000002</v>
      </c>
      <c r="J41" s="84">
        <v>1.0360390000000002</v>
      </c>
      <c r="K41" s="84">
        <v>0.50280799999999903</v>
      </c>
      <c r="L41" s="84">
        <v>8.3612999999999715E-2</v>
      </c>
      <c r="M41" s="84">
        <v>0</v>
      </c>
      <c r="N41" s="84">
        <v>0.50773500000000027</v>
      </c>
      <c r="O41" s="84">
        <v>0</v>
      </c>
      <c r="P41" s="84">
        <v>0.52181299999999986</v>
      </c>
      <c r="Q41" s="84">
        <v>0.12202599999999908</v>
      </c>
      <c r="R41" s="84">
        <v>0.55791400000000024</v>
      </c>
      <c r="S41" s="84">
        <v>0</v>
      </c>
      <c r="T41" s="84">
        <v>2.3190059999999999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6.6012290000000036</v>
      </c>
      <c r="E43" s="28">
        <f t="shared" si="43"/>
        <v>11.917085</v>
      </c>
      <c r="F43" s="28">
        <f t="shared" si="43"/>
        <v>1.7165600000000154</v>
      </c>
      <c r="G43" s="28">
        <f t="shared" si="43"/>
        <v>6.4843170000000043</v>
      </c>
      <c r="H43" s="28">
        <f t="shared" si="43"/>
        <v>0</v>
      </c>
      <c r="I43" s="28">
        <f t="shared" si="43"/>
        <v>6.2171350000000132</v>
      </c>
      <c r="J43" s="28">
        <f t="shared" si="43"/>
        <v>7.8201859999999925</v>
      </c>
      <c r="K43" s="28">
        <f t="shared" si="43"/>
        <v>0</v>
      </c>
      <c r="L43" s="28">
        <f t="shared" si="43"/>
        <v>0</v>
      </c>
      <c r="M43" s="28">
        <f t="shared" si="43"/>
        <v>5.3455009999999987</v>
      </c>
      <c r="N43" s="28">
        <f t="shared" si="43"/>
        <v>0</v>
      </c>
      <c r="O43" s="28">
        <f t="shared" si="43"/>
        <v>0</v>
      </c>
      <c r="P43" s="28">
        <f t="shared" si="43"/>
        <v>7.4816900000000075</v>
      </c>
      <c r="Q43" s="28">
        <f t="shared" si="43"/>
        <v>0</v>
      </c>
      <c r="R43" s="28">
        <f t="shared" si="43"/>
        <v>1.6187090000000097</v>
      </c>
      <c r="S43" s="28">
        <f t="shared" si="43"/>
        <v>6.759490999999997</v>
      </c>
      <c r="T43" s="28">
        <f t="shared" si="43"/>
        <v>11.289031000000008</v>
      </c>
      <c r="U43" s="28">
        <f t="shared" si="43"/>
        <v>0</v>
      </c>
      <c r="V43" s="28">
        <f t="shared" si="43"/>
        <v>0.10811300000000301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6.6012290000000036</v>
      </c>
      <c r="E44" s="84">
        <v>11.917085</v>
      </c>
      <c r="F44" s="84">
        <v>1.7165600000000154</v>
      </c>
      <c r="G44" s="84">
        <v>6.4843170000000043</v>
      </c>
      <c r="H44" s="84">
        <v>0</v>
      </c>
      <c r="I44" s="84">
        <v>6.2171350000000132</v>
      </c>
      <c r="J44" s="84">
        <v>7.8201859999999925</v>
      </c>
      <c r="K44" s="84">
        <v>0</v>
      </c>
      <c r="L44" s="84">
        <v>0</v>
      </c>
      <c r="M44" s="84">
        <v>5.3455009999999987</v>
      </c>
      <c r="N44" s="84">
        <v>0</v>
      </c>
      <c r="O44" s="84">
        <v>0</v>
      </c>
      <c r="P44" s="84">
        <v>7.4816900000000075</v>
      </c>
      <c r="Q44" s="84">
        <v>0</v>
      </c>
      <c r="R44" s="84">
        <v>1.6187090000000097</v>
      </c>
      <c r="S44" s="84">
        <v>6.759490999999997</v>
      </c>
      <c r="T44" s="84">
        <v>11.289031000000008</v>
      </c>
      <c r="U44" s="84">
        <v>0</v>
      </c>
      <c r="V44" s="84">
        <v>0.10811300000000301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128.7807553547577</v>
      </c>
      <c r="C50" s="29">
        <f t="shared" si="45"/>
        <v>127.10854426944459</v>
      </c>
      <c r="D50" s="29">
        <f t="shared" si="45"/>
        <v>124.03465635240855</v>
      </c>
      <c r="E50" s="29">
        <f t="shared" si="45"/>
        <v>122.29496897431686</v>
      </c>
      <c r="F50" s="29">
        <f t="shared" si="45"/>
        <v>123.07587641665583</v>
      </c>
      <c r="G50" s="29">
        <f t="shared" si="45"/>
        <v>121.18350198436507</v>
      </c>
      <c r="H50" s="29">
        <f t="shared" si="45"/>
        <v>124.49963057000872</v>
      </c>
      <c r="I50" s="29">
        <f t="shared" si="45"/>
        <v>124.38725890800254</v>
      </c>
      <c r="J50" s="29">
        <f t="shared" si="45"/>
        <v>116.1356043074302</v>
      </c>
      <c r="K50" s="29">
        <f t="shared" ref="K50:V50" si="46">IF(K4=0,0,K4/K15)</f>
        <v>110.54922335381519</v>
      </c>
      <c r="L50" s="29">
        <f t="shared" si="46"/>
        <v>108.70647666241005</v>
      </c>
      <c r="M50" s="29">
        <f t="shared" si="46"/>
        <v>113.20832292581726</v>
      </c>
      <c r="N50" s="29">
        <f t="shared" si="46"/>
        <v>112.64639061608173</v>
      </c>
      <c r="O50" s="29">
        <f t="shared" si="46"/>
        <v>116.36617836180933</v>
      </c>
      <c r="P50" s="29">
        <f t="shared" si="46"/>
        <v>117.91524408047107</v>
      </c>
      <c r="Q50" s="29">
        <f t="shared" si="46"/>
        <v>112.56720760504592</v>
      </c>
      <c r="R50" s="29">
        <f t="shared" si="46"/>
        <v>123.42445710695765</v>
      </c>
      <c r="S50" s="29">
        <f t="shared" si="46"/>
        <v>118.89553500550635</v>
      </c>
      <c r="T50" s="29">
        <f t="shared" si="46"/>
        <v>112.21055115767908</v>
      </c>
      <c r="U50" s="29">
        <f t="shared" si="46"/>
        <v>114.81768850184521</v>
      </c>
      <c r="V50" s="29">
        <f t="shared" si="46"/>
        <v>90.731746198116014</v>
      </c>
      <c r="W50" s="29">
        <f t="shared" ref="W50" si="47">IF(W4=0,0,W4/W15)</f>
        <v>96.506562361245713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0</v>
      </c>
      <c r="U51" s="115">
        <f t="shared" si="49"/>
        <v>0</v>
      </c>
      <c r="V51" s="115">
        <f t="shared" si="49"/>
        <v>0</v>
      </c>
      <c r="W51" s="115">
        <f t="shared" ref="W51" si="50">IF(W5=0,0,W5/W16)</f>
        <v>0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128.7807553547577</v>
      </c>
      <c r="C52" s="116">
        <f t="shared" si="51"/>
        <v>127.10854426944459</v>
      </c>
      <c r="D52" s="116">
        <f t="shared" si="51"/>
        <v>124.03465635240855</v>
      </c>
      <c r="E52" s="116">
        <f t="shared" si="51"/>
        <v>122.29496897431686</v>
      </c>
      <c r="F52" s="116">
        <f t="shared" si="51"/>
        <v>123.07587641665583</v>
      </c>
      <c r="G52" s="116">
        <f t="shared" si="51"/>
        <v>121.18350198436507</v>
      </c>
      <c r="H52" s="116">
        <f t="shared" si="51"/>
        <v>124.49963057000872</v>
      </c>
      <c r="I52" s="116">
        <f t="shared" si="51"/>
        <v>124.38725890800254</v>
      </c>
      <c r="J52" s="116">
        <f t="shared" si="51"/>
        <v>116.1356043074302</v>
      </c>
      <c r="K52" s="116">
        <f t="shared" ref="K52:V52" si="52">IF(K6=0,0,K6/K17)</f>
        <v>110.54922335381519</v>
      </c>
      <c r="L52" s="116">
        <f t="shared" si="52"/>
        <v>108.70647666241005</v>
      </c>
      <c r="M52" s="116">
        <f t="shared" si="52"/>
        <v>113.20832292581726</v>
      </c>
      <c r="N52" s="116">
        <f t="shared" si="52"/>
        <v>112.64639061608173</v>
      </c>
      <c r="O52" s="116">
        <f t="shared" si="52"/>
        <v>116.36617836180933</v>
      </c>
      <c r="P52" s="116">
        <f t="shared" si="52"/>
        <v>117.91524408047107</v>
      </c>
      <c r="Q52" s="116">
        <f t="shared" si="52"/>
        <v>112.56720760504592</v>
      </c>
      <c r="R52" s="116">
        <f t="shared" si="52"/>
        <v>123.42445710695765</v>
      </c>
      <c r="S52" s="116">
        <f t="shared" si="52"/>
        <v>118.89553500550635</v>
      </c>
      <c r="T52" s="116">
        <f t="shared" si="52"/>
        <v>112.21055115767908</v>
      </c>
      <c r="U52" s="116">
        <f t="shared" si="52"/>
        <v>114.81768850184521</v>
      </c>
      <c r="V52" s="116">
        <f t="shared" si="52"/>
        <v>90.731746198116014</v>
      </c>
      <c r="W52" s="116">
        <f t="shared" ref="W52" si="53">IF(W6=0,0,W6/W17)</f>
        <v>96.506562361245713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126.02345862050751</v>
      </c>
      <c r="C53" s="87">
        <f t="shared" si="54"/>
        <v>124.63459646962534</v>
      </c>
      <c r="D53" s="87">
        <f t="shared" si="54"/>
        <v>121.12387905406393</v>
      </c>
      <c r="E53" s="87">
        <f t="shared" si="54"/>
        <v>118.5280011755188</v>
      </c>
      <c r="F53" s="87">
        <f t="shared" si="54"/>
        <v>118.14884617386194</v>
      </c>
      <c r="G53" s="87">
        <f t="shared" si="54"/>
        <v>118.36026249789616</v>
      </c>
      <c r="H53" s="87">
        <f t="shared" si="54"/>
        <v>121.77338675734703</v>
      </c>
      <c r="I53" s="87">
        <f t="shared" si="54"/>
        <v>120.09121093899621</v>
      </c>
      <c r="J53" s="87">
        <f t="shared" si="54"/>
        <v>116.94564017507129</v>
      </c>
      <c r="K53" s="87">
        <f t="shared" ref="K53:V53" si="55">IF(K7=0,0,K7/K18)</f>
        <v>112.68746491910635</v>
      </c>
      <c r="L53" s="87">
        <f t="shared" si="55"/>
        <v>111.28432998404929</v>
      </c>
      <c r="M53" s="87">
        <f t="shared" si="55"/>
        <v>110.99650948602012</v>
      </c>
      <c r="N53" s="87">
        <f t="shared" si="55"/>
        <v>112.26832856834862</v>
      </c>
      <c r="O53" s="87">
        <f t="shared" si="55"/>
        <v>112.74548420624851</v>
      </c>
      <c r="P53" s="87">
        <f t="shared" si="55"/>
        <v>113.83988130193593</v>
      </c>
      <c r="Q53" s="87">
        <f t="shared" si="55"/>
        <v>113.55038833363011</v>
      </c>
      <c r="R53" s="87">
        <f t="shared" si="55"/>
        <v>133.14650567461601</v>
      </c>
      <c r="S53" s="87">
        <f t="shared" si="55"/>
        <v>122.61087073111122</v>
      </c>
      <c r="T53" s="87">
        <f t="shared" si="55"/>
        <v>124.00773318697829</v>
      </c>
      <c r="U53" s="87">
        <f t="shared" si="55"/>
        <v>125.27955325587399</v>
      </c>
      <c r="V53" s="87">
        <f t="shared" si="55"/>
        <v>104.57414694158119</v>
      </c>
      <c r="W53" s="87">
        <f t="shared" ref="W53" si="56">IF(W7=0,0,W7/W18)</f>
        <v>100.74515646010313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159.91215063964634</v>
      </c>
      <c r="C54" s="87">
        <f t="shared" si="57"/>
        <v>155.89712597099137</v>
      </c>
      <c r="D54" s="87">
        <f t="shared" si="57"/>
        <v>155.91096814539</v>
      </c>
      <c r="E54" s="87">
        <f t="shared" si="57"/>
        <v>152.38898858818425</v>
      </c>
      <c r="F54" s="87">
        <f t="shared" si="57"/>
        <v>157.44609048190577</v>
      </c>
      <c r="G54" s="87">
        <f t="shared" si="57"/>
        <v>132.87732812598361</v>
      </c>
      <c r="H54" s="87">
        <f t="shared" si="57"/>
        <v>134.81589872533806</v>
      </c>
      <c r="I54" s="87">
        <f t="shared" si="57"/>
        <v>138.72870192887729</v>
      </c>
      <c r="J54" s="87">
        <f t="shared" si="57"/>
        <v>113.9531559784608</v>
      </c>
      <c r="K54" s="87">
        <f t="shared" ref="K54:V54" si="58">IF(K8=0,0,K8/K19)</f>
        <v>105.9872466026527</v>
      </c>
      <c r="L54" s="87">
        <f t="shared" si="58"/>
        <v>102.64125123686708</v>
      </c>
      <c r="M54" s="87">
        <f t="shared" si="58"/>
        <v>119.36296092481385</v>
      </c>
      <c r="N54" s="87">
        <f t="shared" si="58"/>
        <v>113.60677694251051</v>
      </c>
      <c r="O54" s="87">
        <f t="shared" si="58"/>
        <v>126.19219849239641</v>
      </c>
      <c r="P54" s="87">
        <f t="shared" si="58"/>
        <v>126.67871553662278</v>
      </c>
      <c r="Q54" s="87">
        <f t="shared" si="58"/>
        <v>110.4378743464829</v>
      </c>
      <c r="R54" s="87">
        <f t="shared" si="58"/>
        <v>105.88298870275389</v>
      </c>
      <c r="S54" s="87">
        <f t="shared" si="58"/>
        <v>110.21131269309319</v>
      </c>
      <c r="T54" s="87">
        <f t="shared" si="58"/>
        <v>91.123395221398312</v>
      </c>
      <c r="U54" s="87">
        <f t="shared" si="58"/>
        <v>93.409844353661541</v>
      </c>
      <c r="V54" s="87">
        <f t="shared" si="58"/>
        <v>65.247289163874356</v>
      </c>
      <c r="W54" s="87">
        <f t="shared" ref="W54" si="59">IF(W8=0,0,W8/W19)</f>
        <v>85.593180230722709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674.7845210771286</v>
      </c>
      <c r="C56" s="29">
        <f t="shared" si="63"/>
        <v>661.45199313102194</v>
      </c>
      <c r="D56" s="29">
        <f t="shared" si="63"/>
        <v>766.70484712517805</v>
      </c>
      <c r="E56" s="29">
        <f t="shared" si="63"/>
        <v>782.23095767100278</v>
      </c>
      <c r="F56" s="29">
        <f t="shared" si="63"/>
        <v>801.77191589085726</v>
      </c>
      <c r="G56" s="29">
        <f t="shared" si="63"/>
        <v>812.31481412779772</v>
      </c>
      <c r="H56" s="29">
        <f t="shared" si="63"/>
        <v>871.74665608337045</v>
      </c>
      <c r="I56" s="29">
        <f t="shared" si="63"/>
        <v>923.65902901971049</v>
      </c>
      <c r="J56" s="29">
        <f t="shared" si="63"/>
        <v>885.80855631618772</v>
      </c>
      <c r="K56" s="29">
        <f t="shared" ref="K56:V56" si="64">IF(K10=0,0,K10/K21)</f>
        <v>934.6808408057567</v>
      </c>
      <c r="L56" s="29">
        <f t="shared" si="64"/>
        <v>996.25491254987412</v>
      </c>
      <c r="M56" s="29">
        <f t="shared" si="64"/>
        <v>1033.4739685853433</v>
      </c>
      <c r="N56" s="29">
        <f t="shared" si="64"/>
        <v>1028.459361480395</v>
      </c>
      <c r="O56" s="29">
        <f t="shared" si="64"/>
        <v>1043.2413015135446</v>
      </c>
      <c r="P56" s="29">
        <f t="shared" si="64"/>
        <v>1035.8785982510012</v>
      </c>
      <c r="Q56" s="29">
        <f t="shared" si="64"/>
        <v>1090.898673480182</v>
      </c>
      <c r="R56" s="29">
        <f t="shared" si="64"/>
        <v>1084.5953487582012</v>
      </c>
      <c r="S56" s="29">
        <f t="shared" si="64"/>
        <v>1134.1713659479926</v>
      </c>
      <c r="T56" s="29">
        <f t="shared" si="64"/>
        <v>1098.3852281228676</v>
      </c>
      <c r="U56" s="29">
        <f t="shared" si="64"/>
        <v>1168.4869674938232</v>
      </c>
      <c r="V56" s="29">
        <f t="shared" si="64"/>
        <v>1166.8183632667169</v>
      </c>
      <c r="W56" s="29">
        <f t="shared" ref="W56" si="65">IF(W10=0,0,W10/W21)</f>
        <v>1113.7741970679913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674.7845210771286</v>
      </c>
      <c r="C57" s="87">
        <f t="shared" si="66"/>
        <v>661.45199313102194</v>
      </c>
      <c r="D57" s="87">
        <f t="shared" si="66"/>
        <v>766.70484712517805</v>
      </c>
      <c r="E57" s="87">
        <f t="shared" si="66"/>
        <v>782.23095767100278</v>
      </c>
      <c r="F57" s="87">
        <f t="shared" si="66"/>
        <v>801.77191589085726</v>
      </c>
      <c r="G57" s="87">
        <f t="shared" si="66"/>
        <v>812.31481412779772</v>
      </c>
      <c r="H57" s="87">
        <f t="shared" si="66"/>
        <v>871.74665608337045</v>
      </c>
      <c r="I57" s="87">
        <f t="shared" si="66"/>
        <v>923.65902901971049</v>
      </c>
      <c r="J57" s="87">
        <f t="shared" si="66"/>
        <v>885.80855631618772</v>
      </c>
      <c r="K57" s="87">
        <f t="shared" ref="K57:V57" si="67">IF(K11=0,0,K11/K22)</f>
        <v>934.6808408057567</v>
      </c>
      <c r="L57" s="87">
        <f t="shared" si="67"/>
        <v>996.25491254987412</v>
      </c>
      <c r="M57" s="87">
        <f t="shared" si="67"/>
        <v>1033.4739685853433</v>
      </c>
      <c r="N57" s="87">
        <f t="shared" si="67"/>
        <v>1028.459361480395</v>
      </c>
      <c r="O57" s="87">
        <f t="shared" si="67"/>
        <v>1043.2413015135446</v>
      </c>
      <c r="P57" s="87">
        <f t="shared" si="67"/>
        <v>1035.8785982510012</v>
      </c>
      <c r="Q57" s="87">
        <f t="shared" si="67"/>
        <v>1090.898673480182</v>
      </c>
      <c r="R57" s="87">
        <f t="shared" si="67"/>
        <v>1084.5953487582012</v>
      </c>
      <c r="S57" s="87">
        <f t="shared" si="67"/>
        <v>1134.1713659479926</v>
      </c>
      <c r="T57" s="87">
        <f t="shared" si="67"/>
        <v>1098.3852281228676</v>
      </c>
      <c r="U57" s="87">
        <f t="shared" si="67"/>
        <v>1168.4869674938232</v>
      </c>
      <c r="V57" s="87">
        <f t="shared" si="67"/>
        <v>1166.8183632667169</v>
      </c>
      <c r="W57" s="87">
        <f t="shared" ref="W57" si="68">IF(W11=0,0,W11/W22)</f>
        <v>1113.7741970679913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" si="71">IF(W12=0,0,W12/W23)</f>
        <v>0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</v>
      </c>
      <c r="C61" s="29">
        <f t="shared" ref="C61" si="73">IF(C26=0,0,(C62*C27+C64*C29+C65*C30+C66*C31)/(C27+C29+C30+C31))</f>
        <v>320.00000000000006</v>
      </c>
      <c r="D61" s="29">
        <f t="shared" ref="D61" si="74">IF(D26=0,0,(D62*D27+D64*D29+D65*D30+D66*D31)/(D27+D29+D30+D31))</f>
        <v>320</v>
      </c>
      <c r="E61" s="29">
        <f t="shared" ref="E61" si="75">IF(E26=0,0,(E62*E27+E64*E29+E65*E30+E66*E31)/(E27+E29+E30+E31))</f>
        <v>320</v>
      </c>
      <c r="F61" s="29">
        <f t="shared" ref="F61" si="76">IF(F26=0,0,(F62*F27+F64*F29+F65*F30+F66*F31)/(F27+F29+F30+F31))</f>
        <v>320.00000000000006</v>
      </c>
      <c r="G61" s="29">
        <f t="shared" ref="G61" si="77">IF(G26=0,0,(G62*G27+G64*G29+G65*G30+G66*G31)/(G27+G29+G30+G31))</f>
        <v>320.00000000000006</v>
      </c>
      <c r="H61" s="29">
        <f t="shared" ref="H61" si="78">IF(H26=0,0,(H62*H27+H64*H29+H65*H30+H66*H31)/(H27+H29+H30+H31))</f>
        <v>320</v>
      </c>
      <c r="I61" s="29">
        <f t="shared" ref="I61" si="79">IF(I26=0,0,(I62*I27+I64*I29+I65*I30+I66*I31)/(I27+I29+I30+I31))</f>
        <v>320</v>
      </c>
      <c r="J61" s="29">
        <f t="shared" ref="J61" si="80">IF(J26=0,0,(J62*J27+J64*J29+J65*J30+J66*J31)/(J27+J29+J30+J31))</f>
        <v>319.99999999999994</v>
      </c>
      <c r="K61" s="29">
        <f t="shared" ref="K61" si="81">IF(K26=0,0,(K62*K27+K64*K29+K65*K30+K66*K31)/(K27+K29+K30+K31))</f>
        <v>320</v>
      </c>
      <c r="L61" s="29">
        <f t="shared" ref="L61" si="82">IF(L26=0,0,(L62*L27+L64*L29+L65*L30+L66*L31)/(L27+L29+L30+L31))</f>
        <v>320.00000000000006</v>
      </c>
      <c r="M61" s="29">
        <f t="shared" ref="M61" si="83">IF(M26=0,0,(M62*M27+M64*M29+M65*M30+M66*M31)/(M27+M29+M30+M31))</f>
        <v>320</v>
      </c>
      <c r="N61" s="29">
        <f t="shared" ref="N61" si="84">IF(N26=0,0,(N62*N27+N64*N29+N65*N30+N66*N31)/(N27+N29+N30+N31))</f>
        <v>320</v>
      </c>
      <c r="O61" s="29">
        <f t="shared" ref="O61" si="85">IF(O26=0,0,(O62*O27+O64*O29+O65*O30+O66*O31)/(O27+O29+O30+O31))</f>
        <v>319.99999999999994</v>
      </c>
      <c r="P61" s="29">
        <f t="shared" ref="P61" si="86">IF(P26=0,0,(P62*P27+P64*P29+P65*P30+P66*P31)/(P27+P29+P30+P31))</f>
        <v>320.00000000000006</v>
      </c>
      <c r="Q61" s="29">
        <f t="shared" ref="Q61" si="87">IF(Q26=0,0,(Q62*Q27+Q64*Q29+Q65*Q30+Q66*Q31)/(Q27+Q29+Q30+Q31))</f>
        <v>320</v>
      </c>
      <c r="R61" s="29">
        <f t="shared" ref="R61" si="88">IF(R26=0,0,(R62*R27+R64*R29+R65*R30+R66*R31)/(R27+R29+R30+R31))</f>
        <v>320</v>
      </c>
      <c r="S61" s="29">
        <f t="shared" ref="S61" si="89">IF(S26=0,0,(S62*S27+S64*S29+S65*S30+S66*S31)/(S27+S29+S30+S31))</f>
        <v>320</v>
      </c>
      <c r="T61" s="29">
        <f t="shared" ref="T61" si="90">IF(T26=0,0,(T62*T27+T64*T29+T65*T30+T66*T31)/(T27+T29+T30+T31))</f>
        <v>320</v>
      </c>
      <c r="U61" s="29">
        <f t="shared" ref="U61" si="91">IF(U26=0,0,(U62*U27+U64*U29+U65*U30+U66*U31)/(U27+U29+U30+U31))</f>
        <v>320</v>
      </c>
      <c r="V61" s="29">
        <f t="shared" ref="V61" si="92">IF(V26=0,0,(V62*V27+V64*V29+V65*V30+V66*V31)/(V27+V29+V30+V31))</f>
        <v>320.00000000000006</v>
      </c>
      <c r="W61" s="29">
        <f t="shared" ref="W61" si="93">IF(W26=0,0,(W62*W27+W64*W29+W65*W30+W66*W31)/(W27+W29+W30+W31))</f>
        <v>320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0</v>
      </c>
      <c r="U62" s="115">
        <v>0</v>
      </c>
      <c r="V62" s="115">
        <v>0</v>
      </c>
      <c r="W62" s="115">
        <v>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320.00000000000006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320.00000000000006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319.99999999999994</v>
      </c>
      <c r="P63" s="116">
        <f t="shared" ref="P63" si="108">IF(P28=0,0,(P64*P29+P65*P30)/(P29+P30))</f>
        <v>320.00000000000006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0.4024398604836178</v>
      </c>
      <c r="C72" s="30">
        <f t="shared" ref="C72:J72" si="138">IF(C50=0,0,C50/C61)</f>
        <v>0.39721420084201431</v>
      </c>
      <c r="D72" s="30">
        <f t="shared" si="138"/>
        <v>0.3876083011012767</v>
      </c>
      <c r="E72" s="30">
        <f t="shared" si="138"/>
        <v>0.38217177804474017</v>
      </c>
      <c r="F72" s="30">
        <f t="shared" si="138"/>
        <v>0.3846121138020494</v>
      </c>
      <c r="G72" s="30">
        <f t="shared" si="138"/>
        <v>0.37869844370114075</v>
      </c>
      <c r="H72" s="30">
        <f t="shared" si="138"/>
        <v>0.38906134553127725</v>
      </c>
      <c r="I72" s="30">
        <f t="shared" si="138"/>
        <v>0.3887101840875079</v>
      </c>
      <c r="J72" s="30">
        <f t="shared" si="138"/>
        <v>0.36292376346071942</v>
      </c>
      <c r="K72" s="30">
        <f t="shared" ref="K72:V72" si="139">IF(K50=0,0,K50/K61)</f>
        <v>0.34546632298067248</v>
      </c>
      <c r="L72" s="30">
        <f t="shared" si="139"/>
        <v>0.33970773957003136</v>
      </c>
      <c r="M72" s="30">
        <f t="shared" si="139"/>
        <v>0.35377600914317892</v>
      </c>
      <c r="N72" s="30">
        <f t="shared" si="139"/>
        <v>0.35201997067525542</v>
      </c>
      <c r="O72" s="30">
        <f t="shared" si="139"/>
        <v>0.36364430738065423</v>
      </c>
      <c r="P72" s="30">
        <f t="shared" si="139"/>
        <v>0.36848513775147201</v>
      </c>
      <c r="Q72" s="30">
        <f t="shared" si="139"/>
        <v>0.35177252376576851</v>
      </c>
      <c r="R72" s="30">
        <f t="shared" si="139"/>
        <v>0.38570142845924266</v>
      </c>
      <c r="S72" s="30">
        <f t="shared" si="139"/>
        <v>0.37154854689220734</v>
      </c>
      <c r="T72" s="30">
        <f t="shared" si="139"/>
        <v>0.35065797236774709</v>
      </c>
      <c r="U72" s="30">
        <f t="shared" si="139"/>
        <v>0.35880527656826627</v>
      </c>
      <c r="V72" s="30">
        <f t="shared" si="139"/>
        <v>0.28353670686911248</v>
      </c>
      <c r="W72" s="30">
        <f t="shared" ref="W72" si="140">IF(W50=0,0,W50/W61)</f>
        <v>0.30158300737889288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</v>
      </c>
      <c r="U73" s="118">
        <f t="shared" si="142"/>
        <v>0</v>
      </c>
      <c r="V73" s="118">
        <f t="shared" si="142"/>
        <v>0</v>
      </c>
      <c r="W73" s="118">
        <f t="shared" ref="W73" si="143">IF(W51=0,0,W51/W62)</f>
        <v>0</v>
      </c>
      <c r="DA73" s="203"/>
    </row>
    <row r="74" spans="1:105" ht="11.45" customHeight="1" x14ac:dyDescent="0.25">
      <c r="A74" s="109" t="s">
        <v>24</v>
      </c>
      <c r="B74" s="119">
        <f t="shared" si="141"/>
        <v>0.4024398604836178</v>
      </c>
      <c r="C74" s="119">
        <f t="shared" si="141"/>
        <v>0.39721420084201431</v>
      </c>
      <c r="D74" s="119">
        <f t="shared" si="141"/>
        <v>0.3876083011012767</v>
      </c>
      <c r="E74" s="119">
        <f t="shared" si="141"/>
        <v>0.38217177804474017</v>
      </c>
      <c r="F74" s="119">
        <f t="shared" si="141"/>
        <v>0.3846121138020494</v>
      </c>
      <c r="G74" s="119">
        <f t="shared" si="141"/>
        <v>0.37869844370114075</v>
      </c>
      <c r="H74" s="119">
        <f t="shared" si="141"/>
        <v>0.38906134553127725</v>
      </c>
      <c r="I74" s="119">
        <f t="shared" si="141"/>
        <v>0.3887101840875079</v>
      </c>
      <c r="J74" s="119">
        <f t="shared" si="141"/>
        <v>0.36292376346071942</v>
      </c>
      <c r="K74" s="119">
        <f t="shared" ref="K74:V74" si="144">IF(K52=0,0,K52/K63)</f>
        <v>0.34546632298067248</v>
      </c>
      <c r="L74" s="119">
        <f t="shared" si="144"/>
        <v>0.33970773957003136</v>
      </c>
      <c r="M74" s="119">
        <f t="shared" si="144"/>
        <v>0.35377600914317892</v>
      </c>
      <c r="N74" s="119">
        <f t="shared" si="144"/>
        <v>0.35201997067525542</v>
      </c>
      <c r="O74" s="119">
        <f t="shared" si="144"/>
        <v>0.36364430738065423</v>
      </c>
      <c r="P74" s="119">
        <f t="shared" si="144"/>
        <v>0.36848513775147201</v>
      </c>
      <c r="Q74" s="119">
        <f t="shared" si="144"/>
        <v>0.35177252376576851</v>
      </c>
      <c r="R74" s="119">
        <f t="shared" si="144"/>
        <v>0.38570142845924266</v>
      </c>
      <c r="S74" s="119">
        <f t="shared" si="144"/>
        <v>0.37154854689220734</v>
      </c>
      <c r="T74" s="119">
        <f t="shared" si="144"/>
        <v>0.35065797236774709</v>
      </c>
      <c r="U74" s="119">
        <f t="shared" si="144"/>
        <v>0.35880527656826627</v>
      </c>
      <c r="V74" s="119">
        <f t="shared" si="144"/>
        <v>0.28353670686911248</v>
      </c>
      <c r="W74" s="119">
        <f t="shared" ref="W74" si="145">IF(W52=0,0,W52/W63)</f>
        <v>0.30158300737889288</v>
      </c>
      <c r="DA74" s="176"/>
    </row>
    <row r="75" spans="1:105" ht="11.45" customHeight="1" x14ac:dyDescent="0.25">
      <c r="A75" s="111" t="s">
        <v>92</v>
      </c>
      <c r="B75" s="120">
        <f t="shared" si="141"/>
        <v>0.39382330818908595</v>
      </c>
      <c r="C75" s="120">
        <f t="shared" si="141"/>
        <v>0.38948311396757918</v>
      </c>
      <c r="D75" s="120">
        <f t="shared" si="141"/>
        <v>0.37851212204394979</v>
      </c>
      <c r="E75" s="120">
        <f t="shared" si="141"/>
        <v>0.37040000367349624</v>
      </c>
      <c r="F75" s="120">
        <f t="shared" si="141"/>
        <v>0.36921514429331859</v>
      </c>
      <c r="G75" s="120">
        <f t="shared" si="141"/>
        <v>0.36987582030592547</v>
      </c>
      <c r="H75" s="120">
        <f t="shared" si="141"/>
        <v>0.38054183361670946</v>
      </c>
      <c r="I75" s="120">
        <f t="shared" si="141"/>
        <v>0.37528503418436315</v>
      </c>
      <c r="J75" s="120">
        <f t="shared" si="141"/>
        <v>0.3654551255470978</v>
      </c>
      <c r="K75" s="120">
        <f t="shared" ref="K75:V75" si="146">IF(K53=0,0,K53/K64)</f>
        <v>0.35214832787220735</v>
      </c>
      <c r="L75" s="120">
        <f t="shared" si="146"/>
        <v>0.34776353120015402</v>
      </c>
      <c r="M75" s="120">
        <f t="shared" si="146"/>
        <v>0.34686409214381286</v>
      </c>
      <c r="N75" s="120">
        <f t="shared" si="146"/>
        <v>0.35083852677608945</v>
      </c>
      <c r="O75" s="120">
        <f t="shared" si="146"/>
        <v>0.35232963814452656</v>
      </c>
      <c r="P75" s="120">
        <f t="shared" si="146"/>
        <v>0.35574962906854979</v>
      </c>
      <c r="Q75" s="120">
        <f t="shared" si="146"/>
        <v>0.35484496354259409</v>
      </c>
      <c r="R75" s="120">
        <f t="shared" si="146"/>
        <v>0.41608283023317505</v>
      </c>
      <c r="S75" s="120">
        <f t="shared" si="146"/>
        <v>0.38315897103472257</v>
      </c>
      <c r="T75" s="120">
        <f t="shared" si="146"/>
        <v>0.38752416620930713</v>
      </c>
      <c r="U75" s="120">
        <f t="shared" si="146"/>
        <v>0.39149860392460623</v>
      </c>
      <c r="V75" s="120">
        <f t="shared" si="146"/>
        <v>0.32679420919244123</v>
      </c>
      <c r="W75" s="120">
        <f t="shared" ref="W75" si="147">IF(W53=0,0,W53/W64)</f>
        <v>0.3148286139378223</v>
      </c>
      <c r="DA75" s="171"/>
    </row>
    <row r="76" spans="1:105" ht="11.45" customHeight="1" x14ac:dyDescent="0.25">
      <c r="A76" s="111" t="s">
        <v>93</v>
      </c>
      <c r="B76" s="120">
        <f t="shared" si="141"/>
        <v>0.49972547074889484</v>
      </c>
      <c r="C76" s="120">
        <f t="shared" si="141"/>
        <v>0.48717851865934803</v>
      </c>
      <c r="D76" s="120">
        <f t="shared" si="141"/>
        <v>0.48722177545434375</v>
      </c>
      <c r="E76" s="120">
        <f t="shared" si="141"/>
        <v>0.47621558933807578</v>
      </c>
      <c r="F76" s="120">
        <f t="shared" si="141"/>
        <v>0.49201903275595554</v>
      </c>
      <c r="G76" s="120">
        <f t="shared" si="141"/>
        <v>0.41524165039369876</v>
      </c>
      <c r="H76" s="120">
        <f t="shared" si="141"/>
        <v>0.42129968351668146</v>
      </c>
      <c r="I76" s="120">
        <f t="shared" si="141"/>
        <v>0.43352719352774149</v>
      </c>
      <c r="J76" s="120">
        <f t="shared" si="141"/>
        <v>0.35610361243269001</v>
      </c>
      <c r="K76" s="120">
        <f t="shared" ref="K76:V76" si="148">IF(K54=0,0,K54/K65)</f>
        <v>0.33121014563328971</v>
      </c>
      <c r="L76" s="120">
        <f t="shared" si="148"/>
        <v>0.3207539101152096</v>
      </c>
      <c r="M76" s="120">
        <f t="shared" si="148"/>
        <v>0.37300925289004327</v>
      </c>
      <c r="N76" s="120">
        <f t="shared" si="148"/>
        <v>0.35502117794534532</v>
      </c>
      <c r="O76" s="120">
        <f t="shared" si="148"/>
        <v>0.3943506202887388</v>
      </c>
      <c r="P76" s="120">
        <f t="shared" si="148"/>
        <v>0.39587098605194615</v>
      </c>
      <c r="Q76" s="120">
        <f t="shared" si="148"/>
        <v>0.34511835733275908</v>
      </c>
      <c r="R76" s="120">
        <f t="shared" si="148"/>
        <v>0.33088433969610592</v>
      </c>
      <c r="S76" s="120">
        <f t="shared" si="148"/>
        <v>0.3444103521659162</v>
      </c>
      <c r="T76" s="120">
        <f t="shared" si="148"/>
        <v>0.2847606100668697</v>
      </c>
      <c r="U76" s="120">
        <f t="shared" si="148"/>
        <v>0.29190576360519233</v>
      </c>
      <c r="V76" s="120">
        <f t="shared" si="148"/>
        <v>0.20389777863710737</v>
      </c>
      <c r="W76" s="120">
        <f t="shared" ref="W76" si="149">IF(W54=0,0,W54/W65)</f>
        <v>0.26747868822100845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0.3213259624176803</v>
      </c>
      <c r="C78" s="30">
        <f t="shared" si="141"/>
        <v>0.31497713958620094</v>
      </c>
      <c r="D78" s="30">
        <f t="shared" si="141"/>
        <v>0.36509754625008478</v>
      </c>
      <c r="E78" s="30">
        <f t="shared" si="141"/>
        <v>0.37249093222428703</v>
      </c>
      <c r="F78" s="30">
        <f t="shared" si="141"/>
        <v>0.38179615042421772</v>
      </c>
      <c r="G78" s="30">
        <f t="shared" si="141"/>
        <v>0.38681657815609416</v>
      </c>
      <c r="H78" s="30">
        <f t="shared" si="141"/>
        <v>0.41511745527779548</v>
      </c>
      <c r="I78" s="30">
        <f t="shared" si="141"/>
        <v>0.43983763286652883</v>
      </c>
      <c r="J78" s="30">
        <f t="shared" si="141"/>
        <v>0.42181359824580367</v>
      </c>
      <c r="K78" s="30">
        <f t="shared" ref="K78:V78" si="152">IF(K56=0,0,K56/K67)</f>
        <v>0.44508611466940795</v>
      </c>
      <c r="L78" s="30">
        <f t="shared" si="152"/>
        <v>0.47440710121422575</v>
      </c>
      <c r="M78" s="30">
        <f t="shared" si="152"/>
        <v>0.49213046123111587</v>
      </c>
      <c r="N78" s="30">
        <f t="shared" si="152"/>
        <v>0.48974255308590242</v>
      </c>
      <c r="O78" s="30">
        <f t="shared" si="152"/>
        <v>0.49678157214930696</v>
      </c>
      <c r="P78" s="30">
        <f t="shared" si="152"/>
        <v>0.49327552297666727</v>
      </c>
      <c r="Q78" s="30">
        <f t="shared" si="152"/>
        <v>0.51947555880008667</v>
      </c>
      <c r="R78" s="30">
        <f t="shared" si="152"/>
        <v>0.51647397559914343</v>
      </c>
      <c r="S78" s="30">
        <f t="shared" si="152"/>
        <v>0.54008160283237749</v>
      </c>
      <c r="T78" s="30">
        <f t="shared" si="152"/>
        <v>0.52304058482041316</v>
      </c>
      <c r="U78" s="30">
        <f t="shared" si="152"/>
        <v>0.55642236547324908</v>
      </c>
      <c r="V78" s="30">
        <f t="shared" si="152"/>
        <v>0.55562779203176993</v>
      </c>
      <c r="W78" s="30">
        <f t="shared" ref="W78" si="153">IF(W56=0,0,W56/W67)</f>
        <v>0.530368665270472</v>
      </c>
      <c r="DA78" s="173"/>
    </row>
    <row r="79" spans="1:105" ht="11.45" customHeight="1" x14ac:dyDescent="0.25">
      <c r="A79" s="83" t="s">
        <v>92</v>
      </c>
      <c r="B79" s="120">
        <f t="shared" si="141"/>
        <v>0.3213259624176803</v>
      </c>
      <c r="C79" s="120">
        <f t="shared" si="141"/>
        <v>0.31497713958620094</v>
      </c>
      <c r="D79" s="120">
        <f t="shared" si="141"/>
        <v>0.36509754625008478</v>
      </c>
      <c r="E79" s="120">
        <f t="shared" si="141"/>
        <v>0.37249093222428703</v>
      </c>
      <c r="F79" s="120">
        <f t="shared" si="141"/>
        <v>0.38179615042421772</v>
      </c>
      <c r="G79" s="120">
        <f t="shared" si="141"/>
        <v>0.38681657815609416</v>
      </c>
      <c r="H79" s="120">
        <f t="shared" si="141"/>
        <v>0.41511745527779548</v>
      </c>
      <c r="I79" s="120">
        <f t="shared" si="141"/>
        <v>0.43983763286652883</v>
      </c>
      <c r="J79" s="120">
        <f t="shared" si="141"/>
        <v>0.42181359824580367</v>
      </c>
      <c r="K79" s="120">
        <f t="shared" ref="K79:V79" si="154">IF(K57=0,0,K57/K68)</f>
        <v>0.44508611466940795</v>
      </c>
      <c r="L79" s="120">
        <f t="shared" si="154"/>
        <v>0.47440710121422575</v>
      </c>
      <c r="M79" s="120">
        <f t="shared" si="154"/>
        <v>0.49213046123111587</v>
      </c>
      <c r="N79" s="120">
        <f t="shared" si="154"/>
        <v>0.48974255308590242</v>
      </c>
      <c r="O79" s="120">
        <f t="shared" si="154"/>
        <v>0.49678157214930696</v>
      </c>
      <c r="P79" s="120">
        <f t="shared" si="154"/>
        <v>0.49327552297666727</v>
      </c>
      <c r="Q79" s="120">
        <f t="shared" si="154"/>
        <v>0.51947555880008667</v>
      </c>
      <c r="R79" s="120">
        <f t="shared" si="154"/>
        <v>0.51647397559914343</v>
      </c>
      <c r="S79" s="120">
        <f t="shared" si="154"/>
        <v>0.54008160283237749</v>
      </c>
      <c r="T79" s="120">
        <f t="shared" si="154"/>
        <v>0.52304058482041316</v>
      </c>
      <c r="U79" s="120">
        <f t="shared" si="154"/>
        <v>0.55642236547324908</v>
      </c>
      <c r="V79" s="120">
        <f t="shared" si="154"/>
        <v>0.55562779203176993</v>
      </c>
      <c r="W79" s="120">
        <f t="shared" ref="W79" si="155">IF(W57=0,0,W57/W68)</f>
        <v>0.530368665270472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" si="157">IF(W58=0,0,W58/W69)</f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183814.41201324656</v>
      </c>
      <c r="C82" s="54">
        <f t="shared" si="158"/>
        <v>180764.5355466943</v>
      </c>
      <c r="D82" s="54">
        <f t="shared" si="158"/>
        <v>185205.44263931294</v>
      </c>
      <c r="E82" s="54">
        <f t="shared" si="158"/>
        <v>186500.98335733038</v>
      </c>
      <c r="F82" s="54">
        <f t="shared" si="158"/>
        <v>187554.32224779294</v>
      </c>
      <c r="G82" s="54">
        <f t="shared" si="158"/>
        <v>180425.28680788277</v>
      </c>
      <c r="H82" s="54">
        <f t="shared" si="158"/>
        <v>183815.63398443584</v>
      </c>
      <c r="I82" s="54">
        <f t="shared" si="158"/>
        <v>188260.09232346053</v>
      </c>
      <c r="J82" s="54">
        <f t="shared" si="158"/>
        <v>192448.06994673511</v>
      </c>
      <c r="K82" s="54">
        <f t="shared" ref="K82:V82" si="159">IF(K14=0,0,K14/K25*1000000)</f>
        <v>163504.58224759396</v>
      </c>
      <c r="L82" s="54">
        <f t="shared" si="159"/>
        <v>185026.13750671805</v>
      </c>
      <c r="M82" s="54">
        <f t="shared" si="159"/>
        <v>191045.84853383875</v>
      </c>
      <c r="N82" s="54">
        <f t="shared" si="159"/>
        <v>190361.85347374121</v>
      </c>
      <c r="O82" s="54">
        <f t="shared" si="159"/>
        <v>189789.96706055725</v>
      </c>
      <c r="P82" s="54">
        <f t="shared" si="159"/>
        <v>190948.32011474122</v>
      </c>
      <c r="Q82" s="54">
        <f t="shared" si="159"/>
        <v>190283.74100928049</v>
      </c>
      <c r="R82" s="54">
        <f t="shared" si="159"/>
        <v>190390.89882209746</v>
      </c>
      <c r="S82" s="54">
        <f t="shared" si="159"/>
        <v>189684.91650308279</v>
      </c>
      <c r="T82" s="54">
        <f t="shared" si="159"/>
        <v>189257.90001839094</v>
      </c>
      <c r="U82" s="54">
        <f t="shared" si="159"/>
        <v>185423.55523211585</v>
      </c>
      <c r="V82" s="54">
        <f t="shared" si="159"/>
        <v>187822.55834108367</v>
      </c>
      <c r="W82" s="54">
        <f t="shared" ref="W82" si="160">IF(W14=0,0,W14/W25*1000000)</f>
        <v>185693.51832480583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149999.99901212397</v>
      </c>
      <c r="C83" s="28">
        <f t="shared" si="161"/>
        <v>147302.78605467457</v>
      </c>
      <c r="D83" s="28">
        <f t="shared" si="161"/>
        <v>149999.99780247532</v>
      </c>
      <c r="E83" s="28">
        <f t="shared" si="161"/>
        <v>145720.41384512451</v>
      </c>
      <c r="F83" s="28">
        <f t="shared" si="161"/>
        <v>149999.99704179543</v>
      </c>
      <c r="G83" s="28">
        <f t="shared" si="161"/>
        <v>109375.77555575114</v>
      </c>
      <c r="H83" s="28">
        <f t="shared" si="161"/>
        <v>118124.8006939006</v>
      </c>
      <c r="I83" s="28">
        <f t="shared" si="161"/>
        <v>128781.12998521965</v>
      </c>
      <c r="J83" s="28">
        <f t="shared" si="161"/>
        <v>149999.98945215586</v>
      </c>
      <c r="K83" s="28">
        <f t="shared" ref="K83:V83" si="162">IF(K15=0,0,K15/K26*1000000)</f>
        <v>149999.99056933651</v>
      </c>
      <c r="L83" s="28">
        <f t="shared" si="162"/>
        <v>149999.99152568183</v>
      </c>
      <c r="M83" s="28">
        <f t="shared" si="162"/>
        <v>149830.9548482541</v>
      </c>
      <c r="N83" s="28">
        <f t="shared" si="162"/>
        <v>149999.99129309994</v>
      </c>
      <c r="O83" s="28">
        <f t="shared" si="162"/>
        <v>149050.61974036184</v>
      </c>
      <c r="P83" s="28">
        <f t="shared" si="162"/>
        <v>149999.98852642259</v>
      </c>
      <c r="Q83" s="28">
        <f t="shared" si="162"/>
        <v>149999.99285593929</v>
      </c>
      <c r="R83" s="28">
        <f t="shared" si="162"/>
        <v>149999.98935351576</v>
      </c>
      <c r="S83" s="28">
        <f t="shared" si="162"/>
        <v>149999.9917682482</v>
      </c>
      <c r="T83" s="28">
        <f t="shared" si="162"/>
        <v>149999.98771978187</v>
      </c>
      <c r="U83" s="28">
        <f t="shared" si="162"/>
        <v>146863.80689636566</v>
      </c>
      <c r="V83" s="28">
        <f t="shared" si="162"/>
        <v>142620.69775540644</v>
      </c>
      <c r="W83" s="28">
        <f t="shared" ref="W83" si="163">IF(W15=0,0,W15/W26*1000000)</f>
        <v>141257.71417102704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0</v>
      </c>
      <c r="U84" s="108">
        <f t="shared" si="164"/>
        <v>0</v>
      </c>
      <c r="V84" s="108">
        <f t="shared" si="164"/>
        <v>0</v>
      </c>
      <c r="W84" s="108">
        <f t="shared" ref="W84" si="165">IF(W16=0,0,W16/W27*1000000)</f>
        <v>0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149999.99901212397</v>
      </c>
      <c r="C85" s="110">
        <f t="shared" si="161"/>
        <v>147302.78605467457</v>
      </c>
      <c r="D85" s="110">
        <f t="shared" si="161"/>
        <v>149999.99780247532</v>
      </c>
      <c r="E85" s="110">
        <f t="shared" si="161"/>
        <v>145720.41384512451</v>
      </c>
      <c r="F85" s="110">
        <f t="shared" si="161"/>
        <v>149999.99704179543</v>
      </c>
      <c r="G85" s="110">
        <f t="shared" si="161"/>
        <v>109375.77555575114</v>
      </c>
      <c r="H85" s="110">
        <f t="shared" si="161"/>
        <v>118124.8006939006</v>
      </c>
      <c r="I85" s="110">
        <f t="shared" si="161"/>
        <v>128781.12998521965</v>
      </c>
      <c r="J85" s="110">
        <f t="shared" si="161"/>
        <v>149999.98945215586</v>
      </c>
      <c r="K85" s="110">
        <f t="shared" ref="K85:V85" si="166">IF(K17=0,0,K17/K28*1000000)</f>
        <v>149999.99056933651</v>
      </c>
      <c r="L85" s="110">
        <f t="shared" si="166"/>
        <v>149999.99152568183</v>
      </c>
      <c r="M85" s="110">
        <f t="shared" si="166"/>
        <v>149830.9548482541</v>
      </c>
      <c r="N85" s="110">
        <f t="shared" si="166"/>
        <v>149999.99129309994</v>
      </c>
      <c r="O85" s="110">
        <f t="shared" si="166"/>
        <v>149050.61974036184</v>
      </c>
      <c r="P85" s="110">
        <f t="shared" si="166"/>
        <v>149999.98852642259</v>
      </c>
      <c r="Q85" s="110">
        <f t="shared" si="166"/>
        <v>149999.99285593929</v>
      </c>
      <c r="R85" s="110">
        <f t="shared" si="166"/>
        <v>149999.98935351576</v>
      </c>
      <c r="S85" s="110">
        <f t="shared" si="166"/>
        <v>149999.9917682482</v>
      </c>
      <c r="T85" s="110">
        <f t="shared" si="166"/>
        <v>149999.98771978187</v>
      </c>
      <c r="U85" s="110">
        <f t="shared" si="166"/>
        <v>146863.80689636566</v>
      </c>
      <c r="V85" s="110">
        <f t="shared" si="166"/>
        <v>142620.69775540644</v>
      </c>
      <c r="W85" s="110">
        <f t="shared" ref="W85" si="167">IF(W17=0,0,W17/W28*1000000)</f>
        <v>141257.71417102704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149999.9999609908</v>
      </c>
      <c r="C86" s="84">
        <f t="shared" si="161"/>
        <v>147660.16208217604</v>
      </c>
      <c r="D86" s="84">
        <f t="shared" si="161"/>
        <v>149999.99905847985</v>
      </c>
      <c r="E86" s="84">
        <f t="shared" si="161"/>
        <v>145201.86237865689</v>
      </c>
      <c r="F86" s="84">
        <f t="shared" si="161"/>
        <v>149999.99665417982</v>
      </c>
      <c r="G86" s="84">
        <f t="shared" si="161"/>
        <v>102663.05039558187</v>
      </c>
      <c r="H86" s="84">
        <f t="shared" si="161"/>
        <v>111843.98389295321</v>
      </c>
      <c r="I86" s="84">
        <f t="shared" si="161"/>
        <v>123545.90753141549</v>
      </c>
      <c r="J86" s="84">
        <f t="shared" si="161"/>
        <v>149999.99424228483</v>
      </c>
      <c r="K86" s="84">
        <f t="shared" ref="K86:V86" si="168">IF(K18=0,0,K18/K29*1000000)</f>
        <v>149999.99990401871</v>
      </c>
      <c r="L86" s="84">
        <f t="shared" si="168"/>
        <v>149999.99377283728</v>
      </c>
      <c r="M86" s="84">
        <f t="shared" si="168"/>
        <v>149999.99572298245</v>
      </c>
      <c r="N86" s="84">
        <f t="shared" si="168"/>
        <v>149999.98844768543</v>
      </c>
      <c r="O86" s="84">
        <f t="shared" si="168"/>
        <v>149999.99856475316</v>
      </c>
      <c r="P86" s="84">
        <f t="shared" si="168"/>
        <v>149999.98717032059</v>
      </c>
      <c r="Q86" s="84">
        <f t="shared" si="168"/>
        <v>149999.99755325535</v>
      </c>
      <c r="R86" s="84">
        <f t="shared" si="168"/>
        <v>149999.99856689107</v>
      </c>
      <c r="S86" s="84">
        <f t="shared" si="168"/>
        <v>149999.99983385514</v>
      </c>
      <c r="T86" s="84">
        <f t="shared" si="168"/>
        <v>149999.99007052431</v>
      </c>
      <c r="U86" s="84">
        <f t="shared" si="168"/>
        <v>149999.99721671635</v>
      </c>
      <c r="V86" s="84">
        <f t="shared" si="168"/>
        <v>149999.99287481673</v>
      </c>
      <c r="W86" s="84">
        <f t="shared" ref="W86" si="169">IF(W18=0,0,W18/W29*1000000)</f>
        <v>149999.99474321635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149999.9882988967</v>
      </c>
      <c r="C87" s="84">
        <f t="shared" si="161"/>
        <v>143267.81474957798</v>
      </c>
      <c r="D87" s="84">
        <f t="shared" si="161"/>
        <v>149999.98404780321</v>
      </c>
      <c r="E87" s="84">
        <f t="shared" si="161"/>
        <v>149999.97420753996</v>
      </c>
      <c r="F87" s="84">
        <f t="shared" si="161"/>
        <v>149999.99974574285</v>
      </c>
      <c r="G87" s="84">
        <f t="shared" si="161"/>
        <v>149999.97321757933</v>
      </c>
      <c r="H87" s="84">
        <f t="shared" si="161"/>
        <v>149999.97925027797</v>
      </c>
      <c r="I87" s="84">
        <f t="shared" si="161"/>
        <v>149999.97228038902</v>
      </c>
      <c r="J87" s="84">
        <f t="shared" si="161"/>
        <v>149999.97654629801</v>
      </c>
      <c r="K87" s="84">
        <f t="shared" ref="K87:V87" si="170">IF(K19=0,0,K19/K30*1000000)</f>
        <v>149999.97065362844</v>
      </c>
      <c r="L87" s="84">
        <f t="shared" si="170"/>
        <v>149999.98623852927</v>
      </c>
      <c r="M87" s="84">
        <f t="shared" si="170"/>
        <v>149362.57704641941</v>
      </c>
      <c r="N87" s="84">
        <f t="shared" si="170"/>
        <v>149999.9985212716</v>
      </c>
      <c r="O87" s="84">
        <f t="shared" si="170"/>
        <v>146533.68721963605</v>
      </c>
      <c r="P87" s="84">
        <f t="shared" si="170"/>
        <v>149999.99144252166</v>
      </c>
      <c r="Q87" s="84">
        <f t="shared" si="170"/>
        <v>149999.98268268217</v>
      </c>
      <c r="R87" s="84">
        <f t="shared" si="170"/>
        <v>149999.97272984823</v>
      </c>
      <c r="S87" s="84">
        <f t="shared" si="170"/>
        <v>149999.97291570937</v>
      </c>
      <c r="T87" s="84">
        <f t="shared" si="170"/>
        <v>149999.98351789109</v>
      </c>
      <c r="U87" s="84">
        <f t="shared" si="170"/>
        <v>140838.27101548272</v>
      </c>
      <c r="V87" s="84">
        <f t="shared" si="170"/>
        <v>130776.20820927912</v>
      </c>
      <c r="W87" s="84">
        <f t="shared" ref="W87" si="171">IF(W19=0,0,W19/W30*1000000)</f>
        <v>122826.16195038226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199999.99988115224</v>
      </c>
      <c r="C89" s="28">
        <f t="shared" si="161"/>
        <v>196781.31787170476</v>
      </c>
      <c r="D89" s="28">
        <f t="shared" si="161"/>
        <v>199999.9970330052</v>
      </c>
      <c r="E89" s="28">
        <f t="shared" si="161"/>
        <v>199999.99985411883</v>
      </c>
      <c r="F89" s="28">
        <f t="shared" si="161"/>
        <v>199999.99983856911</v>
      </c>
      <c r="G89" s="28">
        <f t="shared" si="161"/>
        <v>199999.99895787251</v>
      </c>
      <c r="H89" s="28">
        <f t="shared" si="161"/>
        <v>199999.99931954753</v>
      </c>
      <c r="I89" s="28">
        <f t="shared" si="161"/>
        <v>199999.99798526833</v>
      </c>
      <c r="J89" s="28">
        <f t="shared" si="161"/>
        <v>199999.99870594614</v>
      </c>
      <c r="K89" s="28">
        <f t="shared" ref="K89:V89" si="174">IF(K21=0,0,K21/K32*1000000)</f>
        <v>165959.30622388705</v>
      </c>
      <c r="L89" s="28">
        <f t="shared" si="174"/>
        <v>192510.45087890091</v>
      </c>
      <c r="M89" s="28">
        <f t="shared" si="174"/>
        <v>199999.99969009153</v>
      </c>
      <c r="N89" s="28">
        <f t="shared" si="174"/>
        <v>199999.99859281222</v>
      </c>
      <c r="O89" s="28">
        <f t="shared" si="174"/>
        <v>199999.99743573379</v>
      </c>
      <c r="P89" s="28">
        <f t="shared" si="174"/>
        <v>199999.99754959272</v>
      </c>
      <c r="Q89" s="28">
        <f t="shared" si="174"/>
        <v>199999.99998616611</v>
      </c>
      <c r="R89" s="28">
        <f t="shared" si="174"/>
        <v>199999.99792021699</v>
      </c>
      <c r="S89" s="28">
        <f t="shared" si="174"/>
        <v>199999.99764370752</v>
      </c>
      <c r="T89" s="28">
        <f t="shared" si="174"/>
        <v>199999.99914983744</v>
      </c>
      <c r="U89" s="28">
        <f t="shared" si="174"/>
        <v>197108.56471043307</v>
      </c>
      <c r="V89" s="28">
        <f t="shared" si="174"/>
        <v>199999.99845936336</v>
      </c>
      <c r="W89" s="28">
        <f t="shared" ref="W89" si="175">IF(W21=0,0,W21/W32*1000000)</f>
        <v>199999.99716001612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199999.99988115224</v>
      </c>
      <c r="C90" s="84">
        <f t="shared" si="161"/>
        <v>196781.31787170476</v>
      </c>
      <c r="D90" s="84">
        <f t="shared" si="161"/>
        <v>199999.9970330052</v>
      </c>
      <c r="E90" s="84">
        <f t="shared" si="161"/>
        <v>199999.99985411883</v>
      </c>
      <c r="F90" s="84">
        <f t="shared" si="161"/>
        <v>199999.99983856911</v>
      </c>
      <c r="G90" s="84">
        <f t="shared" si="161"/>
        <v>199999.99895787251</v>
      </c>
      <c r="H90" s="84">
        <f t="shared" si="161"/>
        <v>199999.99931954753</v>
      </c>
      <c r="I90" s="84">
        <f t="shared" si="161"/>
        <v>199999.99798526833</v>
      </c>
      <c r="J90" s="84">
        <f t="shared" si="161"/>
        <v>199999.99870594614</v>
      </c>
      <c r="K90" s="84">
        <f t="shared" ref="K90:V90" si="176">IF(K22=0,0,K22/K33*1000000)</f>
        <v>165959.30622388705</v>
      </c>
      <c r="L90" s="84">
        <f t="shared" si="176"/>
        <v>192510.45087890091</v>
      </c>
      <c r="M90" s="84">
        <f t="shared" si="176"/>
        <v>199999.99969009153</v>
      </c>
      <c r="N90" s="84">
        <f t="shared" si="176"/>
        <v>199999.99859281222</v>
      </c>
      <c r="O90" s="84">
        <f t="shared" si="176"/>
        <v>199999.99743573379</v>
      </c>
      <c r="P90" s="84">
        <f t="shared" si="176"/>
        <v>199999.99754959272</v>
      </c>
      <c r="Q90" s="84">
        <f t="shared" si="176"/>
        <v>199999.99998616611</v>
      </c>
      <c r="R90" s="84">
        <f t="shared" si="176"/>
        <v>199999.99792021699</v>
      </c>
      <c r="S90" s="84">
        <f t="shared" si="176"/>
        <v>199999.99764370752</v>
      </c>
      <c r="T90" s="84">
        <f t="shared" si="176"/>
        <v>199999.99914983744</v>
      </c>
      <c r="U90" s="84">
        <f t="shared" si="176"/>
        <v>197108.56471043307</v>
      </c>
      <c r="V90" s="84">
        <f t="shared" si="176"/>
        <v>199999.99845936336</v>
      </c>
      <c r="W90" s="84">
        <f t="shared" ref="W90" si="177">IF(W22=0,0,W22/W33*1000000)</f>
        <v>199999.99716001612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" si="179">IF(W23=0,0,W23/W34*1000000)</f>
        <v>0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19317113.175994232</v>
      </c>
      <c r="C94" s="28">
        <f t="shared" si="180"/>
        <v>18723442.702243131</v>
      </c>
      <c r="D94" s="28">
        <f t="shared" si="180"/>
        <v>18605198.180292066</v>
      </c>
      <c r="E94" s="28">
        <f t="shared" si="180"/>
        <v>17820873.490114115</v>
      </c>
      <c r="F94" s="28">
        <f t="shared" si="180"/>
        <v>18461381.098414753</v>
      </c>
      <c r="G94" s="28">
        <f t="shared" si="180"/>
        <v>13254539.514101837</v>
      </c>
      <c r="H94" s="28">
        <f t="shared" si="180"/>
        <v>14706494.047546536</v>
      </c>
      <c r="I94" s="28">
        <f t="shared" si="180"/>
        <v>16018731.757936645</v>
      </c>
      <c r="J94" s="28">
        <f t="shared" si="180"/>
        <v>17420339.421134274</v>
      </c>
      <c r="K94" s="28">
        <f t="shared" ref="K94:V94" si="181">IF(K4=0,0,K4/K26*1000000)</f>
        <v>16582382.460519757</v>
      </c>
      <c r="L94" s="28">
        <f t="shared" si="181"/>
        <v>16305970.578148236</v>
      </c>
      <c r="M94" s="28">
        <f t="shared" si="181"/>
        <v>16962111.120744694</v>
      </c>
      <c r="N94" s="28">
        <f t="shared" si="181"/>
        <v>16896957.611611396</v>
      </c>
      <c r="O94" s="28">
        <f t="shared" si="181"/>
        <v>17344451.001645166</v>
      </c>
      <c r="P94" s="28">
        <f t="shared" si="181"/>
        <v>17687285.259160984</v>
      </c>
      <c r="Q94" s="28">
        <f t="shared" si="181"/>
        <v>16885080.33656992</v>
      </c>
      <c r="R94" s="28">
        <f t="shared" si="181"/>
        <v>18513667.252007112</v>
      </c>
      <c r="S94" s="28">
        <f t="shared" si="181"/>
        <v>17834329.272107422</v>
      </c>
      <c r="T94" s="28">
        <f t="shared" si="181"/>
        <v>16831581.295681816</v>
      </c>
      <c r="U94" s="28">
        <f t="shared" si="181"/>
        <v>16862562.832422055</v>
      </c>
      <c r="V94" s="28">
        <f t="shared" si="181"/>
        <v>12940224.951341752</v>
      </c>
      <c r="W94" s="28">
        <f t="shared" ref="W94" si="182">IF(W4=0,0,W4/W26*1000000)</f>
        <v>13632296.401653243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0</v>
      </c>
      <c r="U95" s="108">
        <f t="shared" si="183"/>
        <v>0</v>
      </c>
      <c r="V95" s="108">
        <f t="shared" si="183"/>
        <v>0</v>
      </c>
      <c r="W95" s="108">
        <f t="shared" ref="W95" si="184">IF(W5=0,0,W5/W27*1000000)</f>
        <v>0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19317113.175994232</v>
      </c>
      <c r="C96" s="110">
        <f t="shared" si="180"/>
        <v>18723442.702243131</v>
      </c>
      <c r="D96" s="110">
        <f t="shared" si="180"/>
        <v>18605198.180292066</v>
      </c>
      <c r="E96" s="110">
        <f t="shared" si="180"/>
        <v>17820873.490114115</v>
      </c>
      <c r="F96" s="110">
        <f t="shared" si="180"/>
        <v>18461381.098414753</v>
      </c>
      <c r="G96" s="110">
        <f t="shared" si="180"/>
        <v>13254539.514101837</v>
      </c>
      <c r="H96" s="110">
        <f t="shared" si="180"/>
        <v>14706494.047546536</v>
      </c>
      <c r="I96" s="110">
        <f t="shared" si="180"/>
        <v>16018731.757936645</v>
      </c>
      <c r="J96" s="110">
        <f t="shared" si="180"/>
        <v>17420339.421134274</v>
      </c>
      <c r="K96" s="110">
        <f t="shared" ref="K96:V96" si="185">IF(K6=0,0,K6/K28*1000000)</f>
        <v>16582382.460519757</v>
      </c>
      <c r="L96" s="110">
        <f t="shared" si="185"/>
        <v>16305970.578148236</v>
      </c>
      <c r="M96" s="110">
        <f t="shared" si="185"/>
        <v>16962111.120744694</v>
      </c>
      <c r="N96" s="110">
        <f t="shared" si="185"/>
        <v>16896957.611611396</v>
      </c>
      <c r="O96" s="110">
        <f t="shared" si="185"/>
        <v>17344451.001645166</v>
      </c>
      <c r="P96" s="110">
        <f t="shared" si="185"/>
        <v>17687285.259160984</v>
      </c>
      <c r="Q96" s="110">
        <f t="shared" si="185"/>
        <v>16885080.33656992</v>
      </c>
      <c r="R96" s="110">
        <f t="shared" si="185"/>
        <v>18513667.252007112</v>
      </c>
      <c r="S96" s="110">
        <f t="shared" si="185"/>
        <v>17834329.272107422</v>
      </c>
      <c r="T96" s="110">
        <f t="shared" si="185"/>
        <v>16831581.295681816</v>
      </c>
      <c r="U96" s="110">
        <f t="shared" si="185"/>
        <v>16862562.832422055</v>
      </c>
      <c r="V96" s="110">
        <f t="shared" si="185"/>
        <v>12940224.951341752</v>
      </c>
      <c r="W96" s="110">
        <f t="shared" ref="W96" si="186">IF(W6=0,0,W6/W28*1000000)</f>
        <v>13632296.401653243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18903518.788160052</v>
      </c>
      <c r="C97" s="84">
        <f t="shared" si="180"/>
        <v>18403564.715751484</v>
      </c>
      <c r="D97" s="84">
        <f t="shared" si="180"/>
        <v>18168581.744069017</v>
      </c>
      <c r="E97" s="84">
        <f t="shared" si="180"/>
        <v>17210486.514704965</v>
      </c>
      <c r="F97" s="84">
        <f t="shared" si="180"/>
        <v>17722326.5307745</v>
      </c>
      <c r="G97" s="84">
        <f t="shared" si="180"/>
        <v>12151225.593655813</v>
      </c>
      <c r="H97" s="84">
        <f t="shared" si="180"/>
        <v>13619620.707079085</v>
      </c>
      <c r="I97" s="84">
        <f t="shared" si="180"/>
        <v>14836777.642004939</v>
      </c>
      <c r="J97" s="84">
        <f t="shared" si="180"/>
        <v>17541845.352921009</v>
      </c>
      <c r="K97" s="84">
        <f t="shared" ref="K97:V97" si="187">IF(K7=0,0,K7/K29*1000000)</f>
        <v>16903119.727050062</v>
      </c>
      <c r="L97" s="84">
        <f t="shared" si="187"/>
        <v>16692648.804621762</v>
      </c>
      <c r="M97" s="84">
        <f t="shared" si="187"/>
        <v>16649475.948168999</v>
      </c>
      <c r="N97" s="84">
        <f t="shared" si="187"/>
        <v>16840247.988293245</v>
      </c>
      <c r="O97" s="84">
        <f t="shared" si="187"/>
        <v>16911822.469119675</v>
      </c>
      <c r="P97" s="84">
        <f t="shared" si="187"/>
        <v>17075980.734761208</v>
      </c>
      <c r="Q97" s="84">
        <f t="shared" si="187"/>
        <v>17032557.972215708</v>
      </c>
      <c r="R97" s="84">
        <f t="shared" si="187"/>
        <v>19971975.660378952</v>
      </c>
      <c r="S97" s="84">
        <f t="shared" si="187"/>
        <v>18391630.589295518</v>
      </c>
      <c r="T97" s="84">
        <f t="shared" si="187"/>
        <v>18601158.746714972</v>
      </c>
      <c r="U97" s="84">
        <f t="shared" si="187"/>
        <v>18791932.639692567</v>
      </c>
      <c r="V97" s="84">
        <f t="shared" si="187"/>
        <v>15686121.296127215</v>
      </c>
      <c r="W97" s="84">
        <f t="shared" ref="W97" si="188">IF(W7=0,0,W7/W29*1000000)</f>
        <v>15111772.939419979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23986820.724798352</v>
      </c>
      <c r="C98" s="84">
        <f t="shared" si="180"/>
        <v>22335040.563603614</v>
      </c>
      <c r="D98" s="84">
        <f t="shared" si="180"/>
        <v>23386642.734686054</v>
      </c>
      <c r="E98" s="84">
        <f t="shared" si="180"/>
        <v>22858344.357740737</v>
      </c>
      <c r="F98" s="84">
        <f t="shared" si="180"/>
        <v>23616913.532254074</v>
      </c>
      <c r="G98" s="84">
        <f t="shared" si="180"/>
        <v>19931595.660121042</v>
      </c>
      <c r="H98" s="84">
        <f t="shared" si="180"/>
        <v>20222382.011408284</v>
      </c>
      <c r="I98" s="84">
        <f t="shared" si="180"/>
        <v>20809301.443825942</v>
      </c>
      <c r="J98" s="84">
        <f t="shared" si="180"/>
        <v>17092970.724145763</v>
      </c>
      <c r="K98" s="84">
        <f t="shared" ref="K98:V98" si="189">IF(K8=0,0,K8/K30*1000000)</f>
        <v>15898083.880056785</v>
      </c>
      <c r="L98" s="84">
        <f t="shared" si="189"/>
        <v>15396186.273035487</v>
      </c>
      <c r="M98" s="84">
        <f t="shared" si="189"/>
        <v>17828359.44762126</v>
      </c>
      <c r="N98" s="84">
        <f t="shared" si="189"/>
        <v>17041016.373383008</v>
      </c>
      <c r="O98" s="84">
        <f t="shared" si="189"/>
        <v>18491408.143443041</v>
      </c>
      <c r="P98" s="84">
        <f t="shared" si="189"/>
        <v>19001806.246443052</v>
      </c>
      <c r="Q98" s="84">
        <f t="shared" si="189"/>
        <v>16565679.239484666</v>
      </c>
      <c r="R98" s="84">
        <f t="shared" si="189"/>
        <v>15882445.417967912</v>
      </c>
      <c r="S98" s="84">
        <f t="shared" si="189"/>
        <v>16531693.918968756</v>
      </c>
      <c r="T98" s="84">
        <f t="shared" si="189"/>
        <v>13668507.781304022</v>
      </c>
      <c r="U98" s="84">
        <f t="shared" si="189"/>
        <v>13155680.974595042</v>
      </c>
      <c r="V98" s="84">
        <f t="shared" si="189"/>
        <v>8532793.0727858748</v>
      </c>
      <c r="W98" s="84">
        <f t="shared" ref="W98" si="190">IF(W8=0,0,W8/W30*1000000)</f>
        <v>10513081.816867005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134956904.13522908</v>
      </c>
      <c r="C100" s="28">
        <f t="shared" si="180"/>
        <v>130161394.91718829</v>
      </c>
      <c r="D100" s="28">
        <f t="shared" si="180"/>
        <v>153340967.15022629</v>
      </c>
      <c r="E100" s="28">
        <f t="shared" si="180"/>
        <v>156446191.42008778</v>
      </c>
      <c r="F100" s="28">
        <f t="shared" si="180"/>
        <v>160354383.04874068</v>
      </c>
      <c r="G100" s="28">
        <f t="shared" si="180"/>
        <v>162462961.97902396</v>
      </c>
      <c r="H100" s="28">
        <f t="shared" si="180"/>
        <v>174349330.62349194</v>
      </c>
      <c r="I100" s="28">
        <f t="shared" si="180"/>
        <v>184731803.94301698</v>
      </c>
      <c r="J100" s="28">
        <f t="shared" si="180"/>
        <v>177161710.11695355</v>
      </c>
      <c r="K100" s="28">
        <f t="shared" ref="K100:V100" si="193">IF(K10=0,0,K10/K32*1000000)</f>
        <v>155118983.88088277</v>
      </c>
      <c r="L100" s="28">
        <f t="shared" si="193"/>
        <v>191789482.40529627</v>
      </c>
      <c r="M100" s="28">
        <f t="shared" si="193"/>
        <v>206694793.3967863</v>
      </c>
      <c r="N100" s="28">
        <f t="shared" si="193"/>
        <v>205691870.84884357</v>
      </c>
      <c r="O100" s="28">
        <f t="shared" si="193"/>
        <v>208648257.6275605</v>
      </c>
      <c r="P100" s="28">
        <f t="shared" si="193"/>
        <v>207175717.1118758</v>
      </c>
      <c r="Q100" s="28">
        <f t="shared" si="193"/>
        <v>218179734.68094501</v>
      </c>
      <c r="R100" s="28">
        <f t="shared" si="193"/>
        <v>216919067.49591726</v>
      </c>
      <c r="S100" s="28">
        <f t="shared" si="193"/>
        <v>226834270.51715907</v>
      </c>
      <c r="T100" s="28">
        <f t="shared" si="193"/>
        <v>219677044.69076753</v>
      </c>
      <c r="U100" s="28">
        <f t="shared" si="193"/>
        <v>230318789.04555392</v>
      </c>
      <c r="V100" s="28">
        <f t="shared" si="193"/>
        <v>233363670.85570025</v>
      </c>
      <c r="W100" s="28">
        <f t="shared" ref="W100" si="194">IF(W10=0,0,W10/W32*1000000)</f>
        <v>222754836.25049749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134956904.13522908</v>
      </c>
      <c r="C101" s="84">
        <f t="shared" si="180"/>
        <v>130161394.91718829</v>
      </c>
      <c r="D101" s="84">
        <f t="shared" si="180"/>
        <v>153340967.15022629</v>
      </c>
      <c r="E101" s="84">
        <f t="shared" si="180"/>
        <v>156446191.42008778</v>
      </c>
      <c r="F101" s="84">
        <f t="shared" si="180"/>
        <v>160354383.04874068</v>
      </c>
      <c r="G101" s="84">
        <f t="shared" si="180"/>
        <v>162462961.97902396</v>
      </c>
      <c r="H101" s="84">
        <f t="shared" si="180"/>
        <v>174349330.62349194</v>
      </c>
      <c r="I101" s="84">
        <f t="shared" si="180"/>
        <v>184731803.94301698</v>
      </c>
      <c r="J101" s="84">
        <f t="shared" si="180"/>
        <v>177161710.11695355</v>
      </c>
      <c r="K101" s="84">
        <f t="shared" ref="K101:V101" si="195">IF(K11=0,0,K11/K33*1000000)</f>
        <v>155118983.88088277</v>
      </c>
      <c r="L101" s="84">
        <f t="shared" si="195"/>
        <v>191789482.40529627</v>
      </c>
      <c r="M101" s="84">
        <f t="shared" si="195"/>
        <v>206694793.3967863</v>
      </c>
      <c r="N101" s="84">
        <f t="shared" si="195"/>
        <v>205691870.84884357</v>
      </c>
      <c r="O101" s="84">
        <f t="shared" si="195"/>
        <v>208648257.6275605</v>
      </c>
      <c r="P101" s="84">
        <f t="shared" si="195"/>
        <v>207175717.1118758</v>
      </c>
      <c r="Q101" s="84">
        <f t="shared" si="195"/>
        <v>218179734.68094501</v>
      </c>
      <c r="R101" s="84">
        <f t="shared" si="195"/>
        <v>216919067.49591726</v>
      </c>
      <c r="S101" s="84">
        <f t="shared" si="195"/>
        <v>226834270.51715907</v>
      </c>
      <c r="T101" s="84">
        <f t="shared" si="195"/>
        <v>219677044.69076753</v>
      </c>
      <c r="U101" s="84">
        <f t="shared" si="195"/>
        <v>230318789.04555392</v>
      </c>
      <c r="V101" s="84">
        <f t="shared" si="195"/>
        <v>233363670.85570025</v>
      </c>
      <c r="W101" s="84">
        <f t="shared" ref="W101" si="196">IF(W11=0,0,W11/W33*1000000)</f>
        <v>222754836.25049749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" si="198">IF(W12=0,0,W12/W34*1000000)</f>
        <v>0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0</v>
      </c>
      <c r="U106" s="123">
        <f t="shared" si="202"/>
        <v>0</v>
      </c>
      <c r="V106" s="123">
        <f t="shared" si="202"/>
        <v>0</v>
      </c>
      <c r="W106" s="123">
        <f t="shared" ref="W106" si="203">IF(W5=0,0,W5/W$4)</f>
        <v>0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1</v>
      </c>
      <c r="E107" s="124">
        <f t="shared" si="199"/>
        <v>1</v>
      </c>
      <c r="F107" s="124">
        <f t="shared" si="199"/>
        <v>1</v>
      </c>
      <c r="G107" s="124">
        <f t="shared" si="199"/>
        <v>1</v>
      </c>
      <c r="H107" s="124">
        <f t="shared" si="199"/>
        <v>1</v>
      </c>
      <c r="I107" s="124">
        <f t="shared" si="199"/>
        <v>1</v>
      </c>
      <c r="J107" s="124">
        <f t="shared" si="199"/>
        <v>1</v>
      </c>
      <c r="K107" s="124">
        <f t="shared" ref="K107:V107" si="204">IF(K6=0,0,K6/K$4)</f>
        <v>1</v>
      </c>
      <c r="L107" s="124">
        <f t="shared" si="204"/>
        <v>1</v>
      </c>
      <c r="M107" s="124">
        <f t="shared" si="204"/>
        <v>1</v>
      </c>
      <c r="N107" s="124">
        <f t="shared" si="204"/>
        <v>1</v>
      </c>
      <c r="O107" s="124">
        <f t="shared" si="204"/>
        <v>1</v>
      </c>
      <c r="P107" s="124">
        <f t="shared" si="204"/>
        <v>1</v>
      </c>
      <c r="Q107" s="124">
        <f t="shared" si="204"/>
        <v>1</v>
      </c>
      <c r="R107" s="124">
        <f t="shared" si="204"/>
        <v>1</v>
      </c>
      <c r="S107" s="124">
        <f t="shared" si="204"/>
        <v>1</v>
      </c>
      <c r="T107" s="124">
        <f t="shared" si="204"/>
        <v>1</v>
      </c>
      <c r="U107" s="124">
        <f t="shared" si="204"/>
        <v>1</v>
      </c>
      <c r="V107" s="124">
        <f t="shared" si="204"/>
        <v>1</v>
      </c>
      <c r="W107" s="124">
        <f t="shared" ref="W107" si="205">IF(W6=0,0,W6/W$4)</f>
        <v>1</v>
      </c>
      <c r="DA107" s="176"/>
    </row>
    <row r="108" spans="1:105" ht="11.45" customHeight="1" x14ac:dyDescent="0.25">
      <c r="A108" s="111" t="s">
        <v>92</v>
      </c>
      <c r="B108" s="125">
        <f t="shared" si="199"/>
        <v>0.89896794294843896</v>
      </c>
      <c r="C108" s="125">
        <f t="shared" si="199"/>
        <v>0.90294234790401273</v>
      </c>
      <c r="D108" s="125">
        <f t="shared" si="199"/>
        <v>0.8948220963854987</v>
      </c>
      <c r="E108" s="125">
        <f t="shared" si="199"/>
        <v>0.86137636433499365</v>
      </c>
      <c r="F108" s="125">
        <f t="shared" si="199"/>
        <v>0.83960823173429111</v>
      </c>
      <c r="G108" s="125">
        <f t="shared" si="199"/>
        <v>0.78675627145711824</v>
      </c>
      <c r="H108" s="125">
        <f t="shared" si="199"/>
        <v>0.77365208545269581</v>
      </c>
      <c r="I108" s="125">
        <f t="shared" si="199"/>
        <v>0.74291774502081676</v>
      </c>
      <c r="J108" s="125">
        <f t="shared" si="199"/>
        <v>0.73439676678974131</v>
      </c>
      <c r="K108" s="125">
        <f t="shared" ref="K108:V108" si="206">IF(K7=0,0,K7/K$4)</f>
        <v>0.69403924221921509</v>
      </c>
      <c r="L108" s="125">
        <f t="shared" si="206"/>
        <v>0.71838469713071185</v>
      </c>
      <c r="M108" s="125">
        <f t="shared" si="206"/>
        <v>0.72126055906150477</v>
      </c>
      <c r="N108" s="125">
        <f t="shared" si="206"/>
        <v>0.71512888460611901</v>
      </c>
      <c r="O108" s="125">
        <f t="shared" si="206"/>
        <v>0.70800097672147155</v>
      </c>
      <c r="P108" s="125">
        <f t="shared" si="206"/>
        <v>0.65898429532939029</v>
      </c>
      <c r="Q108" s="125">
        <f t="shared" si="206"/>
        <v>0.69009527942713977</v>
      </c>
      <c r="R108" s="125">
        <f t="shared" si="206"/>
        <v>0.69408492886939777</v>
      </c>
      <c r="S108" s="125">
        <f t="shared" si="206"/>
        <v>0.72225101046740592</v>
      </c>
      <c r="T108" s="125">
        <f t="shared" si="206"/>
        <v>0.70866988848853285</v>
      </c>
      <c r="U108" s="125">
        <f t="shared" si="206"/>
        <v>0.73293630484343741</v>
      </c>
      <c r="V108" s="125">
        <f t="shared" si="206"/>
        <v>0.74688063404794625</v>
      </c>
      <c r="W108" s="125">
        <f t="shared" ref="W108" si="207">IF(W7=0,0,W7/W$4)</f>
        <v>0.75189537178801358</v>
      </c>
      <c r="DA108" s="171"/>
    </row>
    <row r="109" spans="1:105" ht="11.45" customHeight="1" x14ac:dyDescent="0.25">
      <c r="A109" s="111" t="s">
        <v>93</v>
      </c>
      <c r="B109" s="125">
        <f t="shared" si="199"/>
        <v>0.10103205705156103</v>
      </c>
      <c r="C109" s="125">
        <f t="shared" si="199"/>
        <v>9.7057652095987268E-2</v>
      </c>
      <c r="D109" s="125">
        <f t="shared" si="199"/>
        <v>0.10517790361450136</v>
      </c>
      <c r="E109" s="125">
        <f t="shared" si="199"/>
        <v>0.1386236356650063</v>
      </c>
      <c r="F109" s="125">
        <f t="shared" si="199"/>
        <v>0.16039176826570892</v>
      </c>
      <c r="G109" s="125">
        <f t="shared" si="199"/>
        <v>0.21324372854288173</v>
      </c>
      <c r="H109" s="125">
        <f t="shared" si="199"/>
        <v>0.22634791454730419</v>
      </c>
      <c r="I109" s="125">
        <f t="shared" si="199"/>
        <v>0.25708225497918319</v>
      </c>
      <c r="J109" s="125">
        <f t="shared" si="199"/>
        <v>0.26560323321025869</v>
      </c>
      <c r="K109" s="125">
        <f t="shared" ref="K109:V109" si="208">IF(K8=0,0,K8/K$4)</f>
        <v>0.30596075778078496</v>
      </c>
      <c r="L109" s="125">
        <f t="shared" si="208"/>
        <v>0.28161530286928815</v>
      </c>
      <c r="M109" s="125">
        <f t="shared" si="208"/>
        <v>0.27873944093849518</v>
      </c>
      <c r="N109" s="125">
        <f t="shared" si="208"/>
        <v>0.28487111539388099</v>
      </c>
      <c r="O109" s="125">
        <f t="shared" si="208"/>
        <v>0.29199902327852845</v>
      </c>
      <c r="P109" s="125">
        <f t="shared" si="208"/>
        <v>0.34101570467060976</v>
      </c>
      <c r="Q109" s="125">
        <f t="shared" si="208"/>
        <v>0.30990472057286023</v>
      </c>
      <c r="R109" s="125">
        <f t="shared" si="208"/>
        <v>0.30591507113060223</v>
      </c>
      <c r="S109" s="125">
        <f t="shared" si="208"/>
        <v>0.27774898953259408</v>
      </c>
      <c r="T109" s="125">
        <f t="shared" si="208"/>
        <v>0.29133011151146715</v>
      </c>
      <c r="U109" s="125">
        <f t="shared" si="208"/>
        <v>0.26706369515656253</v>
      </c>
      <c r="V109" s="125">
        <f t="shared" si="208"/>
        <v>0.2531193659520537</v>
      </c>
      <c r="W109" s="125">
        <f t="shared" ref="W109" si="209">IF(W8=0,0,W8/W$4)</f>
        <v>0.24810462821198648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1</v>
      </c>
      <c r="C112" s="125">
        <f t="shared" si="212"/>
        <v>1</v>
      </c>
      <c r="D112" s="125">
        <f t="shared" si="212"/>
        <v>1</v>
      </c>
      <c r="E112" s="125">
        <f t="shared" si="212"/>
        <v>1</v>
      </c>
      <c r="F112" s="125">
        <f t="shared" si="212"/>
        <v>1</v>
      </c>
      <c r="G112" s="125">
        <f t="shared" si="212"/>
        <v>1</v>
      </c>
      <c r="H112" s="125">
        <f t="shared" si="212"/>
        <v>1</v>
      </c>
      <c r="I112" s="125">
        <f t="shared" si="212"/>
        <v>1</v>
      </c>
      <c r="J112" s="125">
        <f t="shared" si="212"/>
        <v>1</v>
      </c>
      <c r="K112" s="125">
        <f t="shared" ref="K112:V112" si="215">IF(K11=0,0,K11/K$10)</f>
        <v>1</v>
      </c>
      <c r="L112" s="125">
        <f t="shared" si="215"/>
        <v>1</v>
      </c>
      <c r="M112" s="125">
        <f t="shared" si="215"/>
        <v>1</v>
      </c>
      <c r="N112" s="125">
        <f t="shared" si="215"/>
        <v>1</v>
      </c>
      <c r="O112" s="125">
        <f t="shared" si="215"/>
        <v>1</v>
      </c>
      <c r="P112" s="125">
        <f t="shared" si="215"/>
        <v>1</v>
      </c>
      <c r="Q112" s="125">
        <f t="shared" si="215"/>
        <v>1</v>
      </c>
      <c r="R112" s="125">
        <f t="shared" si="215"/>
        <v>1</v>
      </c>
      <c r="S112" s="125">
        <f t="shared" si="215"/>
        <v>1</v>
      </c>
      <c r="T112" s="125">
        <f t="shared" si="215"/>
        <v>1</v>
      </c>
      <c r="U112" s="125">
        <f t="shared" si="215"/>
        <v>1</v>
      </c>
      <c r="V112" s="125">
        <f t="shared" si="215"/>
        <v>1</v>
      </c>
      <c r="W112" s="125">
        <f t="shared" ref="W112" si="216">IF(W11=0,0,W11/W$10)</f>
        <v>1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" si="218">IF(W12=0,0,W12/W$10)</f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0</v>
      </c>
      <c r="U117" s="123">
        <f t="shared" si="222"/>
        <v>0</v>
      </c>
      <c r="V117" s="123">
        <f t="shared" si="222"/>
        <v>0</v>
      </c>
      <c r="W117" s="123">
        <f t="shared" ref="W117" si="223">IF(W16=0,0,W16/W$15)</f>
        <v>0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1</v>
      </c>
      <c r="E118" s="124">
        <f t="shared" si="219"/>
        <v>1</v>
      </c>
      <c r="F118" s="124">
        <f t="shared" si="219"/>
        <v>1</v>
      </c>
      <c r="G118" s="124">
        <f t="shared" si="219"/>
        <v>1</v>
      </c>
      <c r="H118" s="124">
        <f t="shared" si="219"/>
        <v>1</v>
      </c>
      <c r="I118" s="124">
        <f t="shared" si="219"/>
        <v>1</v>
      </c>
      <c r="J118" s="124">
        <f t="shared" si="219"/>
        <v>1</v>
      </c>
      <c r="K118" s="124">
        <f t="shared" ref="K118:V118" si="224">IF(K17=0,0,K17/K$15)</f>
        <v>1</v>
      </c>
      <c r="L118" s="124">
        <f t="shared" si="224"/>
        <v>1</v>
      </c>
      <c r="M118" s="124">
        <f t="shared" si="224"/>
        <v>1</v>
      </c>
      <c r="N118" s="124">
        <f t="shared" si="224"/>
        <v>1</v>
      </c>
      <c r="O118" s="124">
        <f t="shared" si="224"/>
        <v>1</v>
      </c>
      <c r="P118" s="124">
        <f t="shared" si="224"/>
        <v>1</v>
      </c>
      <c r="Q118" s="124">
        <f t="shared" si="224"/>
        <v>1</v>
      </c>
      <c r="R118" s="124">
        <f t="shared" si="224"/>
        <v>1</v>
      </c>
      <c r="S118" s="124">
        <f t="shared" si="224"/>
        <v>1</v>
      </c>
      <c r="T118" s="124">
        <f t="shared" si="224"/>
        <v>1</v>
      </c>
      <c r="U118" s="124">
        <f t="shared" si="224"/>
        <v>1</v>
      </c>
      <c r="V118" s="124">
        <f t="shared" si="224"/>
        <v>1</v>
      </c>
      <c r="W118" s="124">
        <f t="shared" ref="W118" si="225">IF(W17=0,0,W17/W$15)</f>
        <v>1</v>
      </c>
      <c r="DA118" s="176"/>
    </row>
    <row r="119" spans="1:105" ht="11.45" customHeight="1" x14ac:dyDescent="0.25">
      <c r="A119" s="111" t="s">
        <v>92</v>
      </c>
      <c r="B119" s="125">
        <f t="shared" si="219"/>
        <v>0.91863667288507311</v>
      </c>
      <c r="C119" s="125">
        <f t="shared" si="219"/>
        <v>0.92086539895272512</v>
      </c>
      <c r="D119" s="125">
        <f t="shared" si="219"/>
        <v>0.91632593084454428</v>
      </c>
      <c r="E119" s="125">
        <f t="shared" si="219"/>
        <v>0.88875198018032242</v>
      </c>
      <c r="F119" s="125">
        <f t="shared" si="219"/>
        <v>0.87462148225529979</v>
      </c>
      <c r="G119" s="125">
        <f t="shared" si="219"/>
        <v>0.80552271658767272</v>
      </c>
      <c r="H119" s="125">
        <f t="shared" si="219"/>
        <v>0.79097248909163764</v>
      </c>
      <c r="I119" s="125">
        <f t="shared" si="219"/>
        <v>0.76949429666585523</v>
      </c>
      <c r="J119" s="125">
        <f t="shared" si="219"/>
        <v>0.72930989291151227</v>
      </c>
      <c r="K119" s="125">
        <f t="shared" ref="K119:V119" si="226">IF(K18=0,0,K18/K$15)</f>
        <v>0.68086986657728699</v>
      </c>
      <c r="L119" s="125">
        <f t="shared" si="226"/>
        <v>0.70174362665853818</v>
      </c>
      <c r="M119" s="125">
        <f t="shared" si="226"/>
        <v>0.73563302721852164</v>
      </c>
      <c r="N119" s="125">
        <f t="shared" si="226"/>
        <v>0.71753707125995958</v>
      </c>
      <c r="O119" s="125">
        <f t="shared" si="226"/>
        <v>0.73073763013685256</v>
      </c>
      <c r="P119" s="125">
        <f t="shared" si="226"/>
        <v>0.68257532545091359</v>
      </c>
      <c r="Q119" s="125">
        <f t="shared" si="226"/>
        <v>0.68412006093976507</v>
      </c>
      <c r="R119" s="125">
        <f t="shared" si="226"/>
        <v>0.64340445960467219</v>
      </c>
      <c r="S119" s="125">
        <f t="shared" si="226"/>
        <v>0.70036547155847395</v>
      </c>
      <c r="T119" s="125">
        <f t="shared" si="226"/>
        <v>0.64125225687537557</v>
      </c>
      <c r="U119" s="125">
        <f t="shared" si="226"/>
        <v>0.67173014393920283</v>
      </c>
      <c r="V119" s="125">
        <f t="shared" si="226"/>
        <v>0.64801660936887762</v>
      </c>
      <c r="W119" s="125">
        <f t="shared" ref="W119" si="227">IF(W18=0,0,W18/W$15)</f>
        <v>0.72026130224263563</v>
      </c>
      <c r="DA119" s="171"/>
    </row>
    <row r="120" spans="1:105" ht="11.45" customHeight="1" x14ac:dyDescent="0.25">
      <c r="A120" s="111" t="s">
        <v>93</v>
      </c>
      <c r="B120" s="125">
        <f t="shared" si="219"/>
        <v>8.1363327114926845E-2</v>
      </c>
      <c r="C120" s="125">
        <f t="shared" si="219"/>
        <v>7.9134601047274822E-2</v>
      </c>
      <c r="D120" s="125">
        <f t="shared" si="219"/>
        <v>8.3674069155455763E-2</v>
      </c>
      <c r="E120" s="125">
        <f t="shared" si="219"/>
        <v>0.11124801981967763</v>
      </c>
      <c r="F120" s="125">
        <f t="shared" si="219"/>
        <v>0.12537851774470016</v>
      </c>
      <c r="G120" s="125">
        <f t="shared" si="219"/>
        <v>0.19447728341232723</v>
      </c>
      <c r="H120" s="125">
        <f t="shared" si="219"/>
        <v>0.20902751090836233</v>
      </c>
      <c r="I120" s="125">
        <f t="shared" si="219"/>
        <v>0.2305057033341448</v>
      </c>
      <c r="J120" s="125">
        <f t="shared" si="219"/>
        <v>0.27069010708848779</v>
      </c>
      <c r="K120" s="125">
        <f t="shared" ref="K120:V120" si="228">IF(K19=0,0,K19/K$15)</f>
        <v>0.31913013342271301</v>
      </c>
      <c r="L120" s="125">
        <f t="shared" si="228"/>
        <v>0.29825637334146182</v>
      </c>
      <c r="M120" s="125">
        <f t="shared" si="228"/>
        <v>0.26436697278147842</v>
      </c>
      <c r="N120" s="125">
        <f t="shared" si="228"/>
        <v>0.28246292874004042</v>
      </c>
      <c r="O120" s="125">
        <f t="shared" si="228"/>
        <v>0.26926236986314744</v>
      </c>
      <c r="P120" s="125">
        <f t="shared" si="228"/>
        <v>0.31742467454908646</v>
      </c>
      <c r="Q120" s="125">
        <f t="shared" si="228"/>
        <v>0.31587993906023493</v>
      </c>
      <c r="R120" s="125">
        <f t="shared" si="228"/>
        <v>0.35659554039532781</v>
      </c>
      <c r="S120" s="125">
        <f t="shared" si="228"/>
        <v>0.2996345284415261</v>
      </c>
      <c r="T120" s="125">
        <f t="shared" si="228"/>
        <v>0.35874774312462443</v>
      </c>
      <c r="U120" s="125">
        <f t="shared" si="228"/>
        <v>0.32826985606079717</v>
      </c>
      <c r="V120" s="125">
        <f t="shared" si="228"/>
        <v>0.35198339063112238</v>
      </c>
      <c r="W120" s="125">
        <f t="shared" ref="W120" si="229">IF(W19=0,0,W19/W$15)</f>
        <v>0.27973869775736437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1</v>
      </c>
      <c r="C123" s="125">
        <f t="shared" si="232"/>
        <v>1</v>
      </c>
      <c r="D123" s="125">
        <f t="shared" si="232"/>
        <v>1</v>
      </c>
      <c r="E123" s="125">
        <f t="shared" si="232"/>
        <v>1</v>
      </c>
      <c r="F123" s="125">
        <f t="shared" si="232"/>
        <v>1</v>
      </c>
      <c r="G123" s="125">
        <f t="shared" si="232"/>
        <v>1</v>
      </c>
      <c r="H123" s="125">
        <f t="shared" si="232"/>
        <v>1</v>
      </c>
      <c r="I123" s="125">
        <f t="shared" si="232"/>
        <v>1</v>
      </c>
      <c r="J123" s="125">
        <f t="shared" si="232"/>
        <v>1</v>
      </c>
      <c r="K123" s="125">
        <f t="shared" ref="K123:V123" si="235">IF(K22=0,0,K22/K$21)</f>
        <v>1</v>
      </c>
      <c r="L123" s="125">
        <f t="shared" si="235"/>
        <v>1</v>
      </c>
      <c r="M123" s="125">
        <f t="shared" si="235"/>
        <v>1</v>
      </c>
      <c r="N123" s="125">
        <f t="shared" si="235"/>
        <v>1</v>
      </c>
      <c r="O123" s="125">
        <f t="shared" si="235"/>
        <v>1</v>
      </c>
      <c r="P123" s="125">
        <f t="shared" si="235"/>
        <v>1</v>
      </c>
      <c r="Q123" s="125">
        <f t="shared" si="235"/>
        <v>1</v>
      </c>
      <c r="R123" s="125">
        <f t="shared" si="235"/>
        <v>1</v>
      </c>
      <c r="S123" s="125">
        <f t="shared" si="235"/>
        <v>1</v>
      </c>
      <c r="T123" s="125">
        <f t="shared" si="235"/>
        <v>1</v>
      </c>
      <c r="U123" s="125">
        <f t="shared" si="235"/>
        <v>1</v>
      </c>
      <c r="V123" s="125">
        <f t="shared" si="235"/>
        <v>1</v>
      </c>
      <c r="W123" s="125">
        <f t="shared" ref="W123" si="236">IF(W22=0,0,W22/W$21)</f>
        <v>1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" si="238">IF(W23=0,0,W23/W$21)</f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72.126655202063617</v>
      </c>
      <c r="C4" s="146">
        <f t="shared" ref="C4:V4" si="0">SUM(C5,C8)</f>
        <v>63.866466036113501</v>
      </c>
      <c r="D4" s="146">
        <f t="shared" si="0"/>
        <v>67.953568357695602</v>
      </c>
      <c r="E4" s="146">
        <f t="shared" si="0"/>
        <v>75.192003439380898</v>
      </c>
      <c r="F4" s="146">
        <f t="shared" si="0"/>
        <v>74.256233877901977</v>
      </c>
      <c r="G4" s="146">
        <f t="shared" si="0"/>
        <v>75.27798796216679</v>
      </c>
      <c r="H4" s="146">
        <f t="shared" si="0"/>
        <v>72.21263972484951</v>
      </c>
      <c r="I4" s="146">
        <f t="shared" si="0"/>
        <v>74.75494411006018</v>
      </c>
      <c r="J4" s="146">
        <f t="shared" si="0"/>
        <v>75.955631986242466</v>
      </c>
      <c r="K4" s="146">
        <f t="shared" si="0"/>
        <v>58.553568357695603</v>
      </c>
      <c r="L4" s="146">
        <f t="shared" si="0"/>
        <v>61.639638865004294</v>
      </c>
      <c r="M4" s="146">
        <f t="shared" si="0"/>
        <v>63.611092003439374</v>
      </c>
      <c r="N4" s="146">
        <f t="shared" si="0"/>
        <v>60.17601031814273</v>
      </c>
      <c r="O4" s="146">
        <f t="shared" si="0"/>
        <v>55.091487532244194</v>
      </c>
      <c r="P4" s="146">
        <f t="shared" si="0"/>
        <v>58.118572656921749</v>
      </c>
      <c r="Q4" s="146">
        <f t="shared" si="0"/>
        <v>53.898022355975925</v>
      </c>
      <c r="R4" s="146">
        <f t="shared" si="0"/>
        <v>52.960275150472917</v>
      </c>
      <c r="S4" s="146">
        <f t="shared" si="0"/>
        <v>56.912811693895094</v>
      </c>
      <c r="T4" s="146">
        <f t="shared" si="0"/>
        <v>64.397678417884762</v>
      </c>
      <c r="U4" s="146">
        <f t="shared" si="0"/>
        <v>58.439122957867589</v>
      </c>
      <c r="V4" s="146">
        <f t="shared" si="0"/>
        <v>56.524935511607907</v>
      </c>
      <c r="W4" s="146">
        <f t="shared" ref="W4" si="1">SUM(W5,W8)</f>
        <v>55.194325021496127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71.524763542562326</v>
      </c>
      <c r="C5" s="101">
        <f t="shared" ref="C5:V5" si="2">SUM(C6:C7)</f>
        <v>63.350558899398109</v>
      </c>
      <c r="D5" s="101">
        <f t="shared" si="2"/>
        <v>67.437661220980218</v>
      </c>
      <c r="E5" s="101">
        <f t="shared" si="2"/>
        <v>74.590111779879607</v>
      </c>
      <c r="F5" s="101">
        <f t="shared" si="2"/>
        <v>73.568357695614793</v>
      </c>
      <c r="G5" s="101">
        <f t="shared" si="2"/>
        <v>74.590111779879607</v>
      </c>
      <c r="H5" s="101">
        <f t="shared" si="2"/>
        <v>71.524763542562326</v>
      </c>
      <c r="I5" s="101">
        <f t="shared" si="2"/>
        <v>74.067067927772996</v>
      </c>
      <c r="J5" s="101">
        <f t="shared" si="2"/>
        <v>75.095786758383483</v>
      </c>
      <c r="K5" s="101">
        <f t="shared" si="2"/>
        <v>57.60773860705072</v>
      </c>
      <c r="L5" s="101">
        <f t="shared" si="2"/>
        <v>60.693809114359411</v>
      </c>
      <c r="M5" s="101">
        <f t="shared" si="2"/>
        <v>62.751246775580391</v>
      </c>
      <c r="N5" s="101">
        <f t="shared" si="2"/>
        <v>59.230180567497847</v>
      </c>
      <c r="O5" s="101">
        <f t="shared" si="2"/>
        <v>54.231642304385211</v>
      </c>
      <c r="P5" s="101">
        <f t="shared" si="2"/>
        <v>57.172742906276866</v>
      </c>
      <c r="Q5" s="101">
        <f t="shared" si="2"/>
        <v>52.952192605331042</v>
      </c>
      <c r="R5" s="101">
        <f t="shared" si="2"/>
        <v>51.928460877042134</v>
      </c>
      <c r="S5" s="101">
        <f t="shared" si="2"/>
        <v>55.906792777300083</v>
      </c>
      <c r="T5" s="101">
        <f t="shared" si="2"/>
        <v>62.970335339638844</v>
      </c>
      <c r="U5" s="101">
        <f t="shared" si="2"/>
        <v>57.149355116079114</v>
      </c>
      <c r="V5" s="101">
        <f t="shared" si="2"/>
        <v>55.372742906276869</v>
      </c>
      <c r="W5" s="101">
        <f t="shared" ref="W5" si="3">SUM(W6:W7)</f>
        <v>54.153912295786753</v>
      </c>
      <c r="DA5" s="175"/>
    </row>
    <row r="6" spans="1:105" ht="11.45" customHeight="1" x14ac:dyDescent="0.25">
      <c r="A6" s="164" t="s">
        <v>182</v>
      </c>
      <c r="B6" s="165">
        <v>71.524763542562326</v>
      </c>
      <c r="C6" s="165">
        <v>63.350558899398109</v>
      </c>
      <c r="D6" s="165">
        <v>67.437661220980218</v>
      </c>
      <c r="E6" s="165">
        <v>74.590111779879607</v>
      </c>
      <c r="F6" s="165">
        <v>73.568357695614793</v>
      </c>
      <c r="G6" s="165">
        <v>74.590111779879607</v>
      </c>
      <c r="H6" s="165">
        <v>71.524763542562326</v>
      </c>
      <c r="I6" s="165">
        <v>74.067067927772996</v>
      </c>
      <c r="J6" s="165">
        <v>75.095786758383483</v>
      </c>
      <c r="K6" s="165">
        <v>57.60773860705072</v>
      </c>
      <c r="L6" s="165">
        <v>60.693809114359411</v>
      </c>
      <c r="M6" s="165">
        <v>62.751246775580391</v>
      </c>
      <c r="N6" s="165">
        <v>56.579019776440241</v>
      </c>
      <c r="O6" s="165">
        <v>52.46414445399828</v>
      </c>
      <c r="P6" s="165">
        <v>54.52158211521926</v>
      </c>
      <c r="Q6" s="165">
        <v>51.184694754944111</v>
      </c>
      <c r="R6" s="165">
        <v>50.160963026655203</v>
      </c>
      <c r="S6" s="165">
        <v>54.050988822012037</v>
      </c>
      <c r="T6" s="165">
        <v>61.114531384350798</v>
      </c>
      <c r="U6" s="165">
        <v>55.381857265692183</v>
      </c>
      <c r="V6" s="165">
        <v>52.986672398968182</v>
      </c>
      <c r="W6" s="165">
        <v>49.91203783319002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2.6511607910576092</v>
      </c>
      <c r="O7" s="167">
        <v>1.7674978503869301</v>
      </c>
      <c r="P7" s="167">
        <v>2.6511607910576092</v>
      </c>
      <c r="Q7" s="167">
        <v>1.7674978503869301</v>
      </c>
      <c r="R7" s="167">
        <v>1.7674978503869301</v>
      </c>
      <c r="S7" s="167">
        <v>1.8558039552880481</v>
      </c>
      <c r="T7" s="167">
        <v>1.8558039552880481</v>
      </c>
      <c r="U7" s="167">
        <v>1.7674978503869301</v>
      </c>
      <c r="V7" s="167">
        <v>2.3860705073086841</v>
      </c>
      <c r="W7" s="167">
        <v>4.2418744625967317</v>
      </c>
      <c r="DA7" s="177" t="s">
        <v>1103</v>
      </c>
    </row>
    <row r="8" spans="1:105" ht="11.45" customHeight="1" x14ac:dyDescent="0.25">
      <c r="A8" s="85" t="s">
        <v>91</v>
      </c>
      <c r="B8" s="88">
        <v>0.60189165950128976</v>
      </c>
      <c r="C8" s="88">
        <v>0.51590713671539123</v>
      </c>
      <c r="D8" s="88">
        <v>0.51590713671539123</v>
      </c>
      <c r="E8" s="88">
        <v>0.60189165950128976</v>
      </c>
      <c r="F8" s="88">
        <v>0.68787618228718828</v>
      </c>
      <c r="G8" s="88">
        <v>0.68787618228718828</v>
      </c>
      <c r="H8" s="88">
        <v>0.68787618228718828</v>
      </c>
      <c r="I8" s="88">
        <v>0.68787618228718828</v>
      </c>
      <c r="J8" s="88">
        <v>0.85984522785898532</v>
      </c>
      <c r="K8" s="88">
        <v>0.94582975064488384</v>
      </c>
      <c r="L8" s="88">
        <v>0.94582975064488384</v>
      </c>
      <c r="M8" s="88">
        <v>0.85984522785898532</v>
      </c>
      <c r="N8" s="88">
        <v>0.94582975064488384</v>
      </c>
      <c r="O8" s="88">
        <v>0.85984522785898532</v>
      </c>
      <c r="P8" s="88">
        <v>0.94582975064488384</v>
      </c>
      <c r="Q8" s="88">
        <v>0.94582975064488384</v>
      </c>
      <c r="R8" s="88">
        <v>1.031814273430782</v>
      </c>
      <c r="S8" s="88">
        <v>1.0060189165950131</v>
      </c>
      <c r="T8" s="88">
        <v>1.427343078245916</v>
      </c>
      <c r="U8" s="88">
        <v>1.2897678417884779</v>
      </c>
      <c r="V8" s="88">
        <v>1.1521926053310401</v>
      </c>
      <c r="W8" s="88">
        <v>1.040412725709372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72.126655202063617</v>
      </c>
      <c r="C10" s="62">
        <f t="shared" ref="C10:V10" si="5">SUM(C11,C17)</f>
        <v>63.866466036113501</v>
      </c>
      <c r="D10" s="62">
        <f t="shared" si="5"/>
        <v>67.953568357695616</v>
      </c>
      <c r="E10" s="62">
        <f t="shared" si="5"/>
        <v>75.192003439380898</v>
      </c>
      <c r="F10" s="62">
        <f t="shared" si="5"/>
        <v>74.256233877901991</v>
      </c>
      <c r="G10" s="62">
        <f t="shared" si="5"/>
        <v>75.277987962166804</v>
      </c>
      <c r="H10" s="62">
        <f t="shared" si="5"/>
        <v>72.212639724849524</v>
      </c>
      <c r="I10" s="62">
        <f t="shared" si="5"/>
        <v>74.75494411006018</v>
      </c>
      <c r="J10" s="62">
        <f t="shared" si="5"/>
        <v>75.955631986242466</v>
      </c>
      <c r="K10" s="62">
        <f t="shared" si="5"/>
        <v>58.553568357695596</v>
      </c>
      <c r="L10" s="62">
        <f t="shared" si="5"/>
        <v>61.639638865004301</v>
      </c>
      <c r="M10" s="62">
        <f t="shared" si="5"/>
        <v>63.611092003439381</v>
      </c>
      <c r="N10" s="62">
        <f t="shared" si="5"/>
        <v>60.17601031814273</v>
      </c>
      <c r="O10" s="62">
        <f t="shared" si="5"/>
        <v>55.091487532244194</v>
      </c>
      <c r="P10" s="62">
        <f t="shared" si="5"/>
        <v>58.118572656921749</v>
      </c>
      <c r="Q10" s="62">
        <f t="shared" si="5"/>
        <v>53.898022355975932</v>
      </c>
      <c r="R10" s="62">
        <f t="shared" si="5"/>
        <v>52.960275150472917</v>
      </c>
      <c r="S10" s="62">
        <f t="shared" si="5"/>
        <v>56.912811693895101</v>
      </c>
      <c r="T10" s="62">
        <f t="shared" si="5"/>
        <v>64.397678417884762</v>
      </c>
      <c r="U10" s="62">
        <f t="shared" si="5"/>
        <v>58.439122957867596</v>
      </c>
      <c r="V10" s="62">
        <f t="shared" si="5"/>
        <v>56.524935511607922</v>
      </c>
      <c r="W10" s="62">
        <f t="shared" ref="W10" si="6">SUM(W11,W17)</f>
        <v>55.194325021496127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10.220261464427242</v>
      </c>
      <c r="C11" s="29">
        <f t="shared" ref="C11:V11" si="8">SUM(C12,C13,C16)</f>
        <v>9.0368339199923771</v>
      </c>
      <c r="D11" s="29">
        <f t="shared" si="8"/>
        <v>8.5470616120297063</v>
      </c>
      <c r="E11" s="29">
        <f t="shared" si="8"/>
        <v>7.3993320517237642</v>
      </c>
      <c r="F11" s="29">
        <f t="shared" si="8"/>
        <v>7.5223030882952893</v>
      </c>
      <c r="G11" s="29">
        <f t="shared" si="8"/>
        <v>4.6841226965839917</v>
      </c>
      <c r="H11" s="29">
        <f t="shared" si="8"/>
        <v>4.2894944101994472</v>
      </c>
      <c r="I11" s="29">
        <f t="shared" si="8"/>
        <v>3.9340864378340776</v>
      </c>
      <c r="J11" s="29">
        <f t="shared" si="8"/>
        <v>4.2191452638110842</v>
      </c>
      <c r="K11" s="29">
        <f t="shared" si="8"/>
        <v>3.8783612413549409</v>
      </c>
      <c r="L11" s="29">
        <f t="shared" si="8"/>
        <v>4.1354316335133392</v>
      </c>
      <c r="M11" s="29">
        <f t="shared" si="8"/>
        <v>4.3571751915564469</v>
      </c>
      <c r="N11" s="29">
        <f t="shared" si="8"/>
        <v>4.4187076390712114</v>
      </c>
      <c r="O11" s="29">
        <f t="shared" si="8"/>
        <v>4.1760945379243131</v>
      </c>
      <c r="P11" s="29">
        <f t="shared" si="8"/>
        <v>3.9014924645906124</v>
      </c>
      <c r="Q11" s="29">
        <f t="shared" si="8"/>
        <v>3.9412075460259555</v>
      </c>
      <c r="R11" s="29">
        <f t="shared" si="8"/>
        <v>3.7531579158533619</v>
      </c>
      <c r="S11" s="29">
        <f t="shared" si="8"/>
        <v>4.4423636502004831</v>
      </c>
      <c r="T11" s="29">
        <f t="shared" si="8"/>
        <v>5.1550247623922916</v>
      </c>
      <c r="U11" s="29">
        <f t="shared" si="8"/>
        <v>5.1452691154578476</v>
      </c>
      <c r="V11" s="29">
        <f t="shared" si="8"/>
        <v>4.2506504439528676</v>
      </c>
      <c r="W11" s="29">
        <f t="shared" ref="W11" si="9">SUM(W12,W13,W16)</f>
        <v>4.9529908225336197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10.220261464427242</v>
      </c>
      <c r="C13" s="116">
        <f t="shared" ref="C13:V13" si="11">SUM(C14:C15)</f>
        <v>9.0368339199923771</v>
      </c>
      <c r="D13" s="116">
        <f t="shared" si="11"/>
        <v>8.5470616120297063</v>
      </c>
      <c r="E13" s="116">
        <f t="shared" si="11"/>
        <v>7.3993320517237642</v>
      </c>
      <c r="F13" s="116">
        <f t="shared" si="11"/>
        <v>7.5223030882952893</v>
      </c>
      <c r="G13" s="116">
        <f t="shared" si="11"/>
        <v>4.6841226965839917</v>
      </c>
      <c r="H13" s="116">
        <f t="shared" si="11"/>
        <v>4.2894944101994472</v>
      </c>
      <c r="I13" s="116">
        <f t="shared" si="11"/>
        <v>3.9340864378340776</v>
      </c>
      <c r="J13" s="116">
        <f t="shared" si="11"/>
        <v>4.2191452638110842</v>
      </c>
      <c r="K13" s="116">
        <f t="shared" si="11"/>
        <v>3.8783612413549409</v>
      </c>
      <c r="L13" s="116">
        <f t="shared" si="11"/>
        <v>4.1354316335133392</v>
      </c>
      <c r="M13" s="116">
        <f t="shared" si="11"/>
        <v>4.3571751915564469</v>
      </c>
      <c r="N13" s="116">
        <f t="shared" si="11"/>
        <v>4.4187076390712114</v>
      </c>
      <c r="O13" s="116">
        <f t="shared" si="11"/>
        <v>4.1760945379243131</v>
      </c>
      <c r="P13" s="116">
        <f t="shared" si="11"/>
        <v>3.9014924645906124</v>
      </c>
      <c r="Q13" s="116">
        <f t="shared" si="11"/>
        <v>3.9412075460259555</v>
      </c>
      <c r="R13" s="116">
        <f t="shared" si="11"/>
        <v>3.7531579158533619</v>
      </c>
      <c r="S13" s="116">
        <f t="shared" si="11"/>
        <v>4.4423636502004831</v>
      </c>
      <c r="T13" s="116">
        <f t="shared" si="11"/>
        <v>5.1550247623922916</v>
      </c>
      <c r="U13" s="116">
        <f t="shared" si="11"/>
        <v>5.1452691154578476</v>
      </c>
      <c r="V13" s="116">
        <f t="shared" si="11"/>
        <v>4.2506504439528676</v>
      </c>
      <c r="W13" s="116">
        <f t="shared" ref="W13" si="12">SUM(W14:W15)</f>
        <v>4.9529908225336197</v>
      </c>
      <c r="DA13" s="176" t="s">
        <v>396</v>
      </c>
    </row>
    <row r="14" spans="1:105" ht="11.45" customHeight="1" x14ac:dyDescent="0.25">
      <c r="A14" s="111" t="s">
        <v>95</v>
      </c>
      <c r="B14" s="87">
        <v>9.6183698049259529</v>
      </c>
      <c r="C14" s="87">
        <v>8.5209267832769857</v>
      </c>
      <c r="D14" s="87">
        <v>8.0311544753143149</v>
      </c>
      <c r="E14" s="87">
        <v>6.7974403922224749</v>
      </c>
      <c r="F14" s="87">
        <v>6.8344269060081011</v>
      </c>
      <c r="G14" s="87">
        <v>3.9962465142968031</v>
      </c>
      <c r="H14" s="87">
        <v>3.6016182279122586</v>
      </c>
      <c r="I14" s="87">
        <v>3.2462102555468895</v>
      </c>
      <c r="J14" s="87">
        <v>3.3593000359520988</v>
      </c>
      <c r="K14" s="87">
        <v>2.932531490710057</v>
      </c>
      <c r="L14" s="87">
        <v>3.1896018828684554</v>
      </c>
      <c r="M14" s="87">
        <v>3.4973299636974615</v>
      </c>
      <c r="N14" s="87">
        <v>3.4728778884263281</v>
      </c>
      <c r="O14" s="87">
        <v>3.3162493100653281</v>
      </c>
      <c r="P14" s="87">
        <v>2.9556627139457285</v>
      </c>
      <c r="Q14" s="87">
        <v>2.9953777953810716</v>
      </c>
      <c r="R14" s="87">
        <v>2.7213436424225796</v>
      </c>
      <c r="S14" s="87">
        <v>3.4363447336054698</v>
      </c>
      <c r="T14" s="87">
        <v>3.7276816841463756</v>
      </c>
      <c r="U14" s="87">
        <v>3.8555012736693697</v>
      </c>
      <c r="V14" s="87">
        <v>3.0984578386218278</v>
      </c>
      <c r="W14" s="87">
        <v>3.9125780968242481</v>
      </c>
      <c r="DA14" s="171" t="s">
        <v>1106</v>
      </c>
    </row>
    <row r="15" spans="1:105" ht="11.45" customHeight="1" x14ac:dyDescent="0.25">
      <c r="A15" s="111" t="s">
        <v>93</v>
      </c>
      <c r="B15" s="87">
        <v>0.60189165950128976</v>
      </c>
      <c r="C15" s="87">
        <v>0.51590713671539123</v>
      </c>
      <c r="D15" s="87">
        <v>0.51590713671539123</v>
      </c>
      <c r="E15" s="87">
        <v>0.60189165950128976</v>
      </c>
      <c r="F15" s="87">
        <v>0.68787618228718828</v>
      </c>
      <c r="G15" s="87">
        <v>0.68787618228718828</v>
      </c>
      <c r="H15" s="87">
        <v>0.68787618228718828</v>
      </c>
      <c r="I15" s="87">
        <v>0.68787618228718828</v>
      </c>
      <c r="J15" s="87">
        <v>0.85984522785898532</v>
      </c>
      <c r="K15" s="87">
        <v>0.94582975064488384</v>
      </c>
      <c r="L15" s="87">
        <v>0.94582975064488384</v>
      </c>
      <c r="M15" s="87">
        <v>0.85984522785898532</v>
      </c>
      <c r="N15" s="87">
        <v>0.94582975064488384</v>
      </c>
      <c r="O15" s="87">
        <v>0.85984522785898532</v>
      </c>
      <c r="P15" s="87">
        <v>0.94582975064488384</v>
      </c>
      <c r="Q15" s="87">
        <v>0.94582975064488384</v>
      </c>
      <c r="R15" s="87">
        <v>1.031814273430782</v>
      </c>
      <c r="S15" s="87">
        <v>1.0060189165950131</v>
      </c>
      <c r="T15" s="87">
        <v>1.4273430782459162</v>
      </c>
      <c r="U15" s="87">
        <v>1.2897678417884779</v>
      </c>
      <c r="V15" s="87">
        <v>1.1521926053310401</v>
      </c>
      <c r="W15" s="87">
        <v>1.040412725709372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61.906393737636378</v>
      </c>
      <c r="C17" s="29">
        <f t="shared" si="13"/>
        <v>54.829632116121125</v>
      </c>
      <c r="D17" s="29">
        <f t="shared" si="13"/>
        <v>59.406506745665908</v>
      </c>
      <c r="E17" s="29">
        <f t="shared" si="13"/>
        <v>67.792671387657137</v>
      </c>
      <c r="F17" s="29">
        <f t="shared" si="13"/>
        <v>66.733930789606703</v>
      </c>
      <c r="G17" s="29">
        <f t="shared" si="13"/>
        <v>70.593865265582807</v>
      </c>
      <c r="H17" s="29">
        <f t="shared" si="13"/>
        <v>67.923145314650071</v>
      </c>
      <c r="I17" s="29">
        <f t="shared" si="13"/>
        <v>70.820857672226097</v>
      </c>
      <c r="J17" s="29">
        <f t="shared" si="13"/>
        <v>71.73648672243138</v>
      </c>
      <c r="K17" s="29">
        <f t="shared" si="13"/>
        <v>54.675207116340658</v>
      </c>
      <c r="L17" s="29">
        <f t="shared" si="13"/>
        <v>57.504207231490959</v>
      </c>
      <c r="M17" s="29">
        <f t="shared" si="13"/>
        <v>59.253916811882931</v>
      </c>
      <c r="N17" s="29">
        <f t="shared" si="13"/>
        <v>55.757302679071515</v>
      </c>
      <c r="O17" s="29">
        <f t="shared" si="13"/>
        <v>50.91539299431988</v>
      </c>
      <c r="P17" s="29">
        <f t="shared" si="13"/>
        <v>54.217080192331139</v>
      </c>
      <c r="Q17" s="29">
        <f t="shared" si="13"/>
        <v>49.956814809949975</v>
      </c>
      <c r="R17" s="29">
        <f t="shared" si="13"/>
        <v>49.207117234619552</v>
      </c>
      <c r="S17" s="29">
        <f t="shared" si="13"/>
        <v>52.470448043694617</v>
      </c>
      <c r="T17" s="29">
        <f t="shared" si="13"/>
        <v>59.242653655492468</v>
      </c>
      <c r="U17" s="29">
        <f t="shared" si="13"/>
        <v>53.293853842409746</v>
      </c>
      <c r="V17" s="29">
        <f t="shared" si="13"/>
        <v>52.27428506765505</v>
      </c>
      <c r="W17" s="29">
        <f t="shared" si="13"/>
        <v>50.241334198962505</v>
      </c>
      <c r="DA17" s="173" t="s">
        <v>401</v>
      </c>
    </row>
    <row r="18" spans="1:105" ht="11.45" customHeight="1" x14ac:dyDescent="0.25">
      <c r="A18" s="83" t="s">
        <v>95</v>
      </c>
      <c r="B18" s="87">
        <v>61.906393737636378</v>
      </c>
      <c r="C18" s="87">
        <v>54.829632116121125</v>
      </c>
      <c r="D18" s="87">
        <v>59.406506745665908</v>
      </c>
      <c r="E18" s="87">
        <v>67.792671387657137</v>
      </c>
      <c r="F18" s="87">
        <v>66.733930789606703</v>
      </c>
      <c r="G18" s="87">
        <v>70.593865265582807</v>
      </c>
      <c r="H18" s="87">
        <v>67.923145314650071</v>
      </c>
      <c r="I18" s="87">
        <v>70.820857672226097</v>
      </c>
      <c r="J18" s="87">
        <v>71.73648672243138</v>
      </c>
      <c r="K18" s="87">
        <v>54.675207116340658</v>
      </c>
      <c r="L18" s="87">
        <v>57.504207231490959</v>
      </c>
      <c r="M18" s="87">
        <v>59.253916811882931</v>
      </c>
      <c r="N18" s="87">
        <v>55.757302679071515</v>
      </c>
      <c r="O18" s="87">
        <v>50.91539299431988</v>
      </c>
      <c r="P18" s="87">
        <v>54.217080192331139</v>
      </c>
      <c r="Q18" s="87">
        <v>49.956814809949975</v>
      </c>
      <c r="R18" s="87">
        <v>49.207117234619552</v>
      </c>
      <c r="S18" s="87">
        <v>52.470448043694617</v>
      </c>
      <c r="T18" s="87">
        <v>59.242653655492468</v>
      </c>
      <c r="U18" s="87">
        <v>53.293853842409746</v>
      </c>
      <c r="V18" s="87">
        <v>52.27428506765505</v>
      </c>
      <c r="W18" s="87">
        <v>50.241334198962505</v>
      </c>
      <c r="DA18" s="171" t="s">
        <v>1108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401.58336390237901</v>
      </c>
      <c r="C23" s="62">
        <f>IF(C10=0,0,C10/TrRail_act!C14*100)</f>
        <v>401.76918324683959</v>
      </c>
      <c r="D23" s="62">
        <f>IF(D10=0,0,D10/TrRail_act!D14*100)</f>
        <v>405.59759481964346</v>
      </c>
      <c r="E23" s="62">
        <f>IF(E10=0,0,E10/TrRail_act!E14*100)</f>
        <v>413.61984946615814</v>
      </c>
      <c r="F23" s="62">
        <f>IF(F10=0,0,F10/TrRail_act!F14*100)</f>
        <v>409.76567599467916</v>
      </c>
      <c r="G23" s="62">
        <f>IF(G10=0,0,G10/TrRail_act!G14*100)</f>
        <v>426.6073146800573</v>
      </c>
      <c r="H23" s="62">
        <f>IF(H10=0,0,H10/TrRail_act!H14*100)</f>
        <v>426.13620964993333</v>
      </c>
      <c r="I23" s="62">
        <f>IF(I10=0,0,I10/TrRail_act!I14*100)</f>
        <v>426.23019846662106</v>
      </c>
      <c r="J23" s="62">
        <f>IF(J10=0,0,J10/TrRail_act!J14*100)</f>
        <v>402.50485951409132</v>
      </c>
      <c r="K23" s="62">
        <f>IF(K10=0,0,K10/TrRail_act!K14*100)</f>
        <v>395.40921490803794</v>
      </c>
      <c r="L23" s="62">
        <f>IF(L10=0,0,L10/TrRail_act!L14*100)</f>
        <v>391.95841815846768</v>
      </c>
      <c r="M23" s="62">
        <f>IF(M10=0,0,M10/TrRail_act!M14*100)</f>
        <v>374.72395670451658</v>
      </c>
      <c r="N23" s="62">
        <f>IF(N10=0,0,N10/TrRail_act!N14*100)</f>
        <v>370.36554522140386</v>
      </c>
      <c r="O23" s="62">
        <f>IF(O10=0,0,O10/TrRail_act!O14*100)</f>
        <v>362.92355868443053</v>
      </c>
      <c r="P23" s="62">
        <f>IF(P10=0,0,P10/TrRail_act!P14*100)</f>
        <v>360.9570263869731</v>
      </c>
      <c r="Q23" s="62">
        <f>IF(Q10=0,0,Q10/TrRail_act!Q14*100)</f>
        <v>354.73333729891306</v>
      </c>
      <c r="R23" s="62">
        <f>IF(R10=0,0,R10/TrRail_act!R14*100)</f>
        <v>353.4687830323528</v>
      </c>
      <c r="S23" s="62">
        <f>IF(S10=0,0,S10/TrRail_act!S14*100)</f>
        <v>350.44999989335463</v>
      </c>
      <c r="T23" s="62">
        <f>IF(T10=0,0,T10/TrRail_act!T14*100)</f>
        <v>347.58170031013202</v>
      </c>
      <c r="U23" s="62">
        <f>IF(U10=0,0,U10/TrRail_act!U14*100)</f>
        <v>344.27558891073988</v>
      </c>
      <c r="V23" s="62">
        <f>IF(V10=0,0,V10/TrRail_act!V14*100)</f>
        <v>348.72778828573388</v>
      </c>
      <c r="W23" s="62">
        <f>IF(W10=0,0,W10/TrRail_act!W14*100)</f>
        <v>343.84818863682352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215.41292820164691</v>
      </c>
      <c r="C24" s="29">
        <f>IF(C11=0,0,C11/TrRail_act!C15*100)</f>
        <v>215.50821845684234</v>
      </c>
      <c r="D24" s="29">
        <f>IF(D11=0,0,D11/TrRail_act!D15*100)</f>
        <v>212.87788150019432</v>
      </c>
      <c r="E24" s="29">
        <f>IF(E11=0,0,E11/TrRail_act!E15*100)</f>
        <v>209.46784344820045</v>
      </c>
      <c r="F24" s="29">
        <f>IF(F11=0,0,F11/TrRail_act!F15*100)</f>
        <v>208.51667686118458</v>
      </c>
      <c r="G24" s="29">
        <f>IF(G11=0,0,G11/TrRail_act!G15*100)</f>
        <v>202.72799717731988</v>
      </c>
      <c r="H24" s="29">
        <f>IF(H11=0,0,H11/TrRail_act!H15*100)</f>
        <v>199.26883186639876</v>
      </c>
      <c r="I24" s="29">
        <f>IF(I11=0,0,I11/TrRail_act!I15*100)</f>
        <v>198.92285703631254</v>
      </c>
      <c r="J24" s="29">
        <f>IF(J11=0,0,J11/TrRail_act!J15*100)</f>
        <v>189.91976157888848</v>
      </c>
      <c r="K24" s="29">
        <f>IF(K11=0,0,K11/TrRail_act!K15*100)</f>
        <v>185.60598403347501</v>
      </c>
      <c r="L24" s="29">
        <f>IF(L11=0,0,L11/TrRail_act!L15*100)</f>
        <v>184.24106653996319</v>
      </c>
      <c r="M24" s="29">
        <f>IF(M11=0,0,M11/TrRail_act!M15*100)</f>
        <v>183.37118815244682</v>
      </c>
      <c r="N24" s="29">
        <f>IF(N11=0,0,N11/TrRail_act!N15*100)</f>
        <v>179.04729019031655</v>
      </c>
      <c r="O24" s="29">
        <f>IF(O11=0,0,O11/TrRail_act!O15*100)</f>
        <v>174.80437476830156</v>
      </c>
      <c r="P24" s="29">
        <f>IF(P11=0,0,P11/TrRail_act!P15*100)</f>
        <v>170.38719860752622</v>
      </c>
      <c r="Q24" s="29">
        <f>IF(Q11=0,0,Q11/TrRail_act!Q15*100)</f>
        <v>169.33233894964783</v>
      </c>
      <c r="R24" s="29">
        <f>IF(R11=0,0,R11/TrRail_act!R15*100)</f>
        <v>165.43981364317207</v>
      </c>
      <c r="S24" s="29">
        <f>IF(S11=0,0,S11/TrRail_act!S15*100)</f>
        <v>167.67530250146046</v>
      </c>
      <c r="T24" s="29">
        <f>IF(T11=0,0,T11/TrRail_act!T15*100)</f>
        <v>163.40343780212504</v>
      </c>
      <c r="U24" s="29">
        <f>IF(U11=0,0,U11/TrRail_act!U15*100)</f>
        <v>164.55930544757763</v>
      </c>
      <c r="V24" s="29">
        <f>IF(V11=0,0,V11/TrRail_act!V15*100)</f>
        <v>162.72950939140961</v>
      </c>
      <c r="W24" s="29">
        <f>IF(W11=0,0,W11/TrRail_act!W15*100)</f>
        <v>166.54916992666148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0</v>
      </c>
      <c r="U25" s="115">
        <f>IF(U12=0,0,U12/TrRail_act!U16*100)</f>
        <v>0</v>
      </c>
      <c r="V25" s="115">
        <f>IF(V12=0,0,V12/TrRail_act!V16*100)</f>
        <v>0</v>
      </c>
      <c r="W25" s="115">
        <f>IF(W12=0,0,W12/TrRail_act!W16*100)</f>
        <v>0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215.41292820164691</v>
      </c>
      <c r="C26" s="116">
        <f>IF(C13=0,0,C13/TrRail_act!C17*100)</f>
        <v>215.50821845684234</v>
      </c>
      <c r="D26" s="116">
        <f>IF(D13=0,0,D13/TrRail_act!D17*100)</f>
        <v>212.87788150019432</v>
      </c>
      <c r="E26" s="116">
        <f>IF(E13=0,0,E13/TrRail_act!E17*100)</f>
        <v>209.46784344820045</v>
      </c>
      <c r="F26" s="116">
        <f>IF(F13=0,0,F13/TrRail_act!F17*100)</f>
        <v>208.51667686118458</v>
      </c>
      <c r="G26" s="116">
        <f>IF(G13=0,0,G13/TrRail_act!G17*100)</f>
        <v>202.72799717731988</v>
      </c>
      <c r="H26" s="116">
        <f>IF(H13=0,0,H13/TrRail_act!H17*100)</f>
        <v>199.26883186639876</v>
      </c>
      <c r="I26" s="116">
        <f>IF(I13=0,0,I13/TrRail_act!I17*100)</f>
        <v>198.92285703631254</v>
      </c>
      <c r="J26" s="116">
        <f>IF(J13=0,0,J13/TrRail_act!J17*100)</f>
        <v>189.91976157888848</v>
      </c>
      <c r="K26" s="116">
        <f>IF(K13=0,0,K13/TrRail_act!K17*100)</f>
        <v>185.60598403347501</v>
      </c>
      <c r="L26" s="116">
        <f>IF(L13=0,0,L13/TrRail_act!L17*100)</f>
        <v>184.24106653996319</v>
      </c>
      <c r="M26" s="116">
        <f>IF(M13=0,0,M13/TrRail_act!M17*100)</f>
        <v>183.37118815244682</v>
      </c>
      <c r="N26" s="116">
        <f>IF(N13=0,0,N13/TrRail_act!N17*100)</f>
        <v>179.04729019031655</v>
      </c>
      <c r="O26" s="116">
        <f>IF(O13=0,0,O13/TrRail_act!O17*100)</f>
        <v>174.80437476830156</v>
      </c>
      <c r="P26" s="116">
        <f>IF(P13=0,0,P13/TrRail_act!P17*100)</f>
        <v>170.38719860752622</v>
      </c>
      <c r="Q26" s="116">
        <f>IF(Q13=0,0,Q13/TrRail_act!Q17*100)</f>
        <v>169.33233894964783</v>
      </c>
      <c r="R26" s="116">
        <f>IF(R13=0,0,R13/TrRail_act!R17*100)</f>
        <v>165.43981364317207</v>
      </c>
      <c r="S26" s="116">
        <f>IF(S13=0,0,S13/TrRail_act!S17*100)</f>
        <v>167.67530250146046</v>
      </c>
      <c r="T26" s="116">
        <f>IF(T13=0,0,T13/TrRail_act!T17*100)</f>
        <v>163.40343780212504</v>
      </c>
      <c r="U26" s="116">
        <f>IF(U13=0,0,U13/TrRail_act!U17*100)</f>
        <v>164.55930544757763</v>
      </c>
      <c r="V26" s="116">
        <f>IF(V13=0,0,V13/TrRail_act!V17*100)</f>
        <v>162.72950939140961</v>
      </c>
      <c r="W26" s="116">
        <f>IF(W13=0,0,W13/TrRail_act!W17*100)</f>
        <v>166.54916992666148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220.68227359959832</v>
      </c>
      <c r="C27" s="87">
        <f>IF(C14=0,0,C14/TrRail_act!C18*100)</f>
        <v>220.66741861439181</v>
      </c>
      <c r="D27" s="87">
        <f>IF(D14=0,0,D14/TrRail_act!D18*100)</f>
        <v>218.29395415048842</v>
      </c>
      <c r="E27" s="87">
        <f>IF(E14=0,0,E14/TrRail_act!E18*100)</f>
        <v>216.51583833752062</v>
      </c>
      <c r="F27" s="87">
        <f>IF(F14=0,0,F14/TrRail_act!F18*100)</f>
        <v>216.60672190183377</v>
      </c>
      <c r="G27" s="87">
        <f>IF(G14=0,0,G14/TrRail_act!G18*100)</f>
        <v>214.7137936570399</v>
      </c>
      <c r="H27" s="87">
        <f>IF(H14=0,0,H14/TrRail_act!H18*100)</f>
        <v>211.52882931483239</v>
      </c>
      <c r="I27" s="87">
        <f>IF(I14=0,0,I14/TrRail_act!I18*100)</f>
        <v>213.31040022532162</v>
      </c>
      <c r="J27" s="87">
        <f>IF(J14=0,0,J14/TrRail_act!J18*100)</f>
        <v>207.33965331933101</v>
      </c>
      <c r="K27" s="87">
        <f>IF(K14=0,0,K14/TrRail_act!K18*100)</f>
        <v>206.12102168904133</v>
      </c>
      <c r="L27" s="87">
        <f>IF(L14=0,0,L14/TrRail_act!L18*100)</f>
        <v>202.49933228991438</v>
      </c>
      <c r="M27" s="87">
        <f>IF(M14=0,0,M14/TrRail_act!M18*100)</f>
        <v>200.07898074147857</v>
      </c>
      <c r="N27" s="87">
        <f>IF(N14=0,0,N14/TrRail_act!N18*100)</f>
        <v>196.11808970165086</v>
      </c>
      <c r="O27" s="87">
        <f>IF(O14=0,0,O14/TrRail_act!O18*100)</f>
        <v>189.96241231238719</v>
      </c>
      <c r="P27" s="87">
        <f>IF(P14=0,0,P14/TrRail_act!P18*100)</f>
        <v>189.10825111430424</v>
      </c>
      <c r="Q27" s="87">
        <f>IF(Q14=0,0,Q14/TrRail_act!Q18*100)</f>
        <v>188.11779601236626</v>
      </c>
      <c r="R27" s="87">
        <f>IF(R14=0,0,R14/TrRail_act!R18*100)</f>
        <v>186.4414680896129</v>
      </c>
      <c r="S27" s="87">
        <f>IF(S14=0,0,S14/TrRail_act!S18*100)</f>
        <v>185.19403339526562</v>
      </c>
      <c r="T27" s="87">
        <f>IF(T14=0,0,T14/TrRail_act!T18*100)</f>
        <v>184.26393725682374</v>
      </c>
      <c r="U27" s="87">
        <f>IF(U14=0,0,U14/TrRail_act!U18*100)</f>
        <v>183.56943197500627</v>
      </c>
      <c r="V27" s="87">
        <f>IF(V14=0,0,V14/TrRail_act!V18*100)</f>
        <v>183.05027126057112</v>
      </c>
      <c r="W27" s="87">
        <f>IF(W14=0,0,W14/TrRail_act!W18*100)</f>
        <v>182.6618646553969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155.91912311401904</v>
      </c>
      <c r="C28" s="87">
        <f>IF(C15=0,0,C15/TrRail_act!C19*100)</f>
        <v>155.47216787360162</v>
      </c>
      <c r="D28" s="87">
        <f>IF(D15=0,0,D15/TrRail_act!D19*100)</f>
        <v>153.56574498174683</v>
      </c>
      <c r="E28" s="87">
        <f>IF(E15=0,0,E15/TrRail_act!E19*100)</f>
        <v>153.16194762787677</v>
      </c>
      <c r="F28" s="87">
        <f>IF(F15=0,0,F15/TrRail_act!F19*100)</f>
        <v>152.08175234427051</v>
      </c>
      <c r="G28" s="87">
        <f>IF(G15=0,0,G15/TrRail_act!G19*100)</f>
        <v>153.08296321033947</v>
      </c>
      <c r="H28" s="87">
        <f>IF(H15=0,0,H15/TrRail_act!H19*100)</f>
        <v>152.87627494456837</v>
      </c>
      <c r="I28" s="87">
        <f>IF(I15=0,0,I15/TrRail_act!I19*100)</f>
        <v>150.89310216761299</v>
      </c>
      <c r="J28" s="87">
        <f>IF(J15=0,0,J15/TrRail_act!J19*100)</f>
        <v>142.98602057002608</v>
      </c>
      <c r="K28" s="87">
        <f>IF(K15=0,0,K15/TrRail_act!K19*100)</f>
        <v>141.83678304463689</v>
      </c>
      <c r="L28" s="87">
        <f>IF(L15=0,0,L15/TrRail_act!L19*100)</f>
        <v>141.28264965745961</v>
      </c>
      <c r="M28" s="87">
        <f>IF(M15=0,0,M15/TrRail_act!M19*100)</f>
        <v>136.87973760893274</v>
      </c>
      <c r="N28" s="87">
        <f>IF(N15=0,0,N15/TrRail_act!N19*100)</f>
        <v>135.68255011604705</v>
      </c>
      <c r="O28" s="87">
        <f>IF(O15=0,0,O15/TrRail_act!O19*100)</f>
        <v>133.66773752441105</v>
      </c>
      <c r="P28" s="87">
        <f>IF(P15=0,0,P15/TrRail_act!P19*100)</f>
        <v>130.13031396001082</v>
      </c>
      <c r="Q28" s="87">
        <f>IF(Q15=0,0,Q15/TrRail_act!Q19*100)</f>
        <v>128.64755197405702</v>
      </c>
      <c r="R28" s="87">
        <f>IF(R15=0,0,R15/TrRail_act!R19*100)</f>
        <v>127.54657999550479</v>
      </c>
      <c r="S28" s="87">
        <f>IF(S15=0,0,S15/TrRail_act!S19*100)</f>
        <v>126.7270370016109</v>
      </c>
      <c r="T28" s="87">
        <f>IF(T15=0,0,T15/TrRail_act!T19*100)</f>
        <v>126.11583777887934</v>
      </c>
      <c r="U28" s="87">
        <f>IF(U15=0,0,U15/TrRail_act!U19*100)</f>
        <v>125.65937359941219</v>
      </c>
      <c r="V28" s="87">
        <f>IF(V15=0,0,V15/TrRail_act!V19*100)</f>
        <v>125.31810999942338</v>
      </c>
      <c r="W28" s="87">
        <f>IF(W15=0,0,W15/TrRail_act!W19*100)</f>
        <v>125.06277358251646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468.41754036626043</v>
      </c>
      <c r="C30" s="29">
        <f>IF(C17=0,0,C17/TrRail_act!C21*100)</f>
        <v>468.50755000450857</v>
      </c>
      <c r="D30" s="29">
        <f>IF(D17=0,0,D17/TrRail_act!D21*100)</f>
        <v>466.33824790290419</v>
      </c>
      <c r="E30" s="29">
        <f>IF(E17=0,0,E17/TrRail_act!E21*100)</f>
        <v>462.85699801555927</v>
      </c>
      <c r="F30" s="29">
        <f>IF(F17=0,0,F17/TrRail_act!F21*100)</f>
        <v>459.78681399081233</v>
      </c>
      <c r="G30" s="29">
        <f>IF(G17=0,0,G17/TrRail_act!G21*100)</f>
        <v>460.33910686180218</v>
      </c>
      <c r="H30" s="29">
        <f>IF(H17=0,0,H17/TrRail_act!H21*100)</f>
        <v>459.14837778156834</v>
      </c>
      <c r="I30" s="29">
        <f>IF(I17=0,0,I17/TrRail_act!I21*100)</f>
        <v>455.11949232499467</v>
      </c>
      <c r="J30" s="29">
        <f>IF(J17=0,0,J17/TrRail_act!J21*100)</f>
        <v>430.87058407100824</v>
      </c>
      <c r="K30" s="29">
        <f>IF(K17=0,0,K17/TrRail_act!K21*100)</f>
        <v>429.87776378474251</v>
      </c>
      <c r="L30" s="29">
        <f>IF(L17=0,0,L17/TrRail_act!L21*100)</f>
        <v>426.54194733570739</v>
      </c>
      <c r="M30" s="29">
        <f>IF(M17=0,0,M17/TrRail_act!M21*100)</f>
        <v>405.86811082848919</v>
      </c>
      <c r="N30" s="29">
        <f>IF(N17=0,0,N17/TrRail_act!N21*100)</f>
        <v>404.62969172443559</v>
      </c>
      <c r="O30" s="29">
        <f>IF(O17=0,0,O17/TrRail_act!O21*100)</f>
        <v>398.059358921372</v>
      </c>
      <c r="P30" s="29">
        <f>IF(P17=0,0,P17/TrRail_act!P21*100)</f>
        <v>392.55128979446499</v>
      </c>
      <c r="Q30" s="29">
        <f>IF(Q17=0,0,Q17/TrRail_act!Q21*100)</f>
        <v>388.27175126438829</v>
      </c>
      <c r="R30" s="29">
        <f>IF(R17=0,0,R17/TrRail_act!R21*100)</f>
        <v>387.01820506503179</v>
      </c>
      <c r="S30" s="29">
        <f>IF(S17=0,0,S17/TrRail_act!S21*100)</f>
        <v>386.08070409770534</v>
      </c>
      <c r="T30" s="29">
        <f>IF(T17=0,0,T17/TrRail_act!T21*100)</f>
        <v>385.37906810774138</v>
      </c>
      <c r="U30" s="29">
        <f>IF(U17=0,0,U17/TrRail_act!U21*100)</f>
        <v>384.8536781557159</v>
      </c>
      <c r="V30" s="29">
        <f>IF(V17=0,0,V17/TrRail_act!V21*100)</f>
        <v>384.46010553784458</v>
      </c>
      <c r="W30" s="29">
        <f>IF(W17=0,0,W17/TrRail_act!W21*100)</f>
        <v>384.16519056071724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468.41754036626043</v>
      </c>
      <c r="C31" s="87">
        <f>IF(C18=0,0,C18/TrRail_act!C22*100)</f>
        <v>468.50755000450857</v>
      </c>
      <c r="D31" s="87">
        <f>IF(D18=0,0,D18/TrRail_act!D22*100)</f>
        <v>466.33824790290419</v>
      </c>
      <c r="E31" s="87">
        <f>IF(E18=0,0,E18/TrRail_act!E22*100)</f>
        <v>462.85699801555927</v>
      </c>
      <c r="F31" s="87">
        <f>IF(F18=0,0,F18/TrRail_act!F22*100)</f>
        <v>459.78681399081233</v>
      </c>
      <c r="G31" s="87">
        <f>IF(G18=0,0,G18/TrRail_act!G22*100)</f>
        <v>460.33910686180218</v>
      </c>
      <c r="H31" s="87">
        <f>IF(H18=0,0,H18/TrRail_act!H22*100)</f>
        <v>459.14837778156834</v>
      </c>
      <c r="I31" s="87">
        <f>IF(I18=0,0,I18/TrRail_act!I22*100)</f>
        <v>455.11949232499467</v>
      </c>
      <c r="J31" s="87">
        <f>IF(J18=0,0,J18/TrRail_act!J22*100)</f>
        <v>430.87058407100824</v>
      </c>
      <c r="K31" s="87">
        <f>IF(K18=0,0,K18/TrRail_act!K22*100)</f>
        <v>429.87776378474251</v>
      </c>
      <c r="L31" s="87">
        <f>IF(L18=0,0,L18/TrRail_act!L22*100)</f>
        <v>426.54194733570739</v>
      </c>
      <c r="M31" s="87">
        <f>IF(M18=0,0,M18/TrRail_act!M22*100)</f>
        <v>405.86811082848919</v>
      </c>
      <c r="N31" s="87">
        <f>IF(N18=0,0,N18/TrRail_act!N22*100)</f>
        <v>404.62969172443559</v>
      </c>
      <c r="O31" s="87">
        <f>IF(O18=0,0,O18/TrRail_act!O22*100)</f>
        <v>398.059358921372</v>
      </c>
      <c r="P31" s="87">
        <f>IF(P18=0,0,P18/TrRail_act!P22*100)</f>
        <v>392.55128979446499</v>
      </c>
      <c r="Q31" s="87">
        <f>IF(Q18=0,0,Q18/TrRail_act!Q22*100)</f>
        <v>388.27175126438829</v>
      </c>
      <c r="R31" s="87">
        <f>IF(R18=0,0,R18/TrRail_act!R22*100)</f>
        <v>387.01820506503179</v>
      </c>
      <c r="S31" s="87">
        <f>IF(S18=0,0,S18/TrRail_act!S22*100)</f>
        <v>386.08070409770534</v>
      </c>
      <c r="T31" s="87">
        <f>IF(T18=0,0,T18/TrRail_act!T22*100)</f>
        <v>385.37906810774138</v>
      </c>
      <c r="U31" s="87">
        <f>IF(U18=0,0,U18/TrRail_act!U22*100)</f>
        <v>384.8536781557159</v>
      </c>
      <c r="V31" s="87">
        <f>IF(V18=0,0,V18/TrRail_act!V22*100)</f>
        <v>384.46010553784458</v>
      </c>
      <c r="W31" s="87">
        <f>IF(W18=0,0,W18/TrRail_act!W22*100)</f>
        <v>384.16519056071724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16.727105506427566</v>
      </c>
      <c r="C35" s="29">
        <f>IF(C11=0,0,C11/TrRail_act!C4*1000)</f>
        <v>16.954660262649863</v>
      </c>
      <c r="D35" s="29">
        <f>IF(D11=0,0,D11/TrRail_act!D4*1000)</f>
        <v>17.162774321344795</v>
      </c>
      <c r="E35" s="29">
        <f>IF(E11=0,0,E11/TrRail_act!E4*1000)</f>
        <v>17.128083453064271</v>
      </c>
      <c r="F35" s="29">
        <f>IF(F11=0,0,F11/TrRail_act!F4*1000)</f>
        <v>16.942124072737137</v>
      </c>
      <c r="G35" s="29">
        <f>IF(G11=0,0,G11/TrRail_act!G4*1000)</f>
        <v>16.729009630657114</v>
      </c>
      <c r="H35" s="29">
        <f>IF(H11=0,0,H11/TrRail_act!H4*1000)</f>
        <v>16.005576157460624</v>
      </c>
      <c r="I35" s="29">
        <f>IF(I11=0,0,I11/TrRail_act!I4*1000)</f>
        <v>15.992221292008447</v>
      </c>
      <c r="J35" s="29">
        <f>IF(J11=0,0,J11/TrRail_act!J4*1000)</f>
        <v>16.353276216322033</v>
      </c>
      <c r="K35" s="29">
        <f>IF(K11=0,0,K11/TrRail_act!K4*1000)</f>
        <v>16.789442603268142</v>
      </c>
      <c r="L35" s="29">
        <f>IF(L11=0,0,L11/TrRail_act!L4*1000)</f>
        <v>16.948490301284178</v>
      </c>
      <c r="M35" s="29">
        <f>IF(M11=0,0,M11/TrRail_act!M4*1000)</f>
        <v>16.1976772920314</v>
      </c>
      <c r="N35" s="29">
        <f>IF(N11=0,0,N11/TrRail_act!N4*1000)</f>
        <v>15.894631795220183</v>
      </c>
      <c r="O35" s="29">
        <f>IF(O11=0,0,O11/TrRail_act!O4*1000)</f>
        <v>15.021922798288895</v>
      </c>
      <c r="P35" s="29">
        <f>IF(P11=0,0,P11/TrRail_act!P4*1000)</f>
        <v>14.449972091076344</v>
      </c>
      <c r="Q35" s="29">
        <f>IF(Q11=0,0,Q11/TrRail_act!Q4*1000)</f>
        <v>15.042776893228837</v>
      </c>
      <c r="R35" s="29">
        <f>IF(R11=0,0,R11/TrRail_act!R4*1000)</f>
        <v>13.404135413762006</v>
      </c>
      <c r="S35" s="29">
        <f>IF(S11=0,0,S11/TrRail_act!S4*1000)</f>
        <v>14.102741746668199</v>
      </c>
      <c r="T35" s="29">
        <f>IF(T11=0,0,T11/TrRail_act!T4*1000)</f>
        <v>14.562216842916078</v>
      </c>
      <c r="U35" s="29">
        <f>IF(U11=0,0,U11/TrRail_act!U4*1000)</f>
        <v>14.332225948350549</v>
      </c>
      <c r="V35" s="29">
        <f>IF(V11=0,0,V11/TrRail_act!V4*1000)</f>
        <v>17.9352339407294</v>
      </c>
      <c r="W35" s="29">
        <f>IF(W11=0,0,W11/TrRail_act!W4*1000)</f>
        <v>17.257807744019583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0</v>
      </c>
      <c r="U36" s="115">
        <f>IF(U12=0,0,U12/TrRail_act!U5*1000)</f>
        <v>0</v>
      </c>
      <c r="V36" s="115">
        <f>IF(V12=0,0,V12/TrRail_act!V5*1000)</f>
        <v>0</v>
      </c>
      <c r="W36" s="115">
        <f>IF(W12=0,0,W12/TrRail_act!W5*1000)</f>
        <v>0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16.727105506427566</v>
      </c>
      <c r="C37" s="116">
        <f>IF(C13=0,0,C13/TrRail_act!C6*1000)</f>
        <v>16.954660262649863</v>
      </c>
      <c r="D37" s="116">
        <f>IF(D13=0,0,D13/TrRail_act!D6*1000)</f>
        <v>17.162774321344795</v>
      </c>
      <c r="E37" s="116">
        <f>IF(E13=0,0,E13/TrRail_act!E6*1000)</f>
        <v>17.128083453064271</v>
      </c>
      <c r="F37" s="116">
        <f>IF(F13=0,0,F13/TrRail_act!F6*1000)</f>
        <v>16.942124072737137</v>
      </c>
      <c r="G37" s="116">
        <f>IF(G13=0,0,G13/TrRail_act!G6*1000)</f>
        <v>16.729009630657114</v>
      </c>
      <c r="H37" s="116">
        <f>IF(H13=0,0,H13/TrRail_act!H6*1000)</f>
        <v>16.005576157460624</v>
      </c>
      <c r="I37" s="116">
        <f>IF(I13=0,0,I13/TrRail_act!I6*1000)</f>
        <v>15.992221292008447</v>
      </c>
      <c r="J37" s="116">
        <f>IF(J13=0,0,J13/TrRail_act!J6*1000)</f>
        <v>16.353276216322033</v>
      </c>
      <c r="K37" s="116">
        <f>IF(K13=0,0,K13/TrRail_act!K6*1000)</f>
        <v>16.789442603268142</v>
      </c>
      <c r="L37" s="116">
        <f>IF(L13=0,0,L13/TrRail_act!L6*1000)</f>
        <v>16.948490301284178</v>
      </c>
      <c r="M37" s="116">
        <f>IF(M13=0,0,M13/TrRail_act!M6*1000)</f>
        <v>16.1976772920314</v>
      </c>
      <c r="N37" s="116">
        <f>IF(N13=0,0,N13/TrRail_act!N6*1000)</f>
        <v>15.894631795220183</v>
      </c>
      <c r="O37" s="116">
        <f>IF(O13=0,0,O13/TrRail_act!O6*1000)</f>
        <v>15.021922798288895</v>
      </c>
      <c r="P37" s="116">
        <f>IF(P13=0,0,P13/TrRail_act!P6*1000)</f>
        <v>14.449972091076344</v>
      </c>
      <c r="Q37" s="116">
        <f>IF(Q13=0,0,Q13/TrRail_act!Q6*1000)</f>
        <v>15.042776893228837</v>
      </c>
      <c r="R37" s="116">
        <f>IF(R13=0,0,R13/TrRail_act!R6*1000)</f>
        <v>13.404135413762006</v>
      </c>
      <c r="S37" s="116">
        <f>IF(S13=0,0,S13/TrRail_act!S6*1000)</f>
        <v>14.102741746668199</v>
      </c>
      <c r="T37" s="116">
        <f>IF(T13=0,0,T13/TrRail_act!T6*1000)</f>
        <v>14.562216842916078</v>
      </c>
      <c r="U37" s="116">
        <f>IF(U13=0,0,U13/TrRail_act!U6*1000)</f>
        <v>14.332225948350549</v>
      </c>
      <c r="V37" s="116">
        <f>IF(V13=0,0,V13/TrRail_act!V6*1000)</f>
        <v>17.9352339407294</v>
      </c>
      <c r="W37" s="116">
        <f>IF(W13=0,0,W13/TrRail_act!W6*1000)</f>
        <v>17.257807744019583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17.511205930646248</v>
      </c>
      <c r="C38" s="87">
        <f>IF(C14=0,0,C14/TrRail_act!C7*1000)</f>
        <v>17.705149682750456</v>
      </c>
      <c r="D38" s="87">
        <f>IF(D14=0,0,D14/TrRail_act!D7*1000)</f>
        <v>18.022371464263653</v>
      </c>
      <c r="E38" s="87">
        <f>IF(E14=0,0,E14/TrRail_act!E7*1000)</f>
        <v>18.267062313562462</v>
      </c>
      <c r="F38" s="87">
        <f>IF(F14=0,0,F14/TrRail_act!F7*1000)</f>
        <v>18.333375984314408</v>
      </c>
      <c r="G38" s="87">
        <f>IF(G14=0,0,G14/TrRail_act!G7*1000)</f>
        <v>18.140699346696397</v>
      </c>
      <c r="H38" s="87">
        <f>IF(H14=0,0,H14/TrRail_act!H7*1000)</f>
        <v>17.370694447082879</v>
      </c>
      <c r="I38" s="87">
        <f>IF(I14=0,0,I14/TrRail_act!I7*1000)</f>
        <v>17.762365668348433</v>
      </c>
      <c r="J38" s="87">
        <f>IF(J14=0,0,J14/TrRail_act!J7*1000)</f>
        <v>17.729575297457611</v>
      </c>
      <c r="K38" s="87">
        <f>IF(K14=0,0,K14/TrRail_act!K7*1000)</f>
        <v>18.291388650637145</v>
      </c>
      <c r="L38" s="87">
        <f>IF(L14=0,0,L14/TrRail_act!L7*1000)</f>
        <v>18.196571998855472</v>
      </c>
      <c r="M38" s="87">
        <f>IF(M14=0,0,M14/TrRail_act!M7*1000)</f>
        <v>18.025700237598759</v>
      </c>
      <c r="N38" s="87">
        <f>IF(N14=0,0,N14/TrRail_act!N7*1000)</f>
        <v>17.468692391038385</v>
      </c>
      <c r="O38" s="87">
        <f>IF(O14=0,0,O14/TrRail_act!O7*1000)</f>
        <v>16.848782339245055</v>
      </c>
      <c r="P38" s="87">
        <f>IF(P14=0,0,P14/TrRail_act!P7*1000)</f>
        <v>16.611775148705146</v>
      </c>
      <c r="Q38" s="87">
        <f>IF(Q14=0,0,Q14/TrRail_act!Q7*1000)</f>
        <v>16.566900278636176</v>
      </c>
      <c r="R38" s="87">
        <f>IF(R14=0,0,R14/TrRail_act!R7*1000)</f>
        <v>14.002730837355911</v>
      </c>
      <c r="S38" s="87">
        <f>IF(S14=0,0,S14/TrRail_act!S7*1000)</f>
        <v>15.104209952264419</v>
      </c>
      <c r="T38" s="87">
        <f>IF(T14=0,0,T14/TrRail_act!T7*1000)</f>
        <v>14.859068263024486</v>
      </c>
      <c r="U38" s="87">
        <f>IF(U14=0,0,U14/TrRail_act!U7*1000)</f>
        <v>14.652784688661816</v>
      </c>
      <c r="V38" s="87">
        <f>IF(V14=0,0,V14/TrRail_act!V7*1000)</f>
        <v>17.504352329340964</v>
      </c>
      <c r="W38" s="87">
        <f>IF(W14=0,0,W14/TrRail_act!W7*1000)</f>
        <v>18.13108154015665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9.7502986790149926</v>
      </c>
      <c r="C39" s="87">
        <f>IF(C15=0,0,C15/TrRail_act!C8*1000)</f>
        <v>9.9727411204829526</v>
      </c>
      <c r="D39" s="87">
        <f>IF(D15=0,0,D15/TrRail_act!D8*1000)</f>
        <v>9.8495793341840958</v>
      </c>
      <c r="E39" s="87">
        <f>IF(E15=0,0,E15/TrRail_act!E8*1000)</f>
        <v>10.050722761982584</v>
      </c>
      <c r="F39" s="87">
        <f>IF(F15=0,0,F15/TrRail_act!F8*1000)</f>
        <v>9.6592904834145923</v>
      </c>
      <c r="G39" s="87">
        <f>IF(G15=0,0,G15/TrRail_act!G8*1000)</f>
        <v>11.520623222134516</v>
      </c>
      <c r="H39" s="87">
        <f>IF(H15=0,0,H15/TrRail_act!H8*1000)</f>
        <v>11.339632520347241</v>
      </c>
      <c r="I39" s="87">
        <f>IF(I15=0,0,I15/TrRail_act!I8*1000)</f>
        <v>10.876848126566635</v>
      </c>
      <c r="J39" s="87">
        <f>IF(J15=0,0,J15/TrRail_act!J8*1000)</f>
        <v>12.547789426477406</v>
      </c>
      <c r="K39" s="87">
        <f>IF(K15=0,0,K15/TrRail_act!K8*1000)</f>
        <v>13.382438698156248</v>
      </c>
      <c r="L39" s="87">
        <f>IF(L15=0,0,L15/TrRail_act!L8*1000)</f>
        <v>13.764704536913628</v>
      </c>
      <c r="M39" s="87">
        <f>IF(M15=0,0,M15/TrRail_act!M8*1000)</f>
        <v>11.467521963966078</v>
      </c>
      <c r="N39" s="87">
        <f>IF(N15=0,0,N15/TrRail_act!N8*1000)</f>
        <v>11.94317396969265</v>
      </c>
      <c r="O39" s="87">
        <f>IF(O15=0,0,O15/TrRail_act!O8*1000)</f>
        <v>10.592393121074364</v>
      </c>
      <c r="P39" s="87">
        <f>IF(P15=0,0,P15/TrRail_act!P8*1000)</f>
        <v>10.272468694426427</v>
      </c>
      <c r="Q39" s="87">
        <f>IF(Q15=0,0,Q15/TrRail_act!Q8*1000)</f>
        <v>11.64886165505539</v>
      </c>
      <c r="R39" s="87">
        <f>IF(R15=0,0,R15/TrRail_act!R8*1000)</f>
        <v>12.045993559321154</v>
      </c>
      <c r="S39" s="87">
        <f>IF(S15=0,0,S15/TrRail_act!S8*1000)</f>
        <v>11.498550729951763</v>
      </c>
      <c r="T39" s="87">
        <f>IF(T15=0,0,T15/TrRail_act!T8*1000)</f>
        <v>13.840116193263157</v>
      </c>
      <c r="U39" s="87">
        <f>IF(U15=0,0,U15/TrRail_act!U8*1000)</f>
        <v>13.452476499548572</v>
      </c>
      <c r="V39" s="87">
        <f>IF(V15=0,0,V15/TrRail_act!V8*1000)</f>
        <v>19.206638560059687</v>
      </c>
      <c r="W39" s="87">
        <f>IF(W15=0,0,W15/TrRail_act!W8*1000)</f>
        <v>14.611301186075872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6.9417351129890523</v>
      </c>
      <c r="C41" s="29">
        <f>IF(C17=0,0,C17/TrRail_act!C10*1000)</f>
        <v>7.0830166795144196</v>
      </c>
      <c r="D41" s="29">
        <f>IF(D17=0,0,D17/TrRail_act!D10*1000)</f>
        <v>6.0823698930752457</v>
      </c>
      <c r="E41" s="29">
        <f>IF(E17=0,0,E17/TrRail_act!E10*1000)</f>
        <v>5.9171398610157233</v>
      </c>
      <c r="F41" s="29">
        <f>IF(F17=0,0,F17/TrRail_act!F10*1000)</f>
        <v>5.73463356445877</v>
      </c>
      <c r="G41" s="29">
        <f>IF(G17=0,0,G17/TrRail_act!G10*1000)</f>
        <v>5.6670037140228633</v>
      </c>
      <c r="H41" s="29">
        <f>IF(H17=0,0,H17/TrRail_act!H10*1000)</f>
        <v>5.2669932781211291</v>
      </c>
      <c r="I41" s="29">
        <f>IF(I17=0,0,I17/TrRail_act!I10*1000)</f>
        <v>4.927353904698121</v>
      </c>
      <c r="J41" s="29">
        <f>IF(J17=0,0,J17/TrRail_act!J10*1000)</f>
        <v>4.8641501710354875</v>
      </c>
      <c r="K41" s="29">
        <f>IF(K17=0,0,K17/TrRail_act!K10*1000)</f>
        <v>4.5991930616033532</v>
      </c>
      <c r="L41" s="29">
        <f>IF(L17=0,0,L17/TrRail_act!L10*1000)</f>
        <v>4.2814538925985381</v>
      </c>
      <c r="M41" s="29">
        <f>IF(M17=0,0,M17/TrRail_act!M10*1000)</f>
        <v>3.9272214217843935</v>
      </c>
      <c r="N41" s="29">
        <f>IF(N17=0,0,N17/TrRail_act!N10*1000)</f>
        <v>3.9343284419327906</v>
      </c>
      <c r="O41" s="29">
        <f>IF(O17=0,0,O17/TrRail_act!O10*1000)</f>
        <v>3.8156019929796074</v>
      </c>
      <c r="P41" s="29">
        <f>IF(P17=0,0,P17/TrRail_act!P10*1000)</f>
        <v>3.7895491851772656</v>
      </c>
      <c r="Q41" s="29">
        <f>IF(Q17=0,0,Q17/TrRail_act!Q10*1000)</f>
        <v>3.5591917077479325</v>
      </c>
      <c r="R41" s="29">
        <f>IF(R17=0,0,R17/TrRail_act!R10*1000)</f>
        <v>3.5683188712559502</v>
      </c>
      <c r="S41" s="29">
        <f>IF(S17=0,0,S17/TrRail_act!S10*1000)</f>
        <v>3.4040773351300517</v>
      </c>
      <c r="T41" s="29">
        <f>IF(T17=0,0,T17/TrRail_act!T10*1000)</f>
        <v>3.5085966038195124</v>
      </c>
      <c r="U41" s="29">
        <f>IF(U17=0,0,U17/TrRail_act!U10*1000)</f>
        <v>3.2936069366794229</v>
      </c>
      <c r="V41" s="29">
        <f>IF(V17=0,0,V17/TrRail_act!V10*1000)</f>
        <v>3.2949439059347654</v>
      </c>
      <c r="W41" s="29">
        <f>IF(W17=0,0,W17/TrRail_act!W10*1000)</f>
        <v>3.4492197033476937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6.9417351129890523</v>
      </c>
      <c r="C42" s="87">
        <f>IF(C18=0,0,C18/TrRail_act!C11*1000)</f>
        <v>7.0830166795144196</v>
      </c>
      <c r="D42" s="87">
        <f>IF(D18=0,0,D18/TrRail_act!D11*1000)</f>
        <v>6.0823698930752457</v>
      </c>
      <c r="E42" s="87">
        <f>IF(E18=0,0,E18/TrRail_act!E11*1000)</f>
        <v>5.9171398610157233</v>
      </c>
      <c r="F42" s="87">
        <f>IF(F18=0,0,F18/TrRail_act!F11*1000)</f>
        <v>5.73463356445877</v>
      </c>
      <c r="G42" s="87">
        <f>IF(G18=0,0,G18/TrRail_act!G11*1000)</f>
        <v>5.6670037140228633</v>
      </c>
      <c r="H42" s="87">
        <f>IF(H18=0,0,H18/TrRail_act!H11*1000)</f>
        <v>5.2669932781211291</v>
      </c>
      <c r="I42" s="87">
        <f>IF(I18=0,0,I18/TrRail_act!I11*1000)</f>
        <v>4.927353904698121</v>
      </c>
      <c r="J42" s="87">
        <f>IF(J18=0,0,J18/TrRail_act!J11*1000)</f>
        <v>4.8641501710354875</v>
      </c>
      <c r="K42" s="87">
        <f>IF(K18=0,0,K18/TrRail_act!K11*1000)</f>
        <v>4.5991930616033532</v>
      </c>
      <c r="L42" s="87">
        <f>IF(L18=0,0,L18/TrRail_act!L11*1000)</f>
        <v>4.2814538925985381</v>
      </c>
      <c r="M42" s="87">
        <f>IF(M18=0,0,M18/TrRail_act!M11*1000)</f>
        <v>3.9272214217843935</v>
      </c>
      <c r="N42" s="87">
        <f>IF(N18=0,0,N18/TrRail_act!N11*1000)</f>
        <v>3.9343284419327906</v>
      </c>
      <c r="O42" s="87">
        <f>IF(O18=0,0,O18/TrRail_act!O11*1000)</f>
        <v>3.8156019929796074</v>
      </c>
      <c r="P42" s="87">
        <f>IF(P18=0,0,P18/TrRail_act!P11*1000)</f>
        <v>3.7895491851772656</v>
      </c>
      <c r="Q42" s="87">
        <f>IF(Q18=0,0,Q18/TrRail_act!Q11*1000)</f>
        <v>3.5591917077479325</v>
      </c>
      <c r="R42" s="87">
        <f>IF(R18=0,0,R18/TrRail_act!R11*1000)</f>
        <v>3.5683188712559502</v>
      </c>
      <c r="S42" s="87">
        <f>IF(S18=0,0,S18/TrRail_act!S11*1000)</f>
        <v>3.4040773351300517</v>
      </c>
      <c r="T42" s="87">
        <f>IF(T18=0,0,T18/TrRail_act!T11*1000)</f>
        <v>3.5085966038195124</v>
      </c>
      <c r="U42" s="87">
        <f>IF(U18=0,0,U18/TrRail_act!U11*1000)</f>
        <v>3.2936069366794229</v>
      </c>
      <c r="V42" s="87">
        <f>IF(V18=0,0,V18/TrRail_act!V11*1000)</f>
        <v>3.2949439059347654</v>
      </c>
      <c r="W42" s="87">
        <f>IF(W18=0,0,W18/TrRail_act!W11*1000)</f>
        <v>3.4492197033476937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738168.09910017415</v>
      </c>
      <c r="C45" s="54">
        <f>IF(C10=0,0,1000000*C10/TrRail_act!C25)</f>
        <v>726256.19806589675</v>
      </c>
      <c r="D45" s="54">
        <f>IF(D10=0,0,1000000*D10/TrRail_act!D25)</f>
        <v>751188.8208201275</v>
      </c>
      <c r="E45" s="54">
        <f>IF(E10=0,0,1000000*E10/TrRail_act!E25)</f>
        <v>771405.08661549457</v>
      </c>
      <c r="F45" s="54">
        <f>IF(F10=0,0,1000000*F10/TrRail_act!F25)</f>
        <v>768533.23641590762</v>
      </c>
      <c r="G45" s="54">
        <f>IF(G10=0,0,1000000*G10/TrRail_act!G25)</f>
        <v>769707.47105490044</v>
      </c>
      <c r="H45" s="54">
        <f>IF(H10=0,0,1000000*H10/TrRail_act!H25)</f>
        <v>783304.97540526954</v>
      </c>
      <c r="I45" s="54">
        <f>IF(I10=0,0,1000000*I10/TrRail_act!I25)</f>
        <v>802421.36514372996</v>
      </c>
      <c r="J45" s="54">
        <f>IF(J10=0,0,1000000*J10/TrRail_act!J25)</f>
        <v>774612.83357668656</v>
      </c>
      <c r="K45" s="54">
        <f>IF(K10=0,0,1000000*K10/TrRail_act!K25)</f>
        <v>646512.18500387832</v>
      </c>
      <c r="L45" s="54">
        <f>IF(L10=0,0,1000000*L10/TrRail_act!L25)</f>
        <v>725225.52175104327</v>
      </c>
      <c r="M45" s="54">
        <f>IF(M10=0,0,1000000*M10/TrRail_act!M25)</f>
        <v>715894.56274571817</v>
      </c>
      <c r="N45" s="54">
        <f>IF(N10=0,0,1000000*N10/TrRail_act!N25)</f>
        <v>705034.71651159157</v>
      </c>
      <c r="O45" s="54">
        <f>IF(O10=0,0,1000000*O10/TrRail_act!O25)</f>
        <v>688792.50248218293</v>
      </c>
      <c r="P45" s="54">
        <f>IF(P10=0,0,1000000*P10/TrRail_act!P25)</f>
        <v>689241.3782220484</v>
      </c>
      <c r="Q45" s="54">
        <f>IF(Q10=0,0,1000000*Q10/TrRail_act!Q25)</f>
        <v>674999.86481944122</v>
      </c>
      <c r="R45" s="54">
        <f>IF(R10=0,0,1000000*R10/TrRail_act!R25)</f>
        <v>672972.39307082596</v>
      </c>
      <c r="S45" s="54">
        <f>IF(S10=0,0,1000000*S10/TrRail_act!S25)</f>
        <v>664750.7896827634</v>
      </c>
      <c r="T45" s="54">
        <f>IF(T10=0,0,1000000*T10/TrRail_act!T25)</f>
        <v>657825.82685517287</v>
      </c>
      <c r="U45" s="54">
        <f>IF(U10=0,0,1000000*U10/TrRail_act!U25)</f>
        <v>638368.03675459779</v>
      </c>
      <c r="V45" s="54">
        <f>IF(V10=0,0,1000000*V10/TrRail_act!V25)</f>
        <v>654989.45360454323</v>
      </c>
      <c r="W45" s="54">
        <f>IF(W10=0,0,1000000*W10/TrRail_act!W25)</f>
        <v>638503.79917583277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323119.39017445763</v>
      </c>
      <c r="C46" s="28">
        <f>IF(C11=0,0,1000000*C11/TrRail_act!C26)</f>
        <v>317449.60996372317</v>
      </c>
      <c r="D46" s="28">
        <f>IF(D11=0,0,1000000*D11/TrRail_act!D26)</f>
        <v>319316.81757224759</v>
      </c>
      <c r="E46" s="28">
        <f>IF(E11=0,0,1000000*E11/TrRail_act!E26)</f>
        <v>305237.40834517532</v>
      </c>
      <c r="F46" s="28">
        <f>IF(F11=0,0,1000000*F11/TrRail_act!F26)</f>
        <v>312775.00912342698</v>
      </c>
      <c r="G46" s="28">
        <f>IF(G11=0,0,1000000*G11/TrRail_act!G26)</f>
        <v>221735.31918133487</v>
      </c>
      <c r="H46" s="28">
        <f>IF(H11=0,0,1000000*H11/TrRail_act!H26)</f>
        <v>235385.91048724743</v>
      </c>
      <c r="I46" s="28">
        <f>IF(I11=0,0,1000000*I11/TrRail_act!I26)</f>
        <v>256175.10309024632</v>
      </c>
      <c r="J46" s="28">
        <f>IF(J11=0,0,1000000*J11/TrRail_act!J26)</f>
        <v>284879.62233589229</v>
      </c>
      <c r="K46" s="28">
        <f>IF(K11=0,0,1000000*K11/TrRail_act!K26)</f>
        <v>278408.9585463368</v>
      </c>
      <c r="L46" s="28">
        <f>IF(L11=0,0,1000000*L11/TrRail_act!L26)</f>
        <v>276361.58419677056</v>
      </c>
      <c r="M46" s="28">
        <f>IF(M11=0,0,1000000*M11/TrRail_act!M26)</f>
        <v>274746.80212539964</v>
      </c>
      <c r="N46" s="28">
        <f>IF(N11=0,0,1000000*N11/TrRail_act!N26)</f>
        <v>268570.91969600617</v>
      </c>
      <c r="O46" s="28">
        <f>IF(O11=0,0,1000000*O11/TrRail_act!O26)</f>
        <v>260547.00392541816</v>
      </c>
      <c r="P46" s="28">
        <f>IF(P11=0,0,1000000*P11/TrRail_act!P26)</f>
        <v>255580.77836178217</v>
      </c>
      <c r="Q46" s="28">
        <f>IF(Q11=0,0,1000000*Q11/TrRail_act!Q26)</f>
        <v>253998.49632726662</v>
      </c>
      <c r="R46" s="28">
        <f>IF(R11=0,0,1000000*R11/TrRail_act!R26)</f>
        <v>248159.70285123447</v>
      </c>
      <c r="S46" s="28">
        <f>IF(S11=0,0,1000000*S11/TrRail_act!S26)</f>
        <v>251512.93994957602</v>
      </c>
      <c r="T46" s="28">
        <f>IF(T11=0,0,1000000*T11/TrRail_act!T26)</f>
        <v>245105.13663688896</v>
      </c>
      <c r="U46" s="28">
        <f>IF(U11=0,0,1000000*U11/TrRail_act!U26)</f>
        <v>241678.060582531</v>
      </c>
      <c r="V46" s="28">
        <f>IF(V11=0,0,1000000*V11/TrRail_act!V26)</f>
        <v>232085.96174797806</v>
      </c>
      <c r="W46" s="28">
        <f>IF(W11=0,0,1000000*W11/TrRail_act!W26)</f>
        <v>235263.55040922159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0</v>
      </c>
      <c r="U47" s="108">
        <f>IF(U12=0,0,1000000*U12/TrRail_act!U27)</f>
        <v>0</v>
      </c>
      <c r="V47" s="108">
        <f>IF(V12=0,0,1000000*V12/TrRail_act!V27)</f>
        <v>0</v>
      </c>
      <c r="W47" s="108">
        <f>IF(W12=0,0,1000000*W12/TrRail_act!W27)</f>
        <v>0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323119.39017445763</v>
      </c>
      <c r="C48" s="110">
        <f>IF(C13=0,0,1000000*C13/TrRail_act!C28)</f>
        <v>317449.60996372317</v>
      </c>
      <c r="D48" s="110">
        <f>IF(D13=0,0,1000000*D13/TrRail_act!D28)</f>
        <v>319316.81757224759</v>
      </c>
      <c r="E48" s="110">
        <f>IF(E13=0,0,1000000*E13/TrRail_act!E28)</f>
        <v>305237.40834517532</v>
      </c>
      <c r="F48" s="110">
        <f>IF(F13=0,0,1000000*F13/TrRail_act!F28)</f>
        <v>312775.00912342698</v>
      </c>
      <c r="G48" s="110">
        <f>IF(G13=0,0,1000000*G13/TrRail_act!G28)</f>
        <v>221735.31918133487</v>
      </c>
      <c r="H48" s="110">
        <f>IF(H13=0,0,1000000*H13/TrRail_act!H28)</f>
        <v>235385.91048724743</v>
      </c>
      <c r="I48" s="110">
        <f>IF(I13=0,0,1000000*I13/TrRail_act!I28)</f>
        <v>256175.10309024632</v>
      </c>
      <c r="J48" s="110">
        <f>IF(J13=0,0,1000000*J13/TrRail_act!J28)</f>
        <v>284879.62233589229</v>
      </c>
      <c r="K48" s="110">
        <f>IF(K13=0,0,1000000*K13/TrRail_act!K28)</f>
        <v>278408.9585463368</v>
      </c>
      <c r="L48" s="110">
        <f>IF(L13=0,0,1000000*L13/TrRail_act!L28)</f>
        <v>276361.58419677056</v>
      </c>
      <c r="M48" s="110">
        <f>IF(M13=0,0,1000000*M13/TrRail_act!M28)</f>
        <v>274746.80212539964</v>
      </c>
      <c r="N48" s="110">
        <f>IF(N13=0,0,1000000*N13/TrRail_act!N28)</f>
        <v>268570.91969600617</v>
      </c>
      <c r="O48" s="110">
        <f>IF(O13=0,0,1000000*O13/TrRail_act!O28)</f>
        <v>260547.00392541816</v>
      </c>
      <c r="P48" s="110">
        <f>IF(P13=0,0,1000000*P13/TrRail_act!P28)</f>
        <v>255580.77836178217</v>
      </c>
      <c r="Q48" s="110">
        <f>IF(Q13=0,0,1000000*Q13/TrRail_act!Q28)</f>
        <v>253998.49632726662</v>
      </c>
      <c r="R48" s="110">
        <f>IF(R13=0,0,1000000*R13/TrRail_act!R28)</f>
        <v>248159.70285123447</v>
      </c>
      <c r="S48" s="110">
        <f>IF(S13=0,0,1000000*S13/TrRail_act!S28)</f>
        <v>251512.93994957602</v>
      </c>
      <c r="T48" s="110">
        <f>IF(T13=0,0,1000000*T13/TrRail_act!T28)</f>
        <v>245105.13663688896</v>
      </c>
      <c r="U48" s="110">
        <f>IF(U13=0,0,1000000*U13/TrRail_act!U28)</f>
        <v>241678.060582531</v>
      </c>
      <c r="V48" s="110">
        <f>IF(V13=0,0,1000000*V13/TrRail_act!V28)</f>
        <v>232085.96174797806</v>
      </c>
      <c r="W48" s="110">
        <f>IF(W13=0,0,1000000*W13/TrRail_act!W28)</f>
        <v>235263.55040922159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331023.41031331103</v>
      </c>
      <c r="C49" s="84">
        <f>IF(C14=0,0,1000000*C14/TrRail_act!C29)</f>
        <v>325837.86798856489</v>
      </c>
      <c r="D49" s="84">
        <f>IF(D14=0,0,1000000*D14/TrRail_act!D29)</f>
        <v>327440.92917045101</v>
      </c>
      <c r="E49" s="84">
        <f>IF(E14=0,0,1000000*E14/TrRail_act!E29)</f>
        <v>314385.029610842</v>
      </c>
      <c r="F49" s="84">
        <f>IF(F14=0,0,1000000*F14/TrRail_act!F29)</f>
        <v>324910.07560547924</v>
      </c>
      <c r="G49" s="84">
        <f>IF(G14=0,0,1000000*G14/TrRail_act!G29)</f>
        <v>220431.73018839257</v>
      </c>
      <c r="H49" s="84">
        <f>IF(H14=0,0,1000000*H14/TrRail_act!H29)</f>
        <v>236582.26978783371</v>
      </c>
      <c r="I49" s="84">
        <f>IF(I14=0,0,1000000*I14/TrRail_act!I29)</f>
        <v>263536.26981726813</v>
      </c>
      <c r="J49" s="84">
        <f>IF(J14=0,0,1000000*J14/TrRail_act!J29)</f>
        <v>311009.46804096986</v>
      </c>
      <c r="K49" s="84">
        <f>IF(K14=0,0,1000000*K14/TrRail_act!K29)</f>
        <v>309181.53233572433</v>
      </c>
      <c r="L49" s="84">
        <f>IF(L14=0,0,1000000*L14/TrRail_act!L29)</f>
        <v>303748.9858249086</v>
      </c>
      <c r="M49" s="84">
        <f>IF(M14=0,0,1000000*M14/TrRail_act!M29)</f>
        <v>300118.46255480475</v>
      </c>
      <c r="N49" s="84">
        <f>IF(N14=0,0,1000000*N14/TrRail_act!N29)</f>
        <v>294177.11189629766</v>
      </c>
      <c r="O49" s="84">
        <f>IF(O14=0,0,1000000*O14/TrRail_act!O29)</f>
        <v>284943.61574215128</v>
      </c>
      <c r="P49" s="84">
        <f>IF(P14=0,0,1000000*P14/TrRail_act!P29)</f>
        <v>283662.35240947403</v>
      </c>
      <c r="Q49" s="84">
        <f>IF(Q14=0,0,1000000*Q14/TrRail_act!Q29)</f>
        <v>282176.68941578723</v>
      </c>
      <c r="R49" s="84">
        <f>IF(R14=0,0,1000000*R14/TrRail_act!R29)</f>
        <v>279662.19946251001</v>
      </c>
      <c r="S49" s="84">
        <f>IF(S14=0,0,1000000*S14/TrRail_act!S29)</f>
        <v>277791.04978520807</v>
      </c>
      <c r="T49" s="84">
        <f>IF(T14=0,0,1000000*T14/TrRail_act!T29)</f>
        <v>276395.88758879277</v>
      </c>
      <c r="U49" s="84">
        <f>IF(U14=0,0,1000000*U14/TrRail_act!U29)</f>
        <v>275354.14285325143</v>
      </c>
      <c r="V49" s="84">
        <f>IF(V14=0,0,1000000*V14/TrRail_act!V29)</f>
        <v>274575.39384818933</v>
      </c>
      <c r="W49" s="84">
        <f>IF(W14=0,0,1000000*W14/TrRail_act!W29)</f>
        <v>273992.78738095635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233878.66642677085</v>
      </c>
      <c r="C50" s="84">
        <f>IF(C15=0,0,1000000*C15/TrRail_act!C30)</f>
        <v>222741.57745630445</v>
      </c>
      <c r="D50" s="84">
        <f>IF(D15=0,0,1000000*D15/TrRail_act!D30)</f>
        <v>230348.5929755104</v>
      </c>
      <c r="E50" s="84">
        <f>IF(E15=0,0,1000000*E15/TrRail_act!E30)</f>
        <v>229742.881937581</v>
      </c>
      <c r="F50" s="84">
        <f>IF(F15=0,0,1000000*F15/TrRail_act!F30)</f>
        <v>228122.62812972703</v>
      </c>
      <c r="G50" s="84">
        <f>IF(G15=0,0,1000000*G15/TrRail_act!G30)</f>
        <v>229624.40381618604</v>
      </c>
      <c r="H50" s="84">
        <f>IF(H15=0,0,1000000*H15/TrRail_act!H30)</f>
        <v>229314.38069545044</v>
      </c>
      <c r="I50" s="84">
        <f>IF(I15=0,0,1000000*I15/TrRail_act!I30)</f>
        <v>226339.61142443857</v>
      </c>
      <c r="J50" s="84">
        <f>IF(J15=0,0,1000000*J15/TrRail_act!J30)</f>
        <v>214478.99731952403</v>
      </c>
      <c r="K50" s="84">
        <f>IF(K15=0,0,1000000*K15/TrRail_act!K30)</f>
        <v>212755.13294300597</v>
      </c>
      <c r="L50" s="84">
        <f>IF(L15=0,0,1000000*L15/TrRail_act!L30)</f>
        <v>211923.95504361892</v>
      </c>
      <c r="M50" s="84">
        <f>IF(M15=0,0,1000000*M15/TrRail_act!M30)</f>
        <v>204447.10354707894</v>
      </c>
      <c r="N50" s="84">
        <f>IF(N15=0,0,1000000*N15/TrRail_act!N30)</f>
        <v>203523.82316769418</v>
      </c>
      <c r="O50" s="84">
        <f>IF(O15=0,0,1000000*O15/TrRail_act!O30)</f>
        <v>195868.26441758458</v>
      </c>
      <c r="P50" s="84">
        <f>IF(P15=0,0,1000000*P15/TrRail_act!P30)</f>
        <v>195195.4598041428</v>
      </c>
      <c r="Q50" s="84">
        <f>IF(Q15=0,0,1000000*Q15/TrRail_act!Q30)</f>
        <v>192971.30568278005</v>
      </c>
      <c r="R50" s="84">
        <f>IF(R15=0,0,1000000*R15/TrRail_act!R30)</f>
        <v>191319.83521111123</v>
      </c>
      <c r="S50" s="84">
        <f>IF(S15=0,0,1000000*S15/TrRail_act!S30)</f>
        <v>190090.52117929736</v>
      </c>
      <c r="T50" s="84">
        <f>IF(T15=0,0,1000000*T15/TrRail_act!T30)</f>
        <v>189173.73588176927</v>
      </c>
      <c r="U50" s="84">
        <f>IF(U15=0,0,1000000*U15/TrRail_act!U30)</f>
        <v>176976.48914629806</v>
      </c>
      <c r="V50" s="84">
        <f>IF(V15=0,0,1000000*V15/TrRail_act!V30)</f>
        <v>163886.27245677938</v>
      </c>
      <c r="W50" s="84">
        <f>IF(W15=0,0,1000000*W15/TrRail_act!W30)</f>
        <v>153609.80482010156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936835.08017581713</v>
      </c>
      <c r="C52" s="28">
        <f>IF(C17=0,0,1000000*C17/TrRail_act!C32)</f>
        <v>921935.33122730814</v>
      </c>
      <c r="D52" s="28">
        <f>IF(D17=0,0,1000000*D17/TrRail_act!D32)</f>
        <v>932676.48196957668</v>
      </c>
      <c r="E52" s="28">
        <f>IF(E17=0,0,1000000*E17/TrRail_act!E32)</f>
        <v>925713.99535589735</v>
      </c>
      <c r="F52" s="28">
        <f>IF(F17=0,0,1000000*F17/TrRail_act!F32)</f>
        <v>919573.62723938678</v>
      </c>
      <c r="G52" s="28">
        <f>IF(G17=0,0,1000000*G17/TrRail_act!G32)</f>
        <v>920678.20892628399</v>
      </c>
      <c r="H52" s="28">
        <f>IF(H17=0,0,1000000*H17/TrRail_act!H32)</f>
        <v>918296.75243885024</v>
      </c>
      <c r="I52" s="28">
        <f>IF(I17=0,0,1000000*I17/TrRail_act!I32)</f>
        <v>910238.97548055265</v>
      </c>
      <c r="J52" s="28">
        <f>IF(J17=0,0,1000000*J17/TrRail_act!J32)</f>
        <v>861741.16256631911</v>
      </c>
      <c r="K52" s="28">
        <f>IF(K17=0,0,1000000*K17/TrRail_act!K32)</f>
        <v>713422.15438791853</v>
      </c>
      <c r="L52" s="28">
        <f>IF(L17=0,0,1000000*L17/TrRail_act!L32)</f>
        <v>821137.82600361458</v>
      </c>
      <c r="M52" s="28">
        <f>IF(M17=0,0,1000000*M17/TrRail_act!M32)</f>
        <v>811736.22039915866</v>
      </c>
      <c r="N52" s="28">
        <f>IF(N17=0,0,1000000*N17/TrRail_act!N32)</f>
        <v>809259.3777549715</v>
      </c>
      <c r="O52" s="28">
        <f>IF(O17=0,0,1000000*O17/TrRail_act!O32)</f>
        <v>796118.70763544238</v>
      </c>
      <c r="P52" s="28">
        <f>IF(P17=0,0,1000000*P17/TrRail_act!P32)</f>
        <v>785102.56996982452</v>
      </c>
      <c r="Q52" s="28">
        <f>IF(Q17=0,0,1000000*Q17/TrRail_act!Q32)</f>
        <v>776543.50247506343</v>
      </c>
      <c r="R52" s="28">
        <f>IF(R17=0,0,1000000*R17/TrRail_act!R32)</f>
        <v>774036.40208092472</v>
      </c>
      <c r="S52" s="28">
        <f>IF(S17=0,0,1000000*S17/TrRail_act!S32)</f>
        <v>772161.39909822005</v>
      </c>
      <c r="T52" s="28">
        <f>IF(T17=0,0,1000000*T17/TrRail_act!T32)</f>
        <v>770758.13293913426</v>
      </c>
      <c r="U52" s="28">
        <f>IF(U17=0,0,1000000*U17/TrRail_act!U32)</f>
        <v>758579.56124804099</v>
      </c>
      <c r="V52" s="28">
        <f>IF(V17=0,0,1000000*V17/TrRail_act!V32)</f>
        <v>768920.20515255595</v>
      </c>
      <c r="W52" s="28">
        <f>IF(W17=0,0,1000000*W17/TrRail_act!W32)</f>
        <v>768330.37021120498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936835.08017581713</v>
      </c>
      <c r="C53" s="84">
        <f>IF(C18=0,0,1000000*C18/TrRail_act!C33)</f>
        <v>921935.33122730814</v>
      </c>
      <c r="D53" s="84">
        <f>IF(D18=0,0,1000000*D18/TrRail_act!D33)</f>
        <v>932676.48196957668</v>
      </c>
      <c r="E53" s="84">
        <f>IF(E18=0,0,1000000*E18/TrRail_act!E33)</f>
        <v>925713.99535589735</v>
      </c>
      <c r="F53" s="84">
        <f>IF(F18=0,0,1000000*F18/TrRail_act!F33)</f>
        <v>919573.62723938678</v>
      </c>
      <c r="G53" s="84">
        <f>IF(G18=0,0,1000000*G18/TrRail_act!G33)</f>
        <v>920678.20892628399</v>
      </c>
      <c r="H53" s="84">
        <f>IF(H18=0,0,1000000*H18/TrRail_act!H33)</f>
        <v>918296.75243885024</v>
      </c>
      <c r="I53" s="84">
        <f>IF(I18=0,0,1000000*I18/TrRail_act!I33)</f>
        <v>910238.97548055265</v>
      </c>
      <c r="J53" s="84">
        <f>IF(J18=0,0,1000000*J18/TrRail_act!J33)</f>
        <v>861741.16256631911</v>
      </c>
      <c r="K53" s="84">
        <f>IF(K18=0,0,1000000*K18/TrRail_act!K33)</f>
        <v>713422.15438791853</v>
      </c>
      <c r="L53" s="84">
        <f>IF(L18=0,0,1000000*L18/TrRail_act!L33)</f>
        <v>821137.82600361458</v>
      </c>
      <c r="M53" s="84">
        <f>IF(M18=0,0,1000000*M18/TrRail_act!M33)</f>
        <v>811736.22039915866</v>
      </c>
      <c r="N53" s="84">
        <f>IF(N18=0,0,1000000*N18/TrRail_act!N33)</f>
        <v>809259.3777549715</v>
      </c>
      <c r="O53" s="84">
        <f>IF(O18=0,0,1000000*O18/TrRail_act!O33)</f>
        <v>796118.70763544238</v>
      </c>
      <c r="P53" s="84">
        <f>IF(P18=0,0,1000000*P18/TrRail_act!P33)</f>
        <v>785102.56996982452</v>
      </c>
      <c r="Q53" s="84">
        <f>IF(Q18=0,0,1000000*Q18/TrRail_act!Q33)</f>
        <v>776543.50247506343</v>
      </c>
      <c r="R53" s="84">
        <f>IF(R18=0,0,1000000*R18/TrRail_act!R33)</f>
        <v>774036.40208092472</v>
      </c>
      <c r="S53" s="84">
        <f>IF(S18=0,0,1000000*S18/TrRail_act!S33)</f>
        <v>772161.39909822005</v>
      </c>
      <c r="T53" s="84">
        <f>IF(T18=0,0,1000000*T18/TrRail_act!T33)</f>
        <v>770758.13293913426</v>
      </c>
      <c r="U53" s="84">
        <f>IF(U18=0,0,1000000*U18/TrRail_act!U33)</f>
        <v>758579.56124804099</v>
      </c>
      <c r="V53" s="84">
        <f>IF(V18=0,0,1000000*V18/TrRail_act!V33)</f>
        <v>768920.20515255595</v>
      </c>
      <c r="W53" s="84">
        <f>IF(W18=0,0,1000000*W18/TrRail_act!W33)</f>
        <v>768330.37021120498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0.14169881350791974</v>
      </c>
      <c r="C57" s="31">
        <f t="shared" ref="C57:V57" si="17">IF(C11=0,0,C11/C$10)</f>
        <v>0.14149575639401232</v>
      </c>
      <c r="D57" s="31">
        <f t="shared" si="17"/>
        <v>0.12577796602290964</v>
      </c>
      <c r="E57" s="31">
        <f t="shared" si="17"/>
        <v>9.8405837233596763E-2</v>
      </c>
      <c r="F57" s="31">
        <f t="shared" si="17"/>
        <v>0.10130197419739949</v>
      </c>
      <c r="G57" s="31">
        <f t="shared" si="17"/>
        <v>6.2224334408859827E-2</v>
      </c>
      <c r="H57" s="31">
        <f t="shared" si="17"/>
        <v>5.9400880878245521E-2</v>
      </c>
      <c r="I57" s="31">
        <f t="shared" si="17"/>
        <v>5.2626438086048229E-2</v>
      </c>
      <c r="J57" s="31">
        <f t="shared" si="17"/>
        <v>5.5547497314949346E-2</v>
      </c>
      <c r="K57" s="31">
        <f t="shared" si="17"/>
        <v>6.6236121044964708E-2</v>
      </c>
      <c r="L57" s="31">
        <f t="shared" si="17"/>
        <v>6.7090458504636324E-2</v>
      </c>
      <c r="M57" s="31">
        <f t="shared" si="17"/>
        <v>6.8497097822512773E-2</v>
      </c>
      <c r="N57" s="31">
        <f t="shared" si="17"/>
        <v>7.3429720842410118E-2</v>
      </c>
      <c r="O57" s="31">
        <f t="shared" si="17"/>
        <v>7.5802900320673133E-2</v>
      </c>
      <c r="P57" s="31">
        <f t="shared" si="17"/>
        <v>6.7129874087263161E-2</v>
      </c>
      <c r="Q57" s="31">
        <f t="shared" si="17"/>
        <v>7.3123416662596252E-2</v>
      </c>
      <c r="R57" s="31">
        <f t="shared" si="17"/>
        <v>7.0867417232817143E-2</v>
      </c>
      <c r="S57" s="31">
        <f t="shared" si="17"/>
        <v>7.8055599749555241E-2</v>
      </c>
      <c r="T57" s="31">
        <f t="shared" si="17"/>
        <v>8.0049854110278276E-2</v>
      </c>
      <c r="U57" s="31">
        <f t="shared" si="17"/>
        <v>8.8044940701238666E-2</v>
      </c>
      <c r="V57" s="31">
        <f t="shared" si="17"/>
        <v>7.5199562909363374E-2</v>
      </c>
      <c r="W57" s="31">
        <f t="shared" ref="W57" si="18">IF(W11=0,0,W11/W$10)</f>
        <v>8.9737320287993652E-2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0</v>
      </c>
      <c r="E58" s="123">
        <f t="shared" si="19"/>
        <v>0</v>
      </c>
      <c r="F58" s="123">
        <f t="shared" si="19"/>
        <v>0</v>
      </c>
      <c r="G58" s="123">
        <f t="shared" si="19"/>
        <v>0</v>
      </c>
      <c r="H58" s="123">
        <f t="shared" si="19"/>
        <v>0</v>
      </c>
      <c r="I58" s="123">
        <f t="shared" si="19"/>
        <v>0</v>
      </c>
      <c r="J58" s="123">
        <f t="shared" si="19"/>
        <v>0</v>
      </c>
      <c r="K58" s="123">
        <f t="shared" si="19"/>
        <v>0</v>
      </c>
      <c r="L58" s="123">
        <f t="shared" si="19"/>
        <v>0</v>
      </c>
      <c r="M58" s="123">
        <f t="shared" si="19"/>
        <v>0</v>
      </c>
      <c r="N58" s="123">
        <f t="shared" si="19"/>
        <v>0</v>
      </c>
      <c r="O58" s="123">
        <f t="shared" si="19"/>
        <v>0</v>
      </c>
      <c r="P58" s="123">
        <f t="shared" si="19"/>
        <v>0</v>
      </c>
      <c r="Q58" s="123">
        <f t="shared" si="19"/>
        <v>0</v>
      </c>
      <c r="R58" s="123">
        <f t="shared" si="19"/>
        <v>0</v>
      </c>
      <c r="S58" s="123">
        <f t="shared" si="19"/>
        <v>0</v>
      </c>
      <c r="T58" s="123">
        <f t="shared" si="19"/>
        <v>0</v>
      </c>
      <c r="U58" s="123">
        <f t="shared" si="19"/>
        <v>0</v>
      </c>
      <c r="V58" s="123">
        <f t="shared" si="19"/>
        <v>0</v>
      </c>
      <c r="W58" s="123">
        <f t="shared" ref="W58" si="20">IF(W12=0,0,W12/W$10)</f>
        <v>0</v>
      </c>
      <c r="DA58" s="203"/>
    </row>
    <row r="59" spans="1:105" ht="11.45" customHeight="1" x14ac:dyDescent="0.25">
      <c r="A59" s="109" t="s">
        <v>24</v>
      </c>
      <c r="B59" s="124">
        <f t="shared" si="14"/>
        <v>0.14169881350791974</v>
      </c>
      <c r="C59" s="124">
        <f t="shared" ref="C59:V59" si="21">IF(C13=0,0,C13/C$10)</f>
        <v>0.14149575639401232</v>
      </c>
      <c r="D59" s="124">
        <f t="shared" si="21"/>
        <v>0.12577796602290964</v>
      </c>
      <c r="E59" s="124">
        <f t="shared" si="21"/>
        <v>9.8405837233596763E-2</v>
      </c>
      <c r="F59" s="124">
        <f t="shared" si="21"/>
        <v>0.10130197419739949</v>
      </c>
      <c r="G59" s="124">
        <f t="shared" si="21"/>
        <v>6.2224334408859827E-2</v>
      </c>
      <c r="H59" s="124">
        <f t="shared" si="21"/>
        <v>5.9400880878245521E-2</v>
      </c>
      <c r="I59" s="124">
        <f t="shared" si="21"/>
        <v>5.2626438086048229E-2</v>
      </c>
      <c r="J59" s="124">
        <f t="shared" si="21"/>
        <v>5.5547497314949346E-2</v>
      </c>
      <c r="K59" s="124">
        <f t="shared" si="21"/>
        <v>6.6236121044964708E-2</v>
      </c>
      <c r="L59" s="124">
        <f t="shared" si="21"/>
        <v>6.7090458504636324E-2</v>
      </c>
      <c r="M59" s="124">
        <f t="shared" si="21"/>
        <v>6.8497097822512773E-2</v>
      </c>
      <c r="N59" s="124">
        <f t="shared" si="21"/>
        <v>7.3429720842410118E-2</v>
      </c>
      <c r="O59" s="124">
        <f t="shared" si="21"/>
        <v>7.5802900320673133E-2</v>
      </c>
      <c r="P59" s="124">
        <f t="shared" si="21"/>
        <v>6.7129874087263161E-2</v>
      </c>
      <c r="Q59" s="124">
        <f t="shared" si="21"/>
        <v>7.3123416662596252E-2</v>
      </c>
      <c r="R59" s="124">
        <f t="shared" si="21"/>
        <v>7.0867417232817143E-2</v>
      </c>
      <c r="S59" s="124">
        <f t="shared" si="21"/>
        <v>7.8055599749555241E-2</v>
      </c>
      <c r="T59" s="124">
        <f t="shared" si="21"/>
        <v>8.0049854110278276E-2</v>
      </c>
      <c r="U59" s="124">
        <f t="shared" si="21"/>
        <v>8.8044940701238666E-2</v>
      </c>
      <c r="V59" s="124">
        <f t="shared" si="21"/>
        <v>7.5199562909363374E-2</v>
      </c>
      <c r="W59" s="124">
        <f t="shared" ref="W59" si="22">IF(W13=0,0,W13/W$10)</f>
        <v>8.9737320287993652E-2</v>
      </c>
      <c r="DA59" s="176"/>
    </row>
    <row r="60" spans="1:105" ht="11.45" customHeight="1" x14ac:dyDescent="0.25">
      <c r="A60" s="111" t="s">
        <v>92</v>
      </c>
      <c r="B60" s="125">
        <f t="shared" si="14"/>
        <v>0.13335388668696732</v>
      </c>
      <c r="C60" s="125">
        <f t="shared" ref="C60:V60" si="23">IF(C14=0,0,C14/C$10)</f>
        <v>0.1334178530945927</v>
      </c>
      <c r="D60" s="125">
        <f t="shared" si="23"/>
        <v>0.11818591237239717</v>
      </c>
      <c r="E60" s="125">
        <f t="shared" si="23"/>
        <v>9.0401107581905421E-2</v>
      </c>
      <c r="F60" s="125">
        <f t="shared" si="23"/>
        <v>9.2038426258538905E-2</v>
      </c>
      <c r="G60" s="125">
        <f t="shared" si="23"/>
        <v>5.308652133881734E-2</v>
      </c>
      <c r="H60" s="125">
        <f t="shared" si="23"/>
        <v>4.9875177553894132E-2</v>
      </c>
      <c r="I60" s="125">
        <f t="shared" si="23"/>
        <v>4.3424689753865112E-2</v>
      </c>
      <c r="J60" s="125">
        <f t="shared" si="23"/>
        <v>4.4227135606752045E-2</v>
      </c>
      <c r="K60" s="125">
        <f t="shared" si="23"/>
        <v>5.0082882614354611E-2</v>
      </c>
      <c r="L60" s="125">
        <f t="shared" si="23"/>
        <v>5.1745953441647126E-2</v>
      </c>
      <c r="M60" s="125">
        <f t="shared" si="23"/>
        <v>5.4979876206312644E-2</v>
      </c>
      <c r="N60" s="125">
        <f t="shared" si="23"/>
        <v>5.7711999683356788E-2</v>
      </c>
      <c r="O60" s="125">
        <f t="shared" si="23"/>
        <v>6.0195312535795638E-2</v>
      </c>
      <c r="P60" s="125">
        <f t="shared" si="23"/>
        <v>5.0855734730328374E-2</v>
      </c>
      <c r="Q60" s="125">
        <f t="shared" si="23"/>
        <v>5.5574910997619555E-2</v>
      </c>
      <c r="R60" s="125">
        <f t="shared" si="23"/>
        <v>5.1384620542294882E-2</v>
      </c>
      <c r="S60" s="125">
        <f t="shared" si="23"/>
        <v>6.0379106765763219E-2</v>
      </c>
      <c r="T60" s="125">
        <f t="shared" si="23"/>
        <v>5.7885342697557712E-2</v>
      </c>
      <c r="U60" s="125">
        <f t="shared" si="23"/>
        <v>6.5974660099691107E-2</v>
      </c>
      <c r="V60" s="125">
        <f t="shared" si="23"/>
        <v>5.4815769546265658E-2</v>
      </c>
      <c r="W60" s="125">
        <f t="shared" ref="W60" si="24">IF(W14=0,0,W14/W$10)</f>
        <v>7.0887325740471421E-2</v>
      </c>
      <c r="DA60" s="171"/>
    </row>
    <row r="61" spans="1:105" ht="11.45" customHeight="1" x14ac:dyDescent="0.25">
      <c r="A61" s="111" t="s">
        <v>93</v>
      </c>
      <c r="B61" s="125">
        <f t="shared" si="14"/>
        <v>8.344926820952444E-3</v>
      </c>
      <c r="C61" s="125">
        <f t="shared" ref="C61:V61" si="25">IF(C15=0,0,C15/C$10)</f>
        <v>8.0779032994196028E-3</v>
      </c>
      <c r="D61" s="125">
        <f t="shared" si="25"/>
        <v>7.5920536505124639E-3</v>
      </c>
      <c r="E61" s="125">
        <f t="shared" si="25"/>
        <v>8.0047296516913436E-3</v>
      </c>
      <c r="F61" s="125">
        <f t="shared" si="25"/>
        <v>9.2635479388605817E-3</v>
      </c>
      <c r="G61" s="125">
        <f t="shared" si="25"/>
        <v>9.1378130700424803E-3</v>
      </c>
      <c r="H61" s="125">
        <f t="shared" si="25"/>
        <v>9.5257033243513894E-3</v>
      </c>
      <c r="I61" s="125">
        <f t="shared" si="25"/>
        <v>9.2017483321831153E-3</v>
      </c>
      <c r="J61" s="125">
        <f t="shared" si="25"/>
        <v>1.13203617081973E-2</v>
      </c>
      <c r="K61" s="125">
        <f t="shared" si="25"/>
        <v>1.6153238430610097E-2</v>
      </c>
      <c r="L61" s="125">
        <f t="shared" si="25"/>
        <v>1.5344505062989192E-2</v>
      </c>
      <c r="M61" s="125">
        <f t="shared" si="25"/>
        <v>1.3517221616200118E-2</v>
      </c>
      <c r="N61" s="125">
        <f t="shared" si="25"/>
        <v>1.5717721159053337E-2</v>
      </c>
      <c r="O61" s="125">
        <f t="shared" si="25"/>
        <v>1.5607587784877495E-2</v>
      </c>
      <c r="P61" s="125">
        <f t="shared" si="25"/>
        <v>1.627413935693478E-2</v>
      </c>
      <c r="Q61" s="125">
        <f t="shared" si="25"/>
        <v>1.7548505664976687E-2</v>
      </c>
      <c r="R61" s="125">
        <f t="shared" si="25"/>
        <v>1.9482796690522261E-2</v>
      </c>
      <c r="S61" s="125">
        <f t="shared" si="25"/>
        <v>1.7676492983792019E-2</v>
      </c>
      <c r="T61" s="125">
        <f t="shared" si="25"/>
        <v>2.2164511412720574E-2</v>
      </c>
      <c r="U61" s="125">
        <f t="shared" si="25"/>
        <v>2.2070280601547559E-2</v>
      </c>
      <c r="V61" s="125">
        <f t="shared" si="25"/>
        <v>2.0383793363097719E-2</v>
      </c>
      <c r="W61" s="125">
        <f t="shared" ref="W61" si="26">IF(W15=0,0,W15/W$10)</f>
        <v>1.8849994547522234E-2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0.85830118649208031</v>
      </c>
      <c r="C63" s="31">
        <f t="shared" ref="C63:V63" si="29">IF(C17=0,0,C17/C$10)</f>
        <v>0.85850424360598776</v>
      </c>
      <c r="D63" s="31">
        <f t="shared" si="29"/>
        <v>0.87422203397709031</v>
      </c>
      <c r="E63" s="31">
        <f t="shared" si="29"/>
        <v>0.90159416276640325</v>
      </c>
      <c r="F63" s="31">
        <f t="shared" si="29"/>
        <v>0.8986980258026005</v>
      </c>
      <c r="G63" s="31">
        <f t="shared" si="29"/>
        <v>0.93777566559114012</v>
      </c>
      <c r="H63" s="31">
        <f t="shared" si="29"/>
        <v>0.94059911912175442</v>
      </c>
      <c r="I63" s="31">
        <f t="shared" si="29"/>
        <v>0.94737356191395172</v>
      </c>
      <c r="J63" s="31">
        <f t="shared" si="29"/>
        <v>0.94445250268505065</v>
      </c>
      <c r="K63" s="31">
        <f t="shared" si="29"/>
        <v>0.93376387895503532</v>
      </c>
      <c r="L63" s="31">
        <f t="shared" si="29"/>
        <v>0.93290954149536365</v>
      </c>
      <c r="M63" s="31">
        <f t="shared" si="29"/>
        <v>0.93150290217748721</v>
      </c>
      <c r="N63" s="31">
        <f t="shared" si="29"/>
        <v>0.92657027915758983</v>
      </c>
      <c r="O63" s="31">
        <f t="shared" si="29"/>
        <v>0.92419709967932684</v>
      </c>
      <c r="P63" s="31">
        <f t="shared" si="29"/>
        <v>0.93287012591273688</v>
      </c>
      <c r="Q63" s="31">
        <f t="shared" si="29"/>
        <v>0.92687658333740375</v>
      </c>
      <c r="R63" s="31">
        <f t="shared" si="29"/>
        <v>0.9291325827671828</v>
      </c>
      <c r="S63" s="31">
        <f t="shared" si="29"/>
        <v>0.92194440025044477</v>
      </c>
      <c r="T63" s="31">
        <f t="shared" si="29"/>
        <v>0.91995014588972168</v>
      </c>
      <c r="U63" s="31">
        <f t="shared" si="29"/>
        <v>0.91195505929876131</v>
      </c>
      <c r="V63" s="31">
        <f t="shared" si="29"/>
        <v>0.92480043709063653</v>
      </c>
      <c r="W63" s="31">
        <f t="shared" ref="W63" si="30">IF(W17=0,0,W17/W$10)</f>
        <v>0.91026267971200636</v>
      </c>
      <c r="DA63" s="173"/>
    </row>
    <row r="64" spans="1:105" ht="11.45" customHeight="1" x14ac:dyDescent="0.25">
      <c r="A64" s="83" t="s">
        <v>92</v>
      </c>
      <c r="B64" s="125">
        <f t="shared" si="14"/>
        <v>0.85830118649208031</v>
      </c>
      <c r="C64" s="125">
        <f t="shared" ref="C64:V64" si="31">IF(C18=0,0,C18/C$10)</f>
        <v>0.85850424360598776</v>
      </c>
      <c r="D64" s="125">
        <f t="shared" si="31"/>
        <v>0.87422203397709031</v>
      </c>
      <c r="E64" s="125">
        <f t="shared" si="31"/>
        <v>0.90159416276640325</v>
      </c>
      <c r="F64" s="125">
        <f t="shared" si="31"/>
        <v>0.8986980258026005</v>
      </c>
      <c r="G64" s="125">
        <f t="shared" si="31"/>
        <v>0.93777566559114012</v>
      </c>
      <c r="H64" s="125">
        <f t="shared" si="31"/>
        <v>0.94059911912175442</v>
      </c>
      <c r="I64" s="125">
        <f t="shared" si="31"/>
        <v>0.94737356191395172</v>
      </c>
      <c r="J64" s="125">
        <f t="shared" si="31"/>
        <v>0.94445250268505065</v>
      </c>
      <c r="K64" s="125">
        <f t="shared" si="31"/>
        <v>0.93376387895503532</v>
      </c>
      <c r="L64" s="125">
        <f t="shared" si="31"/>
        <v>0.93290954149536365</v>
      </c>
      <c r="M64" s="125">
        <f t="shared" si="31"/>
        <v>0.93150290217748721</v>
      </c>
      <c r="N64" s="125">
        <f t="shared" si="31"/>
        <v>0.92657027915758983</v>
      </c>
      <c r="O64" s="125">
        <f t="shared" si="31"/>
        <v>0.92419709967932684</v>
      </c>
      <c r="P64" s="125">
        <f t="shared" si="31"/>
        <v>0.93287012591273688</v>
      </c>
      <c r="Q64" s="125">
        <f t="shared" si="31"/>
        <v>0.92687658333740375</v>
      </c>
      <c r="R64" s="125">
        <f t="shared" si="31"/>
        <v>0.9291325827671828</v>
      </c>
      <c r="S64" s="125">
        <f t="shared" si="31"/>
        <v>0.92194440025044477</v>
      </c>
      <c r="T64" s="125">
        <f t="shared" si="31"/>
        <v>0.91995014588972168</v>
      </c>
      <c r="U64" s="125">
        <f t="shared" si="31"/>
        <v>0.91195505929876131</v>
      </c>
      <c r="V64" s="125">
        <f t="shared" si="31"/>
        <v>0.92480043709063653</v>
      </c>
      <c r="W64" s="125">
        <f t="shared" ref="W64" si="32">IF(W18=0,0,W18/W$10)</f>
        <v>0.91026267971200636</v>
      </c>
      <c r="DA64" s="171"/>
    </row>
    <row r="65" spans="1:105" ht="11.45" customHeight="1" x14ac:dyDescent="0.25">
      <c r="A65" s="85" t="s">
        <v>93</v>
      </c>
      <c r="B65" s="127">
        <f t="shared" si="14"/>
        <v>0</v>
      </c>
      <c r="C65" s="127">
        <f t="shared" ref="C65:V65" si="33">IF(C19=0,0,C19/C$10)</f>
        <v>0</v>
      </c>
      <c r="D65" s="127">
        <f t="shared" si="33"/>
        <v>0</v>
      </c>
      <c r="E65" s="127">
        <f t="shared" si="33"/>
        <v>0</v>
      </c>
      <c r="F65" s="127">
        <f t="shared" si="33"/>
        <v>0</v>
      </c>
      <c r="G65" s="127">
        <f t="shared" si="33"/>
        <v>0</v>
      </c>
      <c r="H65" s="127">
        <f t="shared" si="33"/>
        <v>0</v>
      </c>
      <c r="I65" s="127">
        <f t="shared" si="33"/>
        <v>0</v>
      </c>
      <c r="J65" s="127">
        <f t="shared" si="33"/>
        <v>0</v>
      </c>
      <c r="K65" s="127">
        <f t="shared" si="33"/>
        <v>0</v>
      </c>
      <c r="L65" s="127">
        <f t="shared" si="33"/>
        <v>0</v>
      </c>
      <c r="M65" s="127">
        <f t="shared" si="33"/>
        <v>0</v>
      </c>
      <c r="N65" s="127">
        <f t="shared" si="33"/>
        <v>0</v>
      </c>
      <c r="O65" s="127">
        <f t="shared" si="33"/>
        <v>0</v>
      </c>
      <c r="P65" s="127">
        <f t="shared" si="33"/>
        <v>0</v>
      </c>
      <c r="Q65" s="127">
        <f t="shared" si="33"/>
        <v>0</v>
      </c>
      <c r="R65" s="127">
        <f t="shared" si="33"/>
        <v>0</v>
      </c>
      <c r="S65" s="127">
        <f t="shared" si="33"/>
        <v>0</v>
      </c>
      <c r="T65" s="127">
        <f t="shared" si="33"/>
        <v>0</v>
      </c>
      <c r="U65" s="127">
        <f t="shared" si="33"/>
        <v>0</v>
      </c>
      <c r="V65" s="127">
        <f t="shared" si="33"/>
        <v>0</v>
      </c>
      <c r="W65" s="127">
        <f t="shared" ref="W65" si="34">IF(W19=0,0,W19/W$10)</f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221.89977107999997</v>
      </c>
      <c r="C4" s="26">
        <f t="shared" ref="C4:W4" si="0">SUM(C5:C6)</f>
        <v>196.53996492000002</v>
      </c>
      <c r="D4" s="26">
        <f t="shared" si="0"/>
        <v>209.21986799999999</v>
      </c>
      <c r="E4" s="26">
        <f t="shared" si="0"/>
        <v>231.40976507999997</v>
      </c>
      <c r="F4" s="26">
        <f t="shared" si="0"/>
        <v>228.23985600000003</v>
      </c>
      <c r="G4" s="26">
        <f t="shared" si="0"/>
        <v>231.40976507999997</v>
      </c>
      <c r="H4" s="26">
        <f t="shared" si="0"/>
        <v>221.89977107999997</v>
      </c>
      <c r="I4" s="26">
        <f t="shared" si="0"/>
        <v>229.78706399999999</v>
      </c>
      <c r="J4" s="26">
        <f t="shared" si="0"/>
        <v>232.97858063999999</v>
      </c>
      <c r="K4" s="26">
        <f t="shared" si="0"/>
        <v>178.72333127999997</v>
      </c>
      <c r="L4" s="26">
        <f t="shared" si="0"/>
        <v>188.29761443999999</v>
      </c>
      <c r="M4" s="26">
        <f t="shared" si="0"/>
        <v>194.68064772</v>
      </c>
      <c r="N4" s="26">
        <f t="shared" si="0"/>
        <v>175.53181464000002</v>
      </c>
      <c r="O4" s="26">
        <f t="shared" si="0"/>
        <v>162.76574808000001</v>
      </c>
      <c r="P4" s="26">
        <f t="shared" si="0"/>
        <v>169.14878136000002</v>
      </c>
      <c r="Q4" s="26">
        <f t="shared" si="0"/>
        <v>158.79635928000002</v>
      </c>
      <c r="R4" s="26">
        <f t="shared" si="0"/>
        <v>155.62031472000001</v>
      </c>
      <c r="S4" s="26">
        <f t="shared" si="0"/>
        <v>167.68880387999999</v>
      </c>
      <c r="T4" s="26">
        <f t="shared" si="0"/>
        <v>189.60287111999995</v>
      </c>
      <c r="U4" s="26">
        <f t="shared" si="0"/>
        <v>171.81771516000003</v>
      </c>
      <c r="V4" s="26">
        <f t="shared" si="0"/>
        <v>164.38684860000001</v>
      </c>
      <c r="W4" s="26">
        <f t="shared" si="0"/>
        <v>154.84804452</v>
      </c>
      <c r="DA4" s="202" t="s">
        <v>1135</v>
      </c>
    </row>
    <row r="5" spans="1:105" ht="11.45" customHeight="1" x14ac:dyDescent="0.25">
      <c r="A5" s="107" t="s">
        <v>92</v>
      </c>
      <c r="B5" s="129">
        <v>221.89977107999997</v>
      </c>
      <c r="C5" s="129">
        <v>196.53996492000002</v>
      </c>
      <c r="D5" s="129">
        <v>209.21986799999999</v>
      </c>
      <c r="E5" s="129">
        <v>231.40976507999997</v>
      </c>
      <c r="F5" s="129">
        <v>228.23985600000003</v>
      </c>
      <c r="G5" s="129">
        <v>231.40976507999997</v>
      </c>
      <c r="H5" s="129">
        <v>221.89977107999997</v>
      </c>
      <c r="I5" s="129">
        <v>229.78706399999999</v>
      </c>
      <c r="J5" s="129">
        <v>232.97858063999999</v>
      </c>
      <c r="K5" s="129">
        <v>178.72333127999997</v>
      </c>
      <c r="L5" s="129">
        <v>188.29761443999999</v>
      </c>
      <c r="M5" s="129">
        <v>194.68064772</v>
      </c>
      <c r="N5" s="129">
        <v>175.53181464000002</v>
      </c>
      <c r="O5" s="129">
        <v>162.76574808000001</v>
      </c>
      <c r="P5" s="129">
        <v>169.14878136000002</v>
      </c>
      <c r="Q5" s="129">
        <v>158.79635928000002</v>
      </c>
      <c r="R5" s="129">
        <v>155.62031472000001</v>
      </c>
      <c r="S5" s="129">
        <v>167.68880387999999</v>
      </c>
      <c r="T5" s="129">
        <v>189.60287111999995</v>
      </c>
      <c r="U5" s="129">
        <v>171.81771516000003</v>
      </c>
      <c r="V5" s="129">
        <v>164.38684860000001</v>
      </c>
      <c r="W5" s="129">
        <v>154.84804452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221.89977107999999</v>
      </c>
      <c r="C8" s="79">
        <f t="shared" si="1"/>
        <v>196.53996492000002</v>
      </c>
      <c r="D8" s="79">
        <f t="shared" si="1"/>
        <v>209.21986799999999</v>
      </c>
      <c r="E8" s="79">
        <f t="shared" si="1"/>
        <v>231.40976507999997</v>
      </c>
      <c r="F8" s="79">
        <f t="shared" si="1"/>
        <v>228.23985600000006</v>
      </c>
      <c r="G8" s="79">
        <f t="shared" si="1"/>
        <v>231.40976507999997</v>
      </c>
      <c r="H8" s="79">
        <f t="shared" si="1"/>
        <v>221.89977107999997</v>
      </c>
      <c r="I8" s="79">
        <f t="shared" si="1"/>
        <v>229.78706399999996</v>
      </c>
      <c r="J8" s="79">
        <f t="shared" si="1"/>
        <v>232.97858063999996</v>
      </c>
      <c r="K8" s="79">
        <f t="shared" si="1"/>
        <v>178.72333127999994</v>
      </c>
      <c r="L8" s="79">
        <f t="shared" si="1"/>
        <v>188.29761444000002</v>
      </c>
      <c r="M8" s="79">
        <f t="shared" si="1"/>
        <v>194.68064772</v>
      </c>
      <c r="N8" s="79">
        <f t="shared" si="1"/>
        <v>175.53181464000005</v>
      </c>
      <c r="O8" s="79">
        <f t="shared" si="1"/>
        <v>162.76574807999998</v>
      </c>
      <c r="P8" s="79">
        <f t="shared" si="1"/>
        <v>169.14878136000002</v>
      </c>
      <c r="Q8" s="79">
        <f t="shared" si="1"/>
        <v>158.79635928000002</v>
      </c>
      <c r="R8" s="79">
        <f t="shared" si="1"/>
        <v>155.62031472000001</v>
      </c>
      <c r="S8" s="79">
        <f t="shared" si="1"/>
        <v>167.68880388000002</v>
      </c>
      <c r="T8" s="79">
        <f t="shared" si="1"/>
        <v>189.60287111999997</v>
      </c>
      <c r="U8" s="79">
        <f t="shared" si="1"/>
        <v>171.81771516000003</v>
      </c>
      <c r="V8" s="79">
        <f t="shared" si="1"/>
        <v>164.38684860000004</v>
      </c>
      <c r="W8" s="79">
        <f t="shared" si="1"/>
        <v>154.84804452000003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29.840211308154611</v>
      </c>
      <c r="C9" s="32">
        <f t="shared" si="2"/>
        <v>26.435483445862047</v>
      </c>
      <c r="D9" s="32">
        <f t="shared" si="2"/>
        <v>24.916004629919268</v>
      </c>
      <c r="E9" s="32">
        <f t="shared" si="2"/>
        <v>21.088506864710382</v>
      </c>
      <c r="F9" s="32">
        <f t="shared" si="2"/>
        <v>21.203254520425368</v>
      </c>
      <c r="G9" s="32">
        <f t="shared" si="2"/>
        <v>12.398030315388871</v>
      </c>
      <c r="H9" s="32">
        <f t="shared" si="2"/>
        <v>11.173728100697675</v>
      </c>
      <c r="I9" s="32">
        <f t="shared" si="2"/>
        <v>10.071103725561475</v>
      </c>
      <c r="J9" s="32">
        <f t="shared" si="2"/>
        <v>10.421955586378468</v>
      </c>
      <c r="K9" s="32">
        <f t="shared" si="2"/>
        <v>9.0979408283709073</v>
      </c>
      <c r="L9" s="32">
        <f t="shared" si="2"/>
        <v>9.8954808459264942</v>
      </c>
      <c r="M9" s="32">
        <f t="shared" si="2"/>
        <v>10.850182229178323</v>
      </c>
      <c r="N9" s="32">
        <f t="shared" si="2"/>
        <v>10.292059756324955</v>
      </c>
      <c r="O9" s="32">
        <f t="shared" si="2"/>
        <v>9.9530786241544558</v>
      </c>
      <c r="P9" s="32">
        <f t="shared" si="2"/>
        <v>8.7444946798279695</v>
      </c>
      <c r="Q9" s="32">
        <f t="shared" si="2"/>
        <v>8.9827269688314981</v>
      </c>
      <c r="R9" s="32">
        <f t="shared" si="2"/>
        <v>8.155380439598261</v>
      </c>
      <c r="S9" s="32">
        <f t="shared" si="2"/>
        <v>10.307093458088847</v>
      </c>
      <c r="T9" s="32">
        <f t="shared" si="2"/>
        <v>11.224001684658063</v>
      </c>
      <c r="U9" s="32">
        <f t="shared" si="2"/>
        <v>11.591441728306764</v>
      </c>
      <c r="V9" s="32">
        <f t="shared" si="2"/>
        <v>9.198491764677815</v>
      </c>
      <c r="W9" s="32">
        <f t="shared" si="2"/>
        <v>11.187650931217288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29.840211308154611</v>
      </c>
      <c r="C11" s="130">
        <f t="shared" si="3"/>
        <v>26.435483445862047</v>
      </c>
      <c r="D11" s="130">
        <f t="shared" si="3"/>
        <v>24.916004629919268</v>
      </c>
      <c r="E11" s="130">
        <f t="shared" si="3"/>
        <v>21.088506864710382</v>
      </c>
      <c r="F11" s="130">
        <f t="shared" si="3"/>
        <v>21.203254520425368</v>
      </c>
      <c r="G11" s="130">
        <f t="shared" si="3"/>
        <v>12.398030315388871</v>
      </c>
      <c r="H11" s="130">
        <f t="shared" si="3"/>
        <v>11.173728100697675</v>
      </c>
      <c r="I11" s="130">
        <f t="shared" si="3"/>
        <v>10.071103725561475</v>
      </c>
      <c r="J11" s="130">
        <f t="shared" si="3"/>
        <v>10.421955586378468</v>
      </c>
      <c r="K11" s="130">
        <f t="shared" si="3"/>
        <v>9.0979408283709073</v>
      </c>
      <c r="L11" s="130">
        <f t="shared" si="3"/>
        <v>9.8954808459264942</v>
      </c>
      <c r="M11" s="130">
        <f t="shared" si="3"/>
        <v>10.850182229178323</v>
      </c>
      <c r="N11" s="130">
        <f t="shared" si="3"/>
        <v>10.292059756324955</v>
      </c>
      <c r="O11" s="130">
        <f t="shared" si="3"/>
        <v>9.9530786241544558</v>
      </c>
      <c r="P11" s="130">
        <f t="shared" si="3"/>
        <v>8.7444946798279695</v>
      </c>
      <c r="Q11" s="130">
        <f t="shared" si="3"/>
        <v>8.9827269688314981</v>
      </c>
      <c r="R11" s="130">
        <f t="shared" si="3"/>
        <v>8.155380439598261</v>
      </c>
      <c r="S11" s="130">
        <f t="shared" si="3"/>
        <v>10.307093458088847</v>
      </c>
      <c r="T11" s="130">
        <f t="shared" si="3"/>
        <v>11.224001684658063</v>
      </c>
      <c r="U11" s="130">
        <f t="shared" si="3"/>
        <v>11.591441728306764</v>
      </c>
      <c r="V11" s="130">
        <f t="shared" si="3"/>
        <v>9.198491764677815</v>
      </c>
      <c r="W11" s="130">
        <f t="shared" si="3"/>
        <v>11.187650931217288</v>
      </c>
      <c r="DA11" s="176" t="s">
        <v>408</v>
      </c>
    </row>
    <row r="12" spans="1:105" ht="11.45" customHeight="1" x14ac:dyDescent="0.25">
      <c r="A12" s="111" t="s">
        <v>92</v>
      </c>
      <c r="B12" s="96">
        <v>29.840211308154611</v>
      </c>
      <c r="C12" s="96">
        <v>26.435483445862047</v>
      </c>
      <c r="D12" s="96">
        <v>24.916004629919268</v>
      </c>
      <c r="E12" s="96">
        <v>21.088506864710382</v>
      </c>
      <c r="F12" s="96">
        <v>21.203254520425368</v>
      </c>
      <c r="G12" s="96">
        <v>12.398030315388871</v>
      </c>
      <c r="H12" s="96">
        <v>11.173728100697675</v>
      </c>
      <c r="I12" s="96">
        <v>10.071103725561475</v>
      </c>
      <c r="J12" s="96">
        <v>10.421955586378468</v>
      </c>
      <c r="K12" s="96">
        <v>9.0979408283709073</v>
      </c>
      <c r="L12" s="96">
        <v>9.8954808459264942</v>
      </c>
      <c r="M12" s="96">
        <v>10.850182229178323</v>
      </c>
      <c r="N12" s="96">
        <v>10.292059756324955</v>
      </c>
      <c r="O12" s="96">
        <v>9.9530786241544558</v>
      </c>
      <c r="P12" s="96">
        <v>8.7444946798279695</v>
      </c>
      <c r="Q12" s="96">
        <v>8.9827269688314981</v>
      </c>
      <c r="R12" s="96">
        <v>8.155380439598261</v>
      </c>
      <c r="S12" s="96">
        <v>10.307093458088847</v>
      </c>
      <c r="T12" s="96">
        <v>11.224001684658063</v>
      </c>
      <c r="U12" s="96">
        <v>11.591441728306764</v>
      </c>
      <c r="V12" s="96">
        <v>9.198491764677815</v>
      </c>
      <c r="W12" s="96">
        <v>11.187650931217288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192.05955977184539</v>
      </c>
      <c r="C15" s="32">
        <f t="shared" si="4"/>
        <v>170.10448147413797</v>
      </c>
      <c r="D15" s="32">
        <f t="shared" si="4"/>
        <v>184.30386337008073</v>
      </c>
      <c r="E15" s="32">
        <f t="shared" si="4"/>
        <v>210.32125821528959</v>
      </c>
      <c r="F15" s="32">
        <f t="shared" si="4"/>
        <v>207.0366014795747</v>
      </c>
      <c r="G15" s="32">
        <f t="shared" si="4"/>
        <v>219.01173476461111</v>
      </c>
      <c r="H15" s="32">
        <f t="shared" si="4"/>
        <v>210.72604297930229</v>
      </c>
      <c r="I15" s="32">
        <f t="shared" si="4"/>
        <v>219.71596027443849</v>
      </c>
      <c r="J15" s="32">
        <f t="shared" si="4"/>
        <v>222.5566250536215</v>
      </c>
      <c r="K15" s="32">
        <f t="shared" si="4"/>
        <v>169.62539045162904</v>
      </c>
      <c r="L15" s="32">
        <f t="shared" si="4"/>
        <v>178.40213359407352</v>
      </c>
      <c r="M15" s="32">
        <f t="shared" si="4"/>
        <v>183.83046549082167</v>
      </c>
      <c r="N15" s="32">
        <f t="shared" si="4"/>
        <v>165.23975488367509</v>
      </c>
      <c r="O15" s="32">
        <f t="shared" si="4"/>
        <v>152.81266945584554</v>
      </c>
      <c r="P15" s="32">
        <f t="shared" si="4"/>
        <v>160.40428668017205</v>
      </c>
      <c r="Q15" s="32">
        <f t="shared" si="4"/>
        <v>149.81363231116853</v>
      </c>
      <c r="R15" s="32">
        <f t="shared" si="4"/>
        <v>147.46493428040174</v>
      </c>
      <c r="S15" s="32">
        <f t="shared" si="4"/>
        <v>157.38171042191118</v>
      </c>
      <c r="T15" s="32">
        <f t="shared" si="4"/>
        <v>178.3788694353419</v>
      </c>
      <c r="U15" s="32">
        <f t="shared" si="4"/>
        <v>160.22627343169327</v>
      </c>
      <c r="V15" s="32">
        <f t="shared" si="4"/>
        <v>155.18835683532222</v>
      </c>
      <c r="W15" s="32">
        <f t="shared" si="4"/>
        <v>143.66039358878274</v>
      </c>
      <c r="DA15" s="173" t="s">
        <v>413</v>
      </c>
    </row>
    <row r="16" spans="1:105" ht="11.45" customHeight="1" x14ac:dyDescent="0.25">
      <c r="A16" s="83" t="s">
        <v>92</v>
      </c>
      <c r="B16" s="96">
        <v>192.05955977184539</v>
      </c>
      <c r="C16" s="96">
        <v>170.10448147413797</v>
      </c>
      <c r="D16" s="96">
        <v>184.30386337008073</v>
      </c>
      <c r="E16" s="96">
        <v>210.32125821528959</v>
      </c>
      <c r="F16" s="96">
        <v>207.0366014795747</v>
      </c>
      <c r="G16" s="96">
        <v>219.01173476461111</v>
      </c>
      <c r="H16" s="96">
        <v>210.72604297930229</v>
      </c>
      <c r="I16" s="96">
        <v>219.71596027443849</v>
      </c>
      <c r="J16" s="96">
        <v>222.5566250536215</v>
      </c>
      <c r="K16" s="96">
        <v>169.62539045162904</v>
      </c>
      <c r="L16" s="96">
        <v>178.40213359407352</v>
      </c>
      <c r="M16" s="96">
        <v>183.83046549082167</v>
      </c>
      <c r="N16" s="96">
        <v>165.23975488367509</v>
      </c>
      <c r="O16" s="96">
        <v>152.81266945584554</v>
      </c>
      <c r="P16" s="96">
        <v>160.40428668017205</v>
      </c>
      <c r="Q16" s="96">
        <v>149.81363231116853</v>
      </c>
      <c r="R16" s="96">
        <v>147.46493428040174</v>
      </c>
      <c r="S16" s="96">
        <v>157.38171042191118</v>
      </c>
      <c r="T16" s="96">
        <v>178.3788694353419</v>
      </c>
      <c r="U16" s="96">
        <v>160.22627343169327</v>
      </c>
      <c r="V16" s="96">
        <v>155.18835683532222</v>
      </c>
      <c r="W16" s="96">
        <v>143.66039358878274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3.0765293421460531</v>
      </c>
      <c r="C22" s="134">
        <f>IF(C4=0,0,C4/TrRail_ene!C4)</f>
        <v>3.0773577609392988</v>
      </c>
      <c r="D22" s="134">
        <f>IF(D4=0,0,D4/TrRail_ene!D4)</f>
        <v>3.0788650700240421</v>
      </c>
      <c r="E22" s="134">
        <f>IF(E4=0,0,E4/TrRail_ene!E4)</f>
        <v>3.0775847762396755</v>
      </c>
      <c r="F22" s="134">
        <f>IF(F4=0,0,F4/TrRail_ene!F4)</f>
        <v>3.073679394719778</v>
      </c>
      <c r="G22" s="134">
        <f>IF(G4=0,0,G4/TrRail_ene!G4)</f>
        <v>3.0740694769406147</v>
      </c>
      <c r="H22" s="134">
        <f>IF(H4=0,0,H4/TrRail_ene!H4)</f>
        <v>3.07286607892331</v>
      </c>
      <c r="I22" s="134">
        <f>IF(I4=0,0,I4/TrRail_ene!I4)</f>
        <v>3.0738711229813669</v>
      </c>
      <c r="J22" s="134">
        <f>IF(J4=0,0,J4/TrRail_ene!J4)</f>
        <v>3.0672982970136888</v>
      </c>
      <c r="K22" s="134">
        <f>IF(K4=0,0,K4/TrRail_ene!K4)</f>
        <v>3.0523046894119927</v>
      </c>
      <c r="L22" s="134">
        <f>IF(L4=0,0,L4/TrRail_ene!L4)</f>
        <v>3.0548137190158871</v>
      </c>
      <c r="M22" s="134">
        <f>IF(M4=0,0,M4/TrRail_ene!M4)</f>
        <v>3.0604827175341347</v>
      </c>
      <c r="N22" s="134">
        <f>IF(N4=0,0,N4/TrRail_ene!N4)</f>
        <v>2.9169732873945313</v>
      </c>
      <c r="O22" s="134">
        <f>IF(O4=0,0,O4/TrRail_ene!O4)</f>
        <v>2.9544627558792227</v>
      </c>
      <c r="P22" s="134">
        <f>IF(P4=0,0,P4/TrRail_ene!P4)</f>
        <v>2.9104083880121734</v>
      </c>
      <c r="Q22" s="134">
        <f>IF(Q4=0,0,Q4/TrRail_ene!Q4)</f>
        <v>2.9462372149985487</v>
      </c>
      <c r="R22" s="134">
        <f>IF(R4=0,0,R4/TrRail_ene!R4)</f>
        <v>2.9384347848995338</v>
      </c>
      <c r="S22" s="134">
        <f>IF(S4=0,0,S4/TrRail_ene!S4)</f>
        <v>2.946415734683999</v>
      </c>
      <c r="T22" s="134">
        <f>IF(T4=0,0,T4/TrRail_ene!T4)</f>
        <v>2.9442500999747647</v>
      </c>
      <c r="U22" s="134">
        <f>IF(U4=0,0,U4/TrRail_ene!U4)</f>
        <v>2.9401145407995624</v>
      </c>
      <c r="V22" s="134">
        <f>IF(V4=0,0,V4/TrRail_ene!V4)</f>
        <v>2.9082182423054985</v>
      </c>
      <c r="W22" s="134">
        <f>IF(W4=0,0,W4/TrRail_ene!W4)</f>
        <v>2.8055066251773617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1.4817767982318282</v>
      </c>
      <c r="O23" s="129">
        <f>IF(O5=0,0,O5/SUM(TrRail_ene!O5:O7))</f>
        <v>1.5006529506007478</v>
      </c>
      <c r="P23" s="129">
        <f>IF(P5=0,0,P5/SUM(TrRail_ene!P5:P7))</f>
        <v>1.4792781731434959</v>
      </c>
      <c r="Q23" s="129">
        <f>IF(Q5=0,0,Q5/SUM(TrRail_ene!Q5:Q7))</f>
        <v>1.4994313877005818</v>
      </c>
      <c r="R23" s="129">
        <f>IF(R5=0,0,R5/SUM(TrRail_ene!R5:R7))</f>
        <v>1.4984106219562596</v>
      </c>
      <c r="S23" s="129">
        <f>IF(S5=0,0,S5/SUM(TrRail_ene!S5:S7))</f>
        <v>1.4997176152455567</v>
      </c>
      <c r="T23" s="129">
        <f>IF(T5=0,0,T5/SUM(TrRail_ene!T5:T7))</f>
        <v>1.5054935796145259</v>
      </c>
      <c r="U23" s="129">
        <f>IF(U5=0,0,U5/SUM(TrRail_ene!U5:U7))</f>
        <v>1.5032340680923859</v>
      </c>
      <c r="V23" s="129">
        <f>IF(V5=0,0,V5/SUM(TrRail_ene!V5:V7))</f>
        <v>1.4843661336972136</v>
      </c>
      <c r="W23" s="129">
        <f>IF(W5=0,0,W5/SUM(TrRail_ene!W5:W7))</f>
        <v>1.4297032103075533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12354.830023633855</v>
      </c>
      <c r="C26" s="54">
        <f>IF(C8=0,0,C8/TrRail_act!C14*1000)</f>
        <v>12363.875141709052</v>
      </c>
      <c r="D26" s="54">
        <f>IF(D8=0,0,D8/TrRail_act!D14*1000)</f>
        <v>12487.80267175964</v>
      </c>
      <c r="E26" s="54">
        <f>IF(E8=0,0,E8/TrRail_act!E14*1000)</f>
        <v>12729.501518675946</v>
      </c>
      <c r="F26" s="54">
        <f>IF(F8=0,0,F8/TrRail_act!F14*1000)</f>
        <v>12594.883149682661</v>
      </c>
      <c r="G26" s="54">
        <f>IF(G8=0,0,G8/TrRail_act!G14*1000)</f>
        <v>13114.205246975638</v>
      </c>
      <c r="H26" s="54">
        <f>IF(H8=0,0,H8/TrRail_act!H14*1000)</f>
        <v>13094.59503634232</v>
      </c>
      <c r="I26" s="54">
        <f>IF(I8=0,0,I8/TrRail_act!I14*1000)</f>
        <v>13101.766988091631</v>
      </c>
      <c r="J26" s="54">
        <f>IF(J8=0,0,J8/TrRail_act!J14*1000)</f>
        <v>12346.024701273065</v>
      </c>
      <c r="K26" s="54">
        <f>IF(K8=0,0,K8/TrRail_act!K14*1000)</f>
        <v>12069.094009005186</v>
      </c>
      <c r="L26" s="54">
        <f>IF(L8=0,0,L8/TrRail_act!L14*1000)</f>
        <v>11973.599530742531</v>
      </c>
      <c r="M26" s="54">
        <f>IF(M8=0,0,M8/TrRail_act!M14*1000)</f>
        <v>11468.361933401822</v>
      </c>
      <c r="N26" s="54">
        <f>IF(N8=0,0,N8/TrRail_act!N14*1000)</f>
        <v>10803.464019821466</v>
      </c>
      <c r="O26" s="54">
        <f>IF(O8=0,0,O8/TrRail_act!O14*1000)</f>
        <v>10722.441373642971</v>
      </c>
      <c r="P26" s="54">
        <f>IF(P8=0,0,P8/TrRail_act!P14*1000)</f>
        <v>10505.32357308578</v>
      </c>
      <c r="Q26" s="54">
        <f>IF(Q8=0,0,Q8/TrRail_act!Q14*1000)</f>
        <v>10451.285597506903</v>
      </c>
      <c r="R26" s="54">
        <f>IF(R8=0,0,R8/TrRail_act!R14*1000)</f>
        <v>10386.449674383715</v>
      </c>
      <c r="S26" s="54">
        <f>IF(S8=0,0,S8/TrRail_act!S14*1000)</f>
        <v>10325.713939057858</v>
      </c>
      <c r="T26" s="54">
        <f>IF(T8=0,0,T8/TrRail_act!T14*1000)</f>
        <v>10233.674558875049</v>
      </c>
      <c r="U26" s="54">
        <f>IF(U8=0,0,U8/TrRail_act!U14*1000)</f>
        <v>10122.096649987989</v>
      </c>
      <c r="V26" s="54">
        <f>IF(V8=0,0,V8/TrRail_act!V14*1000)</f>
        <v>10141.765154914208</v>
      </c>
      <c r="W26" s="54">
        <f>IF(W8=0,0,W8/TrRail_act!W14*1000)</f>
        <v>9646.6837127584367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6289.4352736656847</v>
      </c>
      <c r="C27" s="28">
        <f>IF(C9=0,0,C9/TrRail_act!C15*1000)</f>
        <v>6304.2698271341942</v>
      </c>
      <c r="D27" s="28">
        <f>IF(D9=0,0,D9/TrRail_act!D15*1000)</f>
        <v>6205.7190199740089</v>
      </c>
      <c r="E27" s="28">
        <f>IF(E9=0,0,E9/TrRail_act!E15*1000)</f>
        <v>5969.9497517000564</v>
      </c>
      <c r="F27" s="28">
        <f>IF(F9=0,0,F9/TrRail_act!F15*1000)</f>
        <v>5877.4980472675034</v>
      </c>
      <c r="G27" s="28">
        <f>IF(G9=0,0,G9/TrRail_act!G15*1000)</f>
        <v>5365.8454690255203</v>
      </c>
      <c r="H27" s="28">
        <f>IF(H9=0,0,H9/TrRail_act!H15*1000)</f>
        <v>5190.7650023380065</v>
      </c>
      <c r="I27" s="28">
        <f>IF(I9=0,0,I9/TrRail_act!I15*1000)</f>
        <v>5092.3454739868457</v>
      </c>
      <c r="J27" s="28">
        <f>IF(J9=0,0,J9/TrRail_act!J15*1000)</f>
        <v>4691.3182561599278</v>
      </c>
      <c r="K27" s="28">
        <f>IF(K9=0,0,K9/TrRail_act!K15*1000)</f>
        <v>4353.9839510622069</v>
      </c>
      <c r="L27" s="28">
        <f>IF(L9=0,0,L9/TrRail_act!L15*1000)</f>
        <v>4408.6182690206324</v>
      </c>
      <c r="M27" s="28">
        <f>IF(M9=0,0,M9/TrRail_act!M15*1000)</f>
        <v>4566.2859985307932</v>
      </c>
      <c r="N27" s="28">
        <f>IF(N9=0,0,N9/TrRail_act!N15*1000)</f>
        <v>4170.3718832914956</v>
      </c>
      <c r="O27" s="28">
        <f>IF(O9=0,0,O9/TrRail_act!O15*1000)</f>
        <v>4166.1932461419756</v>
      </c>
      <c r="P27" s="28">
        <f>IF(P9=0,0,P9/TrRail_act!P15*1000)</f>
        <v>3818.9230538233178</v>
      </c>
      <c r="Q27" s="28">
        <f>IF(Q9=0,0,Q9/TrRail_act!Q15*1000)</f>
        <v>3859.3911891599237</v>
      </c>
      <c r="R27" s="28">
        <f>IF(R9=0,0,R9/TrRail_act!R15*1000)</f>
        <v>3594.9050116361318</v>
      </c>
      <c r="S27" s="28">
        <f>IF(S9=0,0,S9/TrRail_act!S15*1000)</f>
        <v>3890.3726700038983</v>
      </c>
      <c r="T27" s="28">
        <f>IF(T9=0,0,T9/TrRail_act!T15*1000)</f>
        <v>3557.7723594073436</v>
      </c>
      <c r="U27" s="28">
        <f>IF(U9=0,0,U9/TrRail_act!U15*1000)</f>
        <v>3707.2494307744182</v>
      </c>
      <c r="V27" s="28">
        <f>IF(V9=0,0,V9/TrRail_act!V15*1000)</f>
        <v>3521.4988194017205</v>
      </c>
      <c r="W27" s="28">
        <f>IF(W9=0,0,W9/TrRail_act!W15*1000)</f>
        <v>3761.9572552939721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6289.4352736656847</v>
      </c>
      <c r="C29" s="110">
        <f>IF(C11=0,0,C11/TrRail_act!C17*1000)</f>
        <v>6304.2698271341942</v>
      </c>
      <c r="D29" s="110">
        <f>IF(D11=0,0,D11/TrRail_act!D17*1000)</f>
        <v>6205.7190199740089</v>
      </c>
      <c r="E29" s="110">
        <f>IF(E11=0,0,E11/TrRail_act!E17*1000)</f>
        <v>5969.9497517000564</v>
      </c>
      <c r="F29" s="110">
        <f>IF(F11=0,0,F11/TrRail_act!F17*1000)</f>
        <v>5877.4980472675034</v>
      </c>
      <c r="G29" s="110">
        <f>IF(G11=0,0,G11/TrRail_act!G17*1000)</f>
        <v>5365.8454690255203</v>
      </c>
      <c r="H29" s="110">
        <f>IF(H11=0,0,H11/TrRail_act!H17*1000)</f>
        <v>5190.7650023380065</v>
      </c>
      <c r="I29" s="110">
        <f>IF(I11=0,0,I11/TrRail_act!I17*1000)</f>
        <v>5092.3454739868457</v>
      </c>
      <c r="J29" s="110">
        <f>IF(J11=0,0,J11/TrRail_act!J17*1000)</f>
        <v>4691.3182561599278</v>
      </c>
      <c r="K29" s="110">
        <f>IF(K11=0,0,K11/TrRail_act!K17*1000)</f>
        <v>4353.9839510622069</v>
      </c>
      <c r="L29" s="110">
        <f>IF(L11=0,0,L11/TrRail_act!L17*1000)</f>
        <v>4408.6182690206324</v>
      </c>
      <c r="M29" s="110">
        <f>IF(M11=0,0,M11/TrRail_act!M17*1000)</f>
        <v>4566.2859985307932</v>
      </c>
      <c r="N29" s="110">
        <f>IF(N11=0,0,N11/TrRail_act!N17*1000)</f>
        <v>4170.3718832914956</v>
      </c>
      <c r="O29" s="110">
        <f>IF(O11=0,0,O11/TrRail_act!O17*1000)</f>
        <v>4166.1932461419756</v>
      </c>
      <c r="P29" s="110">
        <f>IF(P11=0,0,P11/TrRail_act!P17*1000)</f>
        <v>3818.9230538233178</v>
      </c>
      <c r="Q29" s="110">
        <f>IF(Q11=0,0,Q11/TrRail_act!Q17*1000)</f>
        <v>3859.3911891599237</v>
      </c>
      <c r="R29" s="110">
        <f>IF(R11=0,0,R11/TrRail_act!R17*1000)</f>
        <v>3594.9050116361318</v>
      </c>
      <c r="S29" s="110">
        <f>IF(S11=0,0,S11/TrRail_act!S17*1000)</f>
        <v>3890.3726700038983</v>
      </c>
      <c r="T29" s="110">
        <f>IF(T11=0,0,T11/TrRail_act!T17*1000)</f>
        <v>3557.7723594073436</v>
      </c>
      <c r="U29" s="110">
        <f>IF(U11=0,0,U11/TrRail_act!U17*1000)</f>
        <v>3707.2494307744182</v>
      </c>
      <c r="V29" s="110">
        <f>IF(V11=0,0,V11/TrRail_act!V17*1000)</f>
        <v>3521.4988194017205</v>
      </c>
      <c r="W29" s="110">
        <f>IF(W11=0,0,W11/TrRail_act!W17*1000)</f>
        <v>3761.9572552939721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6846.4883444213747</v>
      </c>
      <c r="C30" s="84">
        <f>IF(C12=0,0,C12/TrRail_act!C18*1000)</f>
        <v>6846.0274805675908</v>
      </c>
      <c r="D30" s="84">
        <f>IF(D12=0,0,D12/TrRail_act!D18*1000)</f>
        <v>6772.3926728281331</v>
      </c>
      <c r="E30" s="84">
        <f>IF(E12=0,0,E12/TrRail_act!E18*1000)</f>
        <v>6717.2280735608483</v>
      </c>
      <c r="F30" s="84">
        <f>IF(F12=0,0,F12/TrRail_act!F18*1000)</f>
        <v>6720.0476623462091</v>
      </c>
      <c r="G30" s="84">
        <f>IF(G12=0,0,G12/TrRail_act!G18*1000)</f>
        <v>6661.3211006092133</v>
      </c>
      <c r="H30" s="84">
        <f>IF(H12=0,0,H12/TrRail_act!H18*1000)</f>
        <v>6562.5101680832713</v>
      </c>
      <c r="I30" s="84">
        <f>IF(I12=0,0,I12/TrRail_act!I18*1000)</f>
        <v>6617.7819589456203</v>
      </c>
      <c r="J30" s="84">
        <f>IF(J12=0,0,J12/TrRail_act!J18*1000)</f>
        <v>6432.5443844337506</v>
      </c>
      <c r="K30" s="84">
        <f>IF(K12=0,0,K12/TrRail_act!K18*1000)</f>
        <v>6394.7373276328963</v>
      </c>
      <c r="L30" s="84">
        <f>IF(L12=0,0,L12/TrRail_act!L18*1000)</f>
        <v>6282.3773548367744</v>
      </c>
      <c r="M30" s="84">
        <f>IF(M12=0,0,M12/TrRail_act!M18*1000)</f>
        <v>6207.2879133720116</v>
      </c>
      <c r="N30" s="84">
        <f>IF(N12=0,0,N12/TrRail_act!N18*1000)</f>
        <v>5812.0647006690942</v>
      </c>
      <c r="O30" s="84">
        <f>IF(O12=0,0,O12/TrRail_act!O18*1000)</f>
        <v>5701.3530907963932</v>
      </c>
      <c r="P30" s="84">
        <f>IF(P12=0,0,P12/TrRail_act!P18*1000)</f>
        <v>5594.87416469459</v>
      </c>
      <c r="Q30" s="84">
        <f>IF(Q12=0,0,Q12/TrRail_act!Q18*1000)</f>
        <v>5641.3945585199453</v>
      </c>
      <c r="R30" s="84">
        <f>IF(R12=0,0,R12/TrRail_act!R18*1000)</f>
        <v>5587.3175231718997</v>
      </c>
      <c r="S30" s="84">
        <f>IF(S12=0,0,S12/TrRail_act!S18*1000)</f>
        <v>5554.7750824250752</v>
      </c>
      <c r="T30" s="84">
        <f>IF(T12=0,0,T12/TrRail_act!T18*1000)</f>
        <v>5548.1634898928396</v>
      </c>
      <c r="U30" s="84">
        <f>IF(U12=0,0,U12/TrRail_act!U18*1000)</f>
        <v>5518.9564801039442</v>
      </c>
      <c r="V30" s="84">
        <f>IF(V12=0,0,V12/TrRail_act!V18*1000)</f>
        <v>5434.2724684656023</v>
      </c>
      <c r="W30" s="84">
        <f>IF(W12=0,0,W12/TrRail_act!W18*1000)</f>
        <v>5223.0450859716948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14532.273834820455</v>
      </c>
      <c r="C33" s="28">
        <f>IF(C15=0,0,C15/TrRail_act!C21*1000)</f>
        <v>14535.066310759277</v>
      </c>
      <c r="D33" s="28">
        <f>IF(D15=0,0,D15/TrRail_act!D21*1000)</f>
        <v>14467.765474530304</v>
      </c>
      <c r="E33" s="28">
        <f>IF(E15=0,0,E15/TrRail_act!E21*1000)</f>
        <v>14359.762523550338</v>
      </c>
      <c r="F33" s="28">
        <f>IF(F15=0,0,F15/TrRail_act!F21*1000)</f>
        <v>14264.512557171995</v>
      </c>
      <c r="G33" s="28">
        <f>IF(G15=0,0,G15/TrRail_act!G21*1000)</f>
        <v>14281.646995032643</v>
      </c>
      <c r="H33" s="28">
        <f>IF(H15=0,0,H15/TrRail_act!H21*1000)</f>
        <v>14244.705592190399</v>
      </c>
      <c r="I33" s="28">
        <f>IF(I15=0,0,I15/TrRail_act!I21*1000)</f>
        <v>14119.71269235519</v>
      </c>
      <c r="J33" s="28">
        <f>IF(J15=0,0,J15/TrRail_act!J21*1000)</f>
        <v>13367.410003888766</v>
      </c>
      <c r="K33" s="28">
        <f>IF(K15=0,0,K15/TrRail_act!K21*1000)</f>
        <v>13336.608560677443</v>
      </c>
      <c r="L33" s="28">
        <f>IF(L15=0,0,L15/TrRail_act!L21*1000)</f>
        <v>13233.117564029088</v>
      </c>
      <c r="M33" s="28">
        <f>IF(M15=0,0,M15/TrRail_act!M21*1000)</f>
        <v>12591.728573547885</v>
      </c>
      <c r="N33" s="28">
        <f>IF(N15=0,0,N15/TrRail_act!N21*1000)</f>
        <v>11991.417781459319</v>
      </c>
      <c r="O33" s="28">
        <f>IF(O15=0,0,O15/TrRail_act!O21*1000)</f>
        <v>11946.979029591979</v>
      </c>
      <c r="P33" s="28">
        <f>IF(P15=0,0,P15/TrRail_act!P21*1000)</f>
        <v>11613.851096645585</v>
      </c>
      <c r="Q33" s="28">
        <f>IF(Q15=0,0,Q15/TrRail_act!Q21*1000)</f>
        <v>11643.737016065937</v>
      </c>
      <c r="R33" s="28">
        <f>IF(R15=0,0,R15/TrRail_act!R21*1000)</f>
        <v>11598.243787197791</v>
      </c>
      <c r="S33" s="28">
        <f>IF(S15=0,0,S15/TrRail_act!S21*1000)</f>
        <v>11580.240656834723</v>
      </c>
      <c r="T33" s="28">
        <f>IF(T15=0,0,T15/TrRail_act!T21*1000)</f>
        <v>11603.714255080677</v>
      </c>
      <c r="U33" s="28">
        <f>IF(U15=0,0,U15/TrRail_act!U21*1000)</f>
        <v>11570.503204686693</v>
      </c>
      <c r="V33" s="28">
        <f>IF(V15=0,0,V15/TrRail_act!V21*1000)</f>
        <v>11413.59120836066</v>
      </c>
      <c r="W33" s="28">
        <f>IF(W15=0,0,W15/TrRail_act!W21*1000)</f>
        <v>10984.844124661409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14532.273834820455</v>
      </c>
      <c r="C34" s="84">
        <f>IF(C16=0,0,C16/TrRail_act!C22*1000)</f>
        <v>14535.066310759277</v>
      </c>
      <c r="D34" s="84">
        <f>IF(D16=0,0,D16/TrRail_act!D22*1000)</f>
        <v>14467.765474530304</v>
      </c>
      <c r="E34" s="84">
        <f>IF(E16=0,0,E16/TrRail_act!E22*1000)</f>
        <v>14359.762523550338</v>
      </c>
      <c r="F34" s="84">
        <f>IF(F16=0,0,F16/TrRail_act!F22*1000)</f>
        <v>14264.512557171995</v>
      </c>
      <c r="G34" s="84">
        <f>IF(G16=0,0,G16/TrRail_act!G22*1000)</f>
        <v>14281.646995032643</v>
      </c>
      <c r="H34" s="84">
        <f>IF(H16=0,0,H16/TrRail_act!H22*1000)</f>
        <v>14244.705592190399</v>
      </c>
      <c r="I34" s="84">
        <f>IF(I16=0,0,I16/TrRail_act!I22*1000)</f>
        <v>14119.71269235519</v>
      </c>
      <c r="J34" s="84">
        <f>IF(J16=0,0,J16/TrRail_act!J22*1000)</f>
        <v>13367.410003888766</v>
      </c>
      <c r="K34" s="84">
        <f>IF(K16=0,0,K16/TrRail_act!K22*1000)</f>
        <v>13336.608560677443</v>
      </c>
      <c r="L34" s="84">
        <f>IF(L16=0,0,L16/TrRail_act!L22*1000)</f>
        <v>13233.117564029088</v>
      </c>
      <c r="M34" s="84">
        <f>IF(M16=0,0,M16/TrRail_act!M22*1000)</f>
        <v>12591.728573547885</v>
      </c>
      <c r="N34" s="84">
        <f>IF(N16=0,0,N16/TrRail_act!N22*1000)</f>
        <v>11991.417781459319</v>
      </c>
      <c r="O34" s="84">
        <f>IF(O16=0,0,O16/TrRail_act!O22*1000)</f>
        <v>11946.979029591979</v>
      </c>
      <c r="P34" s="84">
        <f>IF(P16=0,0,P16/TrRail_act!P22*1000)</f>
        <v>11613.851096645585</v>
      </c>
      <c r="Q34" s="84">
        <f>IF(Q16=0,0,Q16/TrRail_act!Q22*1000)</f>
        <v>11643.737016065937</v>
      </c>
      <c r="R34" s="84">
        <f>IF(R16=0,0,R16/TrRail_act!R22*1000)</f>
        <v>11598.243787197791</v>
      </c>
      <c r="S34" s="84">
        <f>IF(S16=0,0,S16/TrRail_act!S22*1000)</f>
        <v>11580.240656834723</v>
      </c>
      <c r="T34" s="84">
        <f>IF(T16=0,0,T16/TrRail_act!T22*1000)</f>
        <v>11603.714255080677</v>
      </c>
      <c r="U34" s="84">
        <f>IF(U16=0,0,U16/TrRail_act!U22*1000)</f>
        <v>11570.503204686693</v>
      </c>
      <c r="V34" s="84">
        <f>IF(V16=0,0,V16/TrRail_act!V22*1000)</f>
        <v>11413.59120836066</v>
      </c>
      <c r="W34" s="84">
        <f>IF(W16=0,0,W16/TrRail_act!W22*1000)</f>
        <v>10984.844124661409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48.838316379958449</v>
      </c>
      <c r="C38" s="29">
        <f>IF(C9=0,0,C9/TrRail_act!C4*1000)</f>
        <v>49.597529917189583</v>
      </c>
      <c r="D38" s="29">
        <f>IF(D9=0,0,D9/TrRail_act!D4*1000)</f>
        <v>50.032137811082862</v>
      </c>
      <c r="E38" s="29">
        <f>IF(E9=0,0,E9/TrRail_act!E4*1000)</f>
        <v>48.815988112755512</v>
      </c>
      <c r="F38" s="29">
        <f>IF(F9=0,0,F9/TrRail_act!F4*1000)</f>
        <v>47.755077748705787</v>
      </c>
      <c r="G38" s="29">
        <f>IF(G9=0,0,G9/TrRail_act!G4*1000)</f>
        <v>44.278679697817395</v>
      </c>
      <c r="H38" s="29">
        <f>IF(H9=0,0,H9/TrRail_act!H4*1000)</f>
        <v>41.693015301110727</v>
      </c>
      <c r="I38" s="29">
        <f>IF(I9=0,0,I9/TrRail_act!I4*1000)</f>
        <v>40.939446038867779</v>
      </c>
      <c r="J38" s="29">
        <f>IF(J9=0,0,J9/TrRail_act!J4*1000)</f>
        <v>40.395176691389409</v>
      </c>
      <c r="K38" s="29">
        <f>IF(K9=0,0,K9/TrRail_act!K4*1000)</f>
        <v>39.385025231042889</v>
      </c>
      <c r="L38" s="29">
        <f>IF(L9=0,0,L9/TrRail_act!L4*1000)</f>
        <v>40.555249368551202</v>
      </c>
      <c r="M38" s="29">
        <f>IF(M9=0,0,M9/TrRail_act!M4*1000)</f>
        <v>40.335249922595999</v>
      </c>
      <c r="N38" s="29">
        <f>IF(N9=0,0,N9/TrRail_act!N4*1000)</f>
        <v>37.021797684622136</v>
      </c>
      <c r="O38" s="29">
        <f>IF(O9=0,0,O9/TrRail_act!O4*1000)</f>
        <v>35.802441094080777</v>
      </c>
      <c r="P38" s="29">
        <f>IF(P9=0,0,P9/TrRail_act!P4*1000)</f>
        <v>32.387017332696182</v>
      </c>
      <c r="Q38" s="29">
        <f>IF(Q9=0,0,Q9/TrRail_act!Q4*1000)</f>
        <v>34.285217438288164</v>
      </c>
      <c r="R38" s="29">
        <f>IF(R9=0,0,R9/TrRail_act!R4*1000)</f>
        <v>29.126358712850934</v>
      </c>
      <c r="S38" s="29">
        <f>IF(S9=0,0,S9/TrRail_act!S4*1000)</f>
        <v>32.720931612980465</v>
      </c>
      <c r="T38" s="29">
        <f>IF(T9=0,0,T9/TrRail_act!T4*1000)</f>
        <v>31.706219448186619</v>
      </c>
      <c r="U38" s="29">
        <f>IF(U9=0,0,U9/TrRail_act!U4*1000)</f>
        <v>32.288138518960345</v>
      </c>
      <c r="V38" s="29">
        <f>IF(V9=0,0,V9/TrRail_act!V4*1000)</f>
        <v>38.812201538724956</v>
      </c>
      <c r="W38" s="29">
        <f>IF(W9=0,0,W9/TrRail_act!W4*1000)</f>
        <v>38.98136212967696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48.838316379958449</v>
      </c>
      <c r="C40" s="116">
        <f>IF(C11=0,0,C11/TrRail_act!C6*1000)</f>
        <v>49.597529917189583</v>
      </c>
      <c r="D40" s="116">
        <f>IF(D11=0,0,D11/TrRail_act!D6*1000)</f>
        <v>50.032137811082862</v>
      </c>
      <c r="E40" s="116">
        <f>IF(E11=0,0,E11/TrRail_act!E6*1000)</f>
        <v>48.815988112755512</v>
      </c>
      <c r="F40" s="116">
        <f>IF(F11=0,0,F11/TrRail_act!F6*1000)</f>
        <v>47.755077748705787</v>
      </c>
      <c r="G40" s="116">
        <f>IF(G11=0,0,G11/TrRail_act!G6*1000)</f>
        <v>44.278679697817395</v>
      </c>
      <c r="H40" s="116">
        <f>IF(H11=0,0,H11/TrRail_act!H6*1000)</f>
        <v>41.693015301110727</v>
      </c>
      <c r="I40" s="116">
        <f>IF(I11=0,0,I11/TrRail_act!I6*1000)</f>
        <v>40.939446038867779</v>
      </c>
      <c r="J40" s="116">
        <f>IF(J11=0,0,J11/TrRail_act!J6*1000)</f>
        <v>40.395176691389409</v>
      </c>
      <c r="K40" s="116">
        <f>IF(K11=0,0,K11/TrRail_act!K6*1000)</f>
        <v>39.385025231042889</v>
      </c>
      <c r="L40" s="116">
        <f>IF(L11=0,0,L11/TrRail_act!L6*1000)</f>
        <v>40.555249368551202</v>
      </c>
      <c r="M40" s="116">
        <f>IF(M11=0,0,M11/TrRail_act!M6*1000)</f>
        <v>40.335249922595999</v>
      </c>
      <c r="N40" s="116">
        <f>IF(N11=0,0,N11/TrRail_act!N6*1000)</f>
        <v>37.021797684622136</v>
      </c>
      <c r="O40" s="116">
        <f>IF(O11=0,0,O11/TrRail_act!O6*1000)</f>
        <v>35.802441094080777</v>
      </c>
      <c r="P40" s="116">
        <f>IF(P11=0,0,P11/TrRail_act!P6*1000)</f>
        <v>32.387017332696182</v>
      </c>
      <c r="Q40" s="116">
        <f>IF(Q11=0,0,Q11/TrRail_act!Q6*1000)</f>
        <v>34.285217438288164</v>
      </c>
      <c r="R40" s="116">
        <f>IF(R11=0,0,R11/TrRail_act!R6*1000)</f>
        <v>29.126358712850934</v>
      </c>
      <c r="S40" s="116">
        <f>IF(S11=0,0,S11/TrRail_act!S6*1000)</f>
        <v>32.720931612980465</v>
      </c>
      <c r="T40" s="116">
        <f>IF(T11=0,0,T11/TrRail_act!T6*1000)</f>
        <v>31.706219448186619</v>
      </c>
      <c r="U40" s="116">
        <f>IF(U11=0,0,U11/TrRail_act!U6*1000)</f>
        <v>32.288138518960345</v>
      </c>
      <c r="V40" s="116">
        <f>IF(V11=0,0,V11/TrRail_act!V6*1000)</f>
        <v>38.812201538724956</v>
      </c>
      <c r="W40" s="116">
        <f>IF(W11=0,0,W11/TrRail_act!W6*1000)</f>
        <v>38.98136212967696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54.327094489908418</v>
      </c>
      <c r="C41" s="87">
        <f>IF(C12=0,0,C12/TrRail_act!C7*1000)</f>
        <v>54.928789232579049</v>
      </c>
      <c r="D41" s="87">
        <f>IF(D12=0,0,D12/TrRail_act!D7*1000)</f>
        <v>55.912944051315087</v>
      </c>
      <c r="E41" s="87">
        <f>IF(E12=0,0,E12/TrRail_act!E7*1000)</f>
        <v>56.672077542367681</v>
      </c>
      <c r="F41" s="87">
        <f>IF(F12=0,0,F12/TrRail_act!F7*1000)</f>
        <v>56.87781032120553</v>
      </c>
      <c r="G41" s="87">
        <f>IF(G12=0,0,G12/TrRail_act!G7*1000)</f>
        <v>56.280046698338623</v>
      </c>
      <c r="H41" s="87">
        <f>IF(H12=0,0,H12/TrRail_act!H7*1000)</f>
        <v>53.891169021685528</v>
      </c>
      <c r="I41" s="87">
        <f>IF(I12=0,0,I12/TrRail_act!I7*1000)</f>
        <v>55.106297181958745</v>
      </c>
      <c r="J41" s="87">
        <f>IF(J12=0,0,J12/TrRail_act!J7*1000)</f>
        <v>55.004567718848079</v>
      </c>
      <c r="K41" s="87">
        <f>IF(K12=0,0,K12/TrRail_act!K7*1000)</f>
        <v>56.747548027843322</v>
      </c>
      <c r="L41" s="87">
        <f>IF(L12=0,0,L12/TrRail_act!L7*1000)</f>
        <v>56.453387064802797</v>
      </c>
      <c r="M41" s="87">
        <f>IF(M12=0,0,M12/TrRail_act!M7*1000)</f>
        <v>55.923271300290864</v>
      </c>
      <c r="N41" s="87">
        <f>IF(N12=0,0,N12/TrRail_act!N7*1000)</f>
        <v>51.769406160979116</v>
      </c>
      <c r="O41" s="87">
        <f>IF(O12=0,0,O12/TrRail_act!O7*1000)</f>
        <v>50.56834986283571</v>
      </c>
      <c r="P41" s="87">
        <f>IF(P12=0,0,P12/TrRail_act!P7*1000)</f>
        <v>49.146872789294136</v>
      </c>
      <c r="Q41" s="87">
        <f>IF(Q12=0,0,Q12/TrRail_act!Q7*1000)</f>
        <v>49.681860549385185</v>
      </c>
      <c r="R41" s="87">
        <f>IF(R12=0,0,R12/TrRail_act!R7*1000)</f>
        <v>41.963681246177131</v>
      </c>
      <c r="S41" s="87">
        <f>IF(S12=0,0,S12/TrRail_act!S7*1000)</f>
        <v>45.304099459556397</v>
      </c>
      <c r="T41" s="87">
        <f>IF(T12=0,0,T12/TrRail_act!T7*1000)</f>
        <v>44.740463738074666</v>
      </c>
      <c r="U41" s="87">
        <f>IF(U12=0,0,U12/TrRail_act!U7*1000)</f>
        <v>44.053130272837855</v>
      </c>
      <c r="V41" s="87">
        <f>IF(V12=0,0,V12/TrRail_act!V7*1000)</f>
        <v>51.965735579955329</v>
      </c>
      <c r="W41" s="87">
        <f>IF(W12=0,0,W12/TrRail_act!W7*1000)</f>
        <v>51.84413096861995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21.536169519157362</v>
      </c>
      <c r="C44" s="29">
        <f>IF(C15=0,0,C15/TrRail_act!C10*1000)</f>
        <v>21.974484107239114</v>
      </c>
      <c r="D44" s="29">
        <f>IF(D15=0,0,D15/TrRail_act!D10*1000)</f>
        <v>18.87005870483063</v>
      </c>
      <c r="E44" s="29">
        <f>IF(E15=0,0,E15/TrRail_act!E10*1000)</f>
        <v>18.357445947044564</v>
      </c>
      <c r="F44" s="29">
        <f>IF(F15=0,0,F15/TrRail_act!F10*1000)</f>
        <v>17.7912349814879</v>
      </c>
      <c r="G44" s="29">
        <f>IF(G15=0,0,G15/TrRail_act!G10*1000)</f>
        <v>17.581418862054356</v>
      </c>
      <c r="H44" s="29">
        <f>IF(H15=0,0,H15/TrRail_act!H10*1000)</f>
        <v>16.340418965516616</v>
      </c>
      <c r="I44" s="29">
        <f>IF(I15=0,0,I15/TrRail_act!I10*1000)</f>
        <v>15.28671538818886</v>
      </c>
      <c r="J44" s="29">
        <f>IF(J15=0,0,J15/TrRail_act!J10*1000)</f>
        <v>15.090630936643713</v>
      </c>
      <c r="K44" s="29">
        <f>IF(K15=0,0,K15/TrRail_act!K10*1000)</f>
        <v>14.268623019147803</v>
      </c>
      <c r="L44" s="29">
        <f>IF(L15=0,0,L15/TrRail_act!L10*1000)</f>
        <v>13.282863047730887</v>
      </c>
      <c r="M44" s="29">
        <f>IF(M15=0,0,M15/TrRail_act!M10*1000)</f>
        <v>12.183885570706632</v>
      </c>
      <c r="N44" s="29">
        <f>IF(N15=0,0,N15/TrRail_act!N10*1000)</f>
        <v>11.659593203759179</v>
      </c>
      <c r="O44" s="29">
        <f>IF(O15=0,0,O15/TrRail_act!O10*1000)</f>
        <v>11.451788778165884</v>
      </c>
      <c r="P44" s="29">
        <f>IF(P15=0,0,P15/TrRail_act!P10*1000)</f>
        <v>11.211594791372898</v>
      </c>
      <c r="Q44" s="29">
        <f>IF(Q15=0,0,Q15/TrRail_act!Q10*1000)</f>
        <v>10.673527522881772</v>
      </c>
      <c r="R44" s="29">
        <f>IF(R15=0,0,R15/TrRail_act!R10*1000)</f>
        <v>10.693613798433773</v>
      </c>
      <c r="S44" s="29">
        <f>IF(S15=0,0,S15/TrRail_act!S10*1000)</f>
        <v>10.210309486305384</v>
      </c>
      <c r="T44" s="29">
        <f>IF(T15=0,0,T15/TrRail_act!T10*1000)</f>
        <v>10.564339321015215</v>
      </c>
      <c r="U44" s="29">
        <f>IF(U15=0,0,U15/TrRail_act!U10*1000)</f>
        <v>9.9021243082438186</v>
      </c>
      <c r="V44" s="29">
        <f>IF(V15=0,0,V15/TrRail_act!V10*1000)</f>
        <v>9.7818062928031662</v>
      </c>
      <c r="W44" s="29">
        <f>IF(W15=0,0,W15/TrRail_act!W10*1000)</f>
        <v>9.8627209658645292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21.536169519157362</v>
      </c>
      <c r="C45" s="87">
        <f>IF(C16=0,0,C16/TrRail_act!C11*1000)</f>
        <v>21.974484107239114</v>
      </c>
      <c r="D45" s="87">
        <f>IF(D16=0,0,D16/TrRail_act!D11*1000)</f>
        <v>18.87005870483063</v>
      </c>
      <c r="E45" s="87">
        <f>IF(E16=0,0,E16/TrRail_act!E11*1000)</f>
        <v>18.357445947044564</v>
      </c>
      <c r="F45" s="87">
        <f>IF(F16=0,0,F16/TrRail_act!F11*1000)</f>
        <v>17.7912349814879</v>
      </c>
      <c r="G45" s="87">
        <f>IF(G16=0,0,G16/TrRail_act!G11*1000)</f>
        <v>17.581418862054356</v>
      </c>
      <c r="H45" s="87">
        <f>IF(H16=0,0,H16/TrRail_act!H11*1000)</f>
        <v>16.340418965516616</v>
      </c>
      <c r="I45" s="87">
        <f>IF(I16=0,0,I16/TrRail_act!I11*1000)</f>
        <v>15.28671538818886</v>
      </c>
      <c r="J45" s="87">
        <f>IF(J16=0,0,J16/TrRail_act!J11*1000)</f>
        <v>15.090630936643713</v>
      </c>
      <c r="K45" s="87">
        <f>IF(K16=0,0,K16/TrRail_act!K11*1000)</f>
        <v>14.268623019147803</v>
      </c>
      <c r="L45" s="87">
        <f>IF(L16=0,0,L16/TrRail_act!L11*1000)</f>
        <v>13.282863047730887</v>
      </c>
      <c r="M45" s="87">
        <f>IF(M16=0,0,M16/TrRail_act!M11*1000)</f>
        <v>12.183885570706632</v>
      </c>
      <c r="N45" s="87">
        <f>IF(N16=0,0,N16/TrRail_act!N11*1000)</f>
        <v>11.659593203759179</v>
      </c>
      <c r="O45" s="87">
        <f>IF(O16=0,0,O16/TrRail_act!O11*1000)</f>
        <v>11.451788778165884</v>
      </c>
      <c r="P45" s="87">
        <f>IF(P16=0,0,P16/TrRail_act!P11*1000)</f>
        <v>11.211594791372898</v>
      </c>
      <c r="Q45" s="87">
        <f>IF(Q16=0,0,Q16/TrRail_act!Q11*1000)</f>
        <v>10.673527522881772</v>
      </c>
      <c r="R45" s="87">
        <f>IF(R16=0,0,R16/TrRail_act!R11*1000)</f>
        <v>10.693613798433773</v>
      </c>
      <c r="S45" s="87">
        <f>IF(S16=0,0,S16/TrRail_act!S11*1000)</f>
        <v>10.210309486305384</v>
      </c>
      <c r="T45" s="87">
        <f>IF(T16=0,0,T16/TrRail_act!T11*1000)</f>
        <v>10.564339321015215</v>
      </c>
      <c r="U45" s="87">
        <f>IF(U16=0,0,U16/TrRail_act!U11*1000)</f>
        <v>9.9021243082438186</v>
      </c>
      <c r="V45" s="87">
        <f>IF(V16=0,0,V16/TrRail_act!V11*1000)</f>
        <v>9.7818062928031662</v>
      </c>
      <c r="W45" s="87">
        <f>IF(W16=0,0,W16/TrRail_act!W11*1000)</f>
        <v>9.8627209658645292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2270.9958163178612</v>
      </c>
      <c r="C48" s="62">
        <f>IF(C8=0,0,1000000*C8/TrRail_act!C25/1000)</f>
        <v>2234.9501475483557</v>
      </c>
      <c r="D48" s="62">
        <f>IF(D8=0,0,1000000*D8/TrRail_act!D25/1000)</f>
        <v>2312.8090214156391</v>
      </c>
      <c r="E48" s="62">
        <f>IF(E8=0,0,1000000*E8/TrRail_act!E25/1000)</f>
        <v>2374.0645508816947</v>
      </c>
      <c r="F48" s="62">
        <f>IF(F8=0,0,1000000*F8/TrRail_act!F25/1000)</f>
        <v>2362.2247729288792</v>
      </c>
      <c r="G48" s="62">
        <f>IF(G8=0,0,1000000*G8/TrRail_act!G25/1000)</f>
        <v>2366.134242943021</v>
      </c>
      <c r="H48" s="62">
        <f>IF(H8=0,0,1000000*H8/TrRail_act!H25/1000)</f>
        <v>2406.9912883747097</v>
      </c>
      <c r="I48" s="62">
        <f>IF(I8=0,0,1000000*I8/TrRail_act!I25/1000)</f>
        <v>2466.539862778598</v>
      </c>
      <c r="J48" s="62">
        <f>IF(J8=0,0,1000000*J8/TrRail_act!J25/1000)</f>
        <v>2375.9686252747183</v>
      </c>
      <c r="K48" s="62">
        <f>IF(K8=0,0,1000000*K8/TrRail_act!K25/1000)</f>
        <v>1973.3521740493318</v>
      </c>
      <c r="L48" s="62">
        <f>IF(L8=0,0,1000000*L8/TrRail_act!L25/1000)</f>
        <v>2215.4288732255422</v>
      </c>
      <c r="M48" s="62">
        <f>IF(M8=0,0,1000000*M8/TrRail_act!M25/1000)</f>
        <v>2190.9829368599262</v>
      </c>
      <c r="N48" s="62">
        <f>IF(N8=0,0,1000000*N8/TrRail_act!N25/1000)</f>
        <v>2056.567434750089</v>
      </c>
      <c r="O48" s="62">
        <f>IF(O8=0,0,1000000*O8/TrRail_act!O25/1000)</f>
        <v>2035.0117951124557</v>
      </c>
      <c r="P48" s="62">
        <f>IF(P8=0,0,1000000*P8/TrRail_act!P25/1000)</f>
        <v>2005.9738885425206</v>
      </c>
      <c r="Q48" s="62">
        <f>IF(Q8=0,0,1000000*Q8/TrRail_act!Q25/1000)</f>
        <v>1988.7097218500271</v>
      </c>
      <c r="R48" s="62">
        <f>IF(R8=0,0,1000000*R8/TrRail_act!R25/1000)</f>
        <v>1977.485489076397</v>
      </c>
      <c r="S48" s="62">
        <f>IF(S8=0,0,1000000*S8/TrRail_act!S25/1000)</f>
        <v>1958.6321863649077</v>
      </c>
      <c r="T48" s="62">
        <f>IF(T8=0,0,1000000*T8/TrRail_act!T25/1000)</f>
        <v>1936.8037564843253</v>
      </c>
      <c r="U48" s="62">
        <f>IF(U8=0,0,1000000*U8/TrRail_act!U25/1000)</f>
        <v>1876.8751472438623</v>
      </c>
      <c r="V48" s="62">
        <f>IF(V8=0,0,1000000*V8/TrRail_act!V25/1000)</f>
        <v>1904.8522774904434</v>
      </c>
      <c r="W48" s="62">
        <f>IF(W8=0,0,1000000*W8/TrRail_act!W25/1000)</f>
        <v>1791.3266387887147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943.41528483667037</v>
      </c>
      <c r="C49" s="29">
        <f>IF(C9=0,0,1000000*C9/TrRail_act!C26/1000)</f>
        <v>928.63650957728851</v>
      </c>
      <c r="D49" s="29">
        <f>IF(D9=0,0,1000000*D9/TrRail_act!D26/1000)</f>
        <v>930.85783935888094</v>
      </c>
      <c r="E49" s="29">
        <f>IF(E9=0,0,1000000*E9/TrRail_act!E26/1000)</f>
        <v>869.94354845233067</v>
      </c>
      <c r="F49" s="29">
        <f>IF(F9=0,0,1000000*F9/TrRail_act!F26/1000)</f>
        <v>881.62468970328382</v>
      </c>
      <c r="G49" s="29">
        <f>IF(G9=0,0,1000000*G9/TrRail_act!G26/1000)</f>
        <v>586.89350968697943</v>
      </c>
      <c r="H49" s="29">
        <f>IF(H9=0,0,1000000*H9/TrRail_act!H26/1000)</f>
        <v>613.15808135005148</v>
      </c>
      <c r="I49" s="29">
        <f>IF(I9=0,0,1000000*I9/TrRail_act!I26/1000)</f>
        <v>655.79800441514499</v>
      </c>
      <c r="J49" s="29">
        <f>IF(J9=0,0,1000000*J9/TrRail_act!J26/1000)</f>
        <v>703.69768894069534</v>
      </c>
      <c r="K49" s="29">
        <f>IF(K9=0,0,1000000*K9/TrRail_act!K26/1000)</f>
        <v>653.09755159837357</v>
      </c>
      <c r="L49" s="29">
        <f>IF(L9=0,0,1000000*L9/TrRail_act!L26/1000)</f>
        <v>661.29270299306086</v>
      </c>
      <c r="M49" s="29">
        <f>IF(M9=0,0,1000000*M9/TrRail_act!M26/1000)</f>
        <v>684.17099127008203</v>
      </c>
      <c r="N49" s="29">
        <f>IF(N9=0,0,1000000*N9/TrRail_act!N26/1000)</f>
        <v>625.55574618271305</v>
      </c>
      <c r="O49" s="29">
        <f>IF(O9=0,0,1000000*O9/TrRail_act!O26/1000)</f>
        <v>620.97368529557139</v>
      </c>
      <c r="P49" s="29">
        <f>IF(P9=0,0,1000000*P9/TrRail_act!P26/1000)</f>
        <v>572.8384142567885</v>
      </c>
      <c r="Q49" s="29">
        <f>IF(Q9=0,0,1000000*Q9/TrRail_act!Q26/1000)</f>
        <v>578.90865080226365</v>
      </c>
      <c r="R49" s="29">
        <f>IF(R9=0,0,1000000*R9/TrRail_act!R26/1000)</f>
        <v>539.2357134723203</v>
      </c>
      <c r="S49" s="29">
        <f>IF(S9=0,0,1000000*S9/TrRail_act!S26/1000)</f>
        <v>583.55586847600262</v>
      </c>
      <c r="T49" s="29">
        <f>IF(T9=0,0,1000000*T9/TrRail_act!T26/1000)</f>
        <v>533.66581022088087</v>
      </c>
      <c r="U49" s="29">
        <f>IF(U9=0,0,1000000*U9/TrRail_act!U26/1000)</f>
        <v>544.46076451791578</v>
      </c>
      <c r="V49" s="29">
        <f>IF(V9=0,0,1000000*V9/TrRail_act!V26/1000)</f>
        <v>502.23861876791347</v>
      </c>
      <c r="W49" s="29">
        <f>IF(W9=0,0,1000000*W9/TrRail_act!W26/1000)</f>
        <v>531.40548269193721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943.41528483667037</v>
      </c>
      <c r="C51" s="116">
        <f>IF(C11=0,0,1000000*C11/TrRail_act!C28/1000)</f>
        <v>928.63650957728851</v>
      </c>
      <c r="D51" s="116">
        <f>IF(D11=0,0,1000000*D11/TrRail_act!D28/1000)</f>
        <v>930.85783935888094</v>
      </c>
      <c r="E51" s="116">
        <f>IF(E11=0,0,1000000*E11/TrRail_act!E28/1000)</f>
        <v>869.94354845233067</v>
      </c>
      <c r="F51" s="116">
        <f>IF(F11=0,0,1000000*F11/TrRail_act!F28/1000)</f>
        <v>881.62468970328382</v>
      </c>
      <c r="G51" s="116">
        <f>IF(G11=0,0,1000000*G11/TrRail_act!G28/1000)</f>
        <v>586.89350968697943</v>
      </c>
      <c r="H51" s="116">
        <f>IF(H11=0,0,1000000*H11/TrRail_act!H28/1000)</f>
        <v>613.15808135005148</v>
      </c>
      <c r="I51" s="116">
        <f>IF(I11=0,0,1000000*I11/TrRail_act!I28/1000)</f>
        <v>655.79800441514499</v>
      </c>
      <c r="J51" s="116">
        <f>IF(J11=0,0,1000000*J11/TrRail_act!J28/1000)</f>
        <v>703.69768894069534</v>
      </c>
      <c r="K51" s="116">
        <f>IF(K11=0,0,1000000*K11/TrRail_act!K28/1000)</f>
        <v>653.09755159837357</v>
      </c>
      <c r="L51" s="116">
        <f>IF(L11=0,0,1000000*L11/TrRail_act!L28/1000)</f>
        <v>661.29270299306086</v>
      </c>
      <c r="M51" s="116">
        <f>IF(M11=0,0,1000000*M11/TrRail_act!M28/1000)</f>
        <v>684.17099127008203</v>
      </c>
      <c r="N51" s="116">
        <f>IF(N11=0,0,1000000*N11/TrRail_act!N28/1000)</f>
        <v>625.55574618271305</v>
      </c>
      <c r="O51" s="116">
        <f>IF(O11=0,0,1000000*O11/TrRail_act!O28/1000)</f>
        <v>620.97368529557139</v>
      </c>
      <c r="P51" s="116">
        <f>IF(P11=0,0,1000000*P11/TrRail_act!P28/1000)</f>
        <v>572.8384142567885</v>
      </c>
      <c r="Q51" s="116">
        <f>IF(Q11=0,0,1000000*Q11/TrRail_act!Q28/1000)</f>
        <v>578.90865080226365</v>
      </c>
      <c r="R51" s="116">
        <f>IF(R11=0,0,1000000*R11/TrRail_act!R28/1000)</f>
        <v>539.2357134723203</v>
      </c>
      <c r="S51" s="116">
        <f>IF(S11=0,0,1000000*S11/TrRail_act!S28/1000)</f>
        <v>583.55586847600262</v>
      </c>
      <c r="T51" s="116">
        <f>IF(T11=0,0,1000000*T11/TrRail_act!T28/1000)</f>
        <v>533.66581022088087</v>
      </c>
      <c r="U51" s="116">
        <f>IF(U11=0,0,1000000*U11/TrRail_act!U28/1000)</f>
        <v>544.46076451791578</v>
      </c>
      <c r="V51" s="116">
        <f>IF(V11=0,0,1000000*V11/TrRail_act!V28/1000)</f>
        <v>502.23861876791347</v>
      </c>
      <c r="W51" s="116">
        <f>IF(W11=0,0,1000000*W11/TrRail_act!W28/1000)</f>
        <v>531.40548269193721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1026.9732513961303</v>
      </c>
      <c r="C52" s="87">
        <f>IF(C12=0,0,1000000*C12/TrRail_act!C29/1000)</f>
        <v>1010.8855273996418</v>
      </c>
      <c r="D52" s="87">
        <f>IF(D12=0,0,1000000*D12/TrRail_act!D29/1000)</f>
        <v>1015.8588945478757</v>
      </c>
      <c r="E52" s="87">
        <f>IF(E12=0,0,1000000*E12/TrRail_act!E29/1000)</f>
        <v>975.35402630323301</v>
      </c>
      <c r="F52" s="87">
        <f>IF(F12=0,0,1000000*F12/TrRail_act!F29/1000)</f>
        <v>1008.0071268678602</v>
      </c>
      <c r="G52" s="87">
        <f>IF(G12=0,0,1000000*G12/TrRail_act!G29/1000)</f>
        <v>683.87154385299664</v>
      </c>
      <c r="H52" s="87">
        <f>IF(H12=0,0,1000000*H12/TrRail_act!H29/1000)</f>
        <v>733.97728153644709</v>
      </c>
      <c r="I52" s="87">
        <f>IF(I12=0,0,1000000*I12/TrRail_act!I29/1000)</f>
        <v>817.59987796296537</v>
      </c>
      <c r="J52" s="87">
        <f>IF(J12=0,0,1000000*J12/TrRail_act!J29/1000)</f>
        <v>964.88162062830418</v>
      </c>
      <c r="K52" s="87">
        <f>IF(K12=0,0,1000000*K12/TrRail_act!K29/1000)</f>
        <v>959.21059853115923</v>
      </c>
      <c r="L52" s="87">
        <f>IF(L12=0,0,1000000*L12/TrRail_act!L29/1000)</f>
        <v>942.35656410413003</v>
      </c>
      <c r="M52" s="87">
        <f>IF(M12=0,0,1000000*M12/TrRail_act!M29/1000)</f>
        <v>931.09316045712239</v>
      </c>
      <c r="N52" s="87">
        <f>IF(N12=0,0,1000000*N12/TrRail_act!N29/1000)</f>
        <v>871.80963795756441</v>
      </c>
      <c r="O52" s="87">
        <f>IF(O12=0,0,1000000*O12/TrRail_act!O29/1000)</f>
        <v>855.20295543660995</v>
      </c>
      <c r="P52" s="87">
        <f>IF(P12=0,0,1000000*P12/TrRail_act!P29/1000)</f>
        <v>839.23105292374669</v>
      </c>
      <c r="Q52" s="87">
        <f>IF(Q12=0,0,1000000*Q12/TrRail_act!Q29/1000)</f>
        <v>846.20916997493975</v>
      </c>
      <c r="R52" s="87">
        <f>IF(R12=0,0,1000000*R12/TrRail_act!R29/1000)</f>
        <v>838.09762046855042</v>
      </c>
      <c r="S52" s="87">
        <f>IF(S12=0,0,1000000*S12/TrRail_act!S29/1000)</f>
        <v>833.21626144086406</v>
      </c>
      <c r="T52" s="87">
        <f>IF(T12=0,0,1000000*T12/TrRail_act!T29/1000)</f>
        <v>832.22446839357156</v>
      </c>
      <c r="U52" s="87">
        <f>IF(U12=0,0,1000000*U12/TrRail_act!U29/1000)</f>
        <v>827.84345665477042</v>
      </c>
      <c r="V52" s="87">
        <f>IF(V12=0,0,1000000*V12/TrRail_act!V29/1000)</f>
        <v>815.14083154965294</v>
      </c>
      <c r="W52" s="87">
        <f>IF(W12=0,0,1000000*W12/TrRail_act!W29/1000)</f>
        <v>783.45673543933628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2906.4547652369629</v>
      </c>
      <c r="C55" s="29">
        <f>IF(C15=0,0,1000000*C15/TrRail_act!C32/1000)</f>
        <v>2860.2295039838277</v>
      </c>
      <c r="D55" s="29">
        <f>IF(D15=0,0,1000000*D15/TrRail_act!D32/1000)</f>
        <v>2893.553051980276</v>
      </c>
      <c r="E55" s="29">
        <f>IF(E15=0,0,1000000*E15/TrRail_act!E32/1000)</f>
        <v>2871.9525026152487</v>
      </c>
      <c r="F55" s="29">
        <f>IF(F15=0,0,1000000*F15/TrRail_act!F32/1000)</f>
        <v>2852.9025091316662</v>
      </c>
      <c r="G55" s="29">
        <f>IF(G15=0,0,1000000*G15/TrRail_act!G32/1000)</f>
        <v>2856.3293841232316</v>
      </c>
      <c r="H55" s="29">
        <f>IF(H15=0,0,1000000*H15/TrRail_act!H32/1000)</f>
        <v>2848.9411087452345</v>
      </c>
      <c r="I55" s="29">
        <f>IF(I15=0,0,1000000*I15/TrRail_act!I32/1000)</f>
        <v>2823.9425100236053</v>
      </c>
      <c r="J55" s="29">
        <f>IF(J15=0,0,1000000*J15/TrRail_act!J32/1000)</f>
        <v>2673.4819834796044</v>
      </c>
      <c r="K55" s="29">
        <f>IF(K15=0,0,1000000*K15/TrRail_act!K32/1000)</f>
        <v>2213.3343041095809</v>
      </c>
      <c r="L55" s="29">
        <f>IF(L15=0,0,1000000*L15/TrRail_act!L32/1000)</f>
        <v>2547.5134287847427</v>
      </c>
      <c r="M55" s="29">
        <f>IF(M15=0,0,1000000*M15/TrRail_act!M32/1000)</f>
        <v>2518.345710807293</v>
      </c>
      <c r="N55" s="29">
        <f>IF(N15=0,0,1000000*N15/TrRail_act!N32/1000)</f>
        <v>2398.2835394176873</v>
      </c>
      <c r="O55" s="29">
        <f>IF(O15=0,0,1000000*O15/TrRail_act!O32/1000)</f>
        <v>2389.3957752831611</v>
      </c>
      <c r="P55" s="29">
        <f>IF(P15=0,0,1000000*P15/TrRail_act!P32/1000)</f>
        <v>2322.7701908704516</v>
      </c>
      <c r="Q55" s="29">
        <f>IF(Q15=0,0,1000000*Q15/TrRail_act!Q32/1000)</f>
        <v>2328.7474030521089</v>
      </c>
      <c r="R55" s="29">
        <f>IF(R15=0,0,1000000*R15/TrRail_act!R32/1000)</f>
        <v>2319.6487333177283</v>
      </c>
      <c r="S55" s="29">
        <f>IF(S15=0,0,1000000*S15/TrRail_act!S32/1000)</f>
        <v>2316.0481040805107</v>
      </c>
      <c r="T55" s="29">
        <f>IF(T15=0,0,1000000*T15/TrRail_act!T32/1000)</f>
        <v>2320.7428411510919</v>
      </c>
      <c r="U55" s="29">
        <f>IF(U15=0,0,1000000*U15/TrRail_act!U32/1000)</f>
        <v>2280.6452796532599</v>
      </c>
      <c r="V55" s="29">
        <f>IF(V15=0,0,1000000*V15/TrRail_act!V32/1000)</f>
        <v>2282.7182240879356</v>
      </c>
      <c r="W55" s="29">
        <f>IF(W15=0,0,1000000*W15/TrRail_act!W32/1000)</f>
        <v>2196.9687937355015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2906.4547652369629</v>
      </c>
      <c r="C56" s="87">
        <f>IF(C16=0,0,1000000*C16/TrRail_act!C33/1000)</f>
        <v>2860.2295039838277</v>
      </c>
      <c r="D56" s="87">
        <f>IF(D16=0,0,1000000*D16/TrRail_act!D33/1000)</f>
        <v>2893.553051980276</v>
      </c>
      <c r="E56" s="87">
        <f>IF(E16=0,0,1000000*E16/TrRail_act!E33/1000)</f>
        <v>2871.9525026152487</v>
      </c>
      <c r="F56" s="87">
        <f>IF(F16=0,0,1000000*F16/TrRail_act!F33/1000)</f>
        <v>2852.9025091316662</v>
      </c>
      <c r="G56" s="87">
        <f>IF(G16=0,0,1000000*G16/TrRail_act!G33/1000)</f>
        <v>2856.3293841232316</v>
      </c>
      <c r="H56" s="87">
        <f>IF(H16=0,0,1000000*H16/TrRail_act!H33/1000)</f>
        <v>2848.9411087452345</v>
      </c>
      <c r="I56" s="87">
        <f>IF(I16=0,0,1000000*I16/TrRail_act!I33/1000)</f>
        <v>2823.9425100236053</v>
      </c>
      <c r="J56" s="87">
        <f>IF(J16=0,0,1000000*J16/TrRail_act!J33/1000)</f>
        <v>2673.4819834796044</v>
      </c>
      <c r="K56" s="87">
        <f>IF(K16=0,0,1000000*K16/TrRail_act!K33/1000)</f>
        <v>2213.3343041095809</v>
      </c>
      <c r="L56" s="87">
        <f>IF(L16=0,0,1000000*L16/TrRail_act!L33/1000)</f>
        <v>2547.5134287847427</v>
      </c>
      <c r="M56" s="87">
        <f>IF(M16=0,0,1000000*M16/TrRail_act!M33/1000)</f>
        <v>2518.345710807293</v>
      </c>
      <c r="N56" s="87">
        <f>IF(N16=0,0,1000000*N16/TrRail_act!N33/1000)</f>
        <v>2398.2835394176873</v>
      </c>
      <c r="O56" s="87">
        <f>IF(O16=0,0,1000000*O16/TrRail_act!O33/1000)</f>
        <v>2389.3957752831611</v>
      </c>
      <c r="P56" s="87">
        <f>IF(P16=0,0,1000000*P16/TrRail_act!P33/1000)</f>
        <v>2322.7701908704516</v>
      </c>
      <c r="Q56" s="87">
        <f>IF(Q16=0,0,1000000*Q16/TrRail_act!Q33/1000)</f>
        <v>2328.7474030521089</v>
      </c>
      <c r="R56" s="87">
        <f>IF(R16=0,0,1000000*R16/TrRail_act!R33/1000)</f>
        <v>2319.6487333177283</v>
      </c>
      <c r="S56" s="87">
        <f>IF(S16=0,0,1000000*S16/TrRail_act!S33/1000)</f>
        <v>2316.0481040805107</v>
      </c>
      <c r="T56" s="87">
        <f>IF(T16=0,0,1000000*T16/TrRail_act!T33/1000)</f>
        <v>2320.7428411510919</v>
      </c>
      <c r="U56" s="87">
        <f>IF(U16=0,0,1000000*U16/TrRail_act!U33/1000)</f>
        <v>2280.6452796532599</v>
      </c>
      <c r="V56" s="87">
        <f>IF(V16=0,0,1000000*V16/TrRail_act!V33/1000)</f>
        <v>2282.7182240879356</v>
      </c>
      <c r="W56" s="87">
        <f>IF(W16=0,0,1000000*W16/TrRail_act!W33/1000)</f>
        <v>2196.9687937355015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0.1344760797314952</v>
      </c>
      <c r="C60" s="31">
        <f t="shared" ref="C60:V60" si="8">IF(C9=0,0,C9/C$8)</f>
        <v>0.13450436635939358</v>
      </c>
      <c r="D60" s="31">
        <f t="shared" si="8"/>
        <v>0.11909005042446193</v>
      </c>
      <c r="E60" s="31">
        <f t="shared" si="8"/>
        <v>9.1130583263934167E-2</v>
      </c>
      <c r="F60" s="31">
        <f t="shared" si="8"/>
        <v>9.2899000604107301E-2</v>
      </c>
      <c r="G60" s="31">
        <f t="shared" si="8"/>
        <v>5.3576089630888245E-2</v>
      </c>
      <c r="H60" s="31">
        <f t="shared" si="8"/>
        <v>5.0354842847806676E-2</v>
      </c>
      <c r="I60" s="31">
        <f t="shared" si="8"/>
        <v>4.382798383098483E-2</v>
      </c>
      <c r="J60" s="31">
        <f t="shared" si="8"/>
        <v>4.4733535408057717E-2</v>
      </c>
      <c r="K60" s="31">
        <f t="shared" si="8"/>
        <v>5.0905165896429405E-2</v>
      </c>
      <c r="L60" s="31">
        <f t="shared" si="8"/>
        <v>5.2552343136984529E-2</v>
      </c>
      <c r="M60" s="31">
        <f t="shared" si="8"/>
        <v>5.5733234691018846E-2</v>
      </c>
      <c r="N60" s="31">
        <f t="shared" si="8"/>
        <v>5.8633586039277513E-2</v>
      </c>
      <c r="O60" s="31">
        <f t="shared" si="8"/>
        <v>6.1149712034392394E-2</v>
      </c>
      <c r="P60" s="31">
        <f t="shared" si="8"/>
        <v>5.1697059887277741E-2</v>
      </c>
      <c r="Q60" s="31">
        <f t="shared" si="8"/>
        <v>5.6567587629591513E-2</v>
      </c>
      <c r="R60" s="31">
        <f t="shared" si="8"/>
        <v>5.2405628752723171E-2</v>
      </c>
      <c r="S60" s="31">
        <f t="shared" si="8"/>
        <v>6.1465603067123779E-2</v>
      </c>
      <c r="T60" s="31">
        <f t="shared" si="8"/>
        <v>5.9197424692764136E-2</v>
      </c>
      <c r="U60" s="31">
        <f t="shared" si="8"/>
        <v>6.7463600697475146E-2</v>
      </c>
      <c r="V60" s="31">
        <f t="shared" si="8"/>
        <v>5.5956372684413232E-2</v>
      </c>
      <c r="W60" s="31">
        <f t="shared" ref="W60" si="9">IF(W9=0,0,W9/W$8)</f>
        <v>7.2249223203928167E-2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0.1344760797314952</v>
      </c>
      <c r="C62" s="124">
        <f t="shared" ref="C62:V62" si="12">IF(C11=0,0,C11/C$8)</f>
        <v>0.13450436635939358</v>
      </c>
      <c r="D62" s="124">
        <f t="shared" si="12"/>
        <v>0.11909005042446193</v>
      </c>
      <c r="E62" s="124">
        <f t="shared" si="12"/>
        <v>9.1130583263934167E-2</v>
      </c>
      <c r="F62" s="124">
        <f t="shared" si="12"/>
        <v>9.2899000604107301E-2</v>
      </c>
      <c r="G62" s="124">
        <f t="shared" si="12"/>
        <v>5.3576089630888245E-2</v>
      </c>
      <c r="H62" s="124">
        <f t="shared" si="12"/>
        <v>5.0354842847806676E-2</v>
      </c>
      <c r="I62" s="124">
        <f t="shared" si="12"/>
        <v>4.382798383098483E-2</v>
      </c>
      <c r="J62" s="124">
        <f t="shared" si="12"/>
        <v>4.4733535408057717E-2</v>
      </c>
      <c r="K62" s="124">
        <f t="shared" si="12"/>
        <v>5.0905165896429405E-2</v>
      </c>
      <c r="L62" s="124">
        <f t="shared" si="12"/>
        <v>5.2552343136984529E-2</v>
      </c>
      <c r="M62" s="124">
        <f t="shared" si="12"/>
        <v>5.5733234691018846E-2</v>
      </c>
      <c r="N62" s="124">
        <f t="shared" si="12"/>
        <v>5.8633586039277513E-2</v>
      </c>
      <c r="O62" s="124">
        <f t="shared" si="12"/>
        <v>6.1149712034392394E-2</v>
      </c>
      <c r="P62" s="124">
        <f t="shared" si="12"/>
        <v>5.1697059887277741E-2</v>
      </c>
      <c r="Q62" s="124">
        <f t="shared" si="12"/>
        <v>5.6567587629591513E-2</v>
      </c>
      <c r="R62" s="124">
        <f t="shared" si="12"/>
        <v>5.2405628752723171E-2</v>
      </c>
      <c r="S62" s="124">
        <f t="shared" si="12"/>
        <v>6.1465603067123779E-2</v>
      </c>
      <c r="T62" s="124">
        <f t="shared" si="12"/>
        <v>5.9197424692764136E-2</v>
      </c>
      <c r="U62" s="124">
        <f t="shared" si="12"/>
        <v>6.7463600697475146E-2</v>
      </c>
      <c r="V62" s="124">
        <f t="shared" si="12"/>
        <v>5.5956372684413232E-2</v>
      </c>
      <c r="W62" s="124">
        <f t="shared" ref="W62" si="13">IF(W11=0,0,W11/W$8)</f>
        <v>7.2249223203928167E-2</v>
      </c>
      <c r="DA62" s="176"/>
    </row>
    <row r="63" spans="1:105" ht="11.45" customHeight="1" x14ac:dyDescent="0.25">
      <c r="A63" s="111" t="s">
        <v>92</v>
      </c>
      <c r="B63" s="125">
        <f t="shared" si="5"/>
        <v>0.1344760797314952</v>
      </c>
      <c r="C63" s="125">
        <f t="shared" ref="C63:V63" si="14">IF(C12=0,0,C12/C$8)</f>
        <v>0.13450436635939358</v>
      </c>
      <c r="D63" s="125">
        <f t="shared" si="14"/>
        <v>0.11909005042446193</v>
      </c>
      <c r="E63" s="125">
        <f t="shared" si="14"/>
        <v>9.1130583263934167E-2</v>
      </c>
      <c r="F63" s="125">
        <f t="shared" si="14"/>
        <v>9.2899000604107301E-2</v>
      </c>
      <c r="G63" s="125">
        <f t="shared" si="14"/>
        <v>5.3576089630888245E-2</v>
      </c>
      <c r="H63" s="125">
        <f t="shared" si="14"/>
        <v>5.0354842847806676E-2</v>
      </c>
      <c r="I63" s="125">
        <f t="shared" si="14"/>
        <v>4.382798383098483E-2</v>
      </c>
      <c r="J63" s="125">
        <f t="shared" si="14"/>
        <v>4.4733535408057717E-2</v>
      </c>
      <c r="K63" s="125">
        <f t="shared" si="14"/>
        <v>5.0905165896429405E-2</v>
      </c>
      <c r="L63" s="125">
        <f t="shared" si="14"/>
        <v>5.2552343136984529E-2</v>
      </c>
      <c r="M63" s="125">
        <f t="shared" si="14"/>
        <v>5.5733234691018846E-2</v>
      </c>
      <c r="N63" s="125">
        <f t="shared" si="14"/>
        <v>5.8633586039277513E-2</v>
      </c>
      <c r="O63" s="125">
        <f t="shared" si="14"/>
        <v>6.1149712034392394E-2</v>
      </c>
      <c r="P63" s="125">
        <f t="shared" si="14"/>
        <v>5.1697059887277741E-2</v>
      </c>
      <c r="Q63" s="125">
        <f t="shared" si="14"/>
        <v>5.6567587629591513E-2</v>
      </c>
      <c r="R63" s="125">
        <f t="shared" si="14"/>
        <v>5.2405628752723171E-2</v>
      </c>
      <c r="S63" s="125">
        <f t="shared" si="14"/>
        <v>6.1465603067123779E-2</v>
      </c>
      <c r="T63" s="125">
        <f t="shared" si="14"/>
        <v>5.9197424692764136E-2</v>
      </c>
      <c r="U63" s="125">
        <f t="shared" si="14"/>
        <v>6.7463600697475146E-2</v>
      </c>
      <c r="V63" s="125">
        <f t="shared" si="14"/>
        <v>5.5956372684413232E-2</v>
      </c>
      <c r="W63" s="125">
        <f t="shared" ref="W63" si="15">IF(W12=0,0,W12/W$8)</f>
        <v>7.2249223203928167E-2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0.86552392026850478</v>
      </c>
      <c r="C66" s="31">
        <f t="shared" ref="C66:V66" si="20">IF(C15=0,0,C15/C$8)</f>
        <v>0.86549563364060644</v>
      </c>
      <c r="D66" s="31">
        <f t="shared" si="20"/>
        <v>0.88090994957553814</v>
      </c>
      <c r="E66" s="31">
        <f t="shared" si="20"/>
        <v>0.9088694167360658</v>
      </c>
      <c r="F66" s="31">
        <f t="shared" si="20"/>
        <v>0.90710099939589273</v>
      </c>
      <c r="G66" s="31">
        <f t="shared" si="20"/>
        <v>0.94642391036911178</v>
      </c>
      <c r="H66" s="31">
        <f t="shared" si="20"/>
        <v>0.94964515715219333</v>
      </c>
      <c r="I66" s="31">
        <f t="shared" si="20"/>
        <v>0.95617201616901515</v>
      </c>
      <c r="J66" s="31">
        <f t="shared" si="20"/>
        <v>0.95526646459194231</v>
      </c>
      <c r="K66" s="31">
        <f t="shared" si="20"/>
        <v>0.94909483410357065</v>
      </c>
      <c r="L66" s="31">
        <f t="shared" si="20"/>
        <v>0.94744765686301546</v>
      </c>
      <c r="M66" s="31">
        <f t="shared" si="20"/>
        <v>0.94426676530898113</v>
      </c>
      <c r="N66" s="31">
        <f t="shared" si="20"/>
        <v>0.9413664139607224</v>
      </c>
      <c r="O66" s="31">
        <f t="shared" si="20"/>
        <v>0.93885028796560765</v>
      </c>
      <c r="P66" s="31">
        <f t="shared" si="20"/>
        <v>0.94830294011272231</v>
      </c>
      <c r="Q66" s="31">
        <f t="shared" si="20"/>
        <v>0.94343241237040854</v>
      </c>
      <c r="R66" s="31">
        <f t="shared" si="20"/>
        <v>0.94759437124727675</v>
      </c>
      <c r="S66" s="31">
        <f t="shared" si="20"/>
        <v>0.93853439693287621</v>
      </c>
      <c r="T66" s="31">
        <f t="shared" si="20"/>
        <v>0.94080257530723577</v>
      </c>
      <c r="U66" s="31">
        <f t="shared" si="20"/>
        <v>0.93253639930252485</v>
      </c>
      <c r="V66" s="31">
        <f t="shared" si="20"/>
        <v>0.94404362731558678</v>
      </c>
      <c r="W66" s="31">
        <f t="shared" ref="W66" si="21">IF(W15=0,0,W15/W$8)</f>
        <v>0.92775077679607176</v>
      </c>
      <c r="DA66" s="173"/>
    </row>
    <row r="67" spans="1:105" ht="11.45" customHeight="1" x14ac:dyDescent="0.25">
      <c r="A67" s="83" t="s">
        <v>92</v>
      </c>
      <c r="B67" s="125">
        <f t="shared" si="5"/>
        <v>0.86552392026850478</v>
      </c>
      <c r="C67" s="125">
        <f t="shared" ref="C67:V67" si="22">IF(C16=0,0,C16/C$8)</f>
        <v>0.86549563364060644</v>
      </c>
      <c r="D67" s="125">
        <f t="shared" si="22"/>
        <v>0.88090994957553814</v>
      </c>
      <c r="E67" s="125">
        <f t="shared" si="22"/>
        <v>0.9088694167360658</v>
      </c>
      <c r="F67" s="125">
        <f t="shared" si="22"/>
        <v>0.90710099939589273</v>
      </c>
      <c r="G67" s="125">
        <f t="shared" si="22"/>
        <v>0.94642391036911178</v>
      </c>
      <c r="H67" s="125">
        <f t="shared" si="22"/>
        <v>0.94964515715219333</v>
      </c>
      <c r="I67" s="125">
        <f t="shared" si="22"/>
        <v>0.95617201616901515</v>
      </c>
      <c r="J67" s="125">
        <f t="shared" si="22"/>
        <v>0.95526646459194231</v>
      </c>
      <c r="K67" s="125">
        <f t="shared" si="22"/>
        <v>0.94909483410357065</v>
      </c>
      <c r="L67" s="125">
        <f t="shared" si="22"/>
        <v>0.94744765686301546</v>
      </c>
      <c r="M67" s="125">
        <f t="shared" si="22"/>
        <v>0.94426676530898113</v>
      </c>
      <c r="N67" s="125">
        <f t="shared" si="22"/>
        <v>0.9413664139607224</v>
      </c>
      <c r="O67" s="125">
        <f t="shared" si="22"/>
        <v>0.93885028796560765</v>
      </c>
      <c r="P67" s="125">
        <f t="shared" si="22"/>
        <v>0.94830294011272231</v>
      </c>
      <c r="Q67" s="125">
        <f t="shared" si="22"/>
        <v>0.94343241237040854</v>
      </c>
      <c r="R67" s="125">
        <f t="shared" si="22"/>
        <v>0.94759437124727675</v>
      </c>
      <c r="S67" s="125">
        <f t="shared" si="22"/>
        <v>0.93853439693287621</v>
      </c>
      <c r="T67" s="125">
        <f t="shared" si="22"/>
        <v>0.94080257530723577</v>
      </c>
      <c r="U67" s="125">
        <f t="shared" si="22"/>
        <v>0.93253639930252485</v>
      </c>
      <c r="V67" s="125">
        <f t="shared" si="22"/>
        <v>0.94404362731558678</v>
      </c>
      <c r="W67" s="125">
        <f t="shared" ref="W67" si="23">IF(W16=0,0,W16/W$8)</f>
        <v>0.92775077679607176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615.0532979268836</v>
      </c>
      <c r="C4" s="11">
        <f t="shared" si="0"/>
        <v>829.85807833318836</v>
      </c>
      <c r="D4" s="11">
        <f t="shared" ref="D4:V4" si="1">SUM(D5:D7)</f>
        <v>759.84924987351246</v>
      </c>
      <c r="E4" s="11">
        <f t="shared" si="1"/>
        <v>879.70709414044006</v>
      </c>
      <c r="F4" s="11">
        <f t="shared" si="1"/>
        <v>953.05627589839401</v>
      </c>
      <c r="G4" s="11">
        <f t="shared" si="1"/>
        <v>1295.5114600702027</v>
      </c>
      <c r="H4" s="11">
        <f t="shared" si="1"/>
        <v>1548.2149344077536</v>
      </c>
      <c r="I4" s="11">
        <f t="shared" si="1"/>
        <v>1857.2888377971035</v>
      </c>
      <c r="J4" s="11">
        <f t="shared" si="1"/>
        <v>1860.7292887851215</v>
      </c>
      <c r="K4" s="11">
        <f t="shared" si="1"/>
        <v>1186.4944149790813</v>
      </c>
      <c r="L4" s="11">
        <f t="shared" si="1"/>
        <v>1518.5119342172181</v>
      </c>
      <c r="M4" s="11">
        <f t="shared" si="1"/>
        <v>1771.21973000717</v>
      </c>
      <c r="N4" s="11">
        <f t="shared" si="1"/>
        <v>2203.5497207322082</v>
      </c>
      <c r="O4" s="11">
        <f t="shared" si="1"/>
        <v>2464.445927913906</v>
      </c>
      <c r="P4" s="11">
        <f t="shared" si="1"/>
        <v>2686.7727878864853</v>
      </c>
      <c r="Q4" s="11">
        <f t="shared" si="1"/>
        <v>2970.617468035729</v>
      </c>
      <c r="R4" s="11">
        <f t="shared" si="1"/>
        <v>3323.7830616862361</v>
      </c>
      <c r="S4" s="11">
        <f t="shared" si="1"/>
        <v>3669.9993148975486</v>
      </c>
      <c r="T4" s="11">
        <f t="shared" si="1"/>
        <v>4498.6599837972572</v>
      </c>
      <c r="U4" s="11">
        <f t="shared" si="1"/>
        <v>4652.9396839025339</v>
      </c>
      <c r="V4" s="11">
        <f t="shared" si="1"/>
        <v>1311.7799920301995</v>
      </c>
      <c r="W4" s="11">
        <f t="shared" ref="W4" si="2">SUM(W5:W7)</f>
        <v>1867.4728868564309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456.02273027670674</v>
      </c>
      <c r="C6" s="84">
        <v>619.70128229649833</v>
      </c>
      <c r="D6" s="84">
        <v>571.41454979278637</v>
      </c>
      <c r="E6" s="84">
        <v>665.52309047254914</v>
      </c>
      <c r="F6" s="84">
        <v>722.192460897714</v>
      </c>
      <c r="G6" s="84">
        <v>1023.1962932256773</v>
      </c>
      <c r="H6" s="84">
        <v>1229.0209713569643</v>
      </c>
      <c r="I6" s="84">
        <v>1413.2255532725258</v>
      </c>
      <c r="J6" s="84">
        <v>1512.5717559683535</v>
      </c>
      <c r="K6" s="84">
        <v>938.50419030242188</v>
      </c>
      <c r="L6" s="84">
        <v>1298.1516268171292</v>
      </c>
      <c r="M6" s="84">
        <v>1604.4816588561682</v>
      </c>
      <c r="N6" s="84">
        <v>1984.3885869494779</v>
      </c>
      <c r="O6" s="84">
        <v>2146.9051777606269</v>
      </c>
      <c r="P6" s="84">
        <v>2268.6665688060011</v>
      </c>
      <c r="Q6" s="84">
        <v>2518.7505913215191</v>
      </c>
      <c r="R6" s="84">
        <v>2832.0597244138885</v>
      </c>
      <c r="S6" s="84">
        <v>3023.0483645771697</v>
      </c>
      <c r="T6" s="84">
        <v>3517.9397110616987</v>
      </c>
      <c r="U6" s="84">
        <v>3472.7670621605475</v>
      </c>
      <c r="V6" s="84">
        <v>1056.3511195431427</v>
      </c>
      <c r="W6" s="84">
        <v>1350.6868818205169</v>
      </c>
      <c r="DA6" s="171" t="s">
        <v>191</v>
      </c>
    </row>
    <row r="7" spans="1:105" ht="11.45" customHeight="1" x14ac:dyDescent="0.25">
      <c r="A7" s="83" t="s">
        <v>174</v>
      </c>
      <c r="B7" s="84">
        <v>159.03056765017689</v>
      </c>
      <c r="C7" s="84">
        <v>210.15679603669005</v>
      </c>
      <c r="D7" s="84">
        <v>188.43470008072615</v>
      </c>
      <c r="E7" s="84">
        <v>214.18400366789095</v>
      </c>
      <c r="F7" s="84">
        <v>230.86381500068001</v>
      </c>
      <c r="G7" s="84">
        <v>272.31516684452544</v>
      </c>
      <c r="H7" s="84">
        <v>319.19396305078931</v>
      </c>
      <c r="I7" s="84">
        <v>444.06328452457785</v>
      </c>
      <c r="J7" s="84">
        <v>348.15753281676808</v>
      </c>
      <c r="K7" s="84">
        <v>247.99022467665949</v>
      </c>
      <c r="L7" s="84">
        <v>220.36030740008894</v>
      </c>
      <c r="M7" s="84">
        <v>166.73807115100175</v>
      </c>
      <c r="N7" s="84">
        <v>219.16113378273013</v>
      </c>
      <c r="O7" s="84">
        <v>317.54075015327919</v>
      </c>
      <c r="P7" s="84">
        <v>418.10621908048392</v>
      </c>
      <c r="Q7" s="84">
        <v>451.86687671420975</v>
      </c>
      <c r="R7" s="84">
        <v>491.72333727234752</v>
      </c>
      <c r="S7" s="84">
        <v>646.95095032037887</v>
      </c>
      <c r="T7" s="84">
        <v>980.7202727355583</v>
      </c>
      <c r="U7" s="84">
        <v>1180.1726217419862</v>
      </c>
      <c r="V7" s="84">
        <v>255.42887248705688</v>
      </c>
      <c r="W7" s="84">
        <v>516.78600503591406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4.8915095265583552</v>
      </c>
      <c r="C8" s="13">
        <f t="shared" si="3"/>
        <v>5.2573800187271358</v>
      </c>
      <c r="D8" s="13">
        <f t="shared" ref="D8:V8" si="4">SUM(D9:D11)</f>
        <v>4.8453594758194827</v>
      </c>
      <c r="E8" s="13">
        <f t="shared" si="4"/>
        <v>2.8351736937811518</v>
      </c>
      <c r="F8" s="13">
        <f t="shared" si="4"/>
        <v>2.9029182409241985</v>
      </c>
      <c r="G8" s="13">
        <f t="shared" si="4"/>
        <v>3.5955510420781644</v>
      </c>
      <c r="H8" s="13">
        <f t="shared" si="4"/>
        <v>5.0065585148501368</v>
      </c>
      <c r="I8" s="13">
        <f t="shared" si="4"/>
        <v>6.3962529700150821</v>
      </c>
      <c r="J8" s="13">
        <f t="shared" si="4"/>
        <v>4.4566743645937752</v>
      </c>
      <c r="K8" s="13">
        <f t="shared" si="4"/>
        <v>2.5415259276831637</v>
      </c>
      <c r="L8" s="13">
        <f t="shared" si="4"/>
        <v>3.8373631344978443</v>
      </c>
      <c r="M8" s="13">
        <f t="shared" si="4"/>
        <v>4.2525825090264666</v>
      </c>
      <c r="N8" s="13">
        <f t="shared" si="4"/>
        <v>19.514690345688159</v>
      </c>
      <c r="O8" s="13">
        <f t="shared" si="4"/>
        <v>13.545675588943013</v>
      </c>
      <c r="P8" s="13">
        <f t="shared" si="4"/>
        <v>12.072911226473661</v>
      </c>
      <c r="Q8" s="13">
        <f t="shared" si="4"/>
        <v>12.838787338502474</v>
      </c>
      <c r="R8" s="13">
        <f t="shared" si="4"/>
        <v>11.5113844101416</v>
      </c>
      <c r="S8" s="13">
        <f t="shared" si="4"/>
        <v>10.811724057163744</v>
      </c>
      <c r="T8" s="13">
        <f t="shared" si="4"/>
        <v>13.516535385651503</v>
      </c>
      <c r="U8" s="13">
        <f t="shared" si="4"/>
        <v>15.609990781491064</v>
      </c>
      <c r="V8" s="13">
        <f t="shared" si="4"/>
        <v>15.538803210143399</v>
      </c>
      <c r="W8" s="13">
        <f t="shared" ref="W8" si="5">SUM(W9:W11)</f>
        <v>15.59165722581389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4.394064078177677</v>
      </c>
      <c r="C10" s="102">
        <v>4.7362716753251544</v>
      </c>
      <c r="D10" s="102">
        <v>4.3532133551550594</v>
      </c>
      <c r="E10" s="102">
        <v>2.3879242481851741</v>
      </c>
      <c r="F10" s="102">
        <v>2.360247486903186</v>
      </c>
      <c r="G10" s="102">
        <v>2.8867794133541027</v>
      </c>
      <c r="H10" s="102">
        <v>3.2669817112356854</v>
      </c>
      <c r="I10" s="102">
        <v>3.5977818901563809</v>
      </c>
      <c r="J10" s="102">
        <v>3.26537742025535</v>
      </c>
      <c r="K10" s="102">
        <v>2.355271995973196</v>
      </c>
      <c r="L10" s="102">
        <v>3.5464006288910253</v>
      </c>
      <c r="M10" s="102">
        <v>3.7667904607404039</v>
      </c>
      <c r="N10" s="102">
        <v>4.0136650094423532</v>
      </c>
      <c r="O10" s="102">
        <v>6.5833106002985717</v>
      </c>
      <c r="P10" s="102">
        <v>7.9209184298673962</v>
      </c>
      <c r="Q10" s="102">
        <v>8.6302810991955283</v>
      </c>
      <c r="R10" s="102">
        <v>8.4344378508338984</v>
      </c>
      <c r="S10" s="102">
        <v>9.1423006299175746</v>
      </c>
      <c r="T10" s="102">
        <v>10.244564675957003</v>
      </c>
      <c r="U10" s="102">
        <v>10.648692494548609</v>
      </c>
      <c r="V10" s="102">
        <v>9.4794508608889831</v>
      </c>
      <c r="W10" s="102">
        <v>10.052053161099147</v>
      </c>
      <c r="DA10" s="175" t="s">
        <v>195</v>
      </c>
    </row>
    <row r="11" spans="1:105" ht="11.45" customHeight="1" x14ac:dyDescent="0.25">
      <c r="A11" s="85" t="s">
        <v>174</v>
      </c>
      <c r="B11" s="86">
        <v>0.49744544838067839</v>
      </c>
      <c r="C11" s="86">
        <v>0.52110834340198164</v>
      </c>
      <c r="D11" s="86">
        <v>0.49214612066442354</v>
      </c>
      <c r="E11" s="86">
        <v>0.44724944559597779</v>
      </c>
      <c r="F11" s="86">
        <v>0.54267075402101272</v>
      </c>
      <c r="G11" s="86">
        <v>0.70877162872406185</v>
      </c>
      <c r="H11" s="86">
        <v>1.7395768036144512</v>
      </c>
      <c r="I11" s="86">
        <v>2.7984710798587007</v>
      </c>
      <c r="J11" s="86">
        <v>1.1912969443384247</v>
      </c>
      <c r="K11" s="86">
        <v>0.18625393170996746</v>
      </c>
      <c r="L11" s="86">
        <v>0.29096250560681897</v>
      </c>
      <c r="M11" s="86">
        <v>0.48579204828606259</v>
      </c>
      <c r="N11" s="86">
        <v>15.501025336245807</v>
      </c>
      <c r="O11" s="86">
        <v>6.962364988644441</v>
      </c>
      <c r="P11" s="86">
        <v>4.1519927966062635</v>
      </c>
      <c r="Q11" s="86">
        <v>4.2085062393069457</v>
      </c>
      <c r="R11" s="86">
        <v>3.0769465593077014</v>
      </c>
      <c r="S11" s="86">
        <v>1.6694234272461701</v>
      </c>
      <c r="T11" s="86">
        <v>3.2719707096944997</v>
      </c>
      <c r="U11" s="86">
        <v>4.9612982869424549</v>
      </c>
      <c r="V11" s="86">
        <v>6.0593523492544152</v>
      </c>
      <c r="W11" s="86">
        <v>5.5396040647147435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10.169621005085899</v>
      </c>
      <c r="C13" s="54">
        <f t="shared" si="6"/>
        <v>13.323448057413893</v>
      </c>
      <c r="D13" s="54">
        <f t="shared" ref="D13:V13" si="7">SUM(D14,D18)</f>
        <v>12.004494350716694</v>
      </c>
      <c r="E13" s="54">
        <f t="shared" si="7"/>
        <v>13.662102880695361</v>
      </c>
      <c r="F13" s="54">
        <f t="shared" si="7"/>
        <v>14.614422543898783</v>
      </c>
      <c r="G13" s="54">
        <f t="shared" si="7"/>
        <v>19.471276366083618</v>
      </c>
      <c r="H13" s="54">
        <f t="shared" si="7"/>
        <v>20.892404510309106</v>
      </c>
      <c r="I13" s="54">
        <f t="shared" si="7"/>
        <v>23.14049319658519</v>
      </c>
      <c r="J13" s="54">
        <f t="shared" si="7"/>
        <v>23.695740756983867</v>
      </c>
      <c r="K13" s="54">
        <f t="shared" si="7"/>
        <v>13.130451666326039</v>
      </c>
      <c r="L13" s="54">
        <f t="shared" si="7"/>
        <v>16.625156718715793</v>
      </c>
      <c r="M13" s="54">
        <f t="shared" si="7"/>
        <v>17.627671707311297</v>
      </c>
      <c r="N13" s="54">
        <f t="shared" si="7"/>
        <v>19.567063633937003</v>
      </c>
      <c r="O13" s="54">
        <f t="shared" si="7"/>
        <v>20.527407108315174</v>
      </c>
      <c r="P13" s="54">
        <f t="shared" si="7"/>
        <v>23.30573315547014</v>
      </c>
      <c r="Q13" s="54">
        <f t="shared" si="7"/>
        <v>24.987572890921165</v>
      </c>
      <c r="R13" s="54">
        <f t="shared" si="7"/>
        <v>26.643669749753251</v>
      </c>
      <c r="S13" s="54">
        <f t="shared" si="7"/>
        <v>28.311882208685471</v>
      </c>
      <c r="T13" s="54">
        <f t="shared" si="7"/>
        <v>32.655134215805816</v>
      </c>
      <c r="U13" s="54">
        <f t="shared" si="7"/>
        <v>33.411005248217634</v>
      </c>
      <c r="V13" s="54">
        <f t="shared" si="7"/>
        <v>13.368147135489336</v>
      </c>
      <c r="W13" s="54">
        <f t="shared" ref="W13" si="8">SUM(W14,W18)</f>
        <v>18.297333666390742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10.001830017736033</v>
      </c>
      <c r="C14" s="11">
        <f t="shared" si="9"/>
        <v>13.152320198579694</v>
      </c>
      <c r="D14" s="11">
        <f t="shared" ref="D14:V14" si="10">SUM(D15:D17)</f>
        <v>11.836703363366828</v>
      </c>
      <c r="E14" s="11">
        <f t="shared" si="10"/>
        <v>13.568480638863008</v>
      </c>
      <c r="F14" s="11">
        <f t="shared" si="10"/>
        <v>14.511277694928797</v>
      </c>
      <c r="G14" s="11">
        <f t="shared" si="10"/>
        <v>19.34185219655981</v>
      </c>
      <c r="H14" s="11">
        <f t="shared" si="10"/>
        <v>20.703774817345732</v>
      </c>
      <c r="I14" s="11">
        <f t="shared" si="10"/>
        <v>22.914631483210588</v>
      </c>
      <c r="J14" s="11">
        <f t="shared" si="10"/>
        <v>23.508128891061538</v>
      </c>
      <c r="K14" s="11">
        <f t="shared" si="10"/>
        <v>13.021282219549766</v>
      </c>
      <c r="L14" s="11">
        <f t="shared" si="10"/>
        <v>16.460062423076696</v>
      </c>
      <c r="M14" s="11">
        <f t="shared" si="10"/>
        <v>17.46340055390073</v>
      </c>
      <c r="N14" s="11">
        <f t="shared" si="10"/>
        <v>19.239399610310631</v>
      </c>
      <c r="O14" s="11">
        <f t="shared" si="10"/>
        <v>20.187628780339285</v>
      </c>
      <c r="P14" s="11">
        <f t="shared" si="10"/>
        <v>22.991019997147092</v>
      </c>
      <c r="Q14" s="11">
        <f t="shared" si="10"/>
        <v>24.651003219776776</v>
      </c>
      <c r="R14" s="11">
        <f t="shared" si="10"/>
        <v>26.350896548468342</v>
      </c>
      <c r="S14" s="11">
        <f t="shared" si="10"/>
        <v>27.987670333284974</v>
      </c>
      <c r="T14" s="11">
        <f t="shared" si="10"/>
        <v>32.280327170351271</v>
      </c>
      <c r="U14" s="11">
        <f t="shared" si="10"/>
        <v>33.025399809993594</v>
      </c>
      <c r="V14" s="11">
        <f t="shared" si="10"/>
        <v>12.894722432549207</v>
      </c>
      <c r="W14" s="11">
        <f t="shared" ref="W14" si="11">SUM(W15:W17)</f>
        <v>17.753453939397939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7.8107262111988955</v>
      </c>
      <c r="C16" s="84">
        <v>10.269554591361478</v>
      </c>
      <c r="D16" s="84">
        <v>9.2417094542421996</v>
      </c>
      <c r="E16" s="84">
        <v>10.594839758562607</v>
      </c>
      <c r="F16" s="84">
        <v>11.330643137052306</v>
      </c>
      <c r="G16" s="84">
        <v>15.63662596798838</v>
      </c>
      <c r="H16" s="84">
        <v>16.286941274534094</v>
      </c>
      <c r="I16" s="84">
        <v>17.595228372197383</v>
      </c>
      <c r="J16" s="84">
        <v>18.956446809126763</v>
      </c>
      <c r="K16" s="84">
        <v>10.222352629442634</v>
      </c>
      <c r="L16" s="84">
        <v>13.69265936174877</v>
      </c>
      <c r="M16" s="84">
        <v>14.81916348664689</v>
      </c>
      <c r="N16" s="84">
        <v>16.412637948529344</v>
      </c>
      <c r="O16" s="84">
        <v>17.190779772456015</v>
      </c>
      <c r="P16" s="84">
        <v>19.034808061912038</v>
      </c>
      <c r="Q16" s="84">
        <v>20.321420053388728</v>
      </c>
      <c r="R16" s="84">
        <v>21.771659381271146</v>
      </c>
      <c r="S16" s="84">
        <v>22.8248671459326</v>
      </c>
      <c r="T16" s="84">
        <v>25.387032344762048</v>
      </c>
      <c r="U16" s="84">
        <v>24.918308628685182</v>
      </c>
      <c r="V16" s="84">
        <v>10.577423606969372</v>
      </c>
      <c r="W16" s="84">
        <v>13.242156827647097</v>
      </c>
      <c r="DA16" s="171" t="s">
        <v>200</v>
      </c>
    </row>
    <row r="17" spans="1:105" ht="11.45" customHeight="1" x14ac:dyDescent="0.25">
      <c r="A17" s="83" t="s">
        <v>174</v>
      </c>
      <c r="B17" s="84">
        <v>2.1911038065371384</v>
      </c>
      <c r="C17" s="84">
        <v>2.8827656072182162</v>
      </c>
      <c r="D17" s="84">
        <v>2.594993909124629</v>
      </c>
      <c r="E17" s="84">
        <v>2.9736408803004015</v>
      </c>
      <c r="F17" s="84">
        <v>3.1806345578764912</v>
      </c>
      <c r="G17" s="84">
        <v>3.7052262285714286</v>
      </c>
      <c r="H17" s="84">
        <v>4.4168335428116361</v>
      </c>
      <c r="I17" s="84">
        <v>5.3194031110132052</v>
      </c>
      <c r="J17" s="84">
        <v>4.551682081934775</v>
      </c>
      <c r="K17" s="84">
        <v>2.7989295901071327</v>
      </c>
      <c r="L17" s="84">
        <v>2.767403061327927</v>
      </c>
      <c r="M17" s="84">
        <v>2.6442370672538416</v>
      </c>
      <c r="N17" s="84">
        <v>2.8267616617812856</v>
      </c>
      <c r="O17" s="84">
        <v>2.9968490078832692</v>
      </c>
      <c r="P17" s="84">
        <v>3.9562119352350531</v>
      </c>
      <c r="Q17" s="84">
        <v>4.3295831663880469</v>
      </c>
      <c r="R17" s="84">
        <v>4.5792371671971948</v>
      </c>
      <c r="S17" s="84">
        <v>5.1628031873523739</v>
      </c>
      <c r="T17" s="84">
        <v>6.8932948255892255</v>
      </c>
      <c r="U17" s="84">
        <v>8.1070911813084106</v>
      </c>
      <c r="V17" s="84">
        <v>2.3172988255798344</v>
      </c>
      <c r="W17" s="84">
        <v>4.5112971117508431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0.16779098734986578</v>
      </c>
      <c r="C18" s="13">
        <f t="shared" si="12"/>
        <v>0.17112785883419893</v>
      </c>
      <c r="D18" s="13">
        <f t="shared" ref="D18:V18" si="13">SUM(D19:D21)</f>
        <v>0.16779098734986578</v>
      </c>
      <c r="E18" s="13">
        <f t="shared" si="13"/>
        <v>9.362224183235289E-2</v>
      </c>
      <c r="F18" s="13">
        <f t="shared" si="13"/>
        <v>0.10314484896998569</v>
      </c>
      <c r="G18" s="13">
        <f t="shared" si="13"/>
        <v>0.12942416952380953</v>
      </c>
      <c r="H18" s="13">
        <f t="shared" si="13"/>
        <v>0.18862969296337317</v>
      </c>
      <c r="I18" s="13">
        <f t="shared" si="13"/>
        <v>0.22586171337460148</v>
      </c>
      <c r="J18" s="13">
        <f t="shared" si="13"/>
        <v>0.18761186592232768</v>
      </c>
      <c r="K18" s="13">
        <f t="shared" si="13"/>
        <v>0.10916944677627231</v>
      </c>
      <c r="L18" s="13">
        <f t="shared" si="13"/>
        <v>0.16509429563909775</v>
      </c>
      <c r="M18" s="13">
        <f t="shared" si="13"/>
        <v>0.16427115341056664</v>
      </c>
      <c r="N18" s="13">
        <f t="shared" si="13"/>
        <v>0.32766402362637359</v>
      </c>
      <c r="O18" s="13">
        <f t="shared" si="13"/>
        <v>0.33977832797588925</v>
      </c>
      <c r="P18" s="13">
        <f t="shared" si="13"/>
        <v>0.31471315832304886</v>
      </c>
      <c r="Q18" s="13">
        <f t="shared" si="13"/>
        <v>0.33656967114438902</v>
      </c>
      <c r="R18" s="13">
        <f t="shared" si="13"/>
        <v>0.29277320128490791</v>
      </c>
      <c r="S18" s="13">
        <f t="shared" si="13"/>
        <v>0.32421187540049834</v>
      </c>
      <c r="T18" s="13">
        <f t="shared" si="13"/>
        <v>0.37480704545454541</v>
      </c>
      <c r="U18" s="13">
        <f t="shared" si="13"/>
        <v>0.38560543822404009</v>
      </c>
      <c r="V18" s="13">
        <f t="shared" si="13"/>
        <v>0.47342470294012856</v>
      </c>
      <c r="W18" s="13">
        <f t="shared" ref="W18" si="14">SUM(W19:W21)</f>
        <v>0.54387972699280351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0.16079659827724199</v>
      </c>
      <c r="C20" s="102">
        <v>0.16413346976157514</v>
      </c>
      <c r="D20" s="102">
        <v>0.16079659827724199</v>
      </c>
      <c r="E20" s="102">
        <v>8.6627852759729118E-2</v>
      </c>
      <c r="F20" s="102">
        <v>9.4401862629205968E-2</v>
      </c>
      <c r="G20" s="102">
        <v>0.11728196952380954</v>
      </c>
      <c r="H20" s="102">
        <v>0.15780144594235482</v>
      </c>
      <c r="I20" s="102">
        <v>0.17542802899993806</v>
      </c>
      <c r="J20" s="102">
        <v>0.16570041683476708</v>
      </c>
      <c r="K20" s="102">
        <v>0.10613181496973609</v>
      </c>
      <c r="L20" s="102">
        <v>0.16042669563909775</v>
      </c>
      <c r="M20" s="102">
        <v>0.15631710689505465</v>
      </c>
      <c r="N20" s="102">
        <v>0.15393529285714286</v>
      </c>
      <c r="O20" s="102">
        <v>0.26141360572451233</v>
      </c>
      <c r="P20" s="102">
        <v>0.26939641247521806</v>
      </c>
      <c r="Q20" s="102">
        <v>0.28925860911511914</v>
      </c>
      <c r="R20" s="102">
        <v>0.26068858556822816</v>
      </c>
      <c r="S20" s="102">
        <v>0.30653412973471539</v>
      </c>
      <c r="T20" s="102">
        <v>0.34041504545454543</v>
      </c>
      <c r="U20" s="102">
        <v>0.3357089305317324</v>
      </c>
      <c r="V20" s="102">
        <v>0.38316677603624799</v>
      </c>
      <c r="W20" s="102">
        <v>0.45317729168947429</v>
      </c>
      <c r="DA20" s="175" t="s">
        <v>204</v>
      </c>
    </row>
    <row r="21" spans="1:105" ht="11.45" customHeight="1" x14ac:dyDescent="0.25">
      <c r="A21" s="85" t="s">
        <v>174</v>
      </c>
      <c r="B21" s="86">
        <v>6.9943890726237769E-3</v>
      </c>
      <c r="C21" s="86">
        <v>6.9943890726237769E-3</v>
      </c>
      <c r="D21" s="86">
        <v>6.9943890726237769E-3</v>
      </c>
      <c r="E21" s="86">
        <v>6.9943890726237769E-3</v>
      </c>
      <c r="F21" s="86">
        <v>8.7429863407797199E-3</v>
      </c>
      <c r="G21" s="86">
        <v>1.2142199999999999E-2</v>
      </c>
      <c r="H21" s="86">
        <v>3.0828247021018371E-2</v>
      </c>
      <c r="I21" s="86">
        <v>5.0433684374663411E-2</v>
      </c>
      <c r="J21" s="86">
        <v>2.1911449087560604E-2</v>
      </c>
      <c r="K21" s="86">
        <v>3.0376318065362283E-3</v>
      </c>
      <c r="L21" s="86">
        <v>4.6676E-3</v>
      </c>
      <c r="M21" s="86">
        <v>7.9540465155119987E-3</v>
      </c>
      <c r="N21" s="86">
        <v>0.17372873076923076</v>
      </c>
      <c r="O21" s="86">
        <v>7.8364722251376903E-2</v>
      </c>
      <c r="P21" s="86">
        <v>4.5316745847830776E-2</v>
      </c>
      <c r="Q21" s="86">
        <v>4.7311062029269879E-2</v>
      </c>
      <c r="R21" s="86">
        <v>3.2084615716679761E-2</v>
      </c>
      <c r="S21" s="86">
        <v>1.7677745665782965E-2</v>
      </c>
      <c r="T21" s="86">
        <v>3.4391999999999999E-2</v>
      </c>
      <c r="U21" s="86">
        <v>4.9896507692307697E-2</v>
      </c>
      <c r="V21" s="86">
        <v>9.0257926903880584E-2</v>
      </c>
      <c r="W21" s="86">
        <v>9.0702435303329179E-2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8131</v>
      </c>
      <c r="C23" s="54">
        <f t="shared" si="15"/>
        <v>10632</v>
      </c>
      <c r="D23" s="54">
        <f t="shared" ref="D23:V23" si="16">SUM(D24,D28)</f>
        <v>9584</v>
      </c>
      <c r="E23" s="54">
        <f t="shared" si="16"/>
        <v>10864</v>
      </c>
      <c r="F23" s="54">
        <f t="shared" si="16"/>
        <v>11622</v>
      </c>
      <c r="G23" s="54">
        <f t="shared" si="16"/>
        <v>15092</v>
      </c>
      <c r="H23" s="54">
        <f t="shared" si="16"/>
        <v>16099</v>
      </c>
      <c r="I23" s="54">
        <f t="shared" si="16"/>
        <v>17382</v>
      </c>
      <c r="J23" s="54">
        <f t="shared" si="16"/>
        <v>19961</v>
      </c>
      <c r="K23" s="54">
        <f t="shared" si="16"/>
        <v>13150</v>
      </c>
      <c r="L23" s="54">
        <f t="shared" si="16"/>
        <v>16020</v>
      </c>
      <c r="M23" s="54">
        <f t="shared" si="16"/>
        <v>16913</v>
      </c>
      <c r="N23" s="54">
        <f t="shared" si="16"/>
        <v>17861</v>
      </c>
      <c r="O23" s="54">
        <f t="shared" si="16"/>
        <v>17901</v>
      </c>
      <c r="P23" s="54">
        <f t="shared" si="16"/>
        <v>20082</v>
      </c>
      <c r="Q23" s="54">
        <f t="shared" si="16"/>
        <v>21274</v>
      </c>
      <c r="R23" s="54">
        <f t="shared" si="16"/>
        <v>22823</v>
      </c>
      <c r="S23" s="54">
        <f t="shared" si="16"/>
        <v>24124</v>
      </c>
      <c r="T23" s="54">
        <f t="shared" si="16"/>
        <v>26790</v>
      </c>
      <c r="U23" s="54">
        <f t="shared" si="16"/>
        <v>27431</v>
      </c>
      <c r="V23" s="54">
        <f t="shared" si="16"/>
        <v>11081</v>
      </c>
      <c r="W23" s="54">
        <f t="shared" ref="W23" si="17">SUM(W24,W28)</f>
        <v>13333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7926</v>
      </c>
      <c r="C24" s="11">
        <f t="shared" si="18"/>
        <v>10422</v>
      </c>
      <c r="D24" s="11">
        <f t="shared" ref="D24:V24" si="19">SUM(D25:D27)</f>
        <v>9379</v>
      </c>
      <c r="E24" s="11">
        <f t="shared" si="19"/>
        <v>10752</v>
      </c>
      <c r="F24" s="11">
        <f t="shared" si="19"/>
        <v>11499</v>
      </c>
      <c r="G24" s="11">
        <f t="shared" si="19"/>
        <v>14943</v>
      </c>
      <c r="H24" s="11">
        <f t="shared" si="19"/>
        <v>15908</v>
      </c>
      <c r="I24" s="11">
        <f t="shared" si="19"/>
        <v>17179</v>
      </c>
      <c r="J24" s="11">
        <f t="shared" si="19"/>
        <v>19783</v>
      </c>
      <c r="K24" s="11">
        <f t="shared" si="19"/>
        <v>13000</v>
      </c>
      <c r="L24" s="11">
        <f t="shared" si="19"/>
        <v>15828</v>
      </c>
      <c r="M24" s="11">
        <f t="shared" si="19"/>
        <v>16710</v>
      </c>
      <c r="N24" s="11">
        <f t="shared" si="19"/>
        <v>17587</v>
      </c>
      <c r="O24" s="11">
        <f t="shared" si="19"/>
        <v>17533</v>
      </c>
      <c r="P24" s="11">
        <f t="shared" si="19"/>
        <v>19718</v>
      </c>
      <c r="Q24" s="11">
        <f t="shared" si="19"/>
        <v>20878</v>
      </c>
      <c r="R24" s="11">
        <f t="shared" si="19"/>
        <v>22450</v>
      </c>
      <c r="S24" s="11">
        <f t="shared" si="19"/>
        <v>23675</v>
      </c>
      <c r="T24" s="11">
        <f t="shared" si="19"/>
        <v>26277</v>
      </c>
      <c r="U24" s="11">
        <f t="shared" si="19"/>
        <v>26899</v>
      </c>
      <c r="V24" s="11">
        <f t="shared" si="19"/>
        <v>10442</v>
      </c>
      <c r="W24" s="11">
        <f t="shared" ref="W24" si="20">SUM(W25:W27)</f>
        <v>12738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7058</v>
      </c>
      <c r="C26" s="84">
        <v>9280</v>
      </c>
      <c r="D26" s="84">
        <v>8351</v>
      </c>
      <c r="E26" s="84">
        <v>9574</v>
      </c>
      <c r="F26" s="84">
        <v>10239</v>
      </c>
      <c r="G26" s="84">
        <v>13467</v>
      </c>
      <c r="H26" s="84">
        <v>14161</v>
      </c>
      <c r="I26" s="84">
        <v>15003</v>
      </c>
      <c r="J26" s="84">
        <v>16831</v>
      </c>
      <c r="K26" s="84">
        <v>11248</v>
      </c>
      <c r="L26" s="84">
        <v>13933</v>
      </c>
      <c r="M26" s="84">
        <v>14553</v>
      </c>
      <c r="N26" s="84">
        <v>14989</v>
      </c>
      <c r="O26" s="84">
        <v>15040</v>
      </c>
      <c r="P26" s="84">
        <v>16534</v>
      </c>
      <c r="Q26" s="84">
        <v>17370</v>
      </c>
      <c r="R26" s="84">
        <v>18644</v>
      </c>
      <c r="S26" s="84">
        <v>19791</v>
      </c>
      <c r="T26" s="84">
        <v>21819</v>
      </c>
      <c r="U26" s="84">
        <v>21559</v>
      </c>
      <c r="V26" s="84">
        <v>9061</v>
      </c>
      <c r="W26" s="84">
        <v>10250</v>
      </c>
      <c r="DA26" s="171" t="s">
        <v>209</v>
      </c>
    </row>
    <row r="27" spans="1:105" ht="11.45" customHeight="1" x14ac:dyDescent="0.25">
      <c r="A27" s="83" t="s">
        <v>174</v>
      </c>
      <c r="B27" s="84">
        <v>868</v>
      </c>
      <c r="C27" s="84">
        <v>1142</v>
      </c>
      <c r="D27" s="84">
        <v>1028</v>
      </c>
      <c r="E27" s="84">
        <v>1178</v>
      </c>
      <c r="F27" s="84">
        <v>1260</v>
      </c>
      <c r="G27" s="84">
        <v>1476</v>
      </c>
      <c r="H27" s="84">
        <v>1747</v>
      </c>
      <c r="I27" s="84">
        <v>2176</v>
      </c>
      <c r="J27" s="84">
        <v>2952</v>
      </c>
      <c r="K27" s="84">
        <v>1752</v>
      </c>
      <c r="L27" s="84">
        <v>1895</v>
      </c>
      <c r="M27" s="84">
        <v>2157</v>
      </c>
      <c r="N27" s="84">
        <v>2598</v>
      </c>
      <c r="O27" s="84">
        <v>2493</v>
      </c>
      <c r="P27" s="84">
        <v>3184</v>
      </c>
      <c r="Q27" s="84">
        <v>3508</v>
      </c>
      <c r="R27" s="84">
        <v>3806</v>
      </c>
      <c r="S27" s="84">
        <v>3884</v>
      </c>
      <c r="T27" s="84">
        <v>4458</v>
      </c>
      <c r="U27" s="84">
        <v>5340</v>
      </c>
      <c r="V27" s="84">
        <v>1381</v>
      </c>
      <c r="W27" s="84">
        <v>2488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205</v>
      </c>
      <c r="C28" s="13">
        <f t="shared" si="21"/>
        <v>210</v>
      </c>
      <c r="D28" s="13">
        <f t="shared" ref="D28:V28" si="22">SUM(D29:D31)</f>
        <v>205</v>
      </c>
      <c r="E28" s="13">
        <f t="shared" si="22"/>
        <v>112</v>
      </c>
      <c r="F28" s="13">
        <f t="shared" si="22"/>
        <v>123</v>
      </c>
      <c r="G28" s="13">
        <f t="shared" si="22"/>
        <v>149</v>
      </c>
      <c r="H28" s="13">
        <f t="shared" si="22"/>
        <v>191</v>
      </c>
      <c r="I28" s="13">
        <f t="shared" si="22"/>
        <v>203</v>
      </c>
      <c r="J28" s="13">
        <f t="shared" si="22"/>
        <v>178</v>
      </c>
      <c r="K28" s="13">
        <f t="shared" si="22"/>
        <v>150</v>
      </c>
      <c r="L28" s="13">
        <f t="shared" si="22"/>
        <v>192</v>
      </c>
      <c r="M28" s="13">
        <f t="shared" si="22"/>
        <v>203</v>
      </c>
      <c r="N28" s="13">
        <f t="shared" si="22"/>
        <v>274</v>
      </c>
      <c r="O28" s="13">
        <f t="shared" si="22"/>
        <v>368</v>
      </c>
      <c r="P28" s="13">
        <f t="shared" si="22"/>
        <v>364</v>
      </c>
      <c r="Q28" s="13">
        <f t="shared" si="22"/>
        <v>396</v>
      </c>
      <c r="R28" s="13">
        <f t="shared" si="22"/>
        <v>373</v>
      </c>
      <c r="S28" s="13">
        <f t="shared" si="22"/>
        <v>449</v>
      </c>
      <c r="T28" s="13">
        <f t="shared" si="22"/>
        <v>513</v>
      </c>
      <c r="U28" s="13">
        <f t="shared" si="22"/>
        <v>532</v>
      </c>
      <c r="V28" s="13">
        <f t="shared" si="22"/>
        <v>639</v>
      </c>
      <c r="W28" s="13">
        <f t="shared" ref="W28" si="23">SUM(W29:W31)</f>
        <v>595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201</v>
      </c>
      <c r="C30" s="102">
        <v>206</v>
      </c>
      <c r="D30" s="102">
        <v>201</v>
      </c>
      <c r="E30" s="102">
        <v>108</v>
      </c>
      <c r="F30" s="102">
        <v>118</v>
      </c>
      <c r="G30" s="102">
        <v>142</v>
      </c>
      <c r="H30" s="102">
        <v>175</v>
      </c>
      <c r="I30" s="102">
        <v>178</v>
      </c>
      <c r="J30" s="102">
        <v>161</v>
      </c>
      <c r="K30" s="102">
        <v>148</v>
      </c>
      <c r="L30" s="102">
        <v>189</v>
      </c>
      <c r="M30" s="102">
        <v>199</v>
      </c>
      <c r="N30" s="102">
        <v>205</v>
      </c>
      <c r="O30" s="102">
        <v>335</v>
      </c>
      <c r="P30" s="102">
        <v>343</v>
      </c>
      <c r="Q30" s="102">
        <v>371</v>
      </c>
      <c r="R30" s="102">
        <v>353</v>
      </c>
      <c r="S30" s="102">
        <v>437</v>
      </c>
      <c r="T30" s="102">
        <v>489</v>
      </c>
      <c r="U30" s="102">
        <v>503</v>
      </c>
      <c r="V30" s="102">
        <v>591</v>
      </c>
      <c r="W30" s="102">
        <v>550</v>
      </c>
      <c r="DA30" s="175" t="s">
        <v>213</v>
      </c>
    </row>
    <row r="31" spans="1:105" ht="11.45" customHeight="1" x14ac:dyDescent="0.25">
      <c r="A31" s="85" t="s">
        <v>174</v>
      </c>
      <c r="B31" s="86">
        <v>4</v>
      </c>
      <c r="C31" s="86">
        <v>4</v>
      </c>
      <c r="D31" s="86">
        <v>4</v>
      </c>
      <c r="E31" s="86">
        <v>4</v>
      </c>
      <c r="F31" s="86">
        <v>5</v>
      </c>
      <c r="G31" s="86">
        <v>7</v>
      </c>
      <c r="H31" s="86">
        <v>16</v>
      </c>
      <c r="I31" s="86">
        <v>25</v>
      </c>
      <c r="J31" s="86">
        <v>17</v>
      </c>
      <c r="K31" s="86">
        <v>2</v>
      </c>
      <c r="L31" s="86">
        <v>3</v>
      </c>
      <c r="M31" s="86">
        <v>4</v>
      </c>
      <c r="N31" s="86">
        <v>69</v>
      </c>
      <c r="O31" s="86">
        <v>33</v>
      </c>
      <c r="P31" s="86">
        <v>21</v>
      </c>
      <c r="Q31" s="86">
        <v>25</v>
      </c>
      <c r="R31" s="86">
        <v>20</v>
      </c>
      <c r="S31" s="86">
        <v>12</v>
      </c>
      <c r="T31" s="86">
        <v>24</v>
      </c>
      <c r="U31" s="86">
        <v>29</v>
      </c>
      <c r="V31" s="86">
        <v>48</v>
      </c>
      <c r="W31" s="86">
        <v>45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322902</v>
      </c>
      <c r="C34" s="11">
        <f t="shared" si="24"/>
        <v>435248</v>
      </c>
      <c r="D34" s="11">
        <f t="shared" ref="D34:V34" si="25">SUM(D35:D37)</f>
        <v>402425</v>
      </c>
      <c r="E34" s="11">
        <f t="shared" si="25"/>
        <v>475332</v>
      </c>
      <c r="F34" s="11">
        <f t="shared" si="25"/>
        <v>526070</v>
      </c>
      <c r="G34" s="11">
        <f t="shared" si="25"/>
        <v>720657</v>
      </c>
      <c r="H34" s="11">
        <f t="shared" si="25"/>
        <v>906636</v>
      </c>
      <c r="I34" s="11">
        <f t="shared" si="25"/>
        <v>1100744</v>
      </c>
      <c r="J34" s="11">
        <f t="shared" si="25"/>
        <v>1283527</v>
      </c>
      <c r="K34" s="11">
        <f t="shared" si="25"/>
        <v>942069</v>
      </c>
      <c r="L34" s="11">
        <f t="shared" si="25"/>
        <v>1174514</v>
      </c>
      <c r="M34" s="11">
        <f t="shared" si="25"/>
        <v>1355378</v>
      </c>
      <c r="N34" s="11">
        <f t="shared" si="25"/>
        <v>1593704</v>
      </c>
      <c r="O34" s="11">
        <f t="shared" si="25"/>
        <v>1756658</v>
      </c>
      <c r="P34" s="11">
        <f t="shared" si="25"/>
        <v>1913488</v>
      </c>
      <c r="Q34" s="11">
        <f t="shared" si="25"/>
        <v>2119094</v>
      </c>
      <c r="R34" s="11">
        <f t="shared" si="25"/>
        <v>2392583</v>
      </c>
      <c r="S34" s="11">
        <f t="shared" si="25"/>
        <v>2626485</v>
      </c>
      <c r="T34" s="11">
        <f t="shared" si="25"/>
        <v>3123674</v>
      </c>
      <c r="U34" s="11">
        <f t="shared" si="25"/>
        <v>3240945</v>
      </c>
      <c r="V34" s="11">
        <f t="shared" si="25"/>
        <v>906757</v>
      </c>
      <c r="W34" s="11">
        <f t="shared" ref="W34" si="26">SUM(W35:W37)</f>
        <v>1212938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265248</v>
      </c>
      <c r="C36" s="84">
        <v>359059</v>
      </c>
      <c r="D36" s="84">
        <v>334111</v>
      </c>
      <c r="E36" s="84">
        <v>397683</v>
      </c>
      <c r="F36" s="84">
        <v>442374</v>
      </c>
      <c r="G36" s="84">
        <v>621383</v>
      </c>
      <c r="H36" s="84">
        <v>791097</v>
      </c>
      <c r="I36" s="84">
        <v>934505</v>
      </c>
      <c r="J36" s="84">
        <v>1076888</v>
      </c>
      <c r="K36" s="84">
        <v>800010</v>
      </c>
      <c r="L36" s="84">
        <v>1036424</v>
      </c>
      <c r="M36" s="84">
        <v>1222902</v>
      </c>
      <c r="N36" s="84">
        <v>1448107</v>
      </c>
      <c r="O36" s="84">
        <v>1563488</v>
      </c>
      <c r="P36" s="84">
        <v>1638711</v>
      </c>
      <c r="Q36" s="84">
        <v>1811765</v>
      </c>
      <c r="R36" s="84">
        <v>2046555</v>
      </c>
      <c r="S36" s="84">
        <v>2210289</v>
      </c>
      <c r="T36" s="84">
        <v>2575746</v>
      </c>
      <c r="U36" s="84">
        <v>2570872</v>
      </c>
      <c r="V36" s="84">
        <v>781470</v>
      </c>
      <c r="W36" s="84">
        <v>953951</v>
      </c>
      <c r="DA36" s="171" t="s">
        <v>217</v>
      </c>
    </row>
    <row r="37" spans="1:105" ht="11.45" customHeight="1" x14ac:dyDescent="0.25">
      <c r="A37" s="83" t="s">
        <v>174</v>
      </c>
      <c r="B37" s="84">
        <v>57654</v>
      </c>
      <c r="C37" s="84">
        <v>76189</v>
      </c>
      <c r="D37" s="84">
        <v>68314</v>
      </c>
      <c r="E37" s="84">
        <v>77649</v>
      </c>
      <c r="F37" s="84">
        <v>83696</v>
      </c>
      <c r="G37" s="84">
        <v>99274</v>
      </c>
      <c r="H37" s="84">
        <v>115539</v>
      </c>
      <c r="I37" s="84">
        <v>166239</v>
      </c>
      <c r="J37" s="84">
        <v>206639</v>
      </c>
      <c r="K37" s="84">
        <v>142059</v>
      </c>
      <c r="L37" s="84">
        <v>138090</v>
      </c>
      <c r="M37" s="84">
        <v>132476</v>
      </c>
      <c r="N37" s="84">
        <v>145597</v>
      </c>
      <c r="O37" s="84">
        <v>193170</v>
      </c>
      <c r="P37" s="84">
        <v>274777</v>
      </c>
      <c r="Q37" s="84">
        <v>307329</v>
      </c>
      <c r="R37" s="84">
        <v>346028</v>
      </c>
      <c r="S37" s="84">
        <v>416196</v>
      </c>
      <c r="T37" s="84">
        <v>547928</v>
      </c>
      <c r="U37" s="84">
        <v>670073</v>
      </c>
      <c r="V37" s="84">
        <v>125287</v>
      </c>
      <c r="W37" s="84">
        <v>258987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3439.8076623034553</v>
      </c>
      <c r="C38" s="13">
        <f t="shared" si="27"/>
        <v>3563.1107014631189</v>
      </c>
      <c r="D38" s="13">
        <f t="shared" ref="D38:V38" si="28">SUM(D39:D41)</f>
        <v>3487.0264977879574</v>
      </c>
      <c r="E38" s="13">
        <f t="shared" si="28"/>
        <v>2048.974573372438</v>
      </c>
      <c r="F38" s="13">
        <f t="shared" si="28"/>
        <v>2131.7289876568884</v>
      </c>
      <c r="G38" s="13">
        <f t="shared" si="28"/>
        <v>2465.2168104720072</v>
      </c>
      <c r="H38" s="13">
        <f t="shared" si="28"/>
        <v>3170.0441526979994</v>
      </c>
      <c r="I38" s="13">
        <f t="shared" si="28"/>
        <v>3578.1784209719581</v>
      </c>
      <c r="J38" s="13">
        <f t="shared" si="28"/>
        <v>2962.2360418058138</v>
      </c>
      <c r="K38" s="13">
        <f t="shared" si="28"/>
        <v>2116.5580875043429</v>
      </c>
      <c r="L38" s="13">
        <f t="shared" si="28"/>
        <v>2883.1213809082478</v>
      </c>
      <c r="M38" s="13">
        <f t="shared" si="28"/>
        <v>3302.7129143323968</v>
      </c>
      <c r="N38" s="13">
        <f t="shared" si="28"/>
        <v>7428.2152083148321</v>
      </c>
      <c r="O38" s="13">
        <f t="shared" si="28"/>
        <v>7500.0093829973557</v>
      </c>
      <c r="P38" s="13">
        <f t="shared" si="28"/>
        <v>7630.5575209963226</v>
      </c>
      <c r="Q38" s="13">
        <f t="shared" si="28"/>
        <v>8391.6239947210106</v>
      </c>
      <c r="R38" s="13">
        <f t="shared" si="28"/>
        <v>8722.6942716264548</v>
      </c>
      <c r="S38" s="13">
        <f t="shared" si="28"/>
        <v>9233.4935332835357</v>
      </c>
      <c r="T38" s="13">
        <f t="shared" si="28"/>
        <v>11051.196846025518</v>
      </c>
      <c r="U38" s="13">
        <f t="shared" si="28"/>
        <v>11977.348778193111</v>
      </c>
      <c r="V38" s="13">
        <f t="shared" si="28"/>
        <v>12764.950401042297</v>
      </c>
      <c r="W38" s="13">
        <f t="shared" ref="W38" si="29">SUM(W39:W41)</f>
        <v>12104.433290357618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3231.2911669380796</v>
      </c>
      <c r="C40" s="102">
        <v>3347.7554299050812</v>
      </c>
      <c r="D40" s="102">
        <v>3275.4748230239429</v>
      </c>
      <c r="E40" s="102">
        <v>1854.0905692140266</v>
      </c>
      <c r="F40" s="102">
        <v>1891.4318495389095</v>
      </c>
      <c r="G40" s="102">
        <v>2155.7051203220858</v>
      </c>
      <c r="H40" s="102">
        <v>2447.4228700083213</v>
      </c>
      <c r="I40" s="102">
        <v>2448.5030542153108</v>
      </c>
      <c r="J40" s="102">
        <v>2198.7166168197705</v>
      </c>
      <c r="K40" s="102">
        <v>2016.7605236773363</v>
      </c>
      <c r="L40" s="102">
        <v>2725.5287166483199</v>
      </c>
      <c r="M40" s="102">
        <v>3082.4510039054126</v>
      </c>
      <c r="N40" s="102">
        <v>3374.6735337599571</v>
      </c>
      <c r="O40" s="102">
        <v>5541.5844635476506</v>
      </c>
      <c r="P40" s="102">
        <v>6241.8292824376767</v>
      </c>
      <c r="Q40" s="102">
        <v>6743.209098080084</v>
      </c>
      <c r="R40" s="102">
        <v>7262.4497160515884</v>
      </c>
      <c r="S40" s="102">
        <v>8358.9771121112244</v>
      </c>
      <c r="T40" s="102">
        <v>9296.3909521679707</v>
      </c>
      <c r="U40" s="102">
        <v>9804.7983505412321</v>
      </c>
      <c r="V40" s="102">
        <v>10353.826168758651</v>
      </c>
      <c r="W40" s="102">
        <v>9707.6808193134693</v>
      </c>
      <c r="DA40" s="175" t="s">
        <v>221</v>
      </c>
    </row>
    <row r="41" spans="1:105" ht="11.45" customHeight="1" x14ac:dyDescent="0.25">
      <c r="A41" s="85" t="s">
        <v>174</v>
      </c>
      <c r="B41" s="86">
        <v>208.51649536537582</v>
      </c>
      <c r="C41" s="86">
        <v>215.35527155803777</v>
      </c>
      <c r="D41" s="86">
        <v>211.55167476401468</v>
      </c>
      <c r="E41" s="86">
        <v>194.88400415841153</v>
      </c>
      <c r="F41" s="86">
        <v>240.29713811797873</v>
      </c>
      <c r="G41" s="86">
        <v>309.51169014992149</v>
      </c>
      <c r="H41" s="86">
        <v>722.6212826896782</v>
      </c>
      <c r="I41" s="86">
        <v>1129.675366756647</v>
      </c>
      <c r="J41" s="86">
        <v>763.51942498604342</v>
      </c>
      <c r="K41" s="86">
        <v>99.797563827006726</v>
      </c>
      <c r="L41" s="86">
        <v>157.5926642599278</v>
      </c>
      <c r="M41" s="86">
        <v>220.26191042698434</v>
      </c>
      <c r="N41" s="86">
        <v>4053.5416745548755</v>
      </c>
      <c r="O41" s="86">
        <v>1958.4249194497054</v>
      </c>
      <c r="P41" s="86">
        <v>1388.7282385586461</v>
      </c>
      <c r="Q41" s="86">
        <v>1648.4148966409268</v>
      </c>
      <c r="R41" s="86">
        <v>1460.2445555748664</v>
      </c>
      <c r="S41" s="86">
        <v>874.51642117231074</v>
      </c>
      <c r="T41" s="86">
        <v>1754.8058938575473</v>
      </c>
      <c r="U41" s="86">
        <v>2172.5504276518782</v>
      </c>
      <c r="V41" s="86">
        <v>2411.1242322836451</v>
      </c>
      <c r="W41" s="86">
        <v>2396.7524710441485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6.8202817196466237</v>
      </c>
      <c r="C43" s="54">
        <f t="shared" si="30"/>
        <v>8.9161671544171028</v>
      </c>
      <c r="D43" s="54">
        <f t="shared" ref="D43:V43" si="31">SUM(D44,D48)</f>
        <v>8.247994634072894</v>
      </c>
      <c r="E43" s="54">
        <f t="shared" si="31"/>
        <v>9.1711236833667567</v>
      </c>
      <c r="F43" s="54">
        <f t="shared" si="31"/>
        <v>9.7812153919134328</v>
      </c>
      <c r="G43" s="54">
        <f t="shared" si="31"/>
        <v>12.739192679320096</v>
      </c>
      <c r="H43" s="54">
        <f t="shared" si="31"/>
        <v>13.713998093441093</v>
      </c>
      <c r="I43" s="54">
        <f t="shared" si="31"/>
        <v>15.164206200544905</v>
      </c>
      <c r="J43" s="54">
        <f t="shared" si="31"/>
        <v>16.200900442811292</v>
      </c>
      <c r="K43" s="54">
        <f t="shared" si="31"/>
        <v>15.533652685467469</v>
      </c>
      <c r="L43" s="54">
        <f t="shared" si="31"/>
        <v>15.083809467803299</v>
      </c>
      <c r="M43" s="54">
        <f t="shared" si="31"/>
        <v>14.625325131596272</v>
      </c>
      <c r="N43" s="54">
        <f t="shared" si="31"/>
        <v>14.833390194665721</v>
      </c>
      <c r="O43" s="54">
        <f t="shared" si="31"/>
        <v>14.532917806232714</v>
      </c>
      <c r="P43" s="54">
        <f t="shared" si="31"/>
        <v>16.169841535113409</v>
      </c>
      <c r="Q43" s="54">
        <f t="shared" si="31"/>
        <v>17.231719366668841</v>
      </c>
      <c r="R43" s="54">
        <f t="shared" si="31"/>
        <v>18.426859939714326</v>
      </c>
      <c r="S43" s="54">
        <f t="shared" si="31"/>
        <v>19.568348740987254</v>
      </c>
      <c r="T43" s="54">
        <f t="shared" si="31"/>
        <v>22.262320374322645</v>
      </c>
      <c r="U43" s="54">
        <f t="shared" si="31"/>
        <v>22.961279278730078</v>
      </c>
      <c r="V43" s="54">
        <f t="shared" si="31"/>
        <v>22.586273677146899</v>
      </c>
      <c r="W43" s="54">
        <f t="shared" ref="W43" si="32">SUM(W44,W48)</f>
        <v>22.14381634805067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6.640808673163864</v>
      </c>
      <c r="C44" s="11">
        <f t="shared" si="33"/>
        <v>8.7326024549065195</v>
      </c>
      <c r="D44" s="11">
        <f t="shared" ref="D44:V44" si="34">SUM(D45:D47)</f>
        <v>8.0685215875901335</v>
      </c>
      <c r="E44" s="11">
        <f t="shared" si="34"/>
        <v>9.0089518062665732</v>
      </c>
      <c r="F44" s="11">
        <f t="shared" si="34"/>
        <v>9.6349557953069347</v>
      </c>
      <c r="G44" s="11">
        <f t="shared" si="34"/>
        <v>12.605370844693976</v>
      </c>
      <c r="H44" s="11">
        <f t="shared" si="34"/>
        <v>13.532859301692898</v>
      </c>
      <c r="I44" s="11">
        <f t="shared" si="34"/>
        <v>14.960083292854248</v>
      </c>
      <c r="J44" s="11">
        <f t="shared" si="34"/>
        <v>16.010461464366568</v>
      </c>
      <c r="K44" s="11">
        <f t="shared" si="34"/>
        <v>15.34638059705018</v>
      </c>
      <c r="L44" s="11">
        <f t="shared" si="34"/>
        <v>14.857089107629868</v>
      </c>
      <c r="M44" s="11">
        <f t="shared" si="34"/>
        <v>14.396533214815721</v>
      </c>
      <c r="N44" s="11">
        <f t="shared" si="34"/>
        <v>14.522365171908039</v>
      </c>
      <c r="O44" s="11">
        <f t="shared" si="34"/>
        <v>14.111822360221744</v>
      </c>
      <c r="P44" s="11">
        <f t="shared" si="34"/>
        <v>15.744680283834022</v>
      </c>
      <c r="Q44" s="11">
        <f t="shared" si="34"/>
        <v>16.787992576835236</v>
      </c>
      <c r="R44" s="11">
        <f t="shared" si="34"/>
        <v>18.001053265375845</v>
      </c>
      <c r="S44" s="11">
        <f t="shared" si="34"/>
        <v>19.086802830405226</v>
      </c>
      <c r="T44" s="11">
        <f t="shared" si="34"/>
        <v>21.741331861423284</v>
      </c>
      <c r="U44" s="11">
        <f t="shared" si="34"/>
        <v>22.434344837417996</v>
      </c>
      <c r="V44" s="11">
        <f t="shared" si="34"/>
        <v>21.991624259207072</v>
      </c>
      <c r="W44" s="11">
        <f t="shared" ref="W44" si="35">SUM(W45:W47)</f>
        <v>21.548903680996148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5.2497830321382226</v>
      </c>
      <c r="C46" s="84">
        <v>6.9024742497783151</v>
      </c>
      <c r="D46" s="84">
        <v>6.3774959465644923</v>
      </c>
      <c r="E46" s="84">
        <v>7.1211312934460596</v>
      </c>
      <c r="F46" s="84">
        <v>7.6157250260761655</v>
      </c>
      <c r="G46" s="84">
        <v>10.247543368655638</v>
      </c>
      <c r="H46" s="84">
        <v>10.728685946957746</v>
      </c>
      <c r="I46" s="84">
        <v>11.554762479082731</v>
      </c>
      <c r="J46" s="84">
        <v>12.621253657248312</v>
      </c>
      <c r="K46" s="84">
        <v>12.096275354034489</v>
      </c>
      <c r="L46" s="84">
        <v>11.746086428716742</v>
      </c>
      <c r="M46" s="84">
        <v>11.424633100005158</v>
      </c>
      <c r="N46" s="84">
        <v>11.689567621200041</v>
      </c>
      <c r="O46" s="84">
        <v>11.41812737361631</v>
      </c>
      <c r="P46" s="84">
        <v>12.531764037618078</v>
      </c>
      <c r="Q46" s="84">
        <v>13.262364436131719</v>
      </c>
      <c r="R46" s="84">
        <v>14.229001729201414</v>
      </c>
      <c r="S46" s="84">
        <v>15.011251938484975</v>
      </c>
      <c r="T46" s="84">
        <v>16.617193930388801</v>
      </c>
      <c r="U46" s="84">
        <v>16.366163019236179</v>
      </c>
      <c r="V46" s="84">
        <v>16.016177483760295</v>
      </c>
      <c r="W46" s="84">
        <v>15.666191948284416</v>
      </c>
      <c r="DA46" s="171" t="s">
        <v>226</v>
      </c>
    </row>
    <row r="47" spans="1:105" ht="11.45" customHeight="1" x14ac:dyDescent="0.25">
      <c r="A47" s="83" t="s">
        <v>174</v>
      </c>
      <c r="B47" s="84">
        <v>1.391025641025641</v>
      </c>
      <c r="C47" s="84">
        <v>1.8301282051282051</v>
      </c>
      <c r="D47" s="84">
        <v>1.691025641025641</v>
      </c>
      <c r="E47" s="84">
        <v>1.8878205128205128</v>
      </c>
      <c r="F47" s="84">
        <v>2.0192307692307692</v>
      </c>
      <c r="G47" s="84">
        <v>2.3578274760383389</v>
      </c>
      <c r="H47" s="84">
        <v>2.8041733547351524</v>
      </c>
      <c r="I47" s="84">
        <v>3.4053208137715179</v>
      </c>
      <c r="J47" s="84">
        <v>3.3892078071182548</v>
      </c>
      <c r="K47" s="84">
        <v>3.2501052430156907</v>
      </c>
      <c r="L47" s="84">
        <v>3.1110026789131267</v>
      </c>
      <c r="M47" s="84">
        <v>2.9719001148105626</v>
      </c>
      <c r="N47" s="84">
        <v>2.8327975507079985</v>
      </c>
      <c r="O47" s="84">
        <v>2.6936949866054345</v>
      </c>
      <c r="P47" s="84">
        <v>3.2129162462159435</v>
      </c>
      <c r="Q47" s="84">
        <v>3.5256281407035175</v>
      </c>
      <c r="R47" s="84">
        <v>3.77205153617443</v>
      </c>
      <c r="S47" s="84">
        <v>4.0755508919202521</v>
      </c>
      <c r="T47" s="84">
        <v>5.1241379310344826</v>
      </c>
      <c r="U47" s="84">
        <v>6.0681818181818183</v>
      </c>
      <c r="V47" s="84">
        <v>5.9754467754467759</v>
      </c>
      <c r="W47" s="84">
        <v>5.8827117327117335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0.17947304648275972</v>
      </c>
      <c r="C48" s="13">
        <f t="shared" si="36"/>
        <v>0.18356469951058296</v>
      </c>
      <c r="D48" s="13">
        <f t="shared" ref="D48:V48" si="37">SUM(D49:D51)</f>
        <v>0.17947304648275972</v>
      </c>
      <c r="E48" s="13">
        <f t="shared" si="37"/>
        <v>0.16217187710018424</v>
      </c>
      <c r="F48" s="13">
        <f t="shared" si="37"/>
        <v>0.14625959660649762</v>
      </c>
      <c r="G48" s="13">
        <f t="shared" si="37"/>
        <v>0.13382183462612021</v>
      </c>
      <c r="H48" s="13">
        <f t="shared" si="37"/>
        <v>0.18113879174819403</v>
      </c>
      <c r="I48" s="13">
        <f t="shared" si="37"/>
        <v>0.20412290769065591</v>
      </c>
      <c r="J48" s="13">
        <f t="shared" si="37"/>
        <v>0.19043897844472574</v>
      </c>
      <c r="K48" s="13">
        <f t="shared" si="37"/>
        <v>0.18727208841728993</v>
      </c>
      <c r="L48" s="13">
        <f t="shared" si="37"/>
        <v>0.22672036017343061</v>
      </c>
      <c r="M48" s="13">
        <f t="shared" si="37"/>
        <v>0.22879191678055166</v>
      </c>
      <c r="N48" s="13">
        <f t="shared" si="37"/>
        <v>0.31102502275768279</v>
      </c>
      <c r="O48" s="13">
        <f t="shared" si="37"/>
        <v>0.42109544601096899</v>
      </c>
      <c r="P48" s="13">
        <f t="shared" si="37"/>
        <v>0.42516125127938753</v>
      </c>
      <c r="Q48" s="13">
        <f t="shared" si="37"/>
        <v>0.44372678983360525</v>
      </c>
      <c r="R48" s="13">
        <f t="shared" si="37"/>
        <v>0.42580667433848068</v>
      </c>
      <c r="S48" s="13">
        <f t="shared" si="37"/>
        <v>0.48154591058202989</v>
      </c>
      <c r="T48" s="13">
        <f t="shared" si="37"/>
        <v>0.52098851289935999</v>
      </c>
      <c r="U48" s="13">
        <f t="shared" si="37"/>
        <v>0.52693444131208156</v>
      </c>
      <c r="V48" s="13">
        <f t="shared" si="37"/>
        <v>0.59464941793982751</v>
      </c>
      <c r="W48" s="13">
        <f t="shared" ref="W48" si="38">SUM(W49:W51)</f>
        <v>0.59491266705452095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0.17391749092720415</v>
      </c>
      <c r="C50" s="102">
        <v>0.1780091439550274</v>
      </c>
      <c r="D50" s="102">
        <v>0.17391749092720415</v>
      </c>
      <c r="E50" s="102">
        <v>0.15661632154462868</v>
      </c>
      <c r="F50" s="102">
        <v>0.13931515216205317</v>
      </c>
      <c r="G50" s="102">
        <v>0.1241533263388274</v>
      </c>
      <c r="H50" s="102">
        <v>0.15767838119100927</v>
      </c>
      <c r="I50" s="102">
        <v>0.16647230528101736</v>
      </c>
      <c r="J50" s="102">
        <v>0.15334393159064275</v>
      </c>
      <c r="K50" s="102">
        <v>0.15073259711876247</v>
      </c>
      <c r="L50" s="102">
        <v>0.19073642443045871</v>
      </c>
      <c r="M50" s="102">
        <v>0.19336353659313532</v>
      </c>
      <c r="N50" s="102">
        <v>0.19185403830172426</v>
      </c>
      <c r="O50" s="102">
        <v>0.30248001711056599</v>
      </c>
      <c r="P50" s="102">
        <v>0.30710137793454012</v>
      </c>
      <c r="Q50" s="102">
        <v>0.32622247204431337</v>
      </c>
      <c r="R50" s="102">
        <v>0.30885791210474439</v>
      </c>
      <c r="S50" s="102">
        <v>0.36515270390384913</v>
      </c>
      <c r="T50" s="102">
        <v>0.40515086177673482</v>
      </c>
      <c r="U50" s="102">
        <v>0.41165234574501192</v>
      </c>
      <c r="V50" s="102">
        <v>0.47973769274312822</v>
      </c>
      <c r="W50" s="102">
        <v>0.48037131222819207</v>
      </c>
      <c r="DA50" s="175" t="s">
        <v>230</v>
      </c>
    </row>
    <row r="51" spans="1:105" ht="11.45" customHeight="1" x14ac:dyDescent="0.25">
      <c r="A51" s="85" t="s">
        <v>174</v>
      </c>
      <c r="B51" s="86">
        <v>5.5555555555555558E-3</v>
      </c>
      <c r="C51" s="86">
        <v>5.5555555555555558E-3</v>
      </c>
      <c r="D51" s="86">
        <v>5.5555555555555558E-3</v>
      </c>
      <c r="E51" s="86">
        <v>5.5555555555555558E-3</v>
      </c>
      <c r="F51" s="86">
        <v>6.9444444444444441E-3</v>
      </c>
      <c r="G51" s="86">
        <v>9.6685082872928173E-3</v>
      </c>
      <c r="H51" s="86">
        <v>2.3460410557184751E-2</v>
      </c>
      <c r="I51" s="86">
        <v>3.7650602409638557E-2</v>
      </c>
      <c r="J51" s="86">
        <v>3.7095046854083005E-2</v>
      </c>
      <c r="K51" s="86">
        <v>3.6539491298527453E-2</v>
      </c>
      <c r="L51" s="86">
        <v>3.5983935742971901E-2</v>
      </c>
      <c r="M51" s="86">
        <v>3.5428380187416349E-2</v>
      </c>
      <c r="N51" s="86">
        <v>0.11917098445595854</v>
      </c>
      <c r="O51" s="86">
        <v>0.11861542890040298</v>
      </c>
      <c r="P51" s="86">
        <v>0.11805987334484742</v>
      </c>
      <c r="Q51" s="86">
        <v>0.11750431778929186</v>
      </c>
      <c r="R51" s="86">
        <v>0.11694876223373631</v>
      </c>
      <c r="S51" s="86">
        <v>0.11639320667818075</v>
      </c>
      <c r="T51" s="86">
        <v>0.11583765112262519</v>
      </c>
      <c r="U51" s="86">
        <v>0.11528209556706963</v>
      </c>
      <c r="V51" s="86">
        <v>0.11491172519669926</v>
      </c>
      <c r="W51" s="86">
        <v>0.11454135482632889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2.1537842199999973E-4</v>
      </c>
      <c r="C53" s="54">
        <f t="shared" si="39"/>
        <v>2.3930910065844802</v>
      </c>
      <c r="D53" s="54">
        <f t="shared" ref="D53:V53" si="40">SUM(D54,D58)</f>
        <v>2.0271702891767537E-3</v>
      </c>
      <c r="E53" s="54">
        <f t="shared" si="40"/>
        <v>1.2317323455954385</v>
      </c>
      <c r="F53" s="54">
        <f t="shared" si="40"/>
        <v>0.91869500484825051</v>
      </c>
      <c r="G53" s="54">
        <f t="shared" si="40"/>
        <v>3.2644613689733677</v>
      </c>
      <c r="H53" s="54">
        <f t="shared" si="40"/>
        <v>1.2720109859349962</v>
      </c>
      <c r="I53" s="54">
        <f t="shared" si="40"/>
        <v>1.7835381610933607</v>
      </c>
      <c r="J53" s="54">
        <f t="shared" si="40"/>
        <v>1.3437959282620264</v>
      </c>
      <c r="K53" s="54">
        <f t="shared" si="40"/>
        <v>5.3150572829023385E-3</v>
      </c>
      <c r="L53" s="54">
        <f t="shared" si="40"/>
        <v>0.19731650383984511</v>
      </c>
      <c r="M53" s="54">
        <f t="shared" si="40"/>
        <v>0.18867538529699032</v>
      </c>
      <c r="N53" s="54">
        <f t="shared" si="40"/>
        <v>0.84533743668016126</v>
      </c>
      <c r="O53" s="54">
        <f t="shared" si="40"/>
        <v>0.33717035554825459</v>
      </c>
      <c r="P53" s="54">
        <f t="shared" si="40"/>
        <v>1.9486576254206796</v>
      </c>
      <c r="Q53" s="54">
        <f t="shared" si="40"/>
        <v>1.3614465273627725</v>
      </c>
      <c r="R53" s="54">
        <f t="shared" si="40"/>
        <v>1.5041474370376069</v>
      </c>
      <c r="S53" s="54">
        <f t="shared" si="40"/>
        <v>1.4409971106071247</v>
      </c>
      <c r="T53" s="54">
        <f t="shared" si="40"/>
        <v>2.9926812541360186</v>
      </c>
      <c r="U53" s="54">
        <f t="shared" si="40"/>
        <v>1.1475596680819264</v>
      </c>
      <c r="V53" s="54">
        <f t="shared" si="40"/>
        <v>7.401898513011633E-2</v>
      </c>
      <c r="W53" s="54">
        <f t="shared" ref="W53" si="41">SUM(W54,W58)</f>
        <v>6.5672576170638609E-3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0</v>
      </c>
      <c r="C54" s="11">
        <f t="shared" si="42"/>
        <v>2.3828805302396567</v>
      </c>
      <c r="D54" s="11">
        <f t="shared" ref="D54:V54" si="43">SUM(D55:D57)</f>
        <v>0</v>
      </c>
      <c r="E54" s="11">
        <f t="shared" si="43"/>
        <v>1.2315169671734385</v>
      </c>
      <c r="F54" s="11">
        <f t="shared" si="43"/>
        <v>0.91709073753736159</v>
      </c>
      <c r="G54" s="11">
        <f t="shared" si="43"/>
        <v>3.2615017978840428</v>
      </c>
      <c r="H54" s="11">
        <f t="shared" si="43"/>
        <v>1.2185752054959225</v>
      </c>
      <c r="I54" s="11">
        <f t="shared" si="43"/>
        <v>1.7532308103038061</v>
      </c>
      <c r="J54" s="11">
        <f t="shared" si="43"/>
        <v>1.3414649200093183</v>
      </c>
      <c r="K54" s="11">
        <f t="shared" si="43"/>
        <v>0</v>
      </c>
      <c r="L54" s="11">
        <f t="shared" si="43"/>
        <v>0.14938628477336624</v>
      </c>
      <c r="M54" s="11">
        <f t="shared" si="43"/>
        <v>0.17812188137953111</v>
      </c>
      <c r="N54" s="11">
        <f t="shared" si="43"/>
        <v>0.75499275376324748</v>
      </c>
      <c r="O54" s="11">
        <f t="shared" si="43"/>
        <v>0.21861798498463025</v>
      </c>
      <c r="P54" s="11">
        <f t="shared" si="43"/>
        <v>1.9361098728419228</v>
      </c>
      <c r="Q54" s="11">
        <f t="shared" si="43"/>
        <v>1.3343990414982165</v>
      </c>
      <c r="R54" s="11">
        <f t="shared" si="43"/>
        <v>1.5041474370376069</v>
      </c>
      <c r="S54" s="11">
        <f t="shared" si="43"/>
        <v>1.3768363135263821</v>
      </c>
      <c r="T54" s="11">
        <f t="shared" si="43"/>
        <v>2.9456157795150553</v>
      </c>
      <c r="U54" s="11">
        <f t="shared" si="43"/>
        <v>1.1351245459816492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0</v>
      </c>
      <c r="C56" s="84">
        <v>1.8827736926330925</v>
      </c>
      <c r="D56" s="84">
        <v>0</v>
      </c>
      <c r="E56" s="84">
        <v>0.97371782187456679</v>
      </c>
      <c r="F56" s="84">
        <v>0.72467620762310525</v>
      </c>
      <c r="G56" s="84">
        <v>2.8619008175724732</v>
      </c>
      <c r="H56" s="84">
        <v>0.71122505329510899</v>
      </c>
      <c r="I56" s="84">
        <v>1.0910790777634407</v>
      </c>
      <c r="J56" s="84">
        <v>1.2965736531585814</v>
      </c>
      <c r="K56" s="84">
        <v>0</v>
      </c>
      <c r="L56" s="84">
        <v>0.14938628477336624</v>
      </c>
      <c r="M56" s="84">
        <v>0.17812188137953111</v>
      </c>
      <c r="N56" s="84">
        <v>0.75499275376324748</v>
      </c>
      <c r="O56" s="84">
        <v>0.21861798498463025</v>
      </c>
      <c r="P56" s="84">
        <v>1.3558843397274138</v>
      </c>
      <c r="Q56" s="84">
        <v>0.96068287350664261</v>
      </c>
      <c r="R56" s="84">
        <v>1.1967197680626944</v>
      </c>
      <c r="S56" s="84">
        <v>1.0123326842765596</v>
      </c>
      <c r="T56" s="84">
        <v>1.8360244668968246</v>
      </c>
      <c r="U56" s="84">
        <v>0.13007638533031307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0.50010683760656405</v>
      </c>
      <c r="D57" s="84">
        <v>0</v>
      </c>
      <c r="E57" s="84">
        <v>0.25779914529887171</v>
      </c>
      <c r="F57" s="84">
        <v>0.19241452991425634</v>
      </c>
      <c r="G57" s="84">
        <v>0.39960098031156965</v>
      </c>
      <c r="H57" s="84">
        <v>0.50735015220081348</v>
      </c>
      <c r="I57" s="84">
        <v>0.66215173254036541</v>
      </c>
      <c r="J57" s="84">
        <v>4.4891266850736855E-2</v>
      </c>
      <c r="K57" s="84">
        <v>0</v>
      </c>
      <c r="L57" s="84">
        <v>0</v>
      </c>
      <c r="M57" s="84">
        <v>0</v>
      </c>
      <c r="N57" s="84">
        <v>0</v>
      </c>
      <c r="O57" s="84">
        <v>0</v>
      </c>
      <c r="P57" s="84">
        <v>0.58022553311450897</v>
      </c>
      <c r="Q57" s="84">
        <v>0.37371616799157392</v>
      </c>
      <c r="R57" s="84">
        <v>0.30742766897491247</v>
      </c>
      <c r="S57" s="84">
        <v>0.36450362924982249</v>
      </c>
      <c r="T57" s="84">
        <v>1.1095913126182309</v>
      </c>
      <c r="U57" s="84">
        <v>1.0050481606513362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2.1537842199999973E-4</v>
      </c>
      <c r="C58" s="13">
        <f t="shared" si="45"/>
        <v>1.0210476344823242E-2</v>
      </c>
      <c r="D58" s="13">
        <f t="shared" ref="D58:V58" si="46">SUM(D59:D61)</f>
        <v>2.0271702891767537E-3</v>
      </c>
      <c r="E58" s="13">
        <f t="shared" si="46"/>
        <v>2.1537842199999973E-4</v>
      </c>
      <c r="F58" s="13">
        <f t="shared" si="46"/>
        <v>1.6042673108888879E-3</v>
      </c>
      <c r="G58" s="13">
        <f t="shared" si="46"/>
        <v>2.9595710893250242E-3</v>
      </c>
      <c r="H58" s="13">
        <f t="shared" si="46"/>
        <v>5.3435780439073793E-2</v>
      </c>
      <c r="I58" s="13">
        <f t="shared" si="46"/>
        <v>3.0307350789554564E-2</v>
      </c>
      <c r="J58" s="13">
        <f t="shared" si="46"/>
        <v>2.3310082527081138E-3</v>
      </c>
      <c r="K58" s="13">
        <f t="shared" si="46"/>
        <v>5.3150572829023385E-3</v>
      </c>
      <c r="L58" s="13">
        <f t="shared" si="46"/>
        <v>4.7930219066478874E-2</v>
      </c>
      <c r="M58" s="13">
        <f t="shared" si="46"/>
        <v>1.0553503917459212E-2</v>
      </c>
      <c r="N58" s="13">
        <f t="shared" si="46"/>
        <v>9.0344682916913749E-2</v>
      </c>
      <c r="O58" s="13">
        <f t="shared" si="46"/>
        <v>0.11855237056362436</v>
      </c>
      <c r="P58" s="13">
        <f t="shared" si="46"/>
        <v>1.2547752578756732E-2</v>
      </c>
      <c r="Q58" s="13">
        <f t="shared" si="46"/>
        <v>2.7047485864555854E-2</v>
      </c>
      <c r="R58" s="13">
        <f t="shared" si="46"/>
        <v>0</v>
      </c>
      <c r="S58" s="13">
        <f t="shared" si="46"/>
        <v>6.4160797080742446E-2</v>
      </c>
      <c r="T58" s="13">
        <f t="shared" si="46"/>
        <v>4.7065474620963409E-2</v>
      </c>
      <c r="U58" s="13">
        <f t="shared" si="46"/>
        <v>1.2435122100277095E-2</v>
      </c>
      <c r="V58" s="13">
        <f t="shared" si="46"/>
        <v>7.401898513011633E-2</v>
      </c>
      <c r="W58" s="13">
        <f t="shared" ref="W58" si="47">SUM(W59:W61)</f>
        <v>6.5672576170638609E-3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3.0193237000000002E-5</v>
      </c>
      <c r="C60" s="102">
        <v>1.0025291159823244E-2</v>
      </c>
      <c r="D60" s="102">
        <v>1.841985104176754E-3</v>
      </c>
      <c r="E60" s="102">
        <v>3.0193237000000002E-5</v>
      </c>
      <c r="F60" s="102">
        <v>3.0193237000000002E-5</v>
      </c>
      <c r="G60" s="102">
        <v>5.032206147665059E-5</v>
      </c>
      <c r="H60" s="102">
        <v>3.9458692984181865E-2</v>
      </c>
      <c r="I60" s="102">
        <v>1.5931973752100759E-2</v>
      </c>
      <c r="J60" s="102">
        <v>2.3310082527081138E-3</v>
      </c>
      <c r="K60" s="102">
        <v>5.3150572829023385E-3</v>
      </c>
      <c r="L60" s="102">
        <v>4.7930219066478874E-2</v>
      </c>
      <c r="M60" s="102">
        <v>1.0553503917459212E-2</v>
      </c>
      <c r="N60" s="102">
        <v>6.4168934633715424E-3</v>
      </c>
      <c r="O60" s="102">
        <v>0.11855237056362436</v>
      </c>
      <c r="P60" s="102">
        <v>1.2547752578756732E-2</v>
      </c>
      <c r="Q60" s="102">
        <v>2.7047485864555854E-2</v>
      </c>
      <c r="R60" s="102">
        <v>0</v>
      </c>
      <c r="S60" s="102">
        <v>6.4160797080742446E-2</v>
      </c>
      <c r="T60" s="102">
        <v>4.7065474620963409E-2</v>
      </c>
      <c r="U60" s="102">
        <v>1.2435122100277095E-2</v>
      </c>
      <c r="V60" s="102">
        <v>7.401898513011633E-2</v>
      </c>
      <c r="W60" s="102">
        <v>6.5672576170638609E-3</v>
      </c>
      <c r="DA60" s="175" t="s">
        <v>239</v>
      </c>
    </row>
    <row r="61" spans="1:105" ht="11.45" customHeight="1" x14ac:dyDescent="0.25">
      <c r="A61" s="85" t="s">
        <v>174</v>
      </c>
      <c r="B61" s="86">
        <v>1.8518518499999973E-4</v>
      </c>
      <c r="C61" s="86">
        <v>1.8518518499999973E-4</v>
      </c>
      <c r="D61" s="86">
        <v>1.8518518499999973E-4</v>
      </c>
      <c r="E61" s="86">
        <v>1.8518518499999973E-4</v>
      </c>
      <c r="F61" s="86">
        <v>1.574074073888888E-3</v>
      </c>
      <c r="G61" s="86">
        <v>2.9092490278483738E-3</v>
      </c>
      <c r="H61" s="86">
        <v>1.3977087454891932E-2</v>
      </c>
      <c r="I61" s="86">
        <v>1.4375377037453806E-2</v>
      </c>
      <c r="J61" s="86">
        <v>0</v>
      </c>
      <c r="K61" s="86">
        <v>0</v>
      </c>
      <c r="L61" s="86">
        <v>0</v>
      </c>
      <c r="M61" s="86">
        <v>0</v>
      </c>
      <c r="N61" s="86">
        <v>8.3927789453542206E-2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40.739591218773654</v>
      </c>
      <c r="C66" s="14">
        <f t="shared" si="48"/>
        <v>41.762425638073303</v>
      </c>
      <c r="D66" s="14">
        <f t="shared" ref="D66:V66" si="49">IF(D34=0,0,D34/D24)</f>
        <v>42.907026335430217</v>
      </c>
      <c r="E66" s="14">
        <f t="shared" si="49"/>
        <v>44.208705357142854</v>
      </c>
      <c r="F66" s="14">
        <f t="shared" si="49"/>
        <v>45.749195582224544</v>
      </c>
      <c r="G66" s="14">
        <f t="shared" si="49"/>
        <v>48.22706283878739</v>
      </c>
      <c r="H66" s="14">
        <f t="shared" si="49"/>
        <v>56.992456625597185</v>
      </c>
      <c r="I66" s="14">
        <f t="shared" si="49"/>
        <v>64.074975260492465</v>
      </c>
      <c r="J66" s="14">
        <f t="shared" si="49"/>
        <v>64.880301268766118</v>
      </c>
      <c r="K66" s="14">
        <f t="shared" si="49"/>
        <v>72.466846153846149</v>
      </c>
      <c r="L66" s="14">
        <f t="shared" si="49"/>
        <v>74.204826889057372</v>
      </c>
      <c r="M66" s="14">
        <f t="shared" si="49"/>
        <v>81.111789347695989</v>
      </c>
      <c r="N66" s="14">
        <f t="shared" si="49"/>
        <v>90.618297606186388</v>
      </c>
      <c r="O66" s="14">
        <f t="shared" si="49"/>
        <v>100.19152455369874</v>
      </c>
      <c r="P66" s="14">
        <f t="shared" si="49"/>
        <v>97.042702099604426</v>
      </c>
      <c r="Q66" s="14">
        <f t="shared" si="49"/>
        <v>101.49889836191205</v>
      </c>
      <c r="R66" s="14">
        <f t="shared" si="49"/>
        <v>106.57385300668152</v>
      </c>
      <c r="S66" s="14">
        <f t="shared" si="49"/>
        <v>110.93917634635692</v>
      </c>
      <c r="T66" s="14">
        <f t="shared" si="49"/>
        <v>118.87483350458577</v>
      </c>
      <c r="U66" s="14">
        <f t="shared" si="49"/>
        <v>120.48570578831927</v>
      </c>
      <c r="V66" s="14">
        <f t="shared" si="49"/>
        <v>86.837483240758473</v>
      </c>
      <c r="W66" s="14">
        <f t="shared" ref="W66" si="50">IF(W34=0,0,W34/W24)</f>
        <v>95.222012874862614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37.581184471521681</v>
      </c>
      <c r="C68" s="87">
        <f t="shared" si="48"/>
        <v>38.691702586206894</v>
      </c>
      <c r="D68" s="87">
        <f t="shared" ref="D68:V68" si="53">IF(D36=0,0,D36/D26)</f>
        <v>40.008501975811278</v>
      </c>
      <c r="E68" s="87">
        <f t="shared" si="53"/>
        <v>41.537810737413828</v>
      </c>
      <c r="F68" s="87">
        <f t="shared" si="53"/>
        <v>43.204805156753586</v>
      </c>
      <c r="G68" s="87">
        <f t="shared" si="53"/>
        <v>46.14115987228039</v>
      </c>
      <c r="H68" s="87">
        <f t="shared" si="53"/>
        <v>55.86448697125909</v>
      </c>
      <c r="I68" s="87">
        <f t="shared" si="53"/>
        <v>62.287875758181698</v>
      </c>
      <c r="J68" s="87">
        <f t="shared" si="53"/>
        <v>63.982413403838159</v>
      </c>
      <c r="K68" s="87">
        <f t="shared" si="53"/>
        <v>71.124644381223334</v>
      </c>
      <c r="L68" s="87">
        <f t="shared" si="53"/>
        <v>74.386277183664674</v>
      </c>
      <c r="M68" s="87">
        <f t="shared" si="53"/>
        <v>84.030921459492887</v>
      </c>
      <c r="N68" s="87">
        <f t="shared" si="53"/>
        <v>96.611314964307155</v>
      </c>
      <c r="O68" s="87">
        <f t="shared" si="53"/>
        <v>103.95531914893617</v>
      </c>
      <c r="P68" s="87">
        <f t="shared" si="53"/>
        <v>99.111588242409582</v>
      </c>
      <c r="Q68" s="87">
        <f t="shared" si="53"/>
        <v>104.30426021876799</v>
      </c>
      <c r="R68" s="87">
        <f t="shared" si="53"/>
        <v>109.77016734606308</v>
      </c>
      <c r="S68" s="87">
        <f t="shared" si="53"/>
        <v>111.68152190389571</v>
      </c>
      <c r="T68" s="87">
        <f t="shared" si="53"/>
        <v>118.05059810257116</v>
      </c>
      <c r="U68" s="87">
        <f t="shared" si="53"/>
        <v>119.24820260679995</v>
      </c>
      <c r="V68" s="87">
        <f t="shared" si="53"/>
        <v>86.245447522348528</v>
      </c>
      <c r="W68" s="87">
        <f t="shared" ref="W68" si="54">IF(W36=0,0,W36/W26)</f>
        <v>93.068390243902442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66.421658986175117</v>
      </c>
      <c r="C69" s="87">
        <f t="shared" si="48"/>
        <v>66.715411558669004</v>
      </c>
      <c r="D69" s="87">
        <f t="shared" ref="D69:V69" si="55">IF(D37=0,0,D37/D27)</f>
        <v>66.453307392996109</v>
      </c>
      <c r="E69" s="87">
        <f t="shared" si="55"/>
        <v>65.915959252971135</v>
      </c>
      <c r="F69" s="87">
        <f t="shared" si="55"/>
        <v>66.425396825396831</v>
      </c>
      <c r="G69" s="87">
        <f t="shared" si="55"/>
        <v>67.258807588075882</v>
      </c>
      <c r="H69" s="87">
        <f t="shared" si="55"/>
        <v>66.135661133371499</v>
      </c>
      <c r="I69" s="87">
        <f t="shared" si="55"/>
        <v>76.396599264705884</v>
      </c>
      <c r="J69" s="87">
        <f t="shared" si="55"/>
        <v>69.999661246612462</v>
      </c>
      <c r="K69" s="87">
        <f t="shared" si="55"/>
        <v>81.083904109589042</v>
      </c>
      <c r="L69" s="87">
        <f t="shared" si="55"/>
        <v>72.870712401055414</v>
      </c>
      <c r="M69" s="87">
        <f t="shared" si="55"/>
        <v>61.416782568382011</v>
      </c>
      <c r="N69" s="87">
        <f t="shared" si="55"/>
        <v>56.04195535026944</v>
      </c>
      <c r="O69" s="87">
        <f t="shared" si="55"/>
        <v>77.484957882069793</v>
      </c>
      <c r="P69" s="87">
        <f t="shared" si="55"/>
        <v>86.299309045226124</v>
      </c>
      <c r="Q69" s="87">
        <f t="shared" si="55"/>
        <v>87.60803876852907</v>
      </c>
      <c r="R69" s="87">
        <f t="shared" si="55"/>
        <v>90.916447714135572</v>
      </c>
      <c r="S69" s="87">
        <f t="shared" si="55"/>
        <v>107.15653964984553</v>
      </c>
      <c r="T69" s="87">
        <f t="shared" si="55"/>
        <v>122.90892777030058</v>
      </c>
      <c r="U69" s="87">
        <f t="shared" si="55"/>
        <v>125.48183520599251</v>
      </c>
      <c r="V69" s="87">
        <f t="shared" si="55"/>
        <v>90.721940622737151</v>
      </c>
      <c r="W69" s="87">
        <f t="shared" ref="W69" si="56">IF(W37=0,0,W37/W27)</f>
        <v>104.09445337620579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16.779549572211977</v>
      </c>
      <c r="C70" s="15">
        <f t="shared" si="48"/>
        <v>16.967193816491044</v>
      </c>
      <c r="D70" s="15">
        <f t="shared" ref="D70:V70" si="57">IF(D38=0,0,D38/D28)</f>
        <v>17.009885355063208</v>
      </c>
      <c r="E70" s="15">
        <f t="shared" si="57"/>
        <v>18.294415833682482</v>
      </c>
      <c r="F70" s="15">
        <f t="shared" si="57"/>
        <v>17.331129980950312</v>
      </c>
      <c r="G70" s="15">
        <f t="shared" si="57"/>
        <v>16.5450792649128</v>
      </c>
      <c r="H70" s="15">
        <f t="shared" si="57"/>
        <v>16.597089804701568</v>
      </c>
      <c r="I70" s="15">
        <f t="shared" si="57"/>
        <v>17.626494684590927</v>
      </c>
      <c r="J70" s="15">
        <f t="shared" si="57"/>
        <v>16.641775515762998</v>
      </c>
      <c r="K70" s="15">
        <f t="shared" si="57"/>
        <v>14.110387250028953</v>
      </c>
      <c r="L70" s="15">
        <f t="shared" si="57"/>
        <v>15.016257192230457</v>
      </c>
      <c r="M70" s="15">
        <f t="shared" si="57"/>
        <v>16.269521745479789</v>
      </c>
      <c r="N70" s="15">
        <f t="shared" si="57"/>
        <v>27.110274482900849</v>
      </c>
      <c r="O70" s="15">
        <f t="shared" si="57"/>
        <v>20.380460279884119</v>
      </c>
      <c r="P70" s="15">
        <f t="shared" si="57"/>
        <v>20.96307011262726</v>
      </c>
      <c r="Q70" s="15">
        <f t="shared" si="57"/>
        <v>21.190969683638915</v>
      </c>
      <c r="R70" s="15">
        <f t="shared" si="57"/>
        <v>23.385239334119181</v>
      </c>
      <c r="S70" s="15">
        <f t="shared" si="57"/>
        <v>20.564573570787385</v>
      </c>
      <c r="T70" s="15">
        <f t="shared" si="57"/>
        <v>21.542294046833369</v>
      </c>
      <c r="U70" s="15">
        <f t="shared" si="57"/>
        <v>22.513813492844193</v>
      </c>
      <c r="V70" s="15">
        <f t="shared" si="57"/>
        <v>19.976448201944127</v>
      </c>
      <c r="W70" s="15">
        <f t="shared" ref="W70" si="58">IF(W38=0,0,W38/W28)</f>
        <v>20.343585361945575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16.029083470668724</v>
      </c>
      <c r="G72" s="41">
        <f t="shared" si="61"/>
        <v>15.181021974099195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13.626760295117137</v>
      </c>
      <c r="L72" s="41">
        <f t="shared" si="61"/>
        <v>14.420786860573122</v>
      </c>
      <c r="M72" s="41">
        <f t="shared" si="61"/>
        <v>15.489703537213128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18.175765763019093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19.492640855946785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52.530888086642598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50.231754839242605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1250.7220520336857</v>
      </c>
      <c r="C75" s="62">
        <f t="shared" si="65"/>
        <v>1253.1459798169576</v>
      </c>
      <c r="D75" s="62">
        <f t="shared" ref="D75:V75" si="66">IF(D13=0,0,D13*1000000/D23)</f>
        <v>1252.555754457084</v>
      </c>
      <c r="E75" s="62">
        <f t="shared" si="66"/>
        <v>1257.5573343791755</v>
      </c>
      <c r="F75" s="62">
        <f t="shared" si="66"/>
        <v>1257.4791381774896</v>
      </c>
      <c r="G75" s="62">
        <f t="shared" si="66"/>
        <v>1290.172035918607</v>
      </c>
      <c r="H75" s="62">
        <f t="shared" si="66"/>
        <v>1297.7454817261387</v>
      </c>
      <c r="I75" s="62">
        <f t="shared" si="66"/>
        <v>1331.2905992742601</v>
      </c>
      <c r="J75" s="62">
        <f t="shared" si="66"/>
        <v>1187.1018865279227</v>
      </c>
      <c r="K75" s="62">
        <f t="shared" si="66"/>
        <v>998.51343470159986</v>
      </c>
      <c r="L75" s="62">
        <f t="shared" si="66"/>
        <v>1037.7750760746437</v>
      </c>
      <c r="M75" s="62">
        <f t="shared" si="66"/>
        <v>1042.2557622722934</v>
      </c>
      <c r="N75" s="62">
        <f t="shared" si="66"/>
        <v>1095.5189314112874</v>
      </c>
      <c r="O75" s="62">
        <f t="shared" si="66"/>
        <v>1146.7184575339463</v>
      </c>
      <c r="P75" s="62">
        <f t="shared" si="66"/>
        <v>1160.5284909605687</v>
      </c>
      <c r="Q75" s="62">
        <f t="shared" si="66"/>
        <v>1174.5592220983908</v>
      </c>
      <c r="R75" s="62">
        <f t="shared" si="66"/>
        <v>1167.404361817169</v>
      </c>
      <c r="S75" s="62">
        <f t="shared" si="66"/>
        <v>1173.5981681597361</v>
      </c>
      <c r="T75" s="62">
        <f t="shared" si="66"/>
        <v>1218.929981926309</v>
      </c>
      <c r="U75" s="62">
        <f t="shared" si="66"/>
        <v>1218.0017224387602</v>
      </c>
      <c r="V75" s="62">
        <f t="shared" si="66"/>
        <v>1206.4025932216709</v>
      </c>
      <c r="W75" s="62">
        <f t="shared" ref="W75" si="67">IF(W13=0,0,W13*1000000/W23)</f>
        <v>1372.3343333376392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1261.9013396083817</v>
      </c>
      <c r="C76" s="14">
        <f t="shared" si="65"/>
        <v>1261.9766070408459</v>
      </c>
      <c r="D76" s="14">
        <f t="shared" ref="D76:V76" si="68">IF(D14=0,0,D14*1000000/D24)</f>
        <v>1262.0432203184591</v>
      </c>
      <c r="E76" s="14">
        <f t="shared" si="68"/>
        <v>1261.9494641799672</v>
      </c>
      <c r="F76" s="14">
        <f t="shared" si="68"/>
        <v>1261.9599699911989</v>
      </c>
      <c r="G76" s="14">
        <f t="shared" si="68"/>
        <v>1294.3754397751327</v>
      </c>
      <c r="H76" s="14">
        <f t="shared" si="68"/>
        <v>1301.4693749903024</v>
      </c>
      <c r="I76" s="14">
        <f t="shared" si="68"/>
        <v>1333.8745842721107</v>
      </c>
      <c r="J76" s="14">
        <f t="shared" si="68"/>
        <v>1188.2994940636677</v>
      </c>
      <c r="K76" s="14">
        <f t="shared" si="68"/>
        <v>1001.6370938115205</v>
      </c>
      <c r="L76" s="14">
        <f t="shared" si="68"/>
        <v>1039.9331831612774</v>
      </c>
      <c r="M76" s="14">
        <f t="shared" si="68"/>
        <v>1045.0868075344542</v>
      </c>
      <c r="N76" s="14">
        <f t="shared" si="68"/>
        <v>1093.9557406215179</v>
      </c>
      <c r="O76" s="14">
        <f t="shared" si="68"/>
        <v>1151.4075617600688</v>
      </c>
      <c r="P76" s="14">
        <f t="shared" si="68"/>
        <v>1165.9914797214267</v>
      </c>
      <c r="Q76" s="14">
        <f t="shared" si="68"/>
        <v>1180.7166979488829</v>
      </c>
      <c r="R76" s="14">
        <f t="shared" si="68"/>
        <v>1173.7593117357835</v>
      </c>
      <c r="S76" s="14">
        <f t="shared" si="68"/>
        <v>1182.1613657142545</v>
      </c>
      <c r="T76" s="14">
        <f t="shared" si="68"/>
        <v>1228.4631872112977</v>
      </c>
      <c r="U76" s="14">
        <f t="shared" si="68"/>
        <v>1227.7556715860662</v>
      </c>
      <c r="V76" s="14">
        <f t="shared" si="68"/>
        <v>1234.8901007995792</v>
      </c>
      <c r="W76" s="14">
        <f t="shared" ref="W76" si="69">IF(W14=0,0,W14*1000000/W24)</f>
        <v>1393.7395147902291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1106.6486555963297</v>
      </c>
      <c r="C78" s="39">
        <f t="shared" si="65"/>
        <v>1106.6330378622283</v>
      </c>
      <c r="D78" s="39">
        <f t="shared" ref="D78:V78" si="72">IF(D16=0,0,D16*1000000/D26)</f>
        <v>1106.6590173921925</v>
      </c>
      <c r="E78" s="39">
        <f t="shared" si="72"/>
        <v>1106.626254288971</v>
      </c>
      <c r="F78" s="39">
        <f t="shared" si="72"/>
        <v>1106.6161868397603</v>
      </c>
      <c r="G78" s="39">
        <f t="shared" si="72"/>
        <v>1161.106851413706</v>
      </c>
      <c r="H78" s="39">
        <f t="shared" si="72"/>
        <v>1150.1264935056913</v>
      </c>
      <c r="I78" s="39">
        <f t="shared" si="72"/>
        <v>1172.7806686794229</v>
      </c>
      <c r="J78" s="39">
        <f t="shared" si="72"/>
        <v>1126.2816712688946</v>
      </c>
      <c r="K78" s="39">
        <f t="shared" si="72"/>
        <v>908.81513419653572</v>
      </c>
      <c r="L78" s="39">
        <f t="shared" si="72"/>
        <v>982.75025922262034</v>
      </c>
      <c r="M78" s="39">
        <f t="shared" si="72"/>
        <v>1018.289252157417</v>
      </c>
      <c r="N78" s="39">
        <f t="shared" si="72"/>
        <v>1094.9788477236202</v>
      </c>
      <c r="O78" s="39">
        <f t="shared" si="72"/>
        <v>1143.0039742324479</v>
      </c>
      <c r="P78" s="39">
        <f t="shared" si="72"/>
        <v>1151.2524532425327</v>
      </c>
      <c r="Q78" s="39">
        <f t="shared" si="72"/>
        <v>1169.9147986982573</v>
      </c>
      <c r="R78" s="39">
        <f t="shared" si="72"/>
        <v>1167.7568859295829</v>
      </c>
      <c r="S78" s="39">
        <f t="shared" si="72"/>
        <v>1153.2952931096256</v>
      </c>
      <c r="T78" s="39">
        <f t="shared" si="72"/>
        <v>1163.5286834759636</v>
      </c>
      <c r="U78" s="39">
        <f t="shared" si="72"/>
        <v>1155.8193157699884</v>
      </c>
      <c r="V78" s="39">
        <f t="shared" si="72"/>
        <v>1167.3572019610829</v>
      </c>
      <c r="W78" s="39">
        <f t="shared" ref="W78" si="73">IF(W16=0,0,W16*1000000/W26)</f>
        <v>1291.9177392826437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2524.3131411718182</v>
      </c>
      <c r="C79" s="39">
        <f t="shared" si="65"/>
        <v>2524.3131411718182</v>
      </c>
      <c r="D79" s="39">
        <f t="shared" ref="D79:V79" si="74">IF(D17=0,0,D17*1000000/D27)</f>
        <v>2524.3131411718182</v>
      </c>
      <c r="E79" s="39">
        <f t="shared" si="74"/>
        <v>2524.3131411718182</v>
      </c>
      <c r="F79" s="39">
        <f t="shared" si="74"/>
        <v>2524.3131411718182</v>
      </c>
      <c r="G79" s="39">
        <f t="shared" si="74"/>
        <v>2510.315873015873</v>
      </c>
      <c r="H79" s="39">
        <f t="shared" si="74"/>
        <v>2528.2390056162772</v>
      </c>
      <c r="I79" s="39">
        <f t="shared" si="74"/>
        <v>2444.5786355759215</v>
      </c>
      <c r="J79" s="39">
        <f t="shared" si="74"/>
        <v>1541.8977242326475</v>
      </c>
      <c r="K79" s="39">
        <f t="shared" si="74"/>
        <v>1597.5625514310118</v>
      </c>
      <c r="L79" s="39">
        <f t="shared" si="74"/>
        <v>1460.3710086163203</v>
      </c>
      <c r="M79" s="39">
        <f t="shared" si="74"/>
        <v>1225.8864474983038</v>
      </c>
      <c r="N79" s="39">
        <f t="shared" si="74"/>
        <v>1088.0529875986472</v>
      </c>
      <c r="O79" s="39">
        <f t="shared" si="74"/>
        <v>1202.1054985492456</v>
      </c>
      <c r="P79" s="39">
        <f t="shared" si="74"/>
        <v>1242.5288741316122</v>
      </c>
      <c r="Q79" s="39">
        <f t="shared" si="74"/>
        <v>1234.2027270205378</v>
      </c>
      <c r="R79" s="39">
        <f t="shared" si="74"/>
        <v>1203.1626818699933</v>
      </c>
      <c r="S79" s="39">
        <f t="shared" si="74"/>
        <v>1329.249018370848</v>
      </c>
      <c r="T79" s="39">
        <f t="shared" si="74"/>
        <v>1546.2751964085298</v>
      </c>
      <c r="U79" s="39">
        <f t="shared" si="74"/>
        <v>1518.1818691588783</v>
      </c>
      <c r="V79" s="39">
        <f t="shared" si="74"/>
        <v>1677.9861155538263</v>
      </c>
      <c r="W79" s="39">
        <f t="shared" ref="W79" si="75">IF(W17=0,0,W17*1000000/W27)</f>
        <v>1813.2223117969627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818.49262121885749</v>
      </c>
      <c r="C80" s="15">
        <f t="shared" si="65"/>
        <v>814.89456587713778</v>
      </c>
      <c r="D80" s="15">
        <f t="shared" ref="D80:V80" si="76">IF(D18=0,0,D18*1000000/D28)</f>
        <v>818.49262121885749</v>
      </c>
      <c r="E80" s="15">
        <f t="shared" si="76"/>
        <v>835.91287350315076</v>
      </c>
      <c r="F80" s="15">
        <f t="shared" si="76"/>
        <v>838.57600788606248</v>
      </c>
      <c r="G80" s="15">
        <f t="shared" si="76"/>
        <v>868.61858740811761</v>
      </c>
      <c r="H80" s="15">
        <f t="shared" si="76"/>
        <v>987.59001551504286</v>
      </c>
      <c r="I80" s="15">
        <f t="shared" si="76"/>
        <v>1112.6192777073963</v>
      </c>
      <c r="J80" s="15">
        <f t="shared" si="76"/>
        <v>1053.9992467546499</v>
      </c>
      <c r="K80" s="15">
        <f t="shared" si="76"/>
        <v>727.7963118418154</v>
      </c>
      <c r="L80" s="15">
        <f t="shared" si="76"/>
        <v>859.86612312030081</v>
      </c>
      <c r="M80" s="15">
        <f t="shared" si="76"/>
        <v>809.21750448554997</v>
      </c>
      <c r="N80" s="15">
        <f t="shared" si="76"/>
        <v>1195.8541008261811</v>
      </c>
      <c r="O80" s="15">
        <f t="shared" si="76"/>
        <v>923.31067384752521</v>
      </c>
      <c r="P80" s="15">
        <f t="shared" si="76"/>
        <v>864.59658879958477</v>
      </c>
      <c r="Q80" s="15">
        <f t="shared" si="76"/>
        <v>849.92341198078032</v>
      </c>
      <c r="R80" s="15">
        <f t="shared" si="76"/>
        <v>784.91474875310439</v>
      </c>
      <c r="S80" s="15">
        <f t="shared" si="76"/>
        <v>722.07544632627696</v>
      </c>
      <c r="T80" s="15">
        <f t="shared" si="76"/>
        <v>730.61802232854859</v>
      </c>
      <c r="U80" s="15">
        <f t="shared" si="76"/>
        <v>724.82225230082724</v>
      </c>
      <c r="V80" s="15">
        <f t="shared" si="76"/>
        <v>740.88372917078027</v>
      </c>
      <c r="W80" s="15">
        <f t="shared" ref="W80" si="77">IF(W18=0,0,W18*1000000/W28)</f>
        <v>914.08357477782101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799.98307600617898</v>
      </c>
      <c r="C82" s="41">
        <f t="shared" si="65"/>
        <v>796.76441631832586</v>
      </c>
      <c r="D82" s="41">
        <f t="shared" ref="D82:V82" si="80">IF(D20=0,0,D20*1000000/D30)</f>
        <v>799.98307600617898</v>
      </c>
      <c r="E82" s="41">
        <f t="shared" si="80"/>
        <v>802.10974777526962</v>
      </c>
      <c r="F82" s="41">
        <f t="shared" si="80"/>
        <v>800.01578499327093</v>
      </c>
      <c r="G82" s="41">
        <f t="shared" si="80"/>
        <v>825.92936284372911</v>
      </c>
      <c r="H82" s="41">
        <f t="shared" si="80"/>
        <v>901.72254824202753</v>
      </c>
      <c r="I82" s="41">
        <f t="shared" si="80"/>
        <v>985.55072471875326</v>
      </c>
      <c r="J82" s="41">
        <f t="shared" si="80"/>
        <v>1029.1951356196712</v>
      </c>
      <c r="K82" s="41">
        <f t="shared" si="80"/>
        <v>717.1068579036222</v>
      </c>
      <c r="L82" s="41">
        <f t="shared" si="80"/>
        <v>848.81849544496163</v>
      </c>
      <c r="M82" s="41">
        <f t="shared" si="80"/>
        <v>785.51309997514909</v>
      </c>
      <c r="N82" s="41">
        <f t="shared" si="80"/>
        <v>750.90386759581884</v>
      </c>
      <c r="O82" s="41">
        <f t="shared" si="80"/>
        <v>780.33912156570852</v>
      </c>
      <c r="P82" s="41">
        <f t="shared" si="80"/>
        <v>785.41228126885733</v>
      </c>
      <c r="Q82" s="41">
        <f t="shared" si="80"/>
        <v>779.67280084937772</v>
      </c>
      <c r="R82" s="41">
        <f t="shared" si="80"/>
        <v>738.49457668053299</v>
      </c>
      <c r="S82" s="41">
        <f t="shared" si="80"/>
        <v>701.45109779111078</v>
      </c>
      <c r="T82" s="41">
        <f t="shared" si="80"/>
        <v>696.14528722810928</v>
      </c>
      <c r="U82" s="41">
        <f t="shared" si="80"/>
        <v>667.41338077879197</v>
      </c>
      <c r="V82" s="41">
        <f t="shared" si="80"/>
        <v>648.33633847080887</v>
      </c>
      <c r="W82" s="41">
        <f t="shared" ref="W82" si="81">IF(W20=0,0,W20*1000000/W30)</f>
        <v>823.95871216268051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1748.5972681559442</v>
      </c>
      <c r="C83" s="40">
        <f t="shared" si="65"/>
        <v>1748.5972681559442</v>
      </c>
      <c r="D83" s="40">
        <f t="shared" ref="D83:V83" si="82">IF(D21=0,0,D21*1000000/D31)</f>
        <v>1748.5972681559442</v>
      </c>
      <c r="E83" s="40">
        <f t="shared" si="82"/>
        <v>1748.5972681559442</v>
      </c>
      <c r="F83" s="40">
        <f t="shared" si="82"/>
        <v>1748.597268155944</v>
      </c>
      <c r="G83" s="40">
        <f t="shared" si="82"/>
        <v>1734.6</v>
      </c>
      <c r="H83" s="40">
        <f t="shared" si="82"/>
        <v>1926.7654388136482</v>
      </c>
      <c r="I83" s="40">
        <f t="shared" si="82"/>
        <v>2017.3473749865364</v>
      </c>
      <c r="J83" s="40">
        <f t="shared" si="82"/>
        <v>1288.9087698565061</v>
      </c>
      <c r="K83" s="40">
        <f t="shared" si="82"/>
        <v>1518.8159032681142</v>
      </c>
      <c r="L83" s="40">
        <f t="shared" si="82"/>
        <v>1555.8666666666668</v>
      </c>
      <c r="M83" s="40">
        <f t="shared" si="82"/>
        <v>1988.5116288779998</v>
      </c>
      <c r="N83" s="40">
        <f t="shared" si="82"/>
        <v>2517.8076923076919</v>
      </c>
      <c r="O83" s="40">
        <f t="shared" si="82"/>
        <v>2374.6885530720274</v>
      </c>
      <c r="P83" s="40">
        <f t="shared" si="82"/>
        <v>2157.940278468132</v>
      </c>
      <c r="Q83" s="40">
        <f t="shared" si="82"/>
        <v>1892.4424811707952</v>
      </c>
      <c r="R83" s="40">
        <f t="shared" si="82"/>
        <v>1604.230785833988</v>
      </c>
      <c r="S83" s="40">
        <f t="shared" si="82"/>
        <v>1473.1454721485804</v>
      </c>
      <c r="T83" s="40">
        <f t="shared" si="82"/>
        <v>1433</v>
      </c>
      <c r="U83" s="40">
        <f t="shared" si="82"/>
        <v>1720.5692307692311</v>
      </c>
      <c r="V83" s="40">
        <f t="shared" si="82"/>
        <v>1880.3734771641787</v>
      </c>
      <c r="W83" s="40">
        <f t="shared" ref="W83" si="83">IF(W21=0,0,W21*1000000/W31)</f>
        <v>2015.6096734073153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77599.457220146811</v>
      </c>
      <c r="C86" s="11">
        <f t="shared" si="84"/>
        <v>79625.607209095033</v>
      </c>
      <c r="D86" s="11">
        <f t="shared" ref="D86:V86" si="85">IF(D4=0,0,D4*1000000/D24)</f>
        <v>81016.0198180523</v>
      </c>
      <c r="E86" s="11">
        <f t="shared" si="85"/>
        <v>81817.99610681177</v>
      </c>
      <c r="F86" s="11">
        <f t="shared" si="85"/>
        <v>82881.665875153834</v>
      </c>
      <c r="G86" s="11">
        <f t="shared" si="85"/>
        <v>86696.878810827984</v>
      </c>
      <c r="H86" s="11">
        <f t="shared" si="85"/>
        <v>97323.040885576673</v>
      </c>
      <c r="I86" s="11">
        <f t="shared" si="85"/>
        <v>108113.9087139591</v>
      </c>
      <c r="J86" s="11">
        <f t="shared" si="85"/>
        <v>94056.982701568093</v>
      </c>
      <c r="K86" s="11">
        <f t="shared" si="85"/>
        <v>91268.801152237036</v>
      </c>
      <c r="L86" s="11">
        <f t="shared" si="85"/>
        <v>95938.332967981944</v>
      </c>
      <c r="M86" s="11">
        <f t="shared" si="85"/>
        <v>105997.59006625792</v>
      </c>
      <c r="N86" s="11">
        <f t="shared" si="85"/>
        <v>125294.23555650243</v>
      </c>
      <c r="O86" s="11">
        <f t="shared" si="85"/>
        <v>140560.42479404015</v>
      </c>
      <c r="P86" s="11">
        <f t="shared" si="85"/>
        <v>136259.90404130667</v>
      </c>
      <c r="Q86" s="11">
        <f t="shared" si="85"/>
        <v>142284.58032549711</v>
      </c>
      <c r="R86" s="11">
        <f t="shared" si="85"/>
        <v>148052.69762522209</v>
      </c>
      <c r="S86" s="11">
        <f t="shared" si="85"/>
        <v>155015.8105553347</v>
      </c>
      <c r="T86" s="11">
        <f t="shared" si="85"/>
        <v>171201.43029254698</v>
      </c>
      <c r="U86" s="11">
        <f t="shared" si="85"/>
        <v>172978.16587614905</v>
      </c>
      <c r="V86" s="11">
        <f t="shared" si="85"/>
        <v>125625.35836335947</v>
      </c>
      <c r="W86" s="11">
        <f t="shared" ref="W86" si="86">IF(W4=0,0,W4*1000000/W24)</f>
        <v>146606.44424999459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64610.758044305294</v>
      </c>
      <c r="C88" s="36">
        <f t="shared" si="84"/>
        <v>66778.155419881281</v>
      </c>
      <c r="D88" s="36">
        <f t="shared" ref="D88:V88" si="89">IF(D6=0,0,D6*1000000/D26)</f>
        <v>68424.685641574222</v>
      </c>
      <c r="E88" s="36">
        <f t="shared" si="89"/>
        <v>69513.587891429837</v>
      </c>
      <c r="F88" s="36">
        <f t="shared" si="89"/>
        <v>70533.495546216815</v>
      </c>
      <c r="G88" s="36">
        <f t="shared" si="89"/>
        <v>75978.042119676044</v>
      </c>
      <c r="H88" s="36">
        <f t="shared" si="89"/>
        <v>86789.137162415398</v>
      </c>
      <c r="I88" s="36">
        <f t="shared" si="89"/>
        <v>94196.197645305991</v>
      </c>
      <c r="J88" s="36">
        <f t="shared" si="89"/>
        <v>89868.204858199359</v>
      </c>
      <c r="K88" s="36">
        <f t="shared" si="89"/>
        <v>83437.428014084449</v>
      </c>
      <c r="L88" s="36">
        <f t="shared" si="89"/>
        <v>93171.006015727355</v>
      </c>
      <c r="M88" s="36">
        <f t="shared" si="89"/>
        <v>110250.92138089523</v>
      </c>
      <c r="N88" s="36">
        <f t="shared" si="89"/>
        <v>132389.65821265447</v>
      </c>
      <c r="O88" s="36">
        <f t="shared" si="89"/>
        <v>142746.35490429698</v>
      </c>
      <c r="P88" s="36">
        <f t="shared" si="89"/>
        <v>137212.2032663603</v>
      </c>
      <c r="Q88" s="36">
        <f t="shared" si="89"/>
        <v>145005.79109507881</v>
      </c>
      <c r="R88" s="36">
        <f t="shared" si="89"/>
        <v>151901.93758924524</v>
      </c>
      <c r="S88" s="36">
        <f t="shared" si="89"/>
        <v>152748.64153287702</v>
      </c>
      <c r="T88" s="36">
        <f t="shared" si="89"/>
        <v>161232.85719151652</v>
      </c>
      <c r="U88" s="36">
        <f t="shared" si="89"/>
        <v>161082.01039753921</v>
      </c>
      <c r="V88" s="36">
        <f t="shared" si="89"/>
        <v>116582.17851706684</v>
      </c>
      <c r="W88" s="36">
        <f t="shared" ref="W88" si="90">IF(W6=0,0,W6*1000000/W26)</f>
        <v>131774.32993370897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183214.93968914388</v>
      </c>
      <c r="C89" s="36">
        <f t="shared" si="84"/>
        <v>184025.21544368655</v>
      </c>
      <c r="D89" s="36">
        <f t="shared" ref="D89:V89" si="91">IF(D7=0,0,D7*1000000/D27)</f>
        <v>183302.23743261298</v>
      </c>
      <c r="E89" s="36">
        <f t="shared" si="91"/>
        <v>181820.03706951693</v>
      </c>
      <c r="F89" s="36">
        <f t="shared" si="91"/>
        <v>183225.25000053967</v>
      </c>
      <c r="G89" s="36">
        <f t="shared" si="91"/>
        <v>184495.3704908709</v>
      </c>
      <c r="H89" s="36">
        <f t="shared" si="91"/>
        <v>182709.76705826519</v>
      </c>
      <c r="I89" s="36">
        <f t="shared" si="91"/>
        <v>204073.20060872144</v>
      </c>
      <c r="J89" s="36">
        <f t="shared" si="91"/>
        <v>117939.54363711657</v>
      </c>
      <c r="K89" s="36">
        <f t="shared" si="91"/>
        <v>141546.93189307049</v>
      </c>
      <c r="L89" s="36">
        <f t="shared" si="91"/>
        <v>116285.12263856936</v>
      </c>
      <c r="M89" s="36">
        <f t="shared" si="91"/>
        <v>77300.913839129236</v>
      </c>
      <c r="N89" s="36">
        <f t="shared" si="91"/>
        <v>84357.634250473493</v>
      </c>
      <c r="O89" s="36">
        <f t="shared" si="91"/>
        <v>127372.94430536671</v>
      </c>
      <c r="P89" s="36">
        <f t="shared" si="91"/>
        <v>131314.76729914694</v>
      </c>
      <c r="Q89" s="36">
        <f t="shared" si="91"/>
        <v>128810.39815114303</v>
      </c>
      <c r="R89" s="36">
        <f t="shared" si="91"/>
        <v>129196.88315090581</v>
      </c>
      <c r="S89" s="36">
        <f t="shared" si="91"/>
        <v>166568.21583943843</v>
      </c>
      <c r="T89" s="36">
        <f t="shared" si="91"/>
        <v>219991.08854543703</v>
      </c>
      <c r="U89" s="36">
        <f t="shared" si="91"/>
        <v>221006.10894044687</v>
      </c>
      <c r="V89" s="36">
        <f t="shared" si="91"/>
        <v>184959.35734037429</v>
      </c>
      <c r="W89" s="36">
        <f t="shared" ref="W89" si="92">IF(W7=0,0,W7*1000000/W27)</f>
        <v>207711.416815078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23861.022080772465</v>
      </c>
      <c r="C90" s="13">
        <f t="shared" si="84"/>
        <v>25035.142946319695</v>
      </c>
      <c r="D90" s="13">
        <f t="shared" ref="D90:V90" si="93">IF(D8=0,0,D8*1000000/D28)</f>
        <v>23635.899882046255</v>
      </c>
      <c r="E90" s="13">
        <f t="shared" si="93"/>
        <v>25314.050837331713</v>
      </c>
      <c r="F90" s="13">
        <f t="shared" si="93"/>
        <v>23600.96130832682</v>
      </c>
      <c r="G90" s="13">
        <f t="shared" si="93"/>
        <v>24131.215047504458</v>
      </c>
      <c r="H90" s="13">
        <f t="shared" si="93"/>
        <v>26212.348245288675</v>
      </c>
      <c r="I90" s="13">
        <f t="shared" si="93"/>
        <v>31508.635320271344</v>
      </c>
      <c r="J90" s="13">
        <f t="shared" si="93"/>
        <v>25037.496430302108</v>
      </c>
      <c r="K90" s="13">
        <f t="shared" si="93"/>
        <v>16943.506184554422</v>
      </c>
      <c r="L90" s="13">
        <f t="shared" si="93"/>
        <v>19986.266325509605</v>
      </c>
      <c r="M90" s="13">
        <f t="shared" si="93"/>
        <v>20948.682310475207</v>
      </c>
      <c r="N90" s="13">
        <f t="shared" si="93"/>
        <v>71221.497612000589</v>
      </c>
      <c r="O90" s="13">
        <f t="shared" si="93"/>
        <v>36808.901056910356</v>
      </c>
      <c r="P90" s="13">
        <f t="shared" si="93"/>
        <v>33167.338534268303</v>
      </c>
      <c r="Q90" s="13">
        <f t="shared" si="93"/>
        <v>32421.180147733521</v>
      </c>
      <c r="R90" s="13">
        <f t="shared" si="93"/>
        <v>30861.620402524397</v>
      </c>
      <c r="S90" s="13">
        <f t="shared" si="93"/>
        <v>24079.563601700986</v>
      </c>
      <c r="T90" s="13">
        <f t="shared" si="93"/>
        <v>26348.02219425244</v>
      </c>
      <c r="U90" s="13">
        <f t="shared" si="93"/>
        <v>29342.087935133579</v>
      </c>
      <c r="V90" s="13">
        <f t="shared" si="93"/>
        <v>24317.37591571737</v>
      </c>
      <c r="W90" s="13">
        <f t="shared" ref="W90" si="94">IF(W8=0,0,W8*1000000/W28)</f>
        <v>26204.46592573763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21861.015314316799</v>
      </c>
      <c r="C92" s="34">
        <f t="shared" si="84"/>
        <v>22991.610074393953</v>
      </c>
      <c r="D92" s="34">
        <f t="shared" ref="D92:V92" si="97">IF(D10=0,0,D10*1000000/D30)</f>
        <v>21657.777886343578</v>
      </c>
      <c r="E92" s="34">
        <f t="shared" si="97"/>
        <v>22110.409705418278</v>
      </c>
      <c r="F92" s="34">
        <f t="shared" si="97"/>
        <v>20002.097346637169</v>
      </c>
      <c r="G92" s="34">
        <f t="shared" si="97"/>
        <v>20329.432488409173</v>
      </c>
      <c r="H92" s="34">
        <f t="shared" si="97"/>
        <v>18668.466921346771</v>
      </c>
      <c r="I92" s="34">
        <f t="shared" si="97"/>
        <v>20212.257809867308</v>
      </c>
      <c r="J92" s="34">
        <f t="shared" si="97"/>
        <v>20281.847330778572</v>
      </c>
      <c r="K92" s="34">
        <f t="shared" si="97"/>
        <v>15913.999972791864</v>
      </c>
      <c r="L92" s="34">
        <f t="shared" si="97"/>
        <v>18764.024491486907</v>
      </c>
      <c r="M92" s="34">
        <f t="shared" si="97"/>
        <v>18928.595280102531</v>
      </c>
      <c r="N92" s="34">
        <f t="shared" si="97"/>
        <v>19578.853704596844</v>
      </c>
      <c r="O92" s="34">
        <f t="shared" si="97"/>
        <v>19651.673433727079</v>
      </c>
      <c r="P92" s="34">
        <f t="shared" si="97"/>
        <v>23093.056646843721</v>
      </c>
      <c r="Q92" s="34">
        <f t="shared" si="97"/>
        <v>23262.213205378783</v>
      </c>
      <c r="R92" s="34">
        <f t="shared" si="97"/>
        <v>23893.59164542181</v>
      </c>
      <c r="S92" s="34">
        <f t="shared" si="97"/>
        <v>20920.596407134039</v>
      </c>
      <c r="T92" s="34">
        <f t="shared" si="97"/>
        <v>20950.030012182011</v>
      </c>
      <c r="U92" s="34">
        <f t="shared" si="97"/>
        <v>21170.362812223877</v>
      </c>
      <c r="V92" s="34">
        <f t="shared" si="97"/>
        <v>16039.679967663256</v>
      </c>
      <c r="W92" s="34">
        <f t="shared" ref="W92" si="98">IF(W10=0,0,W10*1000000/W30)</f>
        <v>18276.460292907541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124361.36209516959</v>
      </c>
      <c r="C93" s="35">
        <f t="shared" si="84"/>
        <v>130277.08585049541</v>
      </c>
      <c r="D93" s="35">
        <f t="shared" ref="D93:V93" si="99">IF(D11=0,0,D11*1000000/D31)</f>
        <v>123036.53016610589</v>
      </c>
      <c r="E93" s="35">
        <f t="shared" si="99"/>
        <v>111812.36139899444</v>
      </c>
      <c r="F93" s="35">
        <f t="shared" si="99"/>
        <v>108534.15080420254</v>
      </c>
      <c r="G93" s="35">
        <f t="shared" si="99"/>
        <v>101253.08981772313</v>
      </c>
      <c r="H93" s="35">
        <f t="shared" si="99"/>
        <v>108723.55022590321</v>
      </c>
      <c r="I93" s="35">
        <f t="shared" si="99"/>
        <v>111938.84319434802</v>
      </c>
      <c r="J93" s="35">
        <f t="shared" si="99"/>
        <v>70076.290843436742</v>
      </c>
      <c r="K93" s="35">
        <f t="shared" si="99"/>
        <v>93126.965854983733</v>
      </c>
      <c r="L93" s="35">
        <f t="shared" si="99"/>
        <v>96987.501868939653</v>
      </c>
      <c r="M93" s="35">
        <f t="shared" si="99"/>
        <v>121448.01207151565</v>
      </c>
      <c r="N93" s="35">
        <f t="shared" si="99"/>
        <v>224652.54110501168</v>
      </c>
      <c r="O93" s="35">
        <f t="shared" si="99"/>
        <v>210980.75723164971</v>
      </c>
      <c r="P93" s="35">
        <f t="shared" si="99"/>
        <v>197713.94269553636</v>
      </c>
      <c r="Q93" s="35">
        <f t="shared" si="99"/>
        <v>168340.24957227783</v>
      </c>
      <c r="R93" s="35">
        <f t="shared" si="99"/>
        <v>153847.32796538508</v>
      </c>
      <c r="S93" s="35">
        <f t="shared" si="99"/>
        <v>139118.61893718084</v>
      </c>
      <c r="T93" s="35">
        <f t="shared" si="99"/>
        <v>136332.11290393749</v>
      </c>
      <c r="U93" s="35">
        <f t="shared" si="99"/>
        <v>171079.25127387774</v>
      </c>
      <c r="V93" s="35">
        <f t="shared" si="99"/>
        <v>126236.50727613365</v>
      </c>
      <c r="W93" s="35">
        <f t="shared" ref="W93" si="100">IF(W11=0,0,W11*1000000/W31)</f>
        <v>123102.31254921653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1192.1794926121158</v>
      </c>
      <c r="C95" s="62">
        <f t="shared" si="101"/>
        <v>1192.4406323778785</v>
      </c>
      <c r="D95" s="62">
        <f t="shared" ref="D95:V95" si="102">IF(D23=0,0,D23/D43)</f>
        <v>1161.9794174462722</v>
      </c>
      <c r="E95" s="62">
        <f t="shared" si="102"/>
        <v>1184.5876661442844</v>
      </c>
      <c r="F95" s="62">
        <f t="shared" si="102"/>
        <v>1188.1958973736971</v>
      </c>
      <c r="G95" s="62">
        <f t="shared" si="102"/>
        <v>1184.6904572296237</v>
      </c>
      <c r="H95" s="62">
        <f t="shared" si="102"/>
        <v>1173.9100363226364</v>
      </c>
      <c r="I95" s="62">
        <f t="shared" si="102"/>
        <v>1146.251888831174</v>
      </c>
      <c r="J95" s="62">
        <f t="shared" si="102"/>
        <v>1232.0920105929761</v>
      </c>
      <c r="K95" s="62">
        <f t="shared" si="102"/>
        <v>846.54911927459932</v>
      </c>
      <c r="L95" s="62">
        <f t="shared" si="102"/>
        <v>1062.0659213572685</v>
      </c>
      <c r="M95" s="62">
        <f t="shared" si="102"/>
        <v>1156.4187358448175</v>
      </c>
      <c r="N95" s="62">
        <f t="shared" si="102"/>
        <v>1204.1077437862482</v>
      </c>
      <c r="O95" s="62">
        <f t="shared" si="102"/>
        <v>1231.7554009920032</v>
      </c>
      <c r="P95" s="62">
        <f t="shared" si="102"/>
        <v>1241.9416700152067</v>
      </c>
      <c r="Q95" s="62">
        <f t="shared" si="102"/>
        <v>1234.5837085270844</v>
      </c>
      <c r="R95" s="62">
        <f t="shared" si="102"/>
        <v>1238.5723924026215</v>
      </c>
      <c r="S95" s="62">
        <f t="shared" si="102"/>
        <v>1232.8071376544215</v>
      </c>
      <c r="T95" s="62">
        <f t="shared" si="102"/>
        <v>1203.3786033777315</v>
      </c>
      <c r="U95" s="62">
        <f t="shared" si="102"/>
        <v>1194.6634012422121</v>
      </c>
      <c r="V95" s="62">
        <f t="shared" si="102"/>
        <v>490.6077097264569</v>
      </c>
      <c r="W95" s="62">
        <f t="shared" ref="W95" si="103">IF(W23=0,0,W23/W43)</f>
        <v>602.10940112740366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1193.5293410921047</v>
      </c>
      <c r="C96" s="11">
        <f t="shared" si="104"/>
        <v>1193.4586572350229</v>
      </c>
      <c r="D96" s="11">
        <f t="shared" ref="D96:V96" si="105">IF(D24=0,0,D24/D44)</f>
        <v>1162.4186535517808</v>
      </c>
      <c r="E96" s="11">
        <f t="shared" si="105"/>
        <v>1193.4795780038442</v>
      </c>
      <c r="F96" s="11">
        <f t="shared" si="105"/>
        <v>1193.4668144093632</v>
      </c>
      <c r="G96" s="11">
        <f t="shared" si="105"/>
        <v>1185.4470752274624</v>
      </c>
      <c r="H96" s="11">
        <f t="shared" si="105"/>
        <v>1175.5091548177097</v>
      </c>
      <c r="I96" s="11">
        <f t="shared" si="105"/>
        <v>1148.3224834854782</v>
      </c>
      <c r="J96" s="11">
        <f t="shared" si="105"/>
        <v>1235.6295940644636</v>
      </c>
      <c r="K96" s="11">
        <f t="shared" si="105"/>
        <v>847.10527787241301</v>
      </c>
      <c r="L96" s="11">
        <f t="shared" si="105"/>
        <v>1065.3500080221986</v>
      </c>
      <c r="M96" s="11">
        <f t="shared" si="105"/>
        <v>1160.6961030592734</v>
      </c>
      <c r="N96" s="11">
        <f t="shared" si="105"/>
        <v>1211.0286301035983</v>
      </c>
      <c r="O96" s="11">
        <f t="shared" si="105"/>
        <v>1242.4334400227312</v>
      </c>
      <c r="P96" s="11">
        <f t="shared" si="105"/>
        <v>1252.3595045779123</v>
      </c>
      <c r="Q96" s="11">
        <f t="shared" si="105"/>
        <v>1243.6269497050125</v>
      </c>
      <c r="R96" s="11">
        <f t="shared" si="105"/>
        <v>1247.1492456045053</v>
      </c>
      <c r="S96" s="11">
        <f t="shared" si="105"/>
        <v>1240.3858420062782</v>
      </c>
      <c r="T96" s="11">
        <f t="shared" si="105"/>
        <v>1208.6196083794009</v>
      </c>
      <c r="U96" s="11">
        <f t="shared" si="105"/>
        <v>1199.0098304602795</v>
      </c>
      <c r="V96" s="11">
        <f t="shared" si="105"/>
        <v>474.81713387442608</v>
      </c>
      <c r="W96" s="11">
        <f t="shared" ref="W96" si="106">IF(W24=0,0,W24/W44)</f>
        <v>591.12055947577358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1344.4365141934818</v>
      </c>
      <c r="C98" s="36">
        <f t="shared" si="104"/>
        <v>1344.4454356780893</v>
      </c>
      <c r="D98" s="36">
        <f t="shared" ref="D98:V98" si="109">IF(D26=0,0,D26/D46)</f>
        <v>1309.4481078421727</v>
      </c>
      <c r="E98" s="36">
        <f t="shared" si="109"/>
        <v>1344.4493024319663</v>
      </c>
      <c r="F98" s="36">
        <f t="shared" si="109"/>
        <v>1344.4550538447445</v>
      </c>
      <c r="G98" s="36">
        <f t="shared" si="109"/>
        <v>1314.1686271064514</v>
      </c>
      <c r="H98" s="36">
        <f t="shared" si="109"/>
        <v>1319.9193330862229</v>
      </c>
      <c r="I98" s="36">
        <f t="shared" si="109"/>
        <v>1298.4256515146476</v>
      </c>
      <c r="J98" s="36">
        <f t="shared" si="109"/>
        <v>1333.5442307931157</v>
      </c>
      <c r="K98" s="36">
        <f t="shared" si="109"/>
        <v>929.87301221184896</v>
      </c>
      <c r="L98" s="36">
        <f t="shared" si="109"/>
        <v>1186.1823156635992</v>
      </c>
      <c r="M98" s="36">
        <f t="shared" si="109"/>
        <v>1273.826465376243</v>
      </c>
      <c r="N98" s="36">
        <f t="shared" si="109"/>
        <v>1282.2544413718222</v>
      </c>
      <c r="O98" s="36">
        <f t="shared" si="109"/>
        <v>1317.2037329652405</v>
      </c>
      <c r="P98" s="36">
        <f t="shared" si="109"/>
        <v>1319.3673253316881</v>
      </c>
      <c r="Q98" s="36">
        <f t="shared" si="109"/>
        <v>1309.7212102449487</v>
      </c>
      <c r="R98" s="36">
        <f t="shared" si="109"/>
        <v>1310.2816595866964</v>
      </c>
      <c r="S98" s="36">
        <f t="shared" si="109"/>
        <v>1318.4110213526551</v>
      </c>
      <c r="T98" s="36">
        <f t="shared" si="109"/>
        <v>1313.0375736963847</v>
      </c>
      <c r="U98" s="36">
        <f t="shared" si="109"/>
        <v>1317.2910458401491</v>
      </c>
      <c r="V98" s="36">
        <f t="shared" si="109"/>
        <v>565.74048390681605</v>
      </c>
      <c r="W98" s="36">
        <f t="shared" ref="W98" si="110">IF(W26=0,0,W26/W46)</f>
        <v>654.27514445349709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624</v>
      </c>
      <c r="C99" s="36">
        <f t="shared" si="104"/>
        <v>624</v>
      </c>
      <c r="D99" s="36">
        <f t="shared" ref="D99:V99" si="111">IF(D27=0,0,D27/D47)</f>
        <v>607.91508718726311</v>
      </c>
      <c r="E99" s="36">
        <f t="shared" si="111"/>
        <v>624</v>
      </c>
      <c r="F99" s="36">
        <f t="shared" si="111"/>
        <v>624</v>
      </c>
      <c r="G99" s="36">
        <f t="shared" si="111"/>
        <v>626</v>
      </c>
      <c r="H99" s="36">
        <f t="shared" si="111"/>
        <v>623</v>
      </c>
      <c r="I99" s="36">
        <f t="shared" si="111"/>
        <v>639</v>
      </c>
      <c r="J99" s="36">
        <f t="shared" si="111"/>
        <v>871</v>
      </c>
      <c r="K99" s="36">
        <f t="shared" si="111"/>
        <v>539.05946700186337</v>
      </c>
      <c r="L99" s="36">
        <f t="shared" si="111"/>
        <v>609.12837293410666</v>
      </c>
      <c r="M99" s="36">
        <f t="shared" si="111"/>
        <v>725.79828280584502</v>
      </c>
      <c r="N99" s="36">
        <f t="shared" si="111"/>
        <v>917.11460261277205</v>
      </c>
      <c r="O99" s="36">
        <f t="shared" si="111"/>
        <v>925.49453906125132</v>
      </c>
      <c r="P99" s="36">
        <f t="shared" si="111"/>
        <v>991</v>
      </c>
      <c r="Q99" s="36">
        <f t="shared" si="111"/>
        <v>995</v>
      </c>
      <c r="R99" s="36">
        <f t="shared" si="111"/>
        <v>1009</v>
      </c>
      <c r="S99" s="36">
        <f t="shared" si="111"/>
        <v>952.99999999999989</v>
      </c>
      <c r="T99" s="36">
        <f t="shared" si="111"/>
        <v>870</v>
      </c>
      <c r="U99" s="36">
        <f t="shared" si="111"/>
        <v>880</v>
      </c>
      <c r="V99" s="36">
        <f t="shared" si="111"/>
        <v>231.11242588161863</v>
      </c>
      <c r="W99" s="36">
        <f t="shared" ref="W99" si="112">IF(W27=0,0,W27/W47)</f>
        <v>422.93420331393924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1142.2327977237096</v>
      </c>
      <c r="C100" s="13">
        <f t="shared" si="104"/>
        <v>1144.0108068702664</v>
      </c>
      <c r="D100" s="13">
        <f t="shared" ref="D100:V100" si="113">IF(D28=0,0,D28/D48)</f>
        <v>1142.2327977237096</v>
      </c>
      <c r="E100" s="13">
        <f t="shared" si="113"/>
        <v>690.62529214489041</v>
      </c>
      <c r="F100" s="13">
        <f t="shared" si="113"/>
        <v>840.97045837562291</v>
      </c>
      <c r="G100" s="13">
        <f t="shared" si="113"/>
        <v>1113.4206941362409</v>
      </c>
      <c r="H100" s="13">
        <f t="shared" si="113"/>
        <v>1054.4400686160825</v>
      </c>
      <c r="I100" s="13">
        <f t="shared" si="113"/>
        <v>994.49886490761901</v>
      </c>
      <c r="J100" s="13">
        <f t="shared" si="113"/>
        <v>934.68260255168241</v>
      </c>
      <c r="K100" s="13">
        <f t="shared" si="113"/>
        <v>800.97360619892152</v>
      </c>
      <c r="L100" s="13">
        <f t="shared" si="113"/>
        <v>846.85821711437325</v>
      </c>
      <c r="M100" s="13">
        <f t="shared" si="113"/>
        <v>887.26910835189051</v>
      </c>
      <c r="N100" s="13">
        <f t="shared" si="113"/>
        <v>880.95805787777817</v>
      </c>
      <c r="O100" s="13">
        <f t="shared" si="113"/>
        <v>873.9111369787031</v>
      </c>
      <c r="P100" s="13">
        <f t="shared" si="113"/>
        <v>856.14575388669073</v>
      </c>
      <c r="Q100" s="13">
        <f t="shared" si="113"/>
        <v>892.44104496935495</v>
      </c>
      <c r="R100" s="13">
        <f t="shared" si="113"/>
        <v>875.98439028575729</v>
      </c>
      <c r="S100" s="13">
        <f t="shared" si="113"/>
        <v>932.41369126633708</v>
      </c>
      <c r="T100" s="13">
        <f t="shared" si="113"/>
        <v>984.66662373244469</v>
      </c>
      <c r="U100" s="13">
        <f t="shared" si="113"/>
        <v>1009.6132617091893</v>
      </c>
      <c r="V100" s="13">
        <f t="shared" si="113"/>
        <v>1074.5827385383236</v>
      </c>
      <c r="W100" s="13">
        <f t="shared" ref="W100" si="114">IF(W28=0,0,W28/W48)</f>
        <v>1000.1467996065901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1155.7204449558881</v>
      </c>
      <c r="C102" s="34">
        <f t="shared" si="104"/>
        <v>1157.2439225484072</v>
      </c>
      <c r="D102" s="34">
        <f t="shared" ref="D102:V102" si="117">IF(D30=0,0,D30/D50)</f>
        <v>1155.7204449558881</v>
      </c>
      <c r="E102" s="34">
        <f t="shared" si="117"/>
        <v>689.58330099219449</v>
      </c>
      <c r="F102" s="34">
        <f t="shared" si="117"/>
        <v>847.0004745983473</v>
      </c>
      <c r="G102" s="34">
        <f t="shared" si="117"/>
        <v>1143.7470439774377</v>
      </c>
      <c r="H102" s="34">
        <f t="shared" si="117"/>
        <v>1109.8541136594215</v>
      </c>
      <c r="I102" s="34">
        <f t="shared" si="117"/>
        <v>1069.2469218800272</v>
      </c>
      <c r="J102" s="34">
        <f t="shared" si="117"/>
        <v>1049.9274299930917</v>
      </c>
      <c r="K102" s="34">
        <f t="shared" si="117"/>
        <v>981.87122645668046</v>
      </c>
      <c r="L102" s="34">
        <f t="shared" si="117"/>
        <v>990.8962095958143</v>
      </c>
      <c r="M102" s="34">
        <f t="shared" si="117"/>
        <v>1029.149567215067</v>
      </c>
      <c r="N102" s="34">
        <f t="shared" si="117"/>
        <v>1068.5206410802853</v>
      </c>
      <c r="O102" s="34">
        <f t="shared" si="117"/>
        <v>1107.511177763346</v>
      </c>
      <c r="P102" s="34">
        <f t="shared" si="117"/>
        <v>1116.8950211389538</v>
      </c>
      <c r="Q102" s="34">
        <f t="shared" si="117"/>
        <v>1137.2607094633388</v>
      </c>
      <c r="R102" s="34">
        <f t="shared" si="117"/>
        <v>1142.9203726543535</v>
      </c>
      <c r="S102" s="34">
        <f t="shared" si="117"/>
        <v>1196.7595894211686</v>
      </c>
      <c r="T102" s="34">
        <f t="shared" si="117"/>
        <v>1206.9578177757194</v>
      </c>
      <c r="U102" s="34">
        <f t="shared" si="117"/>
        <v>1221.904855393612</v>
      </c>
      <c r="V102" s="34">
        <f t="shared" si="117"/>
        <v>1231.9232133307614</v>
      </c>
      <c r="W102" s="34">
        <f t="shared" ref="W102" si="118">IF(W30=0,0,W30/W50)</f>
        <v>1144.9476394600601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720</v>
      </c>
      <c r="C103" s="35">
        <f t="shared" si="104"/>
        <v>720</v>
      </c>
      <c r="D103" s="35">
        <f t="shared" ref="D103:V103" si="119">IF(D31=0,0,D31/D51)</f>
        <v>720</v>
      </c>
      <c r="E103" s="35">
        <f t="shared" si="119"/>
        <v>720</v>
      </c>
      <c r="F103" s="35">
        <f t="shared" si="119"/>
        <v>720</v>
      </c>
      <c r="G103" s="35">
        <f t="shared" si="119"/>
        <v>724</v>
      </c>
      <c r="H103" s="35">
        <f t="shared" si="119"/>
        <v>682</v>
      </c>
      <c r="I103" s="35">
        <f t="shared" si="119"/>
        <v>663.99999999999989</v>
      </c>
      <c r="J103" s="35">
        <f t="shared" si="119"/>
        <v>458.28220858895696</v>
      </c>
      <c r="K103" s="35">
        <f t="shared" si="119"/>
        <v>54.735299505403908</v>
      </c>
      <c r="L103" s="35">
        <f t="shared" si="119"/>
        <v>83.37053571428568</v>
      </c>
      <c r="M103" s="35">
        <f t="shared" si="119"/>
        <v>112.90383525410915</v>
      </c>
      <c r="N103" s="35">
        <f t="shared" si="119"/>
        <v>579</v>
      </c>
      <c r="O103" s="35">
        <f t="shared" si="119"/>
        <v>278.21001286189244</v>
      </c>
      <c r="P103" s="35">
        <f t="shared" si="119"/>
        <v>177.87584727166336</v>
      </c>
      <c r="Q103" s="35">
        <f t="shared" si="119"/>
        <v>212.75813919306242</v>
      </c>
      <c r="R103" s="35">
        <f t="shared" si="119"/>
        <v>171.01506350300289</v>
      </c>
      <c r="S103" s="35">
        <f t="shared" si="119"/>
        <v>103.09880054408312</v>
      </c>
      <c r="T103" s="35">
        <f t="shared" si="119"/>
        <v>207.18652154465488</v>
      </c>
      <c r="U103" s="35">
        <f t="shared" si="119"/>
        <v>251.5568428674874</v>
      </c>
      <c r="V103" s="35">
        <f t="shared" si="119"/>
        <v>417.71194295304826</v>
      </c>
      <c r="W103" s="35">
        <f t="shared" ref="W103" si="120">IF(W31=0,0,W31/W51)</f>
        <v>392.87120418848178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0.74143611913600027</v>
      </c>
      <c r="C108" s="43">
        <f t="shared" si="127"/>
        <v>0.74675573869353595</v>
      </c>
      <c r="D108" s="43">
        <f t="shared" ref="D108:V108" si="128">IF(D6=0,0,D6/D$4)</f>
        <v>0.7520104150762883</v>
      </c>
      <c r="E108" s="43">
        <f t="shared" si="128"/>
        <v>0.75652804769390924</v>
      </c>
      <c r="F108" s="43">
        <f t="shared" si="128"/>
        <v>0.75776476076078791</v>
      </c>
      <c r="G108" s="43">
        <f t="shared" si="128"/>
        <v>0.78980103593234996</v>
      </c>
      <c r="H108" s="43">
        <f t="shared" si="128"/>
        <v>0.7938309753013123</v>
      </c>
      <c r="I108" s="43">
        <f t="shared" si="128"/>
        <v>0.76090779447569767</v>
      </c>
      <c r="J108" s="43">
        <f t="shared" si="128"/>
        <v>0.81289189410025264</v>
      </c>
      <c r="K108" s="43">
        <f t="shared" si="128"/>
        <v>0.79098913442333263</v>
      </c>
      <c r="L108" s="43">
        <f t="shared" si="128"/>
        <v>0.85488404639132254</v>
      </c>
      <c r="M108" s="43">
        <f t="shared" si="128"/>
        <v>0.90586257124048253</v>
      </c>
      <c r="N108" s="43">
        <f t="shared" si="128"/>
        <v>0.90054177960191151</v>
      </c>
      <c r="O108" s="43">
        <f t="shared" si="128"/>
        <v>0.87115126099679951</v>
      </c>
      <c r="P108" s="43">
        <f t="shared" si="128"/>
        <v>0.84438348454117629</v>
      </c>
      <c r="Q108" s="43">
        <f t="shared" si="128"/>
        <v>0.84788789483117144</v>
      </c>
      <c r="R108" s="43">
        <f t="shared" si="128"/>
        <v>0.85205913618716</v>
      </c>
      <c r="S108" s="43">
        <f t="shared" si="128"/>
        <v>0.82371905419866842</v>
      </c>
      <c r="T108" s="43">
        <f t="shared" si="128"/>
        <v>0.78199724445328145</v>
      </c>
      <c r="U108" s="43">
        <f t="shared" si="128"/>
        <v>0.74635978501398781</v>
      </c>
      <c r="V108" s="43">
        <f t="shared" si="128"/>
        <v>0.80528070710109101</v>
      </c>
      <c r="W108" s="43">
        <f t="shared" ref="W108" si="129">IF(W6=0,0,W6/W$4)</f>
        <v>0.72326987520240027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0.25856388086399978</v>
      </c>
      <c r="C109" s="43">
        <f t="shared" si="130"/>
        <v>0.25324426130646405</v>
      </c>
      <c r="D109" s="43">
        <f t="shared" ref="D109:V109" si="131">IF(D7=0,0,D7/D$4)</f>
        <v>0.24798958492371181</v>
      </c>
      <c r="E109" s="43">
        <f t="shared" si="131"/>
        <v>0.24347195230609078</v>
      </c>
      <c r="F109" s="43">
        <f t="shared" si="131"/>
        <v>0.24223523923921211</v>
      </c>
      <c r="G109" s="43">
        <f t="shared" si="131"/>
        <v>0.2101989640676501</v>
      </c>
      <c r="H109" s="43">
        <f t="shared" si="131"/>
        <v>0.2061690246986877</v>
      </c>
      <c r="I109" s="43">
        <f t="shared" si="131"/>
        <v>0.23909220552430241</v>
      </c>
      <c r="J109" s="43">
        <f t="shared" si="131"/>
        <v>0.18710810589974736</v>
      </c>
      <c r="K109" s="43">
        <f t="shared" si="131"/>
        <v>0.20901086557666748</v>
      </c>
      <c r="L109" s="43">
        <f t="shared" si="131"/>
        <v>0.14511595360867749</v>
      </c>
      <c r="M109" s="43">
        <f t="shared" si="131"/>
        <v>9.4137428759517472E-2</v>
      </c>
      <c r="N109" s="43">
        <f t="shared" si="131"/>
        <v>9.9458220398088409E-2</v>
      </c>
      <c r="O109" s="43">
        <f t="shared" si="131"/>
        <v>0.12884873900320051</v>
      </c>
      <c r="P109" s="43">
        <f t="shared" si="131"/>
        <v>0.15561651545882363</v>
      </c>
      <c r="Q109" s="43">
        <f t="shared" si="131"/>
        <v>0.15211210516882848</v>
      </c>
      <c r="R109" s="43">
        <f t="shared" si="131"/>
        <v>0.14794086381283991</v>
      </c>
      <c r="S109" s="43">
        <f t="shared" si="131"/>
        <v>0.17628094580133161</v>
      </c>
      <c r="T109" s="43">
        <f t="shared" si="131"/>
        <v>0.21800275554671855</v>
      </c>
      <c r="U109" s="43">
        <f t="shared" si="131"/>
        <v>0.25364021498601214</v>
      </c>
      <c r="V109" s="43">
        <f t="shared" si="131"/>
        <v>0.19471929289890896</v>
      </c>
      <c r="W109" s="43">
        <f t="shared" ref="W109" si="132">IF(W7=0,0,W7/W$4)</f>
        <v>0.27673012479759979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0.89830430755990398</v>
      </c>
      <c r="C112" s="44">
        <f t="shared" si="139"/>
        <v>0.90088060183099583</v>
      </c>
      <c r="D112" s="44">
        <f t="shared" ref="D112:V112" si="140">IF(D10=0,0,D10/D$8)</f>
        <v>0.89842938937338845</v>
      </c>
      <c r="E112" s="44">
        <f t="shared" si="140"/>
        <v>0.8422497194521088</v>
      </c>
      <c r="F112" s="44">
        <f t="shared" si="140"/>
        <v>0.81306026936251463</v>
      </c>
      <c r="G112" s="44">
        <f t="shared" si="140"/>
        <v>0.80287538115036616</v>
      </c>
      <c r="H112" s="44">
        <f t="shared" si="140"/>
        <v>0.65254040306237726</v>
      </c>
      <c r="I112" s="44">
        <f t="shared" si="140"/>
        <v>0.56248273903836821</v>
      </c>
      <c r="J112" s="44">
        <f t="shared" si="140"/>
        <v>0.73269374271480758</v>
      </c>
      <c r="K112" s="44">
        <f t="shared" si="140"/>
        <v>0.92671570662284952</v>
      </c>
      <c r="L112" s="44">
        <f t="shared" si="140"/>
        <v>0.92417644736536142</v>
      </c>
      <c r="M112" s="44">
        <f t="shared" si="140"/>
        <v>0.88576540319795605</v>
      </c>
      <c r="N112" s="44">
        <f t="shared" si="140"/>
        <v>0.20567403009441998</v>
      </c>
      <c r="O112" s="44">
        <f t="shared" si="140"/>
        <v>0.48600828781639799</v>
      </c>
      <c r="P112" s="44">
        <f t="shared" si="140"/>
        <v>0.65609017421566784</v>
      </c>
      <c r="Q112" s="44">
        <f t="shared" si="140"/>
        <v>0.67220375816289291</v>
      </c>
      <c r="R112" s="44">
        <f t="shared" si="140"/>
        <v>0.73270403891673597</v>
      </c>
      <c r="S112" s="44">
        <f t="shared" si="140"/>
        <v>0.84559137669259832</v>
      </c>
      <c r="T112" s="44">
        <f t="shared" si="140"/>
        <v>0.75792829920248161</v>
      </c>
      <c r="U112" s="44">
        <f t="shared" si="140"/>
        <v>0.68217160686442424</v>
      </c>
      <c r="V112" s="44">
        <f t="shared" si="140"/>
        <v>0.61005025500940768</v>
      </c>
      <c r="W112" s="44">
        <f t="shared" ref="W112" si="141">IF(W10=0,0,W10/W$8)</f>
        <v>0.6447071671417165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0.10169569244009606</v>
      </c>
      <c r="C113" s="45">
        <f t="shared" si="142"/>
        <v>9.9119398169004183E-2</v>
      </c>
      <c r="D113" s="45">
        <f t="shared" ref="D113:V113" si="143">IF(D11=0,0,D11/D$8)</f>
        <v>0.1015706106266116</v>
      </c>
      <c r="E113" s="45">
        <f t="shared" si="143"/>
        <v>0.15775028054789125</v>
      </c>
      <c r="F113" s="45">
        <f t="shared" si="143"/>
        <v>0.18693973063748545</v>
      </c>
      <c r="G113" s="45">
        <f t="shared" si="143"/>
        <v>0.19712461884963381</v>
      </c>
      <c r="H113" s="45">
        <f t="shared" si="143"/>
        <v>0.34745959693762263</v>
      </c>
      <c r="I113" s="45">
        <f t="shared" si="143"/>
        <v>0.43751726096163174</v>
      </c>
      <c r="J113" s="45">
        <f t="shared" si="143"/>
        <v>0.26730625728519231</v>
      </c>
      <c r="K113" s="45">
        <f t="shared" si="143"/>
        <v>7.3284293377150464E-2</v>
      </c>
      <c r="L113" s="45">
        <f t="shared" si="143"/>
        <v>7.582355263463858E-2</v>
      </c>
      <c r="M113" s="45">
        <f t="shared" si="143"/>
        <v>0.1142345968020439</v>
      </c>
      <c r="N113" s="45">
        <f t="shared" si="143"/>
        <v>0.79432596990558013</v>
      </c>
      <c r="O113" s="45">
        <f t="shared" si="143"/>
        <v>0.51399171218360207</v>
      </c>
      <c r="P113" s="45">
        <f t="shared" si="143"/>
        <v>0.3439098257843321</v>
      </c>
      <c r="Q113" s="45">
        <f t="shared" si="143"/>
        <v>0.32779624183710709</v>
      </c>
      <c r="R113" s="45">
        <f t="shared" si="143"/>
        <v>0.26729596108326403</v>
      </c>
      <c r="S113" s="45">
        <f t="shared" si="143"/>
        <v>0.15440862330740177</v>
      </c>
      <c r="T113" s="45">
        <f t="shared" si="143"/>
        <v>0.24207170079751833</v>
      </c>
      <c r="U113" s="45">
        <f t="shared" si="143"/>
        <v>0.31782839313557576</v>
      </c>
      <c r="V113" s="45">
        <f t="shared" si="143"/>
        <v>0.38994974499059226</v>
      </c>
      <c r="W113" s="45">
        <f t="shared" ref="W113" si="144">IF(W11=0,0,W11/W$8)</f>
        <v>0.35529283285828356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0.78092970959797359</v>
      </c>
      <c r="C118" s="43">
        <f t="shared" si="151"/>
        <v>0.78081695368627635</v>
      </c>
      <c r="D118" s="43">
        <f t="shared" ref="D118:V118" si="152">IF(D16=0,0,D16/D$14)</f>
        <v>0.78076717566853771</v>
      </c>
      <c r="E118" s="43">
        <f t="shared" si="152"/>
        <v>0.7808420147069921</v>
      </c>
      <c r="F118" s="43">
        <f t="shared" si="152"/>
        <v>0.78081636746652461</v>
      </c>
      <c r="G118" s="43">
        <f t="shared" si="152"/>
        <v>0.80843477703596289</v>
      </c>
      <c r="H118" s="43">
        <f t="shared" si="152"/>
        <v>0.78666530225632136</v>
      </c>
      <c r="I118" s="43">
        <f t="shared" si="152"/>
        <v>0.7678599756268959</v>
      </c>
      <c r="J118" s="43">
        <f t="shared" si="152"/>
        <v>0.80637837647446908</v>
      </c>
      <c r="K118" s="43">
        <f t="shared" si="152"/>
        <v>0.78504961777843174</v>
      </c>
      <c r="L118" s="43">
        <f t="shared" si="152"/>
        <v>0.83187165454196099</v>
      </c>
      <c r="M118" s="43">
        <f t="shared" si="152"/>
        <v>0.84858406820066856</v>
      </c>
      <c r="N118" s="43">
        <f t="shared" si="152"/>
        <v>0.85307433085040807</v>
      </c>
      <c r="O118" s="43">
        <f t="shared" si="152"/>
        <v>0.85155022214387566</v>
      </c>
      <c r="P118" s="43">
        <f t="shared" si="152"/>
        <v>0.82792360079170169</v>
      </c>
      <c r="Q118" s="43">
        <f t="shared" si="152"/>
        <v>0.82436482897724217</v>
      </c>
      <c r="R118" s="43">
        <f t="shared" si="152"/>
        <v>0.82622082103451744</v>
      </c>
      <c r="S118" s="43">
        <f t="shared" si="152"/>
        <v>0.81553294268968168</v>
      </c>
      <c r="T118" s="43">
        <f t="shared" si="152"/>
        <v>0.78645523667676598</v>
      </c>
      <c r="U118" s="43">
        <f t="shared" si="152"/>
        <v>0.75451951443581977</v>
      </c>
      <c r="V118" s="43">
        <f t="shared" si="152"/>
        <v>0.82029091066509141</v>
      </c>
      <c r="W118" s="43">
        <f t="shared" ref="W118" si="153">IF(W16=0,0,W16/W$14)</f>
        <v>0.74589186266794516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0.21907029040202647</v>
      </c>
      <c r="C119" s="43">
        <f t="shared" si="154"/>
        <v>0.21918304631372365</v>
      </c>
      <c r="D119" s="43">
        <f t="shared" ref="D119:V119" si="155">IF(D17=0,0,D17/D$14)</f>
        <v>0.21923282433146232</v>
      </c>
      <c r="E119" s="43">
        <f t="shared" si="155"/>
        <v>0.2191579852930079</v>
      </c>
      <c r="F119" s="43">
        <f t="shared" si="155"/>
        <v>0.21918363253347539</v>
      </c>
      <c r="G119" s="43">
        <f t="shared" si="155"/>
        <v>0.191565222964037</v>
      </c>
      <c r="H119" s="43">
        <f t="shared" si="155"/>
        <v>0.21333469774367858</v>
      </c>
      <c r="I119" s="43">
        <f t="shared" si="155"/>
        <v>0.23214002437310413</v>
      </c>
      <c r="J119" s="43">
        <f t="shared" si="155"/>
        <v>0.19362162352553097</v>
      </c>
      <c r="K119" s="43">
        <f t="shared" si="155"/>
        <v>0.21495038222156823</v>
      </c>
      <c r="L119" s="43">
        <f t="shared" si="155"/>
        <v>0.16812834545803912</v>
      </c>
      <c r="M119" s="43">
        <f t="shared" si="155"/>
        <v>0.15141593179933155</v>
      </c>
      <c r="N119" s="43">
        <f t="shared" si="155"/>
        <v>0.14692566914959182</v>
      </c>
      <c r="O119" s="43">
        <f t="shared" si="155"/>
        <v>0.14844977785612434</v>
      </c>
      <c r="P119" s="43">
        <f t="shared" si="155"/>
        <v>0.17207639920829834</v>
      </c>
      <c r="Q119" s="43">
        <f t="shared" si="155"/>
        <v>0.17563517102275777</v>
      </c>
      <c r="R119" s="43">
        <f t="shared" si="155"/>
        <v>0.17377917896548248</v>
      </c>
      <c r="S119" s="43">
        <f t="shared" si="155"/>
        <v>0.18446705731031826</v>
      </c>
      <c r="T119" s="43">
        <f t="shared" si="155"/>
        <v>0.2135447633232341</v>
      </c>
      <c r="U119" s="43">
        <f t="shared" si="155"/>
        <v>0.24548048556418015</v>
      </c>
      <c r="V119" s="43">
        <f t="shared" si="155"/>
        <v>0.17970908933490853</v>
      </c>
      <c r="W119" s="43">
        <f t="shared" ref="W119" si="156">IF(W17=0,0,W17/W$14)</f>
        <v>0.25410813733205495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0.95831487028537721</v>
      </c>
      <c r="C122" s="44">
        <f t="shared" si="163"/>
        <v>0.95912770065451203</v>
      </c>
      <c r="D122" s="44">
        <f t="shared" ref="D122:V122" si="164">IF(D20=0,0,D20/D$18)</f>
        <v>0.95831487028537721</v>
      </c>
      <c r="E122" s="44">
        <f t="shared" si="164"/>
        <v>0.92529137376192661</v>
      </c>
      <c r="F122" s="44">
        <f t="shared" si="164"/>
        <v>0.91523584136204561</v>
      </c>
      <c r="G122" s="44">
        <f t="shared" si="164"/>
        <v>0.9061829019674239</v>
      </c>
      <c r="H122" s="44">
        <f t="shared" si="164"/>
        <v>0.83656736891893058</v>
      </c>
      <c r="I122" s="44">
        <f t="shared" si="164"/>
        <v>0.77670547335742135</v>
      </c>
      <c r="J122" s="44">
        <f t="shared" si="164"/>
        <v>0.88320861806986106</v>
      </c>
      <c r="K122" s="44">
        <f t="shared" si="164"/>
        <v>0.97217507373870427</v>
      </c>
      <c r="L122" s="44">
        <f t="shared" si="164"/>
        <v>0.97172767246783898</v>
      </c>
      <c r="M122" s="44">
        <f t="shared" si="164"/>
        <v>0.95157977313501751</v>
      </c>
      <c r="N122" s="44">
        <f t="shared" si="164"/>
        <v>0.46979613798758418</v>
      </c>
      <c r="O122" s="44">
        <f t="shared" si="164"/>
        <v>0.76936515428100616</v>
      </c>
      <c r="P122" s="44">
        <f t="shared" si="164"/>
        <v>0.85600619278424395</v>
      </c>
      <c r="Q122" s="44">
        <f t="shared" si="164"/>
        <v>0.85943159444995465</v>
      </c>
      <c r="R122" s="44">
        <f t="shared" si="164"/>
        <v>0.89041136423733991</v>
      </c>
      <c r="S122" s="44">
        <f t="shared" si="164"/>
        <v>0.94547471265836369</v>
      </c>
      <c r="T122" s="44">
        <f t="shared" si="164"/>
        <v>0.90824078571337619</v>
      </c>
      <c r="U122" s="44">
        <f t="shared" si="164"/>
        <v>0.87060216805521973</v>
      </c>
      <c r="V122" s="44">
        <f t="shared" si="164"/>
        <v>0.8093510407392176</v>
      </c>
      <c r="W122" s="44">
        <f t="shared" ref="W122" si="165">IF(W20=0,0,W20/W$18)</f>
        <v>0.83323071112645208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4.168512971462273E-2</v>
      </c>
      <c r="C123" s="45">
        <f t="shared" si="166"/>
        <v>4.0872299345487917E-2</v>
      </c>
      <c r="D123" s="45">
        <f t="shared" ref="D123:V123" si="167">IF(D21=0,0,D21/D$18)</f>
        <v>4.168512971462273E-2</v>
      </c>
      <c r="E123" s="45">
        <f t="shared" si="167"/>
        <v>7.470862623807345E-2</v>
      </c>
      <c r="F123" s="45">
        <f t="shared" si="167"/>
        <v>8.4764158637954459E-2</v>
      </c>
      <c r="G123" s="45">
        <f t="shared" si="167"/>
        <v>9.3817098032576193E-2</v>
      </c>
      <c r="H123" s="45">
        <f t="shared" si="167"/>
        <v>0.16343263108106945</v>
      </c>
      <c r="I123" s="45">
        <f t="shared" si="167"/>
        <v>0.22329452664257865</v>
      </c>
      <c r="J123" s="45">
        <f t="shared" si="167"/>
        <v>0.11679138193013902</v>
      </c>
      <c r="K123" s="45">
        <f t="shared" si="167"/>
        <v>2.7824926261295752E-2</v>
      </c>
      <c r="L123" s="45">
        <f t="shared" si="167"/>
        <v>2.8272327532161055E-2</v>
      </c>
      <c r="M123" s="45">
        <f t="shared" si="167"/>
        <v>4.842022686498261E-2</v>
      </c>
      <c r="N123" s="45">
        <f t="shared" si="167"/>
        <v>0.53020386201241587</v>
      </c>
      <c r="O123" s="45">
        <f t="shared" si="167"/>
        <v>0.23063484571899384</v>
      </c>
      <c r="P123" s="45">
        <f t="shared" si="167"/>
        <v>0.14399380721575594</v>
      </c>
      <c r="Q123" s="45">
        <f t="shared" si="167"/>
        <v>0.14056840555004538</v>
      </c>
      <c r="R123" s="45">
        <f t="shared" si="167"/>
        <v>0.10958863576266016</v>
      </c>
      <c r="S123" s="45">
        <f t="shared" si="167"/>
        <v>5.4525287341636322E-2</v>
      </c>
      <c r="T123" s="45">
        <f t="shared" si="167"/>
        <v>9.1759214286623855E-2</v>
      </c>
      <c r="U123" s="45">
        <f t="shared" si="167"/>
        <v>0.1293978319447803</v>
      </c>
      <c r="V123" s="45">
        <f t="shared" si="167"/>
        <v>0.1906489592607824</v>
      </c>
      <c r="W123" s="45">
        <f t="shared" ref="W123" si="168">IF(W21=0,0,W21/W$18)</f>
        <v>0.16676928887354783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23.731728288907984</v>
      </c>
      <c r="C3" s="79">
        <f t="shared" si="0"/>
        <v>31.174204643164217</v>
      </c>
      <c r="D3" s="79">
        <f t="shared" ref="D3" si="1">SUM(D4:D5)</f>
        <v>28.023817712811702</v>
      </c>
      <c r="E3" s="79">
        <f t="shared" ref="E3" si="2">SUM(E4:E5)</f>
        <v>32.096130696474631</v>
      </c>
      <c r="F3" s="79">
        <f t="shared" ref="F3" si="3">SUM(F4:F5)</f>
        <v>34.291573516766974</v>
      </c>
      <c r="G3" s="79">
        <f t="shared" ref="G3" si="4">SUM(G4:G5)</f>
        <v>46.431642304385207</v>
      </c>
      <c r="H3" s="79">
        <f t="shared" ref="H3" si="5">SUM(H4:H5)</f>
        <v>52.622527944969896</v>
      </c>
      <c r="I3" s="79">
        <f t="shared" ref="I3" si="6">SUM(I4:I5)</f>
        <v>65.974978503869281</v>
      </c>
      <c r="J3" s="79">
        <f t="shared" ref="J3" si="7">SUM(J4:J5)</f>
        <v>76.283576956147868</v>
      </c>
      <c r="K3" s="79">
        <f t="shared" ref="K3" si="8">SUM(K4:K5)</f>
        <v>36.080051590713666</v>
      </c>
      <c r="L3" s="79">
        <f t="shared" ref="L3" si="9">SUM(L4:L5)</f>
        <v>48.450386930352536</v>
      </c>
      <c r="M3" s="79">
        <f t="shared" ref="M3" si="10">SUM(M4:M5)</f>
        <v>55.666380051590707</v>
      </c>
      <c r="N3" s="79">
        <f t="shared" ref="N3" si="11">SUM(N4:N5)</f>
        <v>62.882373172828885</v>
      </c>
      <c r="O3" s="79">
        <f t="shared" ref="O3" si="12">SUM(O4:O5)</f>
        <v>70.098366294067077</v>
      </c>
      <c r="P3" s="79">
        <f t="shared" ref="P3" si="13">SUM(P4:P5)</f>
        <v>77.314445399828031</v>
      </c>
      <c r="Q3" s="79">
        <f t="shared" ref="Q3" si="14">SUM(Q4:Q5)</f>
        <v>81.588822012037838</v>
      </c>
      <c r="R3" s="79">
        <f t="shared" ref="R3" si="15">SUM(R4:R5)</f>
        <v>95.958727429062776</v>
      </c>
      <c r="S3" s="79">
        <f t="shared" ref="S3" si="16">SUM(S4:S5)</f>
        <v>105.85889939810833</v>
      </c>
      <c r="T3" s="79">
        <f t="shared" ref="T3" si="17">SUM(T4:T5)</f>
        <v>126.01109200343942</v>
      </c>
      <c r="U3" s="79">
        <f t="shared" ref="U3" si="18">SUM(U4:U5)</f>
        <v>123.32338779019781</v>
      </c>
      <c r="V3" s="79">
        <f t="shared" ref="V3:W3" si="19">SUM(V4:V5)</f>
        <v>54.167153912295802</v>
      </c>
      <c r="W3" s="79">
        <f t="shared" si="19"/>
        <v>61.816766981943253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23.731728288907984</v>
      </c>
      <c r="C5" s="96">
        <f t="shared" si="23"/>
        <v>31.174204643164217</v>
      </c>
      <c r="D5" s="96">
        <f t="shared" ref="D5:V5" si="24">SUM(D8:D9,D12:D13)</f>
        <v>28.023817712811702</v>
      </c>
      <c r="E5" s="96">
        <f t="shared" si="24"/>
        <v>32.096130696474631</v>
      </c>
      <c r="F5" s="96">
        <f t="shared" si="24"/>
        <v>34.291573516766974</v>
      </c>
      <c r="G5" s="96">
        <f t="shared" si="24"/>
        <v>46.431642304385207</v>
      </c>
      <c r="H5" s="96">
        <f t="shared" si="24"/>
        <v>52.622527944969896</v>
      </c>
      <c r="I5" s="96">
        <f t="shared" si="24"/>
        <v>65.974978503869281</v>
      </c>
      <c r="J5" s="96">
        <f t="shared" si="24"/>
        <v>76.283576956147868</v>
      </c>
      <c r="K5" s="96">
        <f t="shared" si="24"/>
        <v>36.080051590713666</v>
      </c>
      <c r="L5" s="96">
        <f t="shared" si="24"/>
        <v>48.450386930352536</v>
      </c>
      <c r="M5" s="96">
        <f t="shared" si="24"/>
        <v>55.666380051590707</v>
      </c>
      <c r="N5" s="96">
        <f t="shared" si="24"/>
        <v>62.882373172828885</v>
      </c>
      <c r="O5" s="96">
        <f t="shared" si="24"/>
        <v>70.098366294067077</v>
      </c>
      <c r="P5" s="96">
        <f t="shared" si="24"/>
        <v>77.314445399828031</v>
      </c>
      <c r="Q5" s="96">
        <f t="shared" si="24"/>
        <v>81.588822012037838</v>
      </c>
      <c r="R5" s="96">
        <f t="shared" si="24"/>
        <v>95.958727429062776</v>
      </c>
      <c r="S5" s="96">
        <f t="shared" si="24"/>
        <v>105.85889939810833</v>
      </c>
      <c r="T5" s="96">
        <f t="shared" si="24"/>
        <v>126.01109200343942</v>
      </c>
      <c r="U5" s="96">
        <f t="shared" si="24"/>
        <v>123.32338779019781</v>
      </c>
      <c r="V5" s="96">
        <f t="shared" si="24"/>
        <v>54.167153912295802</v>
      </c>
      <c r="W5" s="96">
        <f t="shared" ref="W5" si="25">SUM(W8:W9,W12:W13)</f>
        <v>61.816766981943253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23.237141029657224</v>
      </c>
      <c r="C6" s="21">
        <f t="shared" si="26"/>
        <v>30.66827965049503</v>
      </c>
      <c r="D6" s="21">
        <f t="shared" ref="D6:V6" si="27">SUM(D7:D9)</f>
        <v>27.528693146042055</v>
      </c>
      <c r="E6" s="21">
        <f t="shared" si="27"/>
        <v>31.823435537578867</v>
      </c>
      <c r="F6" s="21">
        <f t="shared" si="27"/>
        <v>33.993403254725827</v>
      </c>
      <c r="G6" s="21">
        <f t="shared" si="27"/>
        <v>46.062420108825656</v>
      </c>
      <c r="H6" s="21">
        <f t="shared" si="27"/>
        <v>52.080901763709484</v>
      </c>
      <c r="I6" s="21">
        <f t="shared" si="27"/>
        <v>65.286088747060802</v>
      </c>
      <c r="J6" s="21">
        <f t="shared" si="27"/>
        <v>75.594395229016612</v>
      </c>
      <c r="K6" s="21">
        <f t="shared" si="27"/>
        <v>35.772862050427676</v>
      </c>
      <c r="L6" s="21">
        <f t="shared" si="27"/>
        <v>48.038508936390457</v>
      </c>
      <c r="M6" s="21">
        <f t="shared" si="27"/>
        <v>55.231475473155037</v>
      </c>
      <c r="N6" s="21">
        <f t="shared" si="27"/>
        <v>62.024541608224972</v>
      </c>
      <c r="O6" s="21">
        <f t="shared" si="27"/>
        <v>69.170051537410316</v>
      </c>
      <c r="P6" s="21">
        <f t="shared" si="27"/>
        <v>76.497560226162378</v>
      </c>
      <c r="Q6" s="21">
        <f t="shared" si="27"/>
        <v>80.738670846293331</v>
      </c>
      <c r="R6" s="21">
        <f t="shared" si="27"/>
        <v>95.126892022553221</v>
      </c>
      <c r="S6" s="21">
        <f t="shared" si="27"/>
        <v>104.85458133678732</v>
      </c>
      <c r="T6" s="21">
        <f t="shared" si="27"/>
        <v>124.87620008547755</v>
      </c>
      <c r="U6" s="21">
        <f t="shared" si="27"/>
        <v>122.20410561506031</v>
      </c>
      <c r="V6" s="21">
        <f t="shared" si="27"/>
        <v>52.264719958914348</v>
      </c>
      <c r="W6" s="21">
        <f t="shared" ref="W6" si="28">SUM(W7:W9)</f>
        <v>60.016978142368195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19.671816625228153</v>
      </c>
      <c r="C8" s="96">
        <v>25.960141221667151</v>
      </c>
      <c r="D8" s="96">
        <v>23.301578836150117</v>
      </c>
      <c r="E8" s="96">
        <v>26.938512220991939</v>
      </c>
      <c r="F8" s="96">
        <v>28.7747192318317</v>
      </c>
      <c r="G8" s="96">
        <v>39.926307284379007</v>
      </c>
      <c r="H8" s="96">
        <v>45.551802829385664</v>
      </c>
      <c r="I8" s="96">
        <v>57.168096227259639</v>
      </c>
      <c r="J8" s="96">
        <v>66.246949339198636</v>
      </c>
      <c r="K8" s="96">
        <v>30.714105983866329</v>
      </c>
      <c r="L8" s="96">
        <v>41.861378795058172</v>
      </c>
      <c r="M8" s="96">
        <v>48.420496970898249</v>
      </c>
      <c r="N8" s="96">
        <v>55.096266398418045</v>
      </c>
      <c r="O8" s="96">
        <v>61.628399796375732</v>
      </c>
      <c r="P8" s="96">
        <v>68.204352535709432</v>
      </c>
      <c r="Q8" s="96">
        <v>72.383761412884397</v>
      </c>
      <c r="R8" s="96">
        <v>86.200609178156355</v>
      </c>
      <c r="S8" s="96">
        <v>95.294121433995343</v>
      </c>
      <c r="T8" s="96">
        <v>113.96432345638297</v>
      </c>
      <c r="U8" s="96">
        <v>111.32958058237725</v>
      </c>
      <c r="V8" s="96">
        <v>45.720962390437315</v>
      </c>
      <c r="W8" s="96">
        <v>53.278198815157374</v>
      </c>
      <c r="DA8" s="171" t="s">
        <v>281</v>
      </c>
    </row>
    <row r="9" spans="1:105" ht="11.45" customHeight="1" x14ac:dyDescent="0.25">
      <c r="A9" s="83" t="s">
        <v>174</v>
      </c>
      <c r="B9" s="96">
        <v>3.5653244044290711</v>
      </c>
      <c r="C9" s="96">
        <v>4.7081384288278798</v>
      </c>
      <c r="D9" s="96">
        <v>4.2271143098919373</v>
      </c>
      <c r="E9" s="96">
        <v>4.884923316586927</v>
      </c>
      <c r="F9" s="96">
        <v>5.2186840228941298</v>
      </c>
      <c r="G9" s="96">
        <v>6.1361128244466485</v>
      </c>
      <c r="H9" s="96">
        <v>6.5290989343238168</v>
      </c>
      <c r="I9" s="96">
        <v>8.1179925198011613</v>
      </c>
      <c r="J9" s="96">
        <v>9.3474458898179833</v>
      </c>
      <c r="K9" s="96">
        <v>5.0587560665613438</v>
      </c>
      <c r="L9" s="96">
        <v>6.1771301413322819</v>
      </c>
      <c r="M9" s="96">
        <v>6.8109785022567877</v>
      </c>
      <c r="N9" s="96">
        <v>6.9282752098069285</v>
      </c>
      <c r="O9" s="96">
        <v>7.5416517410345829</v>
      </c>
      <c r="P9" s="96">
        <v>8.293207690452947</v>
      </c>
      <c r="Q9" s="96">
        <v>8.3549094334089382</v>
      </c>
      <c r="R9" s="96">
        <v>8.9262828443968623</v>
      </c>
      <c r="S9" s="96">
        <v>9.5604599027919797</v>
      </c>
      <c r="T9" s="96">
        <v>10.911876629094584</v>
      </c>
      <c r="U9" s="96">
        <v>10.874525032683065</v>
      </c>
      <c r="V9" s="96">
        <v>6.5437575684770337</v>
      </c>
      <c r="W9" s="96">
        <v>6.738779327210823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0.49458725925076086</v>
      </c>
      <c r="C10" s="22">
        <f t="shared" si="29"/>
        <v>0.50592499266918933</v>
      </c>
      <c r="D10" s="22">
        <f t="shared" ref="D10:V10" si="30">SUM(D11:D13)</f>
        <v>0.49512456676964522</v>
      </c>
      <c r="E10" s="22">
        <f t="shared" si="30"/>
        <v>0.27269515889576684</v>
      </c>
      <c r="F10" s="22">
        <f t="shared" si="30"/>
        <v>0.29817026204114944</v>
      </c>
      <c r="G10" s="22">
        <f t="shared" si="30"/>
        <v>0.36922219555955549</v>
      </c>
      <c r="H10" s="22">
        <f t="shared" si="30"/>
        <v>0.54162618126041173</v>
      </c>
      <c r="I10" s="22">
        <f t="shared" si="30"/>
        <v>0.68888975680848574</v>
      </c>
      <c r="J10" s="22">
        <f t="shared" si="30"/>
        <v>0.68918172713125925</v>
      </c>
      <c r="K10" s="22">
        <f t="shared" si="30"/>
        <v>0.3071895402859921</v>
      </c>
      <c r="L10" s="22">
        <f t="shared" si="30"/>
        <v>0.41187799396207525</v>
      </c>
      <c r="M10" s="22">
        <f t="shared" si="30"/>
        <v>0.43490457843566988</v>
      </c>
      <c r="N10" s="22">
        <f t="shared" si="30"/>
        <v>0.8578315646039143</v>
      </c>
      <c r="O10" s="22">
        <f t="shared" si="30"/>
        <v>0.92831475665675056</v>
      </c>
      <c r="P10" s="22">
        <f t="shared" si="30"/>
        <v>0.81688517366564861</v>
      </c>
      <c r="Q10" s="22">
        <f t="shared" si="30"/>
        <v>0.85015116574449534</v>
      </c>
      <c r="R10" s="22">
        <f t="shared" si="30"/>
        <v>0.83183540650955523</v>
      </c>
      <c r="S10" s="22">
        <f t="shared" si="30"/>
        <v>1.0043180613210165</v>
      </c>
      <c r="T10" s="22">
        <f t="shared" si="30"/>
        <v>1.1348919179618675</v>
      </c>
      <c r="U10" s="22">
        <f t="shared" si="30"/>
        <v>1.1192821751375066</v>
      </c>
      <c r="V10" s="22">
        <f t="shared" si="30"/>
        <v>1.9024339533814496</v>
      </c>
      <c r="W10" s="22">
        <f t="shared" ref="W10" si="31">SUM(W11:W13)</f>
        <v>1.7997888395750552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0.48557037334387243</v>
      </c>
      <c r="C12" s="97">
        <v>0.49687474702027995</v>
      </c>
      <c r="D12" s="97">
        <v>0.48609788513813174</v>
      </c>
      <c r="E12" s="97">
        <v>0.2635920506319484</v>
      </c>
      <c r="F12" s="97">
        <v>0.28680504541642843</v>
      </c>
      <c r="G12" s="97">
        <v>0.35325155721049251</v>
      </c>
      <c r="H12" s="97">
        <v>0.50383362976456869</v>
      </c>
      <c r="I12" s="97">
        <v>0.62119521704724689</v>
      </c>
      <c r="J12" s="97">
        <v>0.64441961903556144</v>
      </c>
      <c r="K12" s="97">
        <v>0.30169931147697604</v>
      </c>
      <c r="L12" s="97">
        <v>0.40126747476951791</v>
      </c>
      <c r="M12" s="97">
        <v>0.41446240974119342</v>
      </c>
      <c r="N12" s="97">
        <v>0.41557891041736666</v>
      </c>
      <c r="O12" s="97">
        <v>0.72960709219290343</v>
      </c>
      <c r="P12" s="97">
        <v>0.72668674294700875</v>
      </c>
      <c r="Q12" s="97">
        <v>0.76877954999945786</v>
      </c>
      <c r="R12" s="97">
        <v>0.77869258849289347</v>
      </c>
      <c r="S12" s="97">
        <v>0.9765662256657206</v>
      </c>
      <c r="T12" s="97">
        <v>1.0891082015005968</v>
      </c>
      <c r="U12" s="97">
        <v>1.0664363122178926</v>
      </c>
      <c r="V12" s="97">
        <v>1.6989085070590204</v>
      </c>
      <c r="W12" s="97">
        <v>1.6907233562384063</v>
      </c>
      <c r="DA12" s="175" t="s">
        <v>285</v>
      </c>
    </row>
    <row r="13" spans="1:105" ht="11.45" customHeight="1" x14ac:dyDescent="0.25">
      <c r="A13" s="85" t="s">
        <v>174</v>
      </c>
      <c r="B13" s="98">
        <v>9.0168859068884156E-3</v>
      </c>
      <c r="C13" s="98">
        <v>9.0502456489093448E-3</v>
      </c>
      <c r="D13" s="98">
        <v>9.026681631513496E-3</v>
      </c>
      <c r="E13" s="98">
        <v>9.1031082638184553E-3</v>
      </c>
      <c r="F13" s="98">
        <v>1.1365216624721029E-2</v>
      </c>
      <c r="G13" s="98">
        <v>1.5970638349062972E-2</v>
      </c>
      <c r="H13" s="98">
        <v>3.779255149584302E-2</v>
      </c>
      <c r="I13" s="98">
        <v>6.7694539761238848E-2</v>
      </c>
      <c r="J13" s="98">
        <v>4.4762108095697833E-2</v>
      </c>
      <c r="K13" s="98">
        <v>5.4902288090160839E-3</v>
      </c>
      <c r="L13" s="98">
        <v>1.0610519192557321E-2</v>
      </c>
      <c r="M13" s="98">
        <v>2.0442168694476456E-2</v>
      </c>
      <c r="N13" s="98">
        <v>0.44225265418654763</v>
      </c>
      <c r="O13" s="98">
        <v>0.19870766446384711</v>
      </c>
      <c r="P13" s="98">
        <v>9.0198430718639921E-2</v>
      </c>
      <c r="Q13" s="98">
        <v>8.1371615745037484E-2</v>
      </c>
      <c r="R13" s="98">
        <v>5.3142818016661819E-2</v>
      </c>
      <c r="S13" s="98">
        <v>2.7751835655296028E-2</v>
      </c>
      <c r="T13" s="98">
        <v>4.5783716461270774E-2</v>
      </c>
      <c r="U13" s="98">
        <v>5.2845862919613955E-2</v>
      </c>
      <c r="V13" s="98">
        <v>0.20352544632242908</v>
      </c>
      <c r="W13" s="98">
        <v>0.10906548333664889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233.35902367491946</v>
      </c>
      <c r="C17" s="62">
        <f>IF(C3=0,0,C3/TrAvia_act!C13*100)</f>
        <v>233.98000659309201</v>
      </c>
      <c r="D17" s="62">
        <f>IF(D3=0,0,D3/TrAvia_act!D13*100)</f>
        <v>233.44438252943672</v>
      </c>
      <c r="E17" s="62">
        <f>IF(E3=0,0,E3/TrAvia_act!E13*100)</f>
        <v>234.92818767912129</v>
      </c>
      <c r="F17" s="62">
        <f>IF(F3=0,0,F3/TrAvia_act!F13*100)</f>
        <v>234.64200117221185</v>
      </c>
      <c r="G17" s="62">
        <f>IF(G3=0,0,G3/TrAvia_act!G13*100)</f>
        <v>238.46224269746884</v>
      </c>
      <c r="H17" s="62">
        <f>IF(H3=0,0,H3/TrAvia_act!H13*100)</f>
        <v>251.8739665365178</v>
      </c>
      <c r="I17" s="62">
        <f>IF(I3=0,0,I3/TrAvia_act!I13*100)</f>
        <v>285.10619001675002</v>
      </c>
      <c r="J17" s="62">
        <f>IF(J3=0,0,J3/TrAvia_act!J13*100)</f>
        <v>321.92948825060364</v>
      </c>
      <c r="K17" s="62">
        <f>IF(K3=0,0,K3/TrAvia_act!K13*100)</f>
        <v>274.78149653635666</v>
      </c>
      <c r="L17" s="62">
        <f>IF(L3=0,0,L3/TrAvia_act!L13*100)</f>
        <v>291.42815162644121</v>
      </c>
      <c r="M17" s="62">
        <f>IF(M3=0,0,M3/TrAvia_act!M13*100)</f>
        <v>315.78974793649223</v>
      </c>
      <c r="N17" s="62">
        <f>IF(N3=0,0,N3/TrAvia_act!N13*100)</f>
        <v>321.3684707590262</v>
      </c>
      <c r="O17" s="62">
        <f>IF(O3=0,0,O3/TrAvia_act!O13*100)</f>
        <v>341.48670567200793</v>
      </c>
      <c r="P17" s="62">
        <f>IF(P3=0,0,P3/TrAvia_act!P13*100)</f>
        <v>331.74002673106804</v>
      </c>
      <c r="Q17" s="62">
        <f>IF(Q3=0,0,Q3/TrAvia_act!Q13*100)</f>
        <v>326.51759483884024</v>
      </c>
      <c r="R17" s="62">
        <f>IF(R3=0,0,R3/TrAvia_act!R13*100)</f>
        <v>360.15582061458127</v>
      </c>
      <c r="S17" s="62">
        <f>IF(S3=0,0,S3/TrAvia_act!S13*100)</f>
        <v>373.90272613395206</v>
      </c>
      <c r="T17" s="62">
        <f>IF(T3=0,0,T3/TrAvia_act!T13*100)</f>
        <v>385.88447124632307</v>
      </c>
      <c r="U17" s="62">
        <f>IF(U3=0,0,U3/TrAvia_act!U13*100)</f>
        <v>369.11007877195408</v>
      </c>
      <c r="V17" s="62">
        <f>IF(V3=0,0,V3/TrAvia_act!V13*100)</f>
        <v>405.1956741895408</v>
      </c>
      <c r="W17" s="62">
        <f>IF(W3=0,0,W3/TrAvia_act!W13*100)</f>
        <v>337.84576544882447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232.32889369696639</v>
      </c>
      <c r="C18" s="14">
        <f>IF(C6=0,0,C6/TrAvia_act!C14*100)</f>
        <v>233.17771455873518</v>
      </c>
      <c r="D18" s="14">
        <f>IF(D6=0,0,D6/TrAvia_act!D14*100)</f>
        <v>232.57060940835981</v>
      </c>
      <c r="E18" s="14">
        <f>IF(E6=0,0,E6/TrAvia_act!E14*100)</f>
        <v>234.53941811605489</v>
      </c>
      <c r="F18" s="14">
        <f>IF(F6=0,0,F6/TrAvia_act!F14*100)</f>
        <v>234.2550667788914</v>
      </c>
      <c r="G18" s="14">
        <f>IF(G6=0,0,G6/TrAvia_act!G14*100)</f>
        <v>238.14896133379838</v>
      </c>
      <c r="H18" s="14">
        <f>IF(H6=0,0,H6/TrAvia_act!H14*100)</f>
        <v>251.55268651818909</v>
      </c>
      <c r="I18" s="14">
        <f>IF(I6=0,0,I6/TrAvia_act!I14*100)</f>
        <v>284.91005318979501</v>
      </c>
      <c r="J18" s="14">
        <f>IF(J6=0,0,J6/TrAvia_act!J14*100)</f>
        <v>321.56704423106919</v>
      </c>
      <c r="K18" s="14">
        <f>IF(K6=0,0,K6/TrAvia_act!K14*100)</f>
        <v>274.72610951262055</v>
      </c>
      <c r="L18" s="14">
        <f>IF(L6=0,0,L6/TrAvia_act!L14*100)</f>
        <v>291.84888672743654</v>
      </c>
      <c r="M18" s="14">
        <f>IF(M6=0,0,M6/TrAvia_act!M14*100)</f>
        <v>316.26987712206034</v>
      </c>
      <c r="N18" s="14">
        <f>IF(N6=0,0,N6/TrAvia_act!N14*100)</f>
        <v>322.38293743316842</v>
      </c>
      <c r="O18" s="14">
        <f>IF(O6=0,0,O6/TrAvia_act!O14*100)</f>
        <v>342.63584044489153</v>
      </c>
      <c r="P18" s="14">
        <f>IF(P6=0,0,P6/TrAvia_act!P14*100)</f>
        <v>332.72799656411416</v>
      </c>
      <c r="Q18" s="14">
        <f>IF(Q6=0,0,Q6/TrAvia_act!Q14*100)</f>
        <v>327.52691696344056</v>
      </c>
      <c r="R18" s="14">
        <f>IF(R6=0,0,R6/TrAvia_act!R14*100)</f>
        <v>361.0005900466507</v>
      </c>
      <c r="S18" s="14">
        <f>IF(S6=0,0,S6/TrAvia_act!S14*100)</f>
        <v>374.64562104723171</v>
      </c>
      <c r="T18" s="14">
        <f>IF(T6=0,0,T6/TrAvia_act!T14*100)</f>
        <v>386.84923924864501</v>
      </c>
      <c r="U18" s="14">
        <f>IF(U6=0,0,U6/TrAvia_act!U14*100)</f>
        <v>370.03066221194075</v>
      </c>
      <c r="V18" s="14">
        <f>IF(V6=0,0,V6/TrAvia_act!V14*100)</f>
        <v>405.31868934988722</v>
      </c>
      <c r="W18" s="14">
        <f>IF(W6=0,0,W6/TrAvia_act!W14*100)</f>
        <v>338.05803843713079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251.85643553890054</v>
      </c>
      <c r="C20" s="87">
        <f>IF(C8=0,0,C8/TrAvia_act!C16*100)</f>
        <v>252.78741147648452</v>
      </c>
      <c r="D20" s="87">
        <f>IF(D8=0,0,D8/TrAvia_act!D16*100)</f>
        <v>252.13494269130101</v>
      </c>
      <c r="E20" s="87">
        <f>IF(E8=0,0,E8/TrAvia_act!E16*100)</f>
        <v>254.26068571939084</v>
      </c>
      <c r="F20" s="87">
        <f>IF(F8=0,0,F8/TrAvia_act!F16*100)</f>
        <v>253.95486278917008</v>
      </c>
      <c r="G20" s="87">
        <f>IF(G8=0,0,G8/TrAvia_act!G16*100)</f>
        <v>255.33837904748094</v>
      </c>
      <c r="H20" s="87">
        <f>IF(H8=0,0,H8/TrAvia_act!H16*100)</f>
        <v>279.68298074856739</v>
      </c>
      <c r="I20" s="87">
        <f>IF(I8=0,0,I8/TrAvia_act!I16*100)</f>
        <v>324.90681574552474</v>
      </c>
      <c r="J20" s="87">
        <f>IF(J8=0,0,J8/TrAvia_act!J16*100)</f>
        <v>349.4692333760745</v>
      </c>
      <c r="K20" s="87">
        <f>IF(K8=0,0,K8/TrAvia_act!K16*100)</f>
        <v>300.46024723704909</v>
      </c>
      <c r="L20" s="87">
        <f>IF(L8=0,0,L8/TrAvia_act!L16*100)</f>
        <v>305.72131891340507</v>
      </c>
      <c r="M20" s="87">
        <f>IF(M8=0,0,M8/TrAvia_act!M16*100)</f>
        <v>326.74244409631166</v>
      </c>
      <c r="N20" s="87">
        <f>IF(N8=0,0,N8/TrAvia_act!N16*100)</f>
        <v>335.6941557548642</v>
      </c>
      <c r="O20" s="87">
        <f>IF(O8=0,0,O8/TrAvia_act!O16*100)</f>
        <v>358.49682569443445</v>
      </c>
      <c r="P20" s="87">
        <f>IF(P8=0,0,P8/TrAvia_act!P16*100)</f>
        <v>358.31384437326619</v>
      </c>
      <c r="Q20" s="87">
        <f>IF(Q8=0,0,Q8/TrAvia_act!Q16*100)</f>
        <v>356.1944058176876</v>
      </c>
      <c r="R20" s="87">
        <f>IF(R8=0,0,R8/TrAvia_act!R16*100)</f>
        <v>395.93035913610504</v>
      </c>
      <c r="S20" s="87">
        <f>IF(S8=0,0,S8/TrAvia_act!S16*100)</f>
        <v>417.50131917406054</v>
      </c>
      <c r="T20" s="87">
        <f>IF(T8=0,0,T8/TrAvia_act!T16*100)</f>
        <v>448.90762302863862</v>
      </c>
      <c r="U20" s="87">
        <f>IF(U8=0,0,U8/TrAvia_act!U16*100)</f>
        <v>446.77823941155498</v>
      </c>
      <c r="V20" s="87">
        <f>IF(V8=0,0,V8/TrAvia_act!V16*100)</f>
        <v>432.25046182618775</v>
      </c>
      <c r="W20" s="87">
        <f>IF(W8=0,0,W8/TrAvia_act!W16*100)</f>
        <v>402.33777252903894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162.71818769115174</v>
      </c>
      <c r="C21" s="87">
        <f>IF(C9=0,0,C9/TrAvia_act!C17*100)</f>
        <v>163.320195614901</v>
      </c>
      <c r="D21" s="87">
        <f>IF(D9=0,0,D9/TrAvia_act!D17*100)</f>
        <v>162.89496075610722</v>
      </c>
      <c r="E21" s="87">
        <f>IF(E9=0,0,E9/TrAvia_act!E17*100)</f>
        <v>164.27415122479232</v>
      </c>
      <c r="F21" s="87">
        <f>IF(F9=0,0,F9/TrAvia_act!F17*100)</f>
        <v>164.076819512969</v>
      </c>
      <c r="G21" s="87">
        <f>IF(G9=0,0,G9/TrAvia_act!G17*100)</f>
        <v>165.60696826364801</v>
      </c>
      <c r="H21" s="87">
        <f>IF(H9=0,0,H9/TrAvia_act!H17*100)</f>
        <v>147.82306987660598</v>
      </c>
      <c r="I21" s="87">
        <f>IF(I9=0,0,I9/TrAvia_act!I17*100)</f>
        <v>152.6109668769754</v>
      </c>
      <c r="J21" s="87">
        <f>IF(J9=0,0,J9/TrAvia_act!J17*100)</f>
        <v>205.36245110169648</v>
      </c>
      <c r="K21" s="87">
        <f>IF(K9=0,0,K9/TrAvia_act!K17*100)</f>
        <v>180.73895407878814</v>
      </c>
      <c r="L21" s="87">
        <f>IF(L9=0,0,L9/TrAvia_act!L17*100)</f>
        <v>223.21035297143203</v>
      </c>
      <c r="M21" s="87">
        <f>IF(M9=0,0,M9/TrAvia_act!M17*100)</f>
        <v>257.57820985885706</v>
      </c>
      <c r="N21" s="87">
        <f>IF(N9=0,0,N9/TrAvia_act!N17*100)</f>
        <v>245.09583894105424</v>
      </c>
      <c r="O21" s="87">
        <f>IF(O9=0,0,O9/TrAvia_act!O17*100)</f>
        <v>251.65270993620706</v>
      </c>
      <c r="P21" s="87">
        <f>IF(P9=0,0,P9/TrAvia_act!P17*100)</f>
        <v>209.62496009355519</v>
      </c>
      <c r="Q21" s="87">
        <f>IF(Q9=0,0,Q9/TrAvia_act!Q17*100)</f>
        <v>192.97260526765717</v>
      </c>
      <c r="R21" s="87">
        <f>IF(R9=0,0,R9/TrAvia_act!R17*100)</f>
        <v>194.92947227846588</v>
      </c>
      <c r="S21" s="87">
        <f>IF(S9=0,0,S9/TrAvia_act!S17*100)</f>
        <v>185.17963121687083</v>
      </c>
      <c r="T21" s="87">
        <f>IF(T9=0,0,T9/TrAvia_act!T17*100)</f>
        <v>158.29696691033172</v>
      </c>
      <c r="U21" s="87">
        <f>IF(U9=0,0,U9/TrAvia_act!U17*100)</f>
        <v>134.1359655329301</v>
      </c>
      <c r="V21" s="87">
        <f>IF(V9=0,0,V9/TrAvia_act!V17*100)</f>
        <v>282.38729922282056</v>
      </c>
      <c r="W21" s="87">
        <f>IF(W9=0,0,W9/TrAvia_act!W17*100)</f>
        <v>149.3756487387613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294.76390064949248</v>
      </c>
      <c r="C22" s="15">
        <f>IF(C10=0,0,C10/TrAvia_act!C18*100)</f>
        <v>295.6415139625899</v>
      </c>
      <c r="D22" s="15">
        <f>IF(D10=0,0,D10/TrAvia_act!D18*100)</f>
        <v>295.08412495198377</v>
      </c>
      <c r="E22" s="15">
        <f>IF(E10=0,0,E10/TrAvia_act!E18*100)</f>
        <v>291.2717678605427</v>
      </c>
      <c r="F22" s="15">
        <f>IF(F10=0,0,F10/TrAvia_act!F18*100)</f>
        <v>289.0791590842453</v>
      </c>
      <c r="G22" s="15">
        <f>IF(G10=0,0,G10/TrAvia_act!G18*100)</f>
        <v>285.28071450489898</v>
      </c>
      <c r="H22" s="15">
        <f>IF(H10=0,0,H10/TrAvia_act!H18*100)</f>
        <v>287.13728615652309</v>
      </c>
      <c r="I22" s="15">
        <f>IF(I10=0,0,I10/TrAvia_act!I18*100)</f>
        <v>305.00510534334438</v>
      </c>
      <c r="J22" s="15">
        <f>IF(J10=0,0,J10/TrAvia_act!J18*100)</f>
        <v>367.34442341540603</v>
      </c>
      <c r="K22" s="15">
        <f>IF(K10=0,0,K10/TrAvia_act!K18*100)</f>
        <v>281.38783272900025</v>
      </c>
      <c r="L22" s="15">
        <f>IF(L10=0,0,L10/TrAvia_act!L18*100)</f>
        <v>249.48045137940795</v>
      </c>
      <c r="M22" s="15">
        <f>IF(M10=0,0,M10/TrAvia_act!M18*100)</f>
        <v>264.74799099310087</v>
      </c>
      <c r="N22" s="15">
        <f>IF(N10=0,0,N10/TrAvia_act!N18*100)</f>
        <v>261.80218234214095</v>
      </c>
      <c r="O22" s="15">
        <f>IF(O10=0,0,O10/TrAvia_act!O18*100)</f>
        <v>273.2118796942882</v>
      </c>
      <c r="P22" s="15">
        <f>IF(P10=0,0,P10/TrAvia_act!P18*100)</f>
        <v>259.56498864503368</v>
      </c>
      <c r="Q22" s="15">
        <f>IF(Q10=0,0,Q10/TrAvia_act!Q18*100)</f>
        <v>252.59292165388808</v>
      </c>
      <c r="R22" s="15">
        <f>IF(R10=0,0,R10/TrAvia_act!R18*100)</f>
        <v>284.12279636894323</v>
      </c>
      <c r="S22" s="15">
        <f>IF(S10=0,0,S10/TrAvia_act!S18*100)</f>
        <v>309.77213900027084</v>
      </c>
      <c r="T22" s="15">
        <f>IF(T10=0,0,T10/TrAvia_act!T18*100)</f>
        <v>302.79364588398619</v>
      </c>
      <c r="U22" s="15">
        <f>IF(U10=0,0,U10/TrAvia_act!U18*100)</f>
        <v>290.26617993058335</v>
      </c>
      <c r="V22" s="15">
        <f>IF(V10=0,0,V10/TrAvia_act!V18*100)</f>
        <v>401.8450962881081</v>
      </c>
      <c r="W22" s="15">
        <f>IF(W10=0,0,W10/TrAvia_act!W18*100)</f>
        <v>330.91669908830221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301.97801355639535</v>
      </c>
      <c r="C24" s="101">
        <f>IF(C12=0,0,C12/TrAvia_act!C20*100)</f>
        <v>302.72603615950732</v>
      </c>
      <c r="D24" s="101">
        <f>IF(D12=0,0,D12/TrAvia_act!D20*100)</f>
        <v>302.30607509495468</v>
      </c>
      <c r="E24" s="101">
        <f>IF(E12=0,0,E12/TrAvia_act!E20*100)</f>
        <v>304.28094687172603</v>
      </c>
      <c r="F24" s="101">
        <f>IF(F12=0,0,F12/TrAvia_act!F20*100)</f>
        <v>303.81290943691283</v>
      </c>
      <c r="G24" s="101">
        <f>IF(G12=0,0,G12/TrAvia_act!G20*100)</f>
        <v>301.19852066329645</v>
      </c>
      <c r="H24" s="101">
        <f>IF(H12=0,0,H12/TrAvia_act!H20*100)</f>
        <v>319.2832782714932</v>
      </c>
      <c r="I24" s="101">
        <f>IF(I12=0,0,I12/TrAvia_act!I20*100)</f>
        <v>354.10260298111552</v>
      </c>
      <c r="J24" s="101">
        <f>IF(J12=0,0,J12/TrAvia_act!J20*100)</f>
        <v>388.90645620895629</v>
      </c>
      <c r="K24" s="101">
        <f>IF(K12=0,0,K12/TrAvia_act!K20*100)</f>
        <v>284.26849344186451</v>
      </c>
      <c r="L24" s="101">
        <f>IF(L12=0,0,L12/TrAvia_act!L20*100)</f>
        <v>250.12512610259398</v>
      </c>
      <c r="M24" s="101">
        <f>IF(M12=0,0,M12/TrAvia_act!M20*100)</f>
        <v>265.14206792443241</v>
      </c>
      <c r="N24" s="101">
        <f>IF(N12=0,0,N12/TrAvia_act!N20*100)</f>
        <v>269.96987026427905</v>
      </c>
      <c r="O24" s="101">
        <f>IF(O12=0,0,O12/TrAvia_act!O20*100)</f>
        <v>279.10065743165308</v>
      </c>
      <c r="P24" s="101">
        <f>IF(P12=0,0,P12/TrAvia_act!P20*100)</f>
        <v>269.74625841161009</v>
      </c>
      <c r="Q24" s="101">
        <f>IF(Q12=0,0,Q12/TrAvia_act!Q20*100)</f>
        <v>265.7758579256319</v>
      </c>
      <c r="R24" s="101">
        <f>IF(R12=0,0,R12/TrAvia_act!R20*100)</f>
        <v>298.7060545039061</v>
      </c>
      <c r="S24" s="101">
        <f>IF(S12=0,0,S12/TrAvia_act!S20*100)</f>
        <v>318.58319545391987</v>
      </c>
      <c r="T24" s="101">
        <f>IF(T12=0,0,T12/TrAvia_act!T20*100)</f>
        <v>319.93538947326641</v>
      </c>
      <c r="U24" s="101">
        <f>IF(U12=0,0,U12/TrAvia_act!U20*100)</f>
        <v>317.66694753361327</v>
      </c>
      <c r="V24" s="101">
        <f>IF(V12=0,0,V12/TrAvia_act!V20*100)</f>
        <v>443.38617367448938</v>
      </c>
      <c r="W24" s="101">
        <f>IF(W12=0,0,W12/TrAvia_act!W20*100)</f>
        <v>373.08209992942938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128.91598984936005</v>
      </c>
      <c r="C25" s="88">
        <f>IF(C13=0,0,C13/TrAvia_act!C21*100)</f>
        <v>129.39293989709901</v>
      </c>
      <c r="D25" s="88">
        <f>IF(D13=0,0,D13/TrAvia_act!D21*100)</f>
        <v>129.05604103214912</v>
      </c>
      <c r="E25" s="88">
        <f>IF(E13=0,0,E13/TrAvia_act!E21*100)</f>
        <v>130.14872591872623</v>
      </c>
      <c r="F25" s="88">
        <f>IF(F13=0,0,F13/TrAvia_act!F21*100)</f>
        <v>129.99238683137932</v>
      </c>
      <c r="G25" s="88">
        <f>IF(G13=0,0,G13/TrAvia_act!G21*100)</f>
        <v>131.53002214642299</v>
      </c>
      <c r="H25" s="88">
        <f>IF(H13=0,0,H13/TrAvia_act!H21*100)</f>
        <v>122.59066002058587</v>
      </c>
      <c r="I25" s="88">
        <f>IF(I13=0,0,I13/TrAvia_act!I21*100)</f>
        <v>134.22485507572165</v>
      </c>
      <c r="J25" s="88">
        <f>IF(J13=0,0,J13/TrAvia_act!J21*100)</f>
        <v>204.28638889570215</v>
      </c>
      <c r="K25" s="88">
        <f>IF(K13=0,0,K13/TrAvia_act!K21*100)</f>
        <v>180.74043066057172</v>
      </c>
      <c r="L25" s="88">
        <f>IF(L13=0,0,L13/TrAvia_act!L21*100)</f>
        <v>227.32280385117235</v>
      </c>
      <c r="M25" s="88">
        <f>IF(M13=0,0,M13/TrAvia_act!M21*100)</f>
        <v>257.00338380735002</v>
      </c>
      <c r="N25" s="88">
        <f>IF(N13=0,0,N13/TrAvia_act!N21*100)</f>
        <v>254.56506372224953</v>
      </c>
      <c r="O25" s="88">
        <f>IF(O13=0,0,O13/TrAvia_act!O21*100)</f>
        <v>253.56775185961399</v>
      </c>
      <c r="P25" s="88">
        <f>IF(P13=0,0,P13/TrAvia_act!P21*100)</f>
        <v>199.03995538761208</v>
      </c>
      <c r="Q25" s="88">
        <f>IF(Q13=0,0,Q13/TrAvia_act!Q21*100)</f>
        <v>171.99279038524944</v>
      </c>
      <c r="R25" s="88">
        <f>IF(R13=0,0,R13/TrAvia_act!R21*100)</f>
        <v>165.6333318308518</v>
      </c>
      <c r="S25" s="88">
        <f>IF(S13=0,0,S13/TrAvia_act!S21*100)</f>
        <v>156.98741332732524</v>
      </c>
      <c r="T25" s="88">
        <f>IF(T13=0,0,T13/TrAvia_act!T21*100)</f>
        <v>133.12315788924977</v>
      </c>
      <c r="U25" s="88">
        <f>IF(U13=0,0,U13/TrAvia_act!U21*100)</f>
        <v>105.91094520180407</v>
      </c>
      <c r="V25" s="88">
        <f>IF(V13=0,0,V13/TrAvia_act!V21*100)</f>
        <v>225.49315423472089</v>
      </c>
      <c r="W25" s="88">
        <f>IF(W13=0,0,W13/TrAvia_act!W21*100)</f>
        <v>120.24537485891045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37.780694954373878</v>
      </c>
      <c r="C28" s="14">
        <f>IF(C6=0,0,C6/TrAvia_act!C4*1000)</f>
        <v>36.956053632801662</v>
      </c>
      <c r="D28" s="14">
        <f>IF(D6=0,0,D6/TrAvia_act!D4*1000)</f>
        <v>36.229150914638126</v>
      </c>
      <c r="E28" s="14">
        <f>IF(E6=0,0,E6/TrAvia_act!E4*1000)</f>
        <v>36.17503570171101</v>
      </c>
      <c r="F28" s="14">
        <f>IF(F6=0,0,F6/TrAvia_act!F4*1000)</f>
        <v>35.66778176103201</v>
      </c>
      <c r="G28" s="14">
        <f>IF(G6=0,0,G6/TrAvia_act!G4*1000)</f>
        <v>35.555393779634777</v>
      </c>
      <c r="H28" s="14">
        <f>IF(H6=0,0,H6/TrAvia_act!H4*1000)</f>
        <v>33.639322684632447</v>
      </c>
      <c r="I28" s="14">
        <f>IF(I6=0,0,I6/TrAvia_act!I4*1000)</f>
        <v>35.151284721279779</v>
      </c>
      <c r="J28" s="14">
        <f>IF(J6=0,0,J6/TrAvia_act!J4*1000)</f>
        <v>40.62621880820317</v>
      </c>
      <c r="K28" s="14">
        <f>IF(K6=0,0,K6/TrAvia_act!K4*1000)</f>
        <v>30.150046724879338</v>
      </c>
      <c r="L28" s="14">
        <f>IF(L6=0,0,L6/TrAvia_act!L4*1000)</f>
        <v>31.635252811598061</v>
      </c>
      <c r="M28" s="14">
        <f>IF(M6=0,0,M6/TrAvia_act!M4*1000)</f>
        <v>31.182735003144671</v>
      </c>
      <c r="N28" s="14">
        <f>IF(N6=0,0,N6/TrAvia_act!N4*1000)</f>
        <v>28.147557109632679</v>
      </c>
      <c r="O28" s="14">
        <f>IF(O6=0,0,O6/TrAvia_act!O4*1000)</f>
        <v>28.067181654888689</v>
      </c>
      <c r="P28" s="14">
        <f>IF(P6=0,0,P6/TrAvia_act!P4*1000)</f>
        <v>28.471912686870027</v>
      </c>
      <c r="Q28" s="14">
        <f>IF(Q6=0,0,Q6/TrAvia_act!Q4*1000)</f>
        <v>27.179087080397608</v>
      </c>
      <c r="R28" s="14">
        <f>IF(R6=0,0,R6/TrAvia_act!R4*1000)</f>
        <v>28.620066429453743</v>
      </c>
      <c r="S28" s="14">
        <f>IF(S6=0,0,S6/TrAvia_act!S4*1000)</f>
        <v>28.570735942961459</v>
      </c>
      <c r="T28" s="14">
        <f>IF(T6=0,0,T6/TrAvia_act!T4*1000)</f>
        <v>27.758532659779117</v>
      </c>
      <c r="U28" s="14">
        <f>IF(U6=0,0,U6/TrAvia_act!U4*1000)</f>
        <v>26.263849075422517</v>
      </c>
      <c r="V28" s="14">
        <f>IF(V6=0,0,V6/TrAvia_act!V4*1000)</f>
        <v>39.842595767927456</v>
      </c>
      <c r="W28" s="14">
        <f>IF(W6=0,0,W6/TrAvia_act!W4*1000)</f>
        <v>32.138072024915147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43.137798445467034</v>
      </c>
      <c r="C30" s="87">
        <f>IF(C8=0,0,C8/TrAvia_act!C6*1000)</f>
        <v>41.891378900272187</v>
      </c>
      <c r="D30" s="87">
        <f>IF(D8=0,0,D8/TrAvia_act!D6*1000)</f>
        <v>40.778763586961574</v>
      </c>
      <c r="E30" s="87">
        <f>IF(E8=0,0,E8/TrAvia_act!E6*1000)</f>
        <v>40.477201477509176</v>
      </c>
      <c r="F30" s="87">
        <f>IF(F8=0,0,F8/TrAvia_act!F6*1000)</f>
        <v>39.843560809349327</v>
      </c>
      <c r="G30" s="87">
        <f>IF(G8=0,0,G8/TrAvia_act!G6*1000)</f>
        <v>39.021160992002159</v>
      </c>
      <c r="H30" s="87">
        <f>IF(H8=0,0,H8/TrAvia_act!H6*1000)</f>
        <v>37.063487028290361</v>
      </c>
      <c r="I30" s="87">
        <f>IF(I8=0,0,I8/TrAvia_act!I6*1000)</f>
        <v>40.452209553442295</v>
      </c>
      <c r="J30" s="87">
        <f>IF(J8=0,0,J8/TrAvia_act!J6*1000)</f>
        <v>43.797558084632563</v>
      </c>
      <c r="K30" s="87">
        <f>IF(K8=0,0,K8/TrAvia_act!K6*1000)</f>
        <v>32.726658336995889</v>
      </c>
      <c r="L30" s="87">
        <f>IF(L8=0,0,L8/TrAvia_act!L6*1000)</f>
        <v>32.24691009146283</v>
      </c>
      <c r="M30" s="87">
        <f>IF(M8=0,0,M8/TrAvia_act!M6*1000)</f>
        <v>30.178280134044741</v>
      </c>
      <c r="N30" s="87">
        <f>IF(N8=0,0,N8/TrAvia_act!N6*1000)</f>
        <v>27.764857528794476</v>
      </c>
      <c r="O30" s="87">
        <f>IF(O8=0,0,O8/TrAvia_act!O6*1000)</f>
        <v>28.705692470618796</v>
      </c>
      <c r="P30" s="87">
        <f>IF(P8=0,0,P8/TrAvia_act!P6*1000)</f>
        <v>30.063630095984255</v>
      </c>
      <c r="Q30" s="87">
        <f>IF(Q8=0,0,Q8/TrAvia_act!Q6*1000)</f>
        <v>28.737963044966126</v>
      </c>
      <c r="R30" s="87">
        <f>IF(R8=0,0,R8/TrAvia_act!R6*1000)</f>
        <v>30.437426313809848</v>
      </c>
      <c r="S30" s="87">
        <f>IF(S8=0,0,S8/TrAvia_act!S6*1000)</f>
        <v>31.522526252180562</v>
      </c>
      <c r="T30" s="87">
        <f>IF(T8=0,0,T8/TrAvia_act!T6*1000)</f>
        <v>32.395189462183545</v>
      </c>
      <c r="U30" s="87">
        <f>IF(U8=0,0,U8/TrAvia_act!U6*1000)</f>
        <v>32.057888879283098</v>
      </c>
      <c r="V30" s="87">
        <f>IF(V8=0,0,V8/TrAvia_act!V6*1000)</f>
        <v>43.281974662185242</v>
      </c>
      <c r="W30" s="87">
        <f>IF(W8=0,0,W8/TrAvia_act!W6*1000)</f>
        <v>39.445262652841208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22.419113866661124</v>
      </c>
      <c r="C31" s="87">
        <f>IF(C9=0,0,C9/TrAvia_act!C7*1000)</f>
        <v>22.402979668599027</v>
      </c>
      <c r="D31" s="87">
        <f>IF(D9=0,0,D9/TrAvia_act!D7*1000)</f>
        <v>22.432780735613058</v>
      </c>
      <c r="E31" s="87">
        <f>IF(E9=0,0,E9/TrAvia_act!E7*1000)</f>
        <v>22.807134206723404</v>
      </c>
      <c r="F31" s="87">
        <f>IF(F9=0,0,F9/TrAvia_act!F7*1000)</f>
        <v>22.605032420861445</v>
      </c>
      <c r="G31" s="87">
        <f>IF(G9=0,0,G9/TrAvia_act!G7*1000)</f>
        <v>22.533129151597997</v>
      </c>
      <c r="H31" s="87">
        <f>IF(H9=0,0,H9/TrAvia_act!H7*1000)</f>
        <v>20.454957455711416</v>
      </c>
      <c r="I31" s="87">
        <f>IF(I9=0,0,I9/TrAvia_act!I7*1000)</f>
        <v>18.281161272975833</v>
      </c>
      <c r="J31" s="87">
        <f>IF(J9=0,0,J9/TrAvia_act!J7*1000)</f>
        <v>26.848322982393871</v>
      </c>
      <c r="K31" s="87">
        <f>IF(K9=0,0,K9/TrAvia_act!K7*1000)</f>
        <v>20.399014006125327</v>
      </c>
      <c r="L31" s="87">
        <f>IF(L9=0,0,L9/TrAvia_act!L7*1000)</f>
        <v>28.031954639258178</v>
      </c>
      <c r="M31" s="87">
        <f>IF(M9=0,0,M9/TrAvia_act!M7*1000)</f>
        <v>40.848370472563595</v>
      </c>
      <c r="N31" s="87">
        <f>IF(N9=0,0,N9/TrAvia_act!N7*1000)</f>
        <v>31.612700163686032</v>
      </c>
      <c r="O31" s="87">
        <f>IF(O9=0,0,O9/TrAvia_act!O7*1000)</f>
        <v>23.750185566401079</v>
      </c>
      <c r="P31" s="87">
        <f>IF(P9=0,0,P9/TrAvia_act!P7*1000)</f>
        <v>19.83516941865085</v>
      </c>
      <c r="Q31" s="87">
        <f>IF(Q9=0,0,Q9/TrAvia_act!Q7*1000)</f>
        <v>18.489758519505582</v>
      </c>
      <c r="R31" s="87">
        <f>IF(R9=0,0,R9/TrAvia_act!R7*1000)</f>
        <v>18.153059185500734</v>
      </c>
      <c r="S31" s="87">
        <f>IF(S9=0,0,S9/TrAvia_act!S7*1000)</f>
        <v>14.77771985350282</v>
      </c>
      <c r="T31" s="87">
        <f>IF(T9=0,0,T9/TrAvia_act!T7*1000)</f>
        <v>11.12639040147268</v>
      </c>
      <c r="U31" s="87">
        <f>IF(U9=0,0,U9/TrAvia_act!U7*1000)</f>
        <v>9.2143512163769667</v>
      </c>
      <c r="V31" s="87">
        <f>IF(V9=0,0,V9/TrAvia_act!V7*1000)</f>
        <v>25.618707488945361</v>
      </c>
      <c r="W31" s="87">
        <f>IF(W9=0,0,W9/TrAvia_act!W7*1000)</f>
        <v>13.039786800616847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101.11137606201297</v>
      </c>
      <c r="C32" s="15">
        <f>IF(C10=0,0,C10/TrAvia_act!C8*1000)</f>
        <v>96.231391085873767</v>
      </c>
      <c r="D32" s="15">
        <f>IF(D10=0,0,D10/TrAvia_act!D8*1000)</f>
        <v>102.1853113769038</v>
      </c>
      <c r="E32" s="15">
        <f>IF(E10=0,0,E10/TrAvia_act!E8*1000)</f>
        <v>96.182875671396616</v>
      </c>
      <c r="F32" s="15">
        <f>IF(F10=0,0,F10/TrAvia_act!F8*1000)</f>
        <v>102.71397169843176</v>
      </c>
      <c r="G32" s="15">
        <f>IF(G10=0,0,G10/TrAvia_act!G8*1000)</f>
        <v>102.6886258152385</v>
      </c>
      <c r="H32" s="15">
        <f>IF(H10=0,0,H10/TrAvia_act!H8*1000)</f>
        <v>108.18333185438151</v>
      </c>
      <c r="I32" s="15">
        <f>IF(I10=0,0,I10/TrAvia_act!I8*1000)</f>
        <v>107.7020812087833</v>
      </c>
      <c r="J32" s="15">
        <f>IF(J10=0,0,J10/TrAvia_act!J8*1000)</f>
        <v>154.640359772859</v>
      </c>
      <c r="K32" s="15">
        <f>IF(K10=0,0,K10/TrAvia_act!K8*1000)</f>
        <v>120.86815127084846</v>
      </c>
      <c r="L32" s="15">
        <f>IF(L10=0,0,L10/TrAvia_act!L8*1000)</f>
        <v>107.33359849613853</v>
      </c>
      <c r="M32" s="15">
        <f>IF(M10=0,0,M10/TrAvia_act!M8*1000)</f>
        <v>102.26834576696585</v>
      </c>
      <c r="N32" s="15">
        <f>IF(N10=0,0,N10/TrAvia_act!N8*1000)</f>
        <v>43.958246295896529</v>
      </c>
      <c r="O32" s="15">
        <f>IF(O10=0,0,O10/TrAvia_act!O8*1000)</f>
        <v>68.532185830178165</v>
      </c>
      <c r="P32" s="15">
        <f>IF(P10=0,0,P10/TrAvia_act!P8*1000)</f>
        <v>67.662650568851248</v>
      </c>
      <c r="Q32" s="15">
        <f>IF(Q10=0,0,Q10/TrAvia_act!Q8*1000)</f>
        <v>66.217403819359276</v>
      </c>
      <c r="R32" s="15">
        <f>IF(R10=0,0,R10/TrAvia_act!R8*1000)</f>
        <v>72.261977957812192</v>
      </c>
      <c r="S32" s="15">
        <f>IF(S10=0,0,S10/TrAvia_act!S8*1000)</f>
        <v>92.891573629791736</v>
      </c>
      <c r="T32" s="15">
        <f>IF(T10=0,0,T10/TrAvia_act!T8*1000)</f>
        <v>83.96322619527291</v>
      </c>
      <c r="U32" s="15">
        <f>IF(U10=0,0,U10/TrAvia_act!U8*1000)</f>
        <v>71.70293633130467</v>
      </c>
      <c r="V32" s="15">
        <f>IF(V10=0,0,V10/TrAvia_act!V8*1000)</f>
        <v>122.43117617575473</v>
      </c>
      <c r="W32" s="15">
        <f>IF(W10=0,0,W10/TrAvia_act!W8*1000)</f>
        <v>115.43281214490051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110.50598368725883</v>
      </c>
      <c r="C34" s="101">
        <f>IF(C12=0,0,C12/TrAvia_act!C10*1000)</f>
        <v>104.90841342756559</v>
      </c>
      <c r="D34" s="101">
        <f>IF(D12=0,0,D12/TrAvia_act!D10*1000)</f>
        <v>111.66415369062865</v>
      </c>
      <c r="E34" s="101">
        <f>IF(E12=0,0,E12/TrAvia_act!E10*1000)</f>
        <v>110.38543238223689</v>
      </c>
      <c r="F34" s="101">
        <f>IF(F12=0,0,F12/TrAvia_act!F10*1000)</f>
        <v>121.51481868231421</v>
      </c>
      <c r="G34" s="101">
        <f>IF(G12=0,0,G12/TrAvia_act!G10*1000)</f>
        <v>122.3687392172633</v>
      </c>
      <c r="H34" s="101">
        <f>IF(H12=0,0,H12/TrAvia_act!H10*1000)</f>
        <v>154.21991131196182</v>
      </c>
      <c r="I34" s="101">
        <f>IF(I12=0,0,I12/TrAvia_act!I10*1000)</f>
        <v>172.66061034629479</v>
      </c>
      <c r="J34" s="101">
        <f>IF(J12=0,0,J12/TrAvia_act!J10*1000)</f>
        <v>197.34919921911151</v>
      </c>
      <c r="K34" s="101">
        <f>IF(K12=0,0,K12/TrAvia_act!K10*1000)</f>
        <v>128.09531637653348</v>
      </c>
      <c r="L34" s="101">
        <f>IF(L12=0,0,L12/TrAvia_act!L10*1000)</f>
        <v>113.14781288401586</v>
      </c>
      <c r="M34" s="101">
        <f>IF(M12=0,0,M12/TrAvia_act!M10*1000)</f>
        <v>110.03065184032728</v>
      </c>
      <c r="N34" s="101">
        <f>IF(N12=0,0,N12/TrAvia_act!N10*1000)</f>
        <v>103.54100540022546</v>
      </c>
      <c r="O34" s="101">
        <f>IF(O12=0,0,O12/TrAvia_act!O10*1000)</f>
        <v>110.82677644889088</v>
      </c>
      <c r="P34" s="101">
        <f>IF(P12=0,0,P12/TrAvia_act!P10*1000)</f>
        <v>91.742737837937085</v>
      </c>
      <c r="Q34" s="101">
        <f>IF(Q12=0,0,Q12/TrAvia_act!Q10*1000)</f>
        <v>89.079317482615906</v>
      </c>
      <c r="R34" s="101">
        <f>IF(R12=0,0,R12/TrAvia_act!R10*1000)</f>
        <v>92.322997959597913</v>
      </c>
      <c r="S34" s="101">
        <f>IF(S12=0,0,S12/TrAvia_act!S10*1000)</f>
        <v>106.81843282094358</v>
      </c>
      <c r="T34" s="101">
        <f>IF(T12=0,0,T12/TrAvia_act!T10*1000)</f>
        <v>106.31083271470069</v>
      </c>
      <c r="U34" s="101">
        <f>IF(U12=0,0,U12/TrAvia_act!U10*1000)</f>
        <v>100.14716011039233</v>
      </c>
      <c r="V34" s="101">
        <f>IF(V12=0,0,V12/TrAvia_act!V10*1000)</f>
        <v>179.22013964632723</v>
      </c>
      <c r="W34" s="101">
        <f>IF(W12=0,0,W12/TrAvia_act!W10*1000)</f>
        <v>168.19681801737838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18.126381367526545</v>
      </c>
      <c r="C35" s="88">
        <f>IF(C13=0,0,C13/TrAvia_act!C11*1000)</f>
        <v>17.36730137503864</v>
      </c>
      <c r="D35" s="88">
        <f>IF(D13=0,0,D13/TrAvia_act!D11*1000)</f>
        <v>18.341466593959929</v>
      </c>
      <c r="E35" s="88">
        <f>IF(E13=0,0,E13/TrAvia_act!E11*1000)</f>
        <v>20.353537278706291</v>
      </c>
      <c r="F35" s="88">
        <f>IF(F13=0,0,F13/TrAvia_act!F11*1000)</f>
        <v>20.943116135351858</v>
      </c>
      <c r="G35" s="88">
        <f>IF(G13=0,0,G13/TrAvia_act!G11*1000)</f>
        <v>22.532840906475734</v>
      </c>
      <c r="H35" s="88">
        <f>IF(H13=0,0,H13/TrAvia_act!H11*1000)</f>
        <v>21.725141090245948</v>
      </c>
      <c r="I35" s="88">
        <f>IF(I13=0,0,I13/TrAvia_act!I11*1000)</f>
        <v>24.189830028422826</v>
      </c>
      <c r="J35" s="88">
        <f>IF(J13=0,0,J13/TrAvia_act!J11*1000)</f>
        <v>37.574265852378261</v>
      </c>
      <c r="K35" s="88">
        <f>IF(K13=0,0,K13/TrAvia_act!K11*1000)</f>
        <v>29.477116314330516</v>
      </c>
      <c r="L35" s="88">
        <f>IF(L13=0,0,L13/TrAvia_act!L11*1000)</f>
        <v>36.466963914915688</v>
      </c>
      <c r="M35" s="88">
        <f>IF(M13=0,0,M13/TrAvia_act!M11*1000)</f>
        <v>42.080080904162756</v>
      </c>
      <c r="N35" s="88">
        <f>IF(N13=0,0,N13/TrAvia_act!N11*1000)</f>
        <v>28.530541986305586</v>
      </c>
      <c r="O35" s="88">
        <f>IF(O13=0,0,O13/TrAvia_act!O11*1000)</f>
        <v>28.540253891879789</v>
      </c>
      <c r="P35" s="88">
        <f>IF(P13=0,0,P13/TrAvia_act!P11*1000)</f>
        <v>21.724129866594637</v>
      </c>
      <c r="Q35" s="88">
        <f>IF(Q13=0,0,Q13/TrAvia_act!Q11*1000)</f>
        <v>19.335035073736211</v>
      </c>
      <c r="R35" s="88">
        <f>IF(R13=0,0,R13/TrAvia_act!R11*1000)</f>
        <v>17.271284044861247</v>
      </c>
      <c r="S35" s="88">
        <f>IF(S13=0,0,S13/TrAvia_act!S11*1000)</f>
        <v>16.623605013782878</v>
      </c>
      <c r="T35" s="88">
        <f>IF(T13=0,0,T13/TrAvia_act!T11*1000)</f>
        <v>13.992703640536424</v>
      </c>
      <c r="U35" s="88">
        <f>IF(U13=0,0,U13/TrAvia_act!U11*1000)</f>
        <v>10.651619770312534</v>
      </c>
      <c r="V35" s="88">
        <f>IF(V13=0,0,V13/TrAvia_act!V11*1000)</f>
        <v>33.588646870398989</v>
      </c>
      <c r="W35" s="88">
        <f>IF(W13=0,0,W13/TrAvia_act!W11*1000)</f>
        <v>19.688317443363186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2918.672769512727</v>
      </c>
      <c r="C37" s="62">
        <f>IF(C3=0,0,C3/TrAvia_act!C23*1000000)</f>
        <v>2932.1110461967851</v>
      </c>
      <c r="D37" s="62">
        <f>IF(D3=0,0,D3/TrAvia_act!D23*1000000)</f>
        <v>2924.0210468292676</v>
      </c>
      <c r="E37" s="62">
        <f>IF(E3=0,0,E3/TrAvia_act!E23*1000000)</f>
        <v>2954.3566546828638</v>
      </c>
      <c r="F37" s="62">
        <f>IF(F3=0,0,F3/TrAvia_act!F23*1000000)</f>
        <v>2950.5742141427445</v>
      </c>
      <c r="G37" s="62">
        <f>IF(G3=0,0,G3/TrAvia_act!G23*1000000)</f>
        <v>3076.5731715071038</v>
      </c>
      <c r="H37" s="62">
        <f>IF(H3=0,0,H3/TrAvia_act!H23*1000000)</f>
        <v>3268.6830203720665</v>
      </c>
      <c r="I37" s="62">
        <f>IF(I3=0,0,I3/TrAvia_act!I23*1000000)</f>
        <v>3795.5919056420021</v>
      </c>
      <c r="J37" s="62">
        <f>IF(J3=0,0,J3/TrAvia_act!J23*1000000)</f>
        <v>3821.6310283126031</v>
      </c>
      <c r="K37" s="62">
        <f>IF(K3=0,0,K3/TrAvia_act!K23*1000000)</f>
        <v>2743.7301589896324</v>
      </c>
      <c r="L37" s="62">
        <f>IF(L3=0,0,L3/TrAvia_act!L23*1000000)</f>
        <v>3024.3687222442281</v>
      </c>
      <c r="M37" s="62">
        <f>IF(M3=0,0,M3/TrAvia_act!M23*1000000)</f>
        <v>3291.3368445332412</v>
      </c>
      <c r="N37" s="62">
        <f>IF(N3=0,0,N3/TrAvia_act!N23*1000000)</f>
        <v>3520.6524367520788</v>
      </c>
      <c r="O37" s="62">
        <f>IF(O3=0,0,O3/TrAvia_act!O23*1000000)</f>
        <v>3915.8910839655373</v>
      </c>
      <c r="P37" s="62">
        <f>IF(P3=0,0,P3/TrAvia_act!P23*1000000)</f>
        <v>3849.9375261342511</v>
      </c>
      <c r="Q37" s="62">
        <f>IF(Q3=0,0,Q3/TrAvia_act!Q23*1000000)</f>
        <v>3835.1425219534567</v>
      </c>
      <c r="R37" s="62">
        <f>IF(R3=0,0,R3/TrAvia_act!R23*1000000)</f>
        <v>4204.4747591930418</v>
      </c>
      <c r="S37" s="62">
        <f>IF(S3=0,0,S3/TrAvia_act!S23*1000000)</f>
        <v>4388.1155446073753</v>
      </c>
      <c r="T37" s="62">
        <f>IF(T3=0,0,T3/TrAvia_act!T23*1000000)</f>
        <v>4703.6615156192383</v>
      </c>
      <c r="U37" s="62">
        <f>IF(U3=0,0,U3/TrAvia_act!U23*1000000)</f>
        <v>4495.767117137465</v>
      </c>
      <c r="V37" s="62">
        <f>IF(V3=0,0,V3/TrAvia_act!V23*1000000)</f>
        <v>4888.2911210446528</v>
      </c>
      <c r="W37" s="62">
        <f>IF(W3=0,0,W3/TrAvia_act!W23*1000000)</f>
        <v>4636.3734329815679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2931.7614218593517</v>
      </c>
      <c r="C38" s="14">
        <f>IF(C6=0,0,C6/TrAvia_act!C24*1000000)</f>
        <v>2942.6482105637147</v>
      </c>
      <c r="D38" s="14">
        <f>IF(D6=0,0,D6/TrAvia_act!D24*1000000)</f>
        <v>2935.1416084915295</v>
      </c>
      <c r="E38" s="14">
        <f>IF(E6=0,0,E6/TrAvia_act!E24*1000000)</f>
        <v>2959.7689302063677</v>
      </c>
      <c r="F38" s="14">
        <f>IF(F6=0,0,F6/TrAvia_act!F24*1000000)</f>
        <v>2956.205170425761</v>
      </c>
      <c r="G38" s="14">
        <f>IF(G6=0,0,G6/TrAvia_act!G24*1000000)</f>
        <v>3082.5416655842637</v>
      </c>
      <c r="H38" s="14">
        <f>IF(H6=0,0,H6/TrAvia_act!H24*1000000)</f>
        <v>3273.8811769995905</v>
      </c>
      <c r="I38" s="14">
        <f>IF(I6=0,0,I6/TrAvia_act!I24*1000000)</f>
        <v>3800.3427875348275</v>
      </c>
      <c r="J38" s="14">
        <f>IF(J6=0,0,J6/TrAvia_act!J24*1000000)</f>
        <v>3821.1795596732854</v>
      </c>
      <c r="K38" s="14">
        <f>IF(K6=0,0,K6/TrAvia_act!K24*1000000)</f>
        <v>2751.7586192636672</v>
      </c>
      <c r="L38" s="14">
        <f>IF(L6=0,0,L6/TrAvia_act!L24*1000000)</f>
        <v>3035.0334177653813</v>
      </c>
      <c r="M38" s="14">
        <f>IF(M6=0,0,M6/TrAvia_act!M24*1000000)</f>
        <v>3305.2947620080809</v>
      </c>
      <c r="N38" s="14">
        <f>IF(N6=0,0,N6/TrAvia_act!N24*1000000)</f>
        <v>3526.7266508344214</v>
      </c>
      <c r="O38" s="14">
        <f>IF(O6=0,0,O6/TrAvia_act!O24*1000000)</f>
        <v>3945.1349761826455</v>
      </c>
      <c r="P38" s="14">
        <f>IF(P6=0,0,P6/TrAvia_act!P24*1000000)</f>
        <v>3879.5800905853725</v>
      </c>
      <c r="Q38" s="14">
        <f>IF(Q6=0,0,Q6/TrAvia_act!Q24*1000000)</f>
        <v>3867.1649988645145</v>
      </c>
      <c r="R38" s="14">
        <f>IF(R6=0,0,R6/TrAvia_act!R24*1000000)</f>
        <v>4237.2780410936848</v>
      </c>
      <c r="S38" s="14">
        <f>IF(S6=0,0,S6/TrAvia_act!S24*1000000)</f>
        <v>4428.9157903606047</v>
      </c>
      <c r="T38" s="14">
        <f>IF(T6=0,0,T6/TrAvia_act!T24*1000000)</f>
        <v>4752.3004941765639</v>
      </c>
      <c r="U38" s="14">
        <f>IF(U6=0,0,U6/TrAvia_act!U24*1000000)</f>
        <v>4543.0724419145808</v>
      </c>
      <c r="V38" s="14">
        <f>IF(V6=0,0,V6/TrAvia_act!V24*1000000)</f>
        <v>5005.2403714723569</v>
      </c>
      <c r="W38" s="14">
        <f>IF(W6=0,0,W6/TrAvia_act!W24*1000000)</f>
        <v>4711.6484646230338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2787.1658579240798</v>
      </c>
      <c r="C40" s="87">
        <f>IF(C8=0,0,C8/TrAvia_act!C26*1000000)</f>
        <v>2797.4290109555118</v>
      </c>
      <c r="D40" s="87">
        <f>IF(D8=0,0,D8/TrAvia_act!D26*1000000)</f>
        <v>2790.2740792899194</v>
      </c>
      <c r="E40" s="87">
        <f>IF(E8=0,0,E8/TrAvia_act!E26*1000000)</f>
        <v>2813.7155025059469</v>
      </c>
      <c r="F40" s="87">
        <f>IF(F8=0,0,F8/TrAvia_act!F26*1000000)</f>
        <v>2810.3056188916594</v>
      </c>
      <c r="G40" s="87">
        <f>IF(G8=0,0,G8/TrAvia_act!G26*1000000)</f>
        <v>2964.7514134090006</v>
      </c>
      <c r="H40" s="87">
        <f>IF(H8=0,0,H8/TrAvia_act!H26*1000000)</f>
        <v>3216.7080594156955</v>
      </c>
      <c r="I40" s="87">
        <f>IF(I8=0,0,I8/TrAvia_act!I26*1000000)</f>
        <v>3810.4443262853856</v>
      </c>
      <c r="J40" s="87">
        <f>IF(J8=0,0,J8/TrAvia_act!J26*1000000)</f>
        <v>3936.0079222386448</v>
      </c>
      <c r="K40" s="87">
        <f>IF(K8=0,0,K8/TrAvia_act!K26*1000000)</f>
        <v>2730.6281991346309</v>
      </c>
      <c r="L40" s="87">
        <f>IF(L8=0,0,L8/TrAvia_act!L26*1000000)</f>
        <v>3004.477054120302</v>
      </c>
      <c r="M40" s="87">
        <f>IF(M8=0,0,M8/TrAvia_act!M26*1000000)</f>
        <v>3327.1831904691985</v>
      </c>
      <c r="N40" s="87">
        <f>IF(N8=0,0,N8/TrAvia_act!N26*1000000)</f>
        <v>3675.7799985601469</v>
      </c>
      <c r="O40" s="87">
        <f>IF(O8=0,0,O8/TrAvia_act!O26*1000000)</f>
        <v>4097.6329651845572</v>
      </c>
      <c r="P40" s="87">
        <f>IF(P8=0,0,P8/TrAvia_act!P26*1000000)</f>
        <v>4125.0969236548581</v>
      </c>
      <c r="Q40" s="87">
        <f>IF(Q8=0,0,Q8/TrAvia_act!Q26*1000000)</f>
        <v>4167.1710657964531</v>
      </c>
      <c r="R40" s="87">
        <f>IF(R8=0,0,R8/TrAvia_act!R26*1000000)</f>
        <v>4623.5040322975947</v>
      </c>
      <c r="S40" s="87">
        <f>IF(S8=0,0,S8/TrAvia_act!S26*1000000)</f>
        <v>4815.023062705035</v>
      </c>
      <c r="T40" s="87">
        <f>IF(T8=0,0,T8/TrAvia_act!T26*1000000)</f>
        <v>5223.1689562483607</v>
      </c>
      <c r="U40" s="87">
        <f>IF(U8=0,0,U8/TrAvia_act!U26*1000000)</f>
        <v>5163.9491897758362</v>
      </c>
      <c r="V40" s="87">
        <f>IF(V8=0,0,V8/TrAvia_act!V26*1000000)</f>
        <v>5045.9068966380437</v>
      </c>
      <c r="W40" s="87">
        <f>IF(W8=0,0,W8/TrAvia_act!W26*1000000)</f>
        <v>5197.8730551373046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4107.5165949643679</v>
      </c>
      <c r="C41" s="87">
        <f>IF(C9=0,0,C9/TrAvia_act!C27*1000000)</f>
        <v>4122.7131600944658</v>
      </c>
      <c r="D41" s="87">
        <f>IF(D9=0,0,D9/TrAvia_act!D27*1000000)</f>
        <v>4111.9789006730907</v>
      </c>
      <c r="E41" s="87">
        <f>IF(E9=0,0,E9/TrAvia_act!E27*1000000)</f>
        <v>4146.7939869158972</v>
      </c>
      <c r="F41" s="87">
        <f>IF(F9=0,0,F9/TrAvia_act!F27*1000000)</f>
        <v>4141.8127165826427</v>
      </c>
      <c r="G41" s="87">
        <f>IF(G9=0,0,G9/TrAvia_act!G27*1000000)</f>
        <v>4157.258011142716</v>
      </c>
      <c r="H41" s="87">
        <f>IF(H9=0,0,H9/TrAvia_act!H27*1000000)</f>
        <v>3737.3205119197578</v>
      </c>
      <c r="I41" s="87">
        <f>IF(I9=0,0,I9/TrAvia_act!I27*1000000)</f>
        <v>3730.695091820387</v>
      </c>
      <c r="J41" s="87">
        <f>IF(J9=0,0,J9/TrAvia_act!J27*1000000)</f>
        <v>3166.4789599654418</v>
      </c>
      <c r="K41" s="87">
        <f>IF(K9=0,0,K9/TrAvia_act!K27*1000000)</f>
        <v>2887.4178462108125</v>
      </c>
      <c r="L41" s="87">
        <f>IF(L9=0,0,L9/TrAvia_act!L27*1000000)</f>
        <v>3259.6992830249505</v>
      </c>
      <c r="M41" s="87">
        <f>IF(M9=0,0,M9/TrAvia_act!M27*1000000)</f>
        <v>3157.6163663684692</v>
      </c>
      <c r="N41" s="87">
        <f>IF(N9=0,0,N9/TrAvia_act!N27*1000000)</f>
        <v>2666.7725980781097</v>
      </c>
      <c r="O41" s="87">
        <f>IF(O9=0,0,O9/TrAvia_act!O27*1000000)</f>
        <v>3025.131063391329</v>
      </c>
      <c r="P41" s="87">
        <f>IF(P9=0,0,P9/TrAvia_act!P27*1000000)</f>
        <v>2604.6506565492923</v>
      </c>
      <c r="Q41" s="87">
        <f>IF(Q9=0,0,Q9/TrAvia_act!Q27*1000000)</f>
        <v>2381.6731566160033</v>
      </c>
      <c r="R41" s="87">
        <f>IF(R9=0,0,R9/TrAvia_act!R27*1000000)</f>
        <v>2345.3186664206155</v>
      </c>
      <c r="S41" s="87">
        <f>IF(S9=0,0,S9/TrAvia_act!S27*1000000)</f>
        <v>2461.4984301730119</v>
      </c>
      <c r="T41" s="87">
        <f>IF(T9=0,0,T9/TrAvia_act!T27*1000000)</f>
        <v>2447.7067360014767</v>
      </c>
      <c r="U41" s="87">
        <f>IF(U9=0,0,U9/TrAvia_act!U27*1000000)</f>
        <v>2036.4279087421471</v>
      </c>
      <c r="V41" s="87">
        <f>IF(V9=0,0,V9/TrAvia_act!V27*1000000)</f>
        <v>4738.4196730463673</v>
      </c>
      <c r="W41" s="87">
        <f>IF(W9=0,0,W9/TrAvia_act!W27*1000000)</f>
        <v>2708.512591322678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2412.6207768329796</v>
      </c>
      <c r="C42" s="15">
        <f>IF(C10=0,0,C10/TrAvia_act!C28*1000000)</f>
        <v>2409.1666317580443</v>
      </c>
      <c r="D42" s="15">
        <f>IF(D10=0,0,D10/TrAvia_act!D28*1000000)</f>
        <v>2415.2417891202208</v>
      </c>
      <c r="E42" s="15">
        <f>IF(E10=0,0,E10/TrAvia_act!E28*1000000)</f>
        <v>2434.7782044264895</v>
      </c>
      <c r="F42" s="15">
        <f>IF(F10=0,0,F10/TrAvia_act!F28*1000000)</f>
        <v>2424.1484718792635</v>
      </c>
      <c r="G42" s="15">
        <f>IF(G10=0,0,G10/TrAvia_act!G28*1000000)</f>
        <v>2478.0013124802385</v>
      </c>
      <c r="H42" s="15">
        <f>IF(H10=0,0,H10/TrAvia_act!H28*1000000)</f>
        <v>2835.739168902679</v>
      </c>
      <c r="I42" s="15">
        <f>IF(I10=0,0,I10/TrAvia_act!I28*1000000)</f>
        <v>3393.5456000418017</v>
      </c>
      <c r="J42" s="15">
        <f>IF(J10=0,0,J10/TrAvia_act!J28*1000000)</f>
        <v>3871.8074557935915</v>
      </c>
      <c r="K42" s="15">
        <f>IF(K10=0,0,K10/TrAvia_act!K28*1000000)</f>
        <v>2047.9302685732807</v>
      </c>
      <c r="L42" s="15">
        <f>IF(L10=0,0,L10/TrAvia_act!L28*1000000)</f>
        <v>2145.1978852191419</v>
      </c>
      <c r="M42" s="15">
        <f>IF(M10=0,0,M10/TrAvia_act!M28*1000000)</f>
        <v>2142.3870858899995</v>
      </c>
      <c r="N42" s="15">
        <f>IF(N10=0,0,N10/TrAvia_act!N28*1000000)</f>
        <v>3130.7721335909282</v>
      </c>
      <c r="O42" s="15">
        <f>IF(O10=0,0,O10/TrAvia_act!O28*1000000)</f>
        <v>2522.5944474368225</v>
      </c>
      <c r="P42" s="15">
        <f>IF(P10=0,0,P10/TrAvia_act!P28*1000000)</f>
        <v>2244.1900375429905</v>
      </c>
      <c r="Q42" s="15">
        <f>IF(Q10=0,0,Q10/TrAvia_act!Q28*1000000)</f>
        <v>2146.8463781426653</v>
      </c>
      <c r="R42" s="15">
        <f>IF(R10=0,0,R10/TrAvia_act!R28*1000000)</f>
        <v>2230.1217332695851</v>
      </c>
      <c r="S42" s="15">
        <f>IF(S10=0,0,S10/TrAvia_act!S28*1000000)</f>
        <v>2236.7885552806606</v>
      </c>
      <c r="T42" s="15">
        <f>IF(T10=0,0,T10/TrAvia_act!T28*1000000)</f>
        <v>2212.2649472940889</v>
      </c>
      <c r="U42" s="15">
        <f>IF(U10=0,0,U10/TrAvia_act!U28*1000000)</f>
        <v>2103.9138630404259</v>
      </c>
      <c r="V42" s="15">
        <f>IF(V10=0,0,V10/TrAvia_act!V28*1000000)</f>
        <v>2977.2049348692481</v>
      </c>
      <c r="W42" s="15">
        <f>IF(W10=0,0,W10/TrAvia_act!W28*1000000)</f>
        <v>3024.8551925631182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2415.7730017108083</v>
      </c>
      <c r="C44" s="101">
        <f>IF(C12=0,0,C12/TrAvia_act!C30*1000000)</f>
        <v>2412.0133350499027</v>
      </c>
      <c r="D44" s="101">
        <f>IF(D12=0,0,D12/TrAvia_act!D30*1000000)</f>
        <v>2418.397438498168</v>
      </c>
      <c r="E44" s="101">
        <f>IF(E12=0,0,E12/TrAvia_act!E30*1000000)</f>
        <v>2440.6671354810037</v>
      </c>
      <c r="F44" s="101">
        <f>IF(F12=0,0,F12/TrAvia_act!F30*1000000)</f>
        <v>2430.5512323426137</v>
      </c>
      <c r="G44" s="101">
        <f>IF(G12=0,0,G12/TrAvia_act!G30*1000000)</f>
        <v>2487.6870226091023</v>
      </c>
      <c r="H44" s="101">
        <f>IF(H12=0,0,H12/TrAvia_act!H30*1000000)</f>
        <v>2879.0493129403926</v>
      </c>
      <c r="I44" s="101">
        <f>IF(I12=0,0,I12/TrAvia_act!I30*1000000)</f>
        <v>3489.8607699283534</v>
      </c>
      <c r="J44" s="101">
        <f>IF(J12=0,0,J12/TrAvia_act!J30*1000000)</f>
        <v>4002.6063294134251</v>
      </c>
      <c r="K44" s="101">
        <f>IF(K12=0,0,K12/TrAvia_act!K30*1000000)</f>
        <v>2038.508861330919</v>
      </c>
      <c r="L44" s="101">
        <f>IF(L12=0,0,L12/TrAvia_act!L30*1000000)</f>
        <v>2123.1083321138512</v>
      </c>
      <c r="M44" s="101">
        <f>IF(M12=0,0,M12/TrAvia_act!M30*1000000)</f>
        <v>2082.7256770914241</v>
      </c>
      <c r="N44" s="101">
        <f>IF(N12=0,0,N12/TrAvia_act!N30*1000000)</f>
        <v>2027.2141971578862</v>
      </c>
      <c r="O44" s="101">
        <f>IF(O12=0,0,O12/TrAvia_act!O30*1000000)</f>
        <v>2177.9316184862787</v>
      </c>
      <c r="P44" s="101">
        <f>IF(P12=0,0,P12/TrAvia_act!P30*1000000)</f>
        <v>2118.6202418280136</v>
      </c>
      <c r="Q44" s="101">
        <f>IF(Q12=0,0,Q12/TrAvia_act!Q30*1000000)</f>
        <v>2072.1820754702371</v>
      </c>
      <c r="R44" s="101">
        <f>IF(R12=0,0,R12/TrAvia_act!R30*1000000)</f>
        <v>2205.9280127277434</v>
      </c>
      <c r="S44" s="101">
        <f>IF(S12=0,0,S12/TrAvia_act!S30*1000000)</f>
        <v>2234.7053218895207</v>
      </c>
      <c r="T44" s="101">
        <f>IF(T12=0,0,T12/TrAvia_act!T30*1000000)</f>
        <v>2227.2151359930403</v>
      </c>
      <c r="U44" s="101">
        <f>IF(U12=0,0,U12/TrAvia_act!U30*1000000)</f>
        <v>2120.1517141508798</v>
      </c>
      <c r="V44" s="101">
        <f>IF(V12=0,0,V12/TrAvia_act!V30*1000000)</f>
        <v>2874.6336836870055</v>
      </c>
      <c r="W44" s="101">
        <f>IF(W12=0,0,W12/TrAvia_act!W30*1000000)</f>
        <v>3074.0424658880111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2254.2214767221039</v>
      </c>
      <c r="C45" s="88">
        <f>IF(C13=0,0,C13/TrAvia_act!C31*1000000)</f>
        <v>2262.5614122273364</v>
      </c>
      <c r="D45" s="88">
        <f>IF(D13=0,0,D13/TrAvia_act!D31*1000000)</f>
        <v>2256.6704078783741</v>
      </c>
      <c r="E45" s="88">
        <f>IF(E13=0,0,E13/TrAvia_act!E31*1000000)</f>
        <v>2275.777065954614</v>
      </c>
      <c r="F45" s="88">
        <f>IF(F13=0,0,F13/TrAvia_act!F31*1000000)</f>
        <v>2273.0433249442058</v>
      </c>
      <c r="G45" s="88">
        <f>IF(G13=0,0,G13/TrAvia_act!G31*1000000)</f>
        <v>2281.519764151853</v>
      </c>
      <c r="H45" s="88">
        <f>IF(H13=0,0,H13/TrAvia_act!H31*1000000)</f>
        <v>2362.0344684901888</v>
      </c>
      <c r="I45" s="88">
        <f>IF(I13=0,0,I13/TrAvia_act!I31*1000000)</f>
        <v>2707.7815904495542</v>
      </c>
      <c r="J45" s="88">
        <f>IF(J13=0,0,J13/TrAvia_act!J31*1000000)</f>
        <v>2633.0651820998723</v>
      </c>
      <c r="K45" s="88">
        <f>IF(K13=0,0,K13/TrAvia_act!K31*1000000)</f>
        <v>2745.1144045080418</v>
      </c>
      <c r="L45" s="88">
        <f>IF(L13=0,0,L13/TrAvia_act!L31*1000000)</f>
        <v>3536.8397308524404</v>
      </c>
      <c r="M45" s="88">
        <f>IF(M13=0,0,M13/TrAvia_act!M31*1000000)</f>
        <v>5110.5421736191138</v>
      </c>
      <c r="N45" s="88">
        <f>IF(N13=0,0,N13/TrAvia_act!N31*1000000)</f>
        <v>6409.4587563267769</v>
      </c>
      <c r="O45" s="88">
        <f>IF(O13=0,0,O13/TrAvia_act!O31*1000000)</f>
        <v>6021.4443776923363</v>
      </c>
      <c r="P45" s="88">
        <f>IF(P13=0,0,P13/TrAvia_act!P31*1000000)</f>
        <v>4295.1633675542816</v>
      </c>
      <c r="Q45" s="88">
        <f>IF(Q13=0,0,Q13/TrAvia_act!Q31*1000000)</f>
        <v>3254.8646298014992</v>
      </c>
      <c r="R45" s="88">
        <f>IF(R13=0,0,R13/TrAvia_act!R31*1000000)</f>
        <v>2657.1409008330911</v>
      </c>
      <c r="S45" s="88">
        <f>IF(S13=0,0,S13/TrAvia_act!S31*1000000)</f>
        <v>2312.6529712746687</v>
      </c>
      <c r="T45" s="88">
        <f>IF(T13=0,0,T13/TrAvia_act!T31*1000000)</f>
        <v>1907.654852552949</v>
      </c>
      <c r="U45" s="88">
        <f>IF(U13=0,0,U13/TrAvia_act!U31*1000000)</f>
        <v>1822.271135159102</v>
      </c>
      <c r="V45" s="88">
        <f>IF(V13=0,0,V13/TrAvia_act!V31*1000000)</f>
        <v>4240.1134650506056</v>
      </c>
      <c r="W45" s="88">
        <f>IF(W13=0,0,W13/TrAvia_act!W31*1000000)</f>
        <v>2423.6774074810864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0.97915923976417985</v>
      </c>
      <c r="C48" s="16">
        <f t="shared" si="35"/>
        <v>0.98377103767488983</v>
      </c>
      <c r="D48" s="16">
        <f t="shared" ref="D48:V48" si="36">IF(D6=0,0,D6/D$3)</f>
        <v>0.98233200872758708</v>
      </c>
      <c r="E48" s="16">
        <f t="shared" si="36"/>
        <v>0.99150379958648049</v>
      </c>
      <c r="F48" s="16">
        <f t="shared" si="36"/>
        <v>0.99130485330761053</v>
      </c>
      <c r="G48" s="16">
        <f t="shared" si="36"/>
        <v>0.99204804789933776</v>
      </c>
      <c r="H48" s="16">
        <f t="shared" si="36"/>
        <v>0.98970733253585197</v>
      </c>
      <c r="I48" s="16">
        <f t="shared" si="36"/>
        <v>0.98955831782850712</v>
      </c>
      <c r="J48" s="16">
        <f t="shared" si="36"/>
        <v>0.99096552948051408</v>
      </c>
      <c r="K48" s="16">
        <f t="shared" si="36"/>
        <v>0.99148588966083806</v>
      </c>
      <c r="L48" s="16">
        <f t="shared" si="36"/>
        <v>0.99149897410408394</v>
      </c>
      <c r="M48" s="16">
        <f t="shared" si="36"/>
        <v>0.99218730267654176</v>
      </c>
      <c r="N48" s="16">
        <f t="shared" si="36"/>
        <v>0.98635815537294991</v>
      </c>
      <c r="O48" s="16">
        <f t="shared" si="36"/>
        <v>0.98675697015872776</v>
      </c>
      <c r="P48" s="16">
        <f t="shared" si="36"/>
        <v>0.98943424906637856</v>
      </c>
      <c r="Q48" s="16">
        <f t="shared" si="36"/>
        <v>0.98958005343404676</v>
      </c>
      <c r="R48" s="16">
        <f t="shared" si="36"/>
        <v>0.99133132098771848</v>
      </c>
      <c r="S48" s="16">
        <f t="shared" si="36"/>
        <v>0.9905126723683001</v>
      </c>
      <c r="T48" s="16">
        <f t="shared" si="36"/>
        <v>0.99099371412533355</v>
      </c>
      <c r="U48" s="16">
        <f t="shared" si="36"/>
        <v>0.99092400723663498</v>
      </c>
      <c r="V48" s="16">
        <f t="shared" si="36"/>
        <v>0.96487845832805319</v>
      </c>
      <c r="W48" s="16">
        <f t="shared" ref="W48" si="37">IF(W6=0,0,W6/W$3)</f>
        <v>0.97088510241726522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0.82892473678044765</v>
      </c>
      <c r="C50" s="103">
        <f t="shared" si="41"/>
        <v>0.8327442999370831</v>
      </c>
      <c r="D50" s="103">
        <f t="shared" ref="D50:V50" si="42">IF(D8=0,0,D8/D$3)</f>
        <v>0.83149194998857312</v>
      </c>
      <c r="E50" s="103">
        <f t="shared" si="42"/>
        <v>0.83930715748084883</v>
      </c>
      <c r="F50" s="103">
        <f t="shared" si="42"/>
        <v>0.83911924361715884</v>
      </c>
      <c r="G50" s="103">
        <f t="shared" si="42"/>
        <v>0.85989435873579234</v>
      </c>
      <c r="H50" s="103">
        <f t="shared" si="42"/>
        <v>0.86563311585907743</v>
      </c>
      <c r="I50" s="103">
        <f t="shared" si="42"/>
        <v>0.86651178255263639</v>
      </c>
      <c r="J50" s="103">
        <f t="shared" si="42"/>
        <v>0.86843003412492237</v>
      </c>
      <c r="K50" s="103">
        <f t="shared" si="42"/>
        <v>0.85127666479755171</v>
      </c>
      <c r="L50" s="103">
        <f t="shared" si="42"/>
        <v>0.8640050461358324</v>
      </c>
      <c r="M50" s="103">
        <f t="shared" si="42"/>
        <v>0.86983376547968294</v>
      </c>
      <c r="N50" s="103">
        <f t="shared" si="42"/>
        <v>0.87617981985172322</v>
      </c>
      <c r="O50" s="103">
        <f t="shared" si="42"/>
        <v>0.87917027249737456</v>
      </c>
      <c r="P50" s="103">
        <f t="shared" si="42"/>
        <v>0.88216829575629518</v>
      </c>
      <c r="Q50" s="103">
        <f t="shared" si="42"/>
        <v>0.88717742979797776</v>
      </c>
      <c r="R50" s="103">
        <f t="shared" si="42"/>
        <v>0.89830921571860067</v>
      </c>
      <c r="S50" s="103">
        <f t="shared" si="42"/>
        <v>0.9001994350575897</v>
      </c>
      <c r="T50" s="103">
        <f t="shared" si="42"/>
        <v>0.90439914173009761</v>
      </c>
      <c r="U50" s="103">
        <f t="shared" si="42"/>
        <v>0.90274507193862641</v>
      </c>
      <c r="V50" s="103">
        <f t="shared" si="42"/>
        <v>0.84407171298802119</v>
      </c>
      <c r="W50" s="103">
        <f t="shared" ref="W50" si="43">IF(W8=0,0,W8/W$3)</f>
        <v>0.86187294186252084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0.15023450298373231</v>
      </c>
      <c r="C51" s="103">
        <f t="shared" si="44"/>
        <v>0.15102673773780675</v>
      </c>
      <c r="D51" s="103">
        <f t="shared" ref="D51:V51" si="45">IF(D9=0,0,D9/D$3)</f>
        <v>0.15084005873901396</v>
      </c>
      <c r="E51" s="103">
        <f t="shared" si="45"/>
        <v>0.15219664210563164</v>
      </c>
      <c r="F51" s="103">
        <f t="shared" si="45"/>
        <v>0.15218560969045172</v>
      </c>
      <c r="G51" s="103">
        <f t="shared" si="45"/>
        <v>0.13215368916354542</v>
      </c>
      <c r="H51" s="103">
        <f t="shared" si="45"/>
        <v>0.12407421667677451</v>
      </c>
      <c r="I51" s="103">
        <f t="shared" si="45"/>
        <v>0.12304653527587069</v>
      </c>
      <c r="J51" s="103">
        <f t="shared" si="45"/>
        <v>0.12253549535559176</v>
      </c>
      <c r="K51" s="103">
        <f t="shared" si="45"/>
        <v>0.14020922486328632</v>
      </c>
      <c r="L51" s="103">
        <f t="shared" si="45"/>
        <v>0.12749392796825154</v>
      </c>
      <c r="M51" s="103">
        <f t="shared" si="45"/>
        <v>0.1223535371968589</v>
      </c>
      <c r="N51" s="103">
        <f t="shared" si="45"/>
        <v>0.11017833552122674</v>
      </c>
      <c r="O51" s="103">
        <f t="shared" si="45"/>
        <v>0.10758669766135315</v>
      </c>
      <c r="P51" s="103">
        <f t="shared" si="45"/>
        <v>0.10726595331008341</v>
      </c>
      <c r="Q51" s="103">
        <f t="shared" si="45"/>
        <v>0.10240262363606907</v>
      </c>
      <c r="R51" s="103">
        <f t="shared" si="45"/>
        <v>9.3022105269117833E-2</v>
      </c>
      <c r="S51" s="103">
        <f t="shared" si="45"/>
        <v>9.0313237310710434E-2</v>
      </c>
      <c r="T51" s="103">
        <f t="shared" si="45"/>
        <v>8.6594572395236047E-2</v>
      </c>
      <c r="U51" s="103">
        <f t="shared" si="45"/>
        <v>8.8178935298008507E-2</v>
      </c>
      <c r="V51" s="103">
        <f t="shared" si="45"/>
        <v>0.12080674534003194</v>
      </c>
      <c r="W51" s="103">
        <f t="shared" ref="W51" si="46">IF(W9=0,0,W9/W$3)</f>
        <v>0.10901216055474444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2.0840760235820117E-2</v>
      </c>
      <c r="C52" s="17">
        <f t="shared" si="47"/>
        <v>1.6228962325110258E-2</v>
      </c>
      <c r="D52" s="17">
        <f t="shared" ref="D52:V52" si="48">IF(D10=0,0,D10/D$3)</f>
        <v>1.7667991272412829E-2</v>
      </c>
      <c r="E52" s="17">
        <f t="shared" si="48"/>
        <v>8.4962004135195977E-3</v>
      </c>
      <c r="F52" s="17">
        <f t="shared" si="48"/>
        <v>8.6951466923895493E-3</v>
      </c>
      <c r="G52" s="17">
        <f t="shared" si="48"/>
        <v>7.9519521006622788E-3</v>
      </c>
      <c r="H52" s="17">
        <f t="shared" si="48"/>
        <v>1.0292667464148022E-2</v>
      </c>
      <c r="I52" s="17">
        <f t="shared" si="48"/>
        <v>1.0441682171492999E-2</v>
      </c>
      <c r="J52" s="17">
        <f t="shared" si="48"/>
        <v>9.0344705194859969E-3</v>
      </c>
      <c r="K52" s="17">
        <f t="shared" si="48"/>
        <v>8.514110339161959E-3</v>
      </c>
      <c r="L52" s="17">
        <f t="shared" si="48"/>
        <v>8.5010258959159635E-3</v>
      </c>
      <c r="M52" s="17">
        <f t="shared" si="48"/>
        <v>7.8126973234582033E-3</v>
      </c>
      <c r="N52" s="17">
        <f t="shared" si="48"/>
        <v>1.3641844627050087E-2</v>
      </c>
      <c r="O52" s="17">
        <f t="shared" si="48"/>
        <v>1.3243029841272071E-2</v>
      </c>
      <c r="P52" s="17">
        <f t="shared" si="48"/>
        <v>1.0565750933621334E-2</v>
      </c>
      <c r="Q52" s="17">
        <f t="shared" si="48"/>
        <v>1.0419946565953136E-2</v>
      </c>
      <c r="R52" s="17">
        <f t="shared" si="48"/>
        <v>8.6686790122814748E-3</v>
      </c>
      <c r="S52" s="17">
        <f t="shared" si="48"/>
        <v>9.4873276316999322E-3</v>
      </c>
      <c r="T52" s="17">
        <f t="shared" si="48"/>
        <v>9.0062858746664236E-3</v>
      </c>
      <c r="U52" s="17">
        <f t="shared" si="48"/>
        <v>9.0759927633651278E-3</v>
      </c>
      <c r="V52" s="17">
        <f t="shared" si="48"/>
        <v>3.5121541671946734E-2</v>
      </c>
      <c r="W52" s="17">
        <f t="shared" ref="W52" si="49">IF(W10=0,0,W10/W$3)</f>
        <v>2.9114897582734722E-2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2.0460809572424781E-2</v>
      </c>
      <c r="C54" s="104">
        <f t="shared" si="53"/>
        <v>1.5938650326696727E-2</v>
      </c>
      <c r="D54" s="104">
        <f t="shared" ref="D54:V54" si="54">IF(D12=0,0,D12/D$3)</f>
        <v>1.7345883780706346E-2</v>
      </c>
      <c r="E54" s="104">
        <f t="shared" si="54"/>
        <v>8.2125802989984949E-3</v>
      </c>
      <c r="F54" s="104">
        <f t="shared" si="54"/>
        <v>8.3637178467822187E-3</v>
      </c>
      <c r="G54" s="104">
        <f t="shared" si="54"/>
        <v>7.6079918710333858E-3</v>
      </c>
      <c r="H54" s="104">
        <f t="shared" si="54"/>
        <v>9.5744854806567564E-3</v>
      </c>
      <c r="I54" s="104">
        <f t="shared" si="54"/>
        <v>9.4156183318925262E-3</v>
      </c>
      <c r="J54" s="104">
        <f t="shared" si="54"/>
        <v>8.4476848720139389E-3</v>
      </c>
      <c r="K54" s="104">
        <f t="shared" si="54"/>
        <v>8.3619423525056105E-3</v>
      </c>
      <c r="L54" s="104">
        <f t="shared" si="54"/>
        <v>8.2820282807305572E-3</v>
      </c>
      <c r="M54" s="104">
        <f t="shared" si="54"/>
        <v>7.4454708453662033E-3</v>
      </c>
      <c r="N54" s="104">
        <f t="shared" si="54"/>
        <v>6.6088299383226193E-3</v>
      </c>
      <c r="O54" s="104">
        <f t="shared" si="54"/>
        <v>1.0408332330202327E-2</v>
      </c>
      <c r="P54" s="104">
        <f t="shared" si="54"/>
        <v>9.3991069739811535E-3</v>
      </c>
      <c r="Q54" s="104">
        <f t="shared" si="54"/>
        <v>9.4226087721431991E-3</v>
      </c>
      <c r="R54" s="104">
        <f t="shared" si="54"/>
        <v>8.1148698962117839E-3</v>
      </c>
      <c r="S54" s="104">
        <f t="shared" si="54"/>
        <v>9.2251688919710376E-3</v>
      </c>
      <c r="T54" s="104">
        <f t="shared" si="54"/>
        <v>8.6429550302672565E-3</v>
      </c>
      <c r="U54" s="104">
        <f t="shared" si="54"/>
        <v>8.6474782385329244E-3</v>
      </c>
      <c r="V54" s="104">
        <f t="shared" si="54"/>
        <v>3.1364182615350088E-2</v>
      </c>
      <c r="W54" s="104">
        <f t="shared" ref="W54" si="55">IF(W12=0,0,W12/W$3)</f>
        <v>2.7350562618913221E-2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3.7995066339533454E-4</v>
      </c>
      <c r="C55" s="105">
        <f t="shared" si="56"/>
        <v>2.9031199841352982E-4</v>
      </c>
      <c r="D55" s="105">
        <f t="shared" ref="D55:V55" si="57">IF(D13=0,0,D13/D$3)</f>
        <v>3.2210749170648333E-4</v>
      </c>
      <c r="E55" s="105">
        <f t="shared" si="57"/>
        <v>2.8362011452110397E-4</v>
      </c>
      <c r="F55" s="105">
        <f t="shared" si="57"/>
        <v>3.3142884560733181E-4</v>
      </c>
      <c r="G55" s="105">
        <f t="shared" si="57"/>
        <v>3.439602296288933E-4</v>
      </c>
      <c r="H55" s="105">
        <f t="shared" si="57"/>
        <v>7.1818198349126534E-4</v>
      </c>
      <c r="I55" s="105">
        <f t="shared" si="57"/>
        <v>1.026063839600474E-3</v>
      </c>
      <c r="J55" s="105">
        <f t="shared" si="57"/>
        <v>5.8678564747205854E-4</v>
      </c>
      <c r="K55" s="105">
        <f t="shared" si="57"/>
        <v>1.5216798665634854E-4</v>
      </c>
      <c r="L55" s="105">
        <f t="shared" si="57"/>
        <v>2.1899761518540502E-4</v>
      </c>
      <c r="M55" s="105">
        <f t="shared" si="57"/>
        <v>3.6722647809200062E-4</v>
      </c>
      <c r="N55" s="105">
        <f t="shared" si="57"/>
        <v>7.033014688727468E-3</v>
      </c>
      <c r="O55" s="105">
        <f t="shared" si="57"/>
        <v>2.8346975110697431E-3</v>
      </c>
      <c r="P55" s="105">
        <f t="shared" si="57"/>
        <v>1.1666439596401807E-3</v>
      </c>
      <c r="Q55" s="105">
        <f t="shared" si="57"/>
        <v>9.9733779380993754E-4</v>
      </c>
      <c r="R55" s="105">
        <f t="shared" si="57"/>
        <v>5.5380911606969254E-4</v>
      </c>
      <c r="S55" s="105">
        <f t="shared" si="57"/>
        <v>2.6215873972889562E-4</v>
      </c>
      <c r="T55" s="105">
        <f t="shared" si="57"/>
        <v>3.633308443991671E-4</v>
      </c>
      <c r="U55" s="105">
        <f t="shared" si="57"/>
        <v>4.2851452483220163E-4</v>
      </c>
      <c r="V55" s="105">
        <f t="shared" si="57"/>
        <v>3.7573590565966463E-3</v>
      </c>
      <c r="W55" s="105">
        <f t="shared" ref="W55" si="58">IF(W13=0,0,W13/W$3)</f>
        <v>1.7643349638214992E-3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340.44028743774618</v>
      </c>
      <c r="C57" s="62">
        <v>340.35267811856608</v>
      </c>
      <c r="D57" s="62">
        <v>340.3771246243117</v>
      </c>
      <c r="E57" s="62">
        <v>340.16903978649287</v>
      </c>
      <c r="F57" s="62">
        <v>340.17493576349233</v>
      </c>
      <c r="G57" s="62">
        <v>335.43521153073624</v>
      </c>
      <c r="H57" s="62">
        <v>341.46643525115297</v>
      </c>
      <c r="I57" s="62">
        <v>343.65714147416463</v>
      </c>
      <c r="J57" s="62">
        <v>339.13616565091257</v>
      </c>
      <c r="K57" s="62">
        <v>366.16969610307848</v>
      </c>
      <c r="L57" s="62">
        <v>360.04100311203354</v>
      </c>
      <c r="M57" s="62">
        <v>356.58290516705244</v>
      </c>
      <c r="N57" s="62">
        <v>350.62014674314906</v>
      </c>
      <c r="O57" s="62">
        <v>345.93499667575094</v>
      </c>
      <c r="P57" s="62">
        <v>346.89154817115678</v>
      </c>
      <c r="Q57" s="62">
        <v>347.2605974698522</v>
      </c>
      <c r="R57" s="62">
        <v>349.08288031516099</v>
      </c>
      <c r="S57" s="62">
        <v>351.05238306808224</v>
      </c>
      <c r="T57" s="62">
        <v>352.61831758501046</v>
      </c>
      <c r="U57" s="62">
        <v>351.06481277838168</v>
      </c>
      <c r="V57" s="62">
        <v>348.6372590177491</v>
      </c>
      <c r="W57" s="62">
        <v>344.6104073419383</v>
      </c>
      <c r="DA57" s="172" t="s">
        <v>313</v>
      </c>
    </row>
    <row r="58" spans="1:105" ht="11.45" customHeight="1" x14ac:dyDescent="0.25">
      <c r="A58" s="10" t="s">
        <v>33</v>
      </c>
      <c r="B58" s="14">
        <v>339.99117045233544</v>
      </c>
      <c r="C58" s="14">
        <v>339.99632826468269</v>
      </c>
      <c r="D58" s="14">
        <v>339.99673240202111</v>
      </c>
      <c r="E58" s="14">
        <v>339.99555177698437</v>
      </c>
      <c r="F58" s="14">
        <v>339.99723637364235</v>
      </c>
      <c r="G58" s="14">
        <v>335.27840390517656</v>
      </c>
      <c r="H58" s="14">
        <v>341.38561202285183</v>
      </c>
      <c r="I58" s="14">
        <v>343.63097051426394</v>
      </c>
      <c r="J58" s="14">
        <v>339.13112079389515</v>
      </c>
      <c r="K58" s="14">
        <v>366.02254534188853</v>
      </c>
      <c r="L58" s="14">
        <v>360.09048603370411</v>
      </c>
      <c r="M58" s="14">
        <v>356.46988545074021</v>
      </c>
      <c r="N58" s="14">
        <v>349.75851293230153</v>
      </c>
      <c r="O58" s="14">
        <v>345.39797506318655</v>
      </c>
      <c r="P58" s="14">
        <v>346.56409732376375</v>
      </c>
      <c r="Q58" s="14">
        <v>346.95393144763</v>
      </c>
      <c r="R58" s="14">
        <v>348.76135490817035</v>
      </c>
      <c r="S58" s="14">
        <v>350.61318586805805</v>
      </c>
      <c r="T58" s="14">
        <v>352.19037984142739</v>
      </c>
      <c r="U58" s="14">
        <v>350.61118936663701</v>
      </c>
      <c r="V58" s="14">
        <v>347.04523904621101</v>
      </c>
      <c r="W58" s="14">
        <v>344.30315070634208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332.26578405394298</v>
      </c>
      <c r="C60" s="87">
        <v>332.26729726479851</v>
      </c>
      <c r="D60" s="87">
        <v>332.26556668463587</v>
      </c>
      <c r="E60" s="87">
        <v>332.26743459949523</v>
      </c>
      <c r="F60" s="87">
        <v>332.26843381519001</v>
      </c>
      <c r="G60" s="87">
        <v>327.94114562466387</v>
      </c>
      <c r="H60" s="87">
        <v>330.20657256333016</v>
      </c>
      <c r="I60" s="87">
        <v>329.84322062552434</v>
      </c>
      <c r="J60" s="87">
        <v>334.94464857131362</v>
      </c>
      <c r="K60" s="87">
        <v>365.06429816560137</v>
      </c>
      <c r="L60" s="87">
        <v>355.5400129217324</v>
      </c>
      <c r="M60" s="87">
        <v>353.37023360665575</v>
      </c>
      <c r="N60" s="87">
        <v>346.79374266696209</v>
      </c>
      <c r="O60" s="87">
        <v>342.06124702695547</v>
      </c>
      <c r="P60" s="87">
        <v>341.92216019746746</v>
      </c>
      <c r="Q60" s="87">
        <v>340.71062763979018</v>
      </c>
      <c r="R60" s="87">
        <v>341.10028059569231</v>
      </c>
      <c r="S60" s="87">
        <v>342.81005062478482</v>
      </c>
      <c r="T60" s="87">
        <v>342.53310207720176</v>
      </c>
      <c r="U60" s="87">
        <v>342.8113731460877</v>
      </c>
      <c r="V60" s="87">
        <v>340.72706292441393</v>
      </c>
      <c r="W60" s="87">
        <v>332.24215988074315</v>
      </c>
      <c r="DA60" s="171" t="s">
        <v>316</v>
      </c>
    </row>
    <row r="61" spans="1:105" ht="11.45" customHeight="1" x14ac:dyDescent="0.25">
      <c r="A61" s="83" t="s">
        <v>174</v>
      </c>
      <c r="B61" s="87">
        <v>367.53020253905652</v>
      </c>
      <c r="C61" s="87">
        <v>367.53020253905657</v>
      </c>
      <c r="D61" s="87">
        <v>367.53020253905652</v>
      </c>
      <c r="E61" s="87">
        <v>367.53020253905652</v>
      </c>
      <c r="F61" s="87">
        <v>367.53020253905652</v>
      </c>
      <c r="G61" s="87">
        <v>366.2427651304663</v>
      </c>
      <c r="H61" s="87">
        <v>382.60798488751425</v>
      </c>
      <c r="I61" s="87">
        <v>389.23732953015428</v>
      </c>
      <c r="J61" s="87">
        <v>356.5665735730401</v>
      </c>
      <c r="K61" s="87">
        <v>369.52229059335775</v>
      </c>
      <c r="L61" s="87">
        <v>382.60548543069348</v>
      </c>
      <c r="M61" s="87">
        <v>373.84134128502308</v>
      </c>
      <c r="N61" s="87">
        <v>366.97245127859964</v>
      </c>
      <c r="O61" s="87">
        <v>364.53839778069414</v>
      </c>
      <c r="P61" s="87">
        <v>368.89818449628609</v>
      </c>
      <c r="Q61" s="87">
        <v>376.2576298232583</v>
      </c>
      <c r="R61" s="87">
        <v>385.18539112553191</v>
      </c>
      <c r="S61" s="87">
        <v>385.11101946469262</v>
      </c>
      <c r="T61" s="87">
        <v>387.75677140974238</v>
      </c>
      <c r="U61" s="87">
        <v>374.58504428993967</v>
      </c>
      <c r="V61" s="87">
        <v>375.88486237228994</v>
      </c>
      <c r="W61" s="87">
        <v>379.70616851986136</v>
      </c>
      <c r="DA61" s="171" t="s">
        <v>317</v>
      </c>
    </row>
    <row r="62" spans="1:105" ht="11.45" customHeight="1" x14ac:dyDescent="0.25">
      <c r="A62" s="12" t="s">
        <v>34</v>
      </c>
      <c r="B62" s="15">
        <v>367.21164039956824</v>
      </c>
      <c r="C62" s="15">
        <v>367.74054712435338</v>
      </c>
      <c r="D62" s="15">
        <v>367.21164039956824</v>
      </c>
      <c r="E62" s="15">
        <v>365.31230331041547</v>
      </c>
      <c r="F62" s="15">
        <v>365.17516813653435</v>
      </c>
      <c r="G62" s="15">
        <v>358.86939641311631</v>
      </c>
      <c r="H62" s="15">
        <v>350.33749840388396</v>
      </c>
      <c r="I62" s="15">
        <v>346.31229666944898</v>
      </c>
      <c r="J62" s="15">
        <v>339.76829597177414</v>
      </c>
      <c r="K62" s="15">
        <v>383.72123315725128</v>
      </c>
      <c r="L62" s="15">
        <v>355.10750752140552</v>
      </c>
      <c r="M62" s="15">
        <v>368.59784835988773</v>
      </c>
      <c r="N62" s="15">
        <v>401.21257071811795</v>
      </c>
      <c r="O62" s="15">
        <v>377.84166072360193</v>
      </c>
      <c r="P62" s="15">
        <v>370.81310588616287</v>
      </c>
      <c r="Q62" s="15">
        <v>369.72140053476664</v>
      </c>
      <c r="R62" s="15">
        <v>378.02160387363455</v>
      </c>
      <c r="S62" s="15">
        <v>388.96618998954989</v>
      </c>
      <c r="T62" s="15">
        <v>389.47453610845508</v>
      </c>
      <c r="U62" s="15">
        <v>389.91565109912455</v>
      </c>
      <c r="V62" s="15">
        <v>391.9992878949277</v>
      </c>
      <c r="W62" s="15">
        <v>354.63995295084237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369.11150464669174</v>
      </c>
      <c r="C64" s="101">
        <v>369.62432553951402</v>
      </c>
      <c r="D64" s="101">
        <v>369.11150464669174</v>
      </c>
      <c r="E64" s="101">
        <v>368.68543327076287</v>
      </c>
      <c r="F64" s="101">
        <v>369.03165757264208</v>
      </c>
      <c r="G64" s="101">
        <v>362.56213435011159</v>
      </c>
      <c r="H64" s="101">
        <v>349.90431558245348</v>
      </c>
      <c r="I64" s="101">
        <v>336.51781802393236</v>
      </c>
      <c r="J64" s="101">
        <v>332.58251615332017</v>
      </c>
      <c r="K64" s="101">
        <v>382.95239476097112</v>
      </c>
      <c r="L64" s="101">
        <v>352.84269869055498</v>
      </c>
      <c r="M64" s="101">
        <v>366.26458923227096</v>
      </c>
      <c r="N64" s="101">
        <v>376.0589181606</v>
      </c>
      <c r="O64" s="101">
        <v>368.76354074041632</v>
      </c>
      <c r="P64" s="101">
        <v>367.72188010406961</v>
      </c>
      <c r="Q64" s="101">
        <v>369.24853752604105</v>
      </c>
      <c r="R64" s="101">
        <v>379.78897299082183</v>
      </c>
      <c r="S64" s="101">
        <v>390.47770330913858</v>
      </c>
      <c r="T64" s="101">
        <v>392.21747709283238</v>
      </c>
      <c r="U64" s="101">
        <v>399.02496743027513</v>
      </c>
      <c r="V64" s="101">
        <v>405.77840365603805</v>
      </c>
      <c r="W64" s="101">
        <v>357.64609115585534</v>
      </c>
      <c r="DA64" s="175" t="s">
        <v>320</v>
      </c>
    </row>
    <row r="65" spans="1:105" ht="11.45" customHeight="1" x14ac:dyDescent="0.25">
      <c r="A65" s="85" t="s">
        <v>174</v>
      </c>
      <c r="B65" s="88">
        <v>323.53495828279722</v>
      </c>
      <c r="C65" s="88">
        <v>323.53495828279722</v>
      </c>
      <c r="D65" s="88">
        <v>323.53495828279722</v>
      </c>
      <c r="E65" s="88">
        <v>323.53495828279722</v>
      </c>
      <c r="F65" s="88">
        <v>323.53495828279722</v>
      </c>
      <c r="G65" s="88">
        <v>323.20110086650209</v>
      </c>
      <c r="H65" s="88">
        <v>352.55484392899604</v>
      </c>
      <c r="I65" s="88">
        <v>380.38131433432096</v>
      </c>
      <c r="J65" s="88">
        <v>394.10914337271743</v>
      </c>
      <c r="K65" s="88">
        <v>410.58367719673396</v>
      </c>
      <c r="L65" s="88">
        <v>432.94960988398907</v>
      </c>
      <c r="M65" s="88">
        <v>414.4522843069538</v>
      </c>
      <c r="N65" s="88">
        <v>423.50039182706092</v>
      </c>
      <c r="O65" s="88">
        <v>408.12498222114755</v>
      </c>
      <c r="P65" s="88">
        <v>389.18964904403151</v>
      </c>
      <c r="Q65" s="88">
        <v>372.61247273520326</v>
      </c>
      <c r="R65" s="88">
        <v>363.6616701469855</v>
      </c>
      <c r="S65" s="88">
        <v>362.7563763197353</v>
      </c>
      <c r="T65" s="88">
        <v>362.32466463032245</v>
      </c>
      <c r="U65" s="88">
        <v>328.62721660058673</v>
      </c>
      <c r="V65" s="88">
        <v>333.50360176602413</v>
      </c>
      <c r="W65" s="88">
        <v>339.62036096705373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0.68546242112309375</v>
      </c>
      <c r="C67" s="59">
        <f t="shared" ref="C67:W67" si="60">IF(C3=0,0,C17/C57)</f>
        <v>0.68746339205117746</v>
      </c>
      <c r="D67" s="59">
        <f t="shared" si="60"/>
        <v>0.68584039772678296</v>
      </c>
      <c r="E67" s="59">
        <f t="shared" si="60"/>
        <v>0.69062189735601454</v>
      </c>
      <c r="F67" s="59">
        <f t="shared" si="60"/>
        <v>0.68976863520405696</v>
      </c>
      <c r="G67" s="59">
        <f t="shared" si="60"/>
        <v>0.7109040270675886</v>
      </c>
      <c r="H67" s="59">
        <f t="shared" si="60"/>
        <v>0.73762437690621407</v>
      </c>
      <c r="I67" s="59">
        <f t="shared" si="60"/>
        <v>0.82962393504685439</v>
      </c>
      <c r="J67" s="59">
        <f t="shared" si="60"/>
        <v>0.94926321889827436</v>
      </c>
      <c r="K67" s="59">
        <f t="shared" si="60"/>
        <v>0.7504211830216676</v>
      </c>
      <c r="L67" s="59">
        <f t="shared" si="60"/>
        <v>0.80943045127490065</v>
      </c>
      <c r="M67" s="59">
        <f t="shared" si="60"/>
        <v>0.88559979561709679</v>
      </c>
      <c r="N67" s="59">
        <f t="shared" si="60"/>
        <v>0.91657160532320603</v>
      </c>
      <c r="O67" s="59">
        <f t="shared" si="60"/>
        <v>0.98714125183491497</v>
      </c>
      <c r="P67" s="59">
        <f t="shared" si="60"/>
        <v>0.95632202191154869</v>
      </c>
      <c r="Q67" s="59">
        <f t="shared" si="60"/>
        <v>0.94026675418361338</v>
      </c>
      <c r="R67" s="59">
        <f t="shared" si="60"/>
        <v>1.0317200897661418</v>
      </c>
      <c r="S67" s="59">
        <f t="shared" si="60"/>
        <v>1.0650909783496278</v>
      </c>
      <c r="T67" s="59">
        <f t="shared" si="60"/>
        <v>1.0943404015115938</v>
      </c>
      <c r="U67" s="59">
        <f t="shared" si="60"/>
        <v>1.0514015228434868</v>
      </c>
      <c r="V67" s="59">
        <f t="shared" si="60"/>
        <v>1.1622271105823268</v>
      </c>
      <c r="W67" s="59">
        <f t="shared" si="60"/>
        <v>0.98037017527911852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0.68333802136057942</v>
      </c>
      <c r="C68" s="23">
        <f t="shared" ref="C68:W68" si="62">IF(C6=0,0,C18/C58)</f>
        <v>0.68582421389330239</v>
      </c>
      <c r="D68" s="23">
        <f t="shared" si="62"/>
        <v>0.68403777814359168</v>
      </c>
      <c r="E68" s="23">
        <f t="shared" si="62"/>
        <v>0.68983084305143483</v>
      </c>
      <c r="F68" s="23">
        <f t="shared" si="62"/>
        <v>0.68899109086126553</v>
      </c>
      <c r="G68" s="23">
        <f t="shared" si="62"/>
        <v>0.71030212074485921</v>
      </c>
      <c r="H68" s="23">
        <f t="shared" si="62"/>
        <v>0.73685790396272044</v>
      </c>
      <c r="I68" s="23">
        <f t="shared" si="62"/>
        <v>0.82911634176456905</v>
      </c>
      <c r="J68" s="23">
        <f t="shared" si="62"/>
        <v>0.94820859695297499</v>
      </c>
      <c r="K68" s="23">
        <f t="shared" si="62"/>
        <v>0.75057155087539418</v>
      </c>
      <c r="L68" s="23">
        <f t="shared" si="62"/>
        <v>0.81048763587749928</v>
      </c>
      <c r="M68" s="23">
        <f t="shared" si="62"/>
        <v>0.8872274770760824</v>
      </c>
      <c r="N68" s="23">
        <f t="shared" si="62"/>
        <v>0.9217300666404884</v>
      </c>
      <c r="O68" s="23">
        <f t="shared" si="62"/>
        <v>0.9920030376038258</v>
      </c>
      <c r="P68" s="23">
        <f t="shared" si="62"/>
        <v>0.96007635855388751</v>
      </c>
      <c r="Q68" s="23">
        <f t="shared" si="62"/>
        <v>0.94400693370692701</v>
      </c>
      <c r="R68" s="23">
        <f t="shared" si="62"/>
        <v>1.0350934384393105</v>
      </c>
      <c r="S68" s="23">
        <f t="shared" si="62"/>
        <v>1.0685440141667049</v>
      </c>
      <c r="T68" s="23">
        <f t="shared" si="62"/>
        <v>1.0984094438434766</v>
      </c>
      <c r="U68" s="23">
        <f t="shared" si="62"/>
        <v>1.0553874874341123</v>
      </c>
      <c r="V68" s="23">
        <f t="shared" si="62"/>
        <v>1.1679131241328362</v>
      </c>
      <c r="W68" s="23">
        <f t="shared" si="62"/>
        <v>0.98186158838105497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0.7579969037618749</v>
      </c>
      <c r="C70" s="91">
        <f t="shared" ref="C70:W70" si="64">IF(C8=0,0,C20/C60)</f>
        <v>0.76079534024989237</v>
      </c>
      <c r="D70" s="91">
        <f t="shared" si="64"/>
        <v>0.75883560613011258</v>
      </c>
      <c r="E70" s="91">
        <f t="shared" si="64"/>
        <v>0.76522902711145524</v>
      </c>
      <c r="F70" s="91">
        <f t="shared" si="64"/>
        <v>0.76430631665246151</v>
      </c>
      <c r="G70" s="91">
        <f t="shared" si="64"/>
        <v>0.77861037705747826</v>
      </c>
      <c r="H70" s="91">
        <f t="shared" si="64"/>
        <v>0.84699398493931288</v>
      </c>
      <c r="I70" s="91">
        <f t="shared" si="64"/>
        <v>0.98503408719258179</v>
      </c>
      <c r="J70" s="91">
        <f t="shared" si="64"/>
        <v>1.0433641345419746</v>
      </c>
      <c r="K70" s="91">
        <f t="shared" si="64"/>
        <v>0.82303377445239401</v>
      </c>
      <c r="L70" s="91">
        <f t="shared" si="64"/>
        <v>0.85987879789132404</v>
      </c>
      <c r="M70" s="91">
        <f t="shared" si="64"/>
        <v>0.92464620112857587</v>
      </c>
      <c r="N70" s="91">
        <f t="shared" si="64"/>
        <v>0.96799369323466367</v>
      </c>
      <c r="O70" s="91">
        <f t="shared" si="64"/>
        <v>1.0480486427805831</v>
      </c>
      <c r="P70" s="91">
        <f t="shared" si="64"/>
        <v>1.0479398122845627</v>
      </c>
      <c r="Q70" s="91">
        <f t="shared" si="64"/>
        <v>1.0454455391813235</v>
      </c>
      <c r="R70" s="91">
        <f t="shared" si="64"/>
        <v>1.1607447476872734</v>
      </c>
      <c r="S70" s="91">
        <f t="shared" si="64"/>
        <v>1.217879459523278</v>
      </c>
      <c r="T70" s="91">
        <f t="shared" si="64"/>
        <v>1.3105525285187229</v>
      </c>
      <c r="U70" s="91">
        <f t="shared" si="64"/>
        <v>1.303277179258467</v>
      </c>
      <c r="V70" s="91">
        <f t="shared" si="64"/>
        <v>1.2686120618545558</v>
      </c>
      <c r="W70" s="91">
        <f t="shared" si="64"/>
        <v>1.2109774770109136</v>
      </c>
      <c r="DA70" s="171"/>
    </row>
    <row r="71" spans="1:105" ht="11.45" customHeight="1" x14ac:dyDescent="0.25">
      <c r="A71" s="83" t="s">
        <v>174</v>
      </c>
      <c r="B71" s="91">
        <f t="shared" si="61"/>
        <v>0.44273419318201496</v>
      </c>
      <c r="C71" s="91">
        <f t="shared" ref="C71:W71" si="65">IF(C9=0,0,C21/C61)</f>
        <v>0.44437217536576562</v>
      </c>
      <c r="D71" s="91">
        <f t="shared" si="65"/>
        <v>0.44321516879635703</v>
      </c>
      <c r="E71" s="91">
        <f t="shared" si="65"/>
        <v>0.44696775962877583</v>
      </c>
      <c r="F71" s="91">
        <f t="shared" si="65"/>
        <v>0.44643084671533345</v>
      </c>
      <c r="G71" s="91">
        <f t="shared" si="65"/>
        <v>0.45217812891035269</v>
      </c>
      <c r="H71" s="91">
        <f t="shared" si="65"/>
        <v>0.38635646854068029</v>
      </c>
      <c r="I71" s="91">
        <f t="shared" si="65"/>
        <v>0.39207690346964164</v>
      </c>
      <c r="J71" s="91">
        <f t="shared" si="65"/>
        <v>0.57594420319275796</v>
      </c>
      <c r="K71" s="91">
        <f t="shared" si="65"/>
        <v>0.4891151594361679</v>
      </c>
      <c r="L71" s="91">
        <f t="shared" si="65"/>
        <v>0.58339559016036413</v>
      </c>
      <c r="M71" s="91">
        <f t="shared" si="65"/>
        <v>0.68900408117911982</v>
      </c>
      <c r="N71" s="91">
        <f t="shared" si="65"/>
        <v>0.66788620804394216</v>
      </c>
      <c r="O71" s="91">
        <f t="shared" si="65"/>
        <v>0.69033251769433912</v>
      </c>
      <c r="P71" s="91">
        <f t="shared" si="65"/>
        <v>0.5682461147912361</v>
      </c>
      <c r="Q71" s="91">
        <f t="shared" si="65"/>
        <v>0.51287360035277774</v>
      </c>
      <c r="R71" s="91">
        <f t="shared" si="65"/>
        <v>0.506066628614527</v>
      </c>
      <c r="S71" s="91">
        <f t="shared" si="65"/>
        <v>0.48084739687343142</v>
      </c>
      <c r="T71" s="91">
        <f t="shared" si="65"/>
        <v>0.4082377886911468</v>
      </c>
      <c r="U71" s="91">
        <f t="shared" si="65"/>
        <v>0.3580921544457204</v>
      </c>
      <c r="V71" s="91">
        <f t="shared" si="65"/>
        <v>0.75126009980985609</v>
      </c>
      <c r="W71" s="91">
        <f t="shared" si="65"/>
        <v>0.393398003832924</v>
      </c>
      <c r="DA71" s="171"/>
    </row>
    <row r="72" spans="1:105" ht="11.45" customHeight="1" x14ac:dyDescent="0.25">
      <c r="A72" s="12" t="s">
        <v>34</v>
      </c>
      <c r="B72" s="24">
        <f t="shared" si="61"/>
        <v>0.80270848802275352</v>
      </c>
      <c r="C72" s="24">
        <f t="shared" ref="C72:W72" si="66">IF(C10=0,0,C22/C62)</f>
        <v>0.80394048541679353</v>
      </c>
      <c r="D72" s="24">
        <f t="shared" si="66"/>
        <v>0.80358053091916837</v>
      </c>
      <c r="E72" s="24">
        <f t="shared" si="66"/>
        <v>0.79732263386990665</v>
      </c>
      <c r="F72" s="24">
        <f t="shared" si="66"/>
        <v>0.79161778868863908</v>
      </c>
      <c r="G72" s="24">
        <f t="shared" si="66"/>
        <v>0.79494299975497229</v>
      </c>
      <c r="H72" s="24">
        <f t="shared" si="66"/>
        <v>0.81960191947679839</v>
      </c>
      <c r="I72" s="24">
        <f t="shared" si="66"/>
        <v>0.88072271264011215</v>
      </c>
      <c r="J72" s="24">
        <f t="shared" si="66"/>
        <v>1.0811615673697901</v>
      </c>
      <c r="K72" s="24">
        <f t="shared" si="66"/>
        <v>0.73331316699299209</v>
      </c>
      <c r="L72" s="24">
        <f t="shared" si="66"/>
        <v>0.7025490762522657</v>
      </c>
      <c r="M72" s="24">
        <f t="shared" si="66"/>
        <v>0.7182570168847241</v>
      </c>
      <c r="N72" s="24">
        <f t="shared" si="66"/>
        <v>0.65252736691063629</v>
      </c>
      <c r="O72" s="24">
        <f t="shared" si="66"/>
        <v>0.72308564167080469</v>
      </c>
      <c r="P72" s="24">
        <f t="shared" si="66"/>
        <v>0.69998871270941099</v>
      </c>
      <c r="Q72" s="24">
        <f t="shared" si="66"/>
        <v>0.68319800067979997</v>
      </c>
      <c r="R72" s="24">
        <f t="shared" si="66"/>
        <v>0.7516046529021132</v>
      </c>
      <c r="S72" s="24">
        <f t="shared" si="66"/>
        <v>0.79639862531134975</v>
      </c>
      <c r="T72" s="24">
        <f t="shared" si="66"/>
        <v>0.77744144433532036</v>
      </c>
      <c r="U72" s="24">
        <f t="shared" si="66"/>
        <v>0.74443326168713275</v>
      </c>
      <c r="V72" s="24">
        <f t="shared" si="66"/>
        <v>1.0251169037730994</v>
      </c>
      <c r="W72" s="24">
        <f t="shared" si="66"/>
        <v>0.93310608783599602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0.81812138000262113</v>
      </c>
      <c r="C74" s="93">
        <f t="shared" ref="C74:W74" si="68">IF(C12=0,0,C24/C64)</f>
        <v>0.81901004680262834</v>
      </c>
      <c r="D74" s="93">
        <f t="shared" si="68"/>
        <v>0.81901016708844587</v>
      </c>
      <c r="E74" s="93">
        <f t="shared" si="68"/>
        <v>0.82531317869632748</v>
      </c>
      <c r="F74" s="93">
        <f t="shared" si="68"/>
        <v>0.82327058723168955</v>
      </c>
      <c r="G74" s="93">
        <f t="shared" si="68"/>
        <v>0.83075007599232964</v>
      </c>
      <c r="H74" s="93">
        <f t="shared" si="68"/>
        <v>0.91248739741895368</v>
      </c>
      <c r="I74" s="93">
        <f t="shared" si="68"/>
        <v>1.052255137812443</v>
      </c>
      <c r="J74" s="93">
        <f t="shared" si="68"/>
        <v>1.1693532802237592</v>
      </c>
      <c r="K74" s="93">
        <f t="shared" si="68"/>
        <v>0.74230765319876768</v>
      </c>
      <c r="L74" s="93">
        <f t="shared" si="68"/>
        <v>0.70888565083205846</v>
      </c>
      <c r="M74" s="93">
        <f t="shared" si="68"/>
        <v>0.72390855059234094</v>
      </c>
      <c r="N74" s="93">
        <f t="shared" si="68"/>
        <v>0.71789248233965697</v>
      </c>
      <c r="O74" s="93">
        <f t="shared" si="68"/>
        <v>0.75685534657592513</v>
      </c>
      <c r="P74" s="93">
        <f t="shared" si="68"/>
        <v>0.7335605331270163</v>
      </c>
      <c r="Q74" s="93">
        <f t="shared" si="68"/>
        <v>0.71977497786809297</v>
      </c>
      <c r="R74" s="93">
        <f t="shared" si="68"/>
        <v>0.78650533782381504</v>
      </c>
      <c r="S74" s="93">
        <f t="shared" si="68"/>
        <v>0.81588063224624041</v>
      </c>
      <c r="T74" s="93">
        <f t="shared" si="68"/>
        <v>0.81570916177593533</v>
      </c>
      <c r="U74" s="93">
        <f t="shared" si="68"/>
        <v>0.79610794677684371</v>
      </c>
      <c r="V74" s="93">
        <f t="shared" si="68"/>
        <v>1.0926805608174504</v>
      </c>
      <c r="W74" s="93">
        <f t="shared" si="68"/>
        <v>1.0431600097282967</v>
      </c>
      <c r="DA74" s="175"/>
    </row>
    <row r="75" spans="1:105" ht="11.45" customHeight="1" x14ac:dyDescent="0.25">
      <c r="A75" s="85" t="s">
        <v>174</v>
      </c>
      <c r="B75" s="94">
        <f t="shared" si="61"/>
        <v>0.39846077386381362</v>
      </c>
      <c r="C75" s="94">
        <f t="shared" ref="C75:W75" si="69">IF(C13=0,0,C25/C65)</f>
        <v>0.39993495782918925</v>
      </c>
      <c r="D75" s="94">
        <f t="shared" si="69"/>
        <v>0.39889365191672149</v>
      </c>
      <c r="E75" s="94">
        <f t="shared" si="69"/>
        <v>0.40227098366589836</v>
      </c>
      <c r="F75" s="94">
        <f t="shared" si="69"/>
        <v>0.40178776204380012</v>
      </c>
      <c r="G75" s="94">
        <f t="shared" si="69"/>
        <v>0.40696031601931748</v>
      </c>
      <c r="H75" s="94">
        <f t="shared" si="69"/>
        <v>0.34772082168661234</v>
      </c>
      <c r="I75" s="94">
        <f t="shared" si="69"/>
        <v>0.35286921312267738</v>
      </c>
      <c r="J75" s="94">
        <f t="shared" si="69"/>
        <v>0.51834978287348221</v>
      </c>
      <c r="K75" s="94">
        <f t="shared" si="69"/>
        <v>0.44020364349255098</v>
      </c>
      <c r="L75" s="94">
        <f t="shared" si="69"/>
        <v>0.52505603114432786</v>
      </c>
      <c r="M75" s="94">
        <f t="shared" si="69"/>
        <v>0.62010367306120784</v>
      </c>
      <c r="N75" s="94">
        <f t="shared" si="69"/>
        <v>0.60109758723954809</v>
      </c>
      <c r="O75" s="94">
        <f t="shared" si="69"/>
        <v>0.62129926592490525</v>
      </c>
      <c r="P75" s="94">
        <f t="shared" si="69"/>
        <v>0.51142150331211256</v>
      </c>
      <c r="Q75" s="94">
        <f t="shared" si="69"/>
        <v>0.46158624031749995</v>
      </c>
      <c r="R75" s="94">
        <f t="shared" si="69"/>
        <v>0.45545996575307424</v>
      </c>
      <c r="S75" s="94">
        <f t="shared" si="69"/>
        <v>0.43276265718608831</v>
      </c>
      <c r="T75" s="94">
        <f t="shared" si="69"/>
        <v>0.36741400982203209</v>
      </c>
      <c r="U75" s="94">
        <f t="shared" si="69"/>
        <v>0.32228293900114835</v>
      </c>
      <c r="V75" s="94">
        <f t="shared" si="69"/>
        <v>0.67613408982887069</v>
      </c>
      <c r="W75" s="94">
        <f t="shared" si="69"/>
        <v>0.35405820344963168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71.439840000000004</v>
      </c>
      <c r="C3" s="79">
        <f t="shared" si="0"/>
        <v>93.843995039999967</v>
      </c>
      <c r="D3" s="79">
        <f t="shared" ref="D3" si="1">SUM(D4:D5)</f>
        <v>84.360356279999976</v>
      </c>
      <c r="E3" s="79">
        <f t="shared" ref="E3" si="2">SUM(E4:E5)</f>
        <v>96.619277520000026</v>
      </c>
      <c r="F3" s="79">
        <f t="shared" ref="F3" si="3">SUM(F4:F5)</f>
        <v>103.22823924000005</v>
      </c>
      <c r="G3" s="79">
        <f t="shared" ref="G3" si="4">SUM(G4:G5)</f>
        <v>139.77359999999999</v>
      </c>
      <c r="H3" s="79">
        <f t="shared" ref="H3" si="5">SUM(H4:H5)</f>
        <v>158.41008000000008</v>
      </c>
      <c r="I3" s="79">
        <f t="shared" ref="I3" si="6">SUM(I4:I5)</f>
        <v>198.60508476000004</v>
      </c>
      <c r="J3" s="79">
        <f t="shared" ref="J3" si="7">SUM(J4:J5)</f>
        <v>229.63715352000006</v>
      </c>
      <c r="K3" s="79">
        <f t="shared" ref="K3" si="8">SUM(K4:K5)</f>
        <v>108.61211123999999</v>
      </c>
      <c r="L3" s="79">
        <f t="shared" ref="L3" si="9">SUM(L4:L5)</f>
        <v>145.85064551999997</v>
      </c>
      <c r="M3" s="79">
        <f t="shared" ref="M3" si="10">SUM(M4:M5)</f>
        <v>167.57301600000002</v>
      </c>
      <c r="N3" s="79">
        <f t="shared" ref="N3" si="11">SUM(N4:N5)</f>
        <v>189.29538647999999</v>
      </c>
      <c r="O3" s="79">
        <f t="shared" ref="O3" si="12">SUM(O4:O5)</f>
        <v>211.01775695999999</v>
      </c>
      <c r="P3" s="79">
        <f t="shared" ref="P3" si="13">SUM(P4:P5)</f>
        <v>232.74038628000002</v>
      </c>
      <c r="Q3" s="79">
        <f t="shared" ref="Q3" si="14">SUM(Q4:Q5)</f>
        <v>245.60758152000008</v>
      </c>
      <c r="R3" s="79">
        <f t="shared" ref="R3" si="15">SUM(R4:R5)</f>
        <v>288.86544000000004</v>
      </c>
      <c r="S3" s="79">
        <f t="shared" ref="S3" si="16">SUM(S4:S5)</f>
        <v>318.66801875999994</v>
      </c>
      <c r="T3" s="79">
        <f t="shared" ref="T3" si="17">SUM(T4:T5)</f>
        <v>379.33234956000018</v>
      </c>
      <c r="U3" s="79">
        <f t="shared" ref="U3" si="18">SUM(U4:U5)</f>
        <v>371.24152884000023</v>
      </c>
      <c r="V3" s="79">
        <f t="shared" ref="V3:W3" si="19">SUM(V4:V5)</f>
        <v>163.05988176000002</v>
      </c>
      <c r="W3" s="79">
        <f t="shared" si="19"/>
        <v>186.08758236000003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71.439840000000004</v>
      </c>
      <c r="C5" s="96">
        <f t="shared" si="23"/>
        <v>93.843995039999967</v>
      </c>
      <c r="D5" s="96">
        <f t="shared" ref="D5:V5" si="24">SUM(D8:D9,D12:D13)</f>
        <v>84.360356279999976</v>
      </c>
      <c r="E5" s="96">
        <f t="shared" si="24"/>
        <v>96.619277520000026</v>
      </c>
      <c r="F5" s="96">
        <f t="shared" si="24"/>
        <v>103.22823924000005</v>
      </c>
      <c r="G5" s="96">
        <f t="shared" si="24"/>
        <v>139.77359999999999</v>
      </c>
      <c r="H5" s="96">
        <f t="shared" si="24"/>
        <v>158.41008000000008</v>
      </c>
      <c r="I5" s="96">
        <f t="shared" si="24"/>
        <v>198.60508476000004</v>
      </c>
      <c r="J5" s="96">
        <f t="shared" si="24"/>
        <v>229.63715352000006</v>
      </c>
      <c r="K5" s="96">
        <f t="shared" si="24"/>
        <v>108.61211123999999</v>
      </c>
      <c r="L5" s="96">
        <f t="shared" si="24"/>
        <v>145.85064551999997</v>
      </c>
      <c r="M5" s="96">
        <f t="shared" si="24"/>
        <v>167.57301600000002</v>
      </c>
      <c r="N5" s="96">
        <f t="shared" si="24"/>
        <v>189.29538647999999</v>
      </c>
      <c r="O5" s="96">
        <f t="shared" si="24"/>
        <v>211.01775695999999</v>
      </c>
      <c r="P5" s="96">
        <f t="shared" si="24"/>
        <v>232.74038628000002</v>
      </c>
      <c r="Q5" s="96">
        <f t="shared" si="24"/>
        <v>245.60758152000008</v>
      </c>
      <c r="R5" s="96">
        <f t="shared" si="24"/>
        <v>288.86544000000004</v>
      </c>
      <c r="S5" s="96">
        <f t="shared" si="24"/>
        <v>318.66801875999994</v>
      </c>
      <c r="T5" s="96">
        <f t="shared" si="24"/>
        <v>379.33234956000018</v>
      </c>
      <c r="U5" s="96">
        <f t="shared" si="24"/>
        <v>371.24152884000023</v>
      </c>
      <c r="V5" s="96">
        <f t="shared" si="24"/>
        <v>163.05988176000002</v>
      </c>
      <c r="W5" s="96">
        <f t="shared" ref="W5" si="25">SUM(W8:W9,W12:W13)</f>
        <v>186.08758236000003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69.950979423274646</v>
      </c>
      <c r="C6" s="21">
        <f t="shared" si="26"/>
        <v>92.321004380057985</v>
      </c>
      <c r="D6" s="21">
        <f t="shared" ref="D6:V6" si="27">SUM(D7:D9)</f>
        <v>82.869878241507308</v>
      </c>
      <c r="E6" s="21">
        <f t="shared" si="27"/>
        <v>95.798380774380632</v>
      </c>
      <c r="F6" s="21">
        <f t="shared" si="27"/>
        <v>102.33065455701116</v>
      </c>
      <c r="G6" s="21">
        <f t="shared" si="27"/>
        <v>138.66212702786288</v>
      </c>
      <c r="H6" s="21">
        <f t="shared" si="27"/>
        <v>156.77961772359097</v>
      </c>
      <c r="I6" s="21">
        <f t="shared" si="27"/>
        <v>196.53131358729368</v>
      </c>
      <c r="J6" s="21">
        <f t="shared" si="27"/>
        <v>227.56250342634493</v>
      </c>
      <c r="K6" s="21">
        <f t="shared" si="27"/>
        <v>107.6873757407333</v>
      </c>
      <c r="L6" s="21">
        <f t="shared" si="27"/>
        <v>144.6107654054984</v>
      </c>
      <c r="M6" s="21">
        <f t="shared" si="27"/>
        <v>166.26381874641299</v>
      </c>
      <c r="N6" s="21">
        <f t="shared" si="27"/>
        <v>186.71304822902243</v>
      </c>
      <c r="O6" s="21">
        <f t="shared" si="27"/>
        <v>208.22324250754039</v>
      </c>
      <c r="P6" s="21">
        <f t="shared" si="27"/>
        <v>230.28130932637072</v>
      </c>
      <c r="Q6" s="21">
        <f t="shared" si="27"/>
        <v>243.04836364436872</v>
      </c>
      <c r="R6" s="21">
        <f t="shared" si="27"/>
        <v>286.36135822289856</v>
      </c>
      <c r="S6" s="21">
        <f t="shared" si="27"/>
        <v>315.64471086027913</v>
      </c>
      <c r="T6" s="21">
        <f t="shared" si="27"/>
        <v>375.91597397835392</v>
      </c>
      <c r="U6" s="21">
        <f t="shared" si="27"/>
        <v>367.87214341078777</v>
      </c>
      <c r="V6" s="21">
        <f t="shared" si="27"/>
        <v>157.33296732774346</v>
      </c>
      <c r="W6" s="21">
        <f t="shared" ref="W6" si="28">SUM(W7:W9)</f>
        <v>180.66966145816991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59.218250567637291</v>
      </c>
      <c r="C8" s="96">
        <v>78.148051952883876</v>
      </c>
      <c r="D8" s="96">
        <v>70.144957144987956</v>
      </c>
      <c r="E8" s="96">
        <v>81.093251173164489</v>
      </c>
      <c r="F8" s="96">
        <v>86.62080203099994</v>
      </c>
      <c r="G8" s="96">
        <v>120.19053014019316</v>
      </c>
      <c r="H8" s="96">
        <v>137.12501113388578</v>
      </c>
      <c r="I8" s="96">
        <v>172.09364601940504</v>
      </c>
      <c r="J8" s="96">
        <v>199.42380106772367</v>
      </c>
      <c r="K8" s="96">
        <v>92.458955813007876</v>
      </c>
      <c r="L8" s="96">
        <v>126.01569371144853</v>
      </c>
      <c r="M8" s="96">
        <v>145.76066750006717</v>
      </c>
      <c r="N8" s="96">
        <v>165.85679762480871</v>
      </c>
      <c r="O8" s="96">
        <v>185.52053888830798</v>
      </c>
      <c r="P8" s="96">
        <v>205.31618991828947</v>
      </c>
      <c r="Q8" s="96">
        <v>217.89750291181099</v>
      </c>
      <c r="R8" s="96">
        <v>259.49048685460849</v>
      </c>
      <c r="S8" s="96">
        <v>286.86477045867332</v>
      </c>
      <c r="T8" s="96">
        <v>343.06785137252552</v>
      </c>
      <c r="U8" s="96">
        <v>335.13646065927162</v>
      </c>
      <c r="V8" s="96">
        <v>137.63423371678741</v>
      </c>
      <c r="W8" s="96">
        <v>160.38385205269736</v>
      </c>
      <c r="DA8" s="171" t="s">
        <v>328</v>
      </c>
    </row>
    <row r="9" spans="1:105" ht="11.45" customHeight="1" x14ac:dyDescent="0.25">
      <c r="A9" s="83" t="s">
        <v>174</v>
      </c>
      <c r="B9" s="96">
        <v>10.732728855637358</v>
      </c>
      <c r="C9" s="96">
        <v>14.172952427174112</v>
      </c>
      <c r="D9" s="96">
        <v>12.724921096519346</v>
      </c>
      <c r="E9" s="96">
        <v>14.705129601216139</v>
      </c>
      <c r="F9" s="96">
        <v>15.709852526011217</v>
      </c>
      <c r="G9" s="96">
        <v>18.47159688766973</v>
      </c>
      <c r="H9" s="96">
        <v>19.654606589705189</v>
      </c>
      <c r="I9" s="96">
        <v>24.437667567888628</v>
      </c>
      <c r="J9" s="96">
        <v>28.13870235862127</v>
      </c>
      <c r="K9" s="96">
        <v>15.228419927725428</v>
      </c>
      <c r="L9" s="96">
        <v>18.595071694049871</v>
      </c>
      <c r="M9" s="96">
        <v>20.50315124634583</v>
      </c>
      <c r="N9" s="96">
        <v>20.856250604213727</v>
      </c>
      <c r="O9" s="96">
        <v>22.70270361923242</v>
      </c>
      <c r="P9" s="96">
        <v>24.965119408081264</v>
      </c>
      <c r="Q9" s="96">
        <v>25.150860732557721</v>
      </c>
      <c r="R9" s="96">
        <v>26.870871368290043</v>
      </c>
      <c r="S9" s="96">
        <v>28.779940401605799</v>
      </c>
      <c r="T9" s="96">
        <v>32.848122605828415</v>
      </c>
      <c r="U9" s="96">
        <v>32.73568275151613</v>
      </c>
      <c r="V9" s="96">
        <v>19.698733610956044</v>
      </c>
      <c r="W9" s="96">
        <v>20.285809405472552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1.4888605767253509</v>
      </c>
      <c r="C10" s="22">
        <f t="shared" si="29"/>
        <v>1.5229906599419936</v>
      </c>
      <c r="D10" s="22">
        <f t="shared" ref="D10:V10" si="30">SUM(D11:D13)</f>
        <v>1.490478038492677</v>
      </c>
      <c r="E10" s="22">
        <f t="shared" si="30"/>
        <v>0.82089674561938897</v>
      </c>
      <c r="F10" s="22">
        <f t="shared" si="30"/>
        <v>0.89758468298888339</v>
      </c>
      <c r="G10" s="22">
        <f t="shared" si="30"/>
        <v>1.111472972137129</v>
      </c>
      <c r="H10" s="22">
        <f t="shared" si="30"/>
        <v>1.6304622764090853</v>
      </c>
      <c r="I10" s="22">
        <f t="shared" si="30"/>
        <v>2.0737711727063481</v>
      </c>
      <c r="J10" s="22">
        <f t="shared" si="30"/>
        <v>2.0746500936551202</v>
      </c>
      <c r="K10" s="22">
        <f t="shared" si="30"/>
        <v>0.92473549926669274</v>
      </c>
      <c r="L10" s="22">
        <f t="shared" si="30"/>
        <v>1.2398801145015794</v>
      </c>
      <c r="M10" s="22">
        <f t="shared" si="30"/>
        <v>1.3091972535870187</v>
      </c>
      <c r="N10" s="22">
        <f t="shared" si="30"/>
        <v>2.5823382509775574</v>
      </c>
      <c r="O10" s="22">
        <f t="shared" si="30"/>
        <v>2.7945144524595773</v>
      </c>
      <c r="P10" s="22">
        <f t="shared" si="30"/>
        <v>2.4590769536293009</v>
      </c>
      <c r="Q10" s="22">
        <f t="shared" si="30"/>
        <v>2.5592178756313801</v>
      </c>
      <c r="R10" s="22">
        <f t="shared" si="30"/>
        <v>2.5040817771014536</v>
      </c>
      <c r="S10" s="22">
        <f t="shared" si="30"/>
        <v>3.02330789972082</v>
      </c>
      <c r="T10" s="22">
        <f t="shared" si="30"/>
        <v>3.4163755816462555</v>
      </c>
      <c r="U10" s="22">
        <f t="shared" si="30"/>
        <v>3.3693854292124472</v>
      </c>
      <c r="V10" s="22">
        <f t="shared" si="30"/>
        <v>5.7269144322565477</v>
      </c>
      <c r="W10" s="22">
        <f t="shared" ref="W10" si="31">SUM(W11:W13)</f>
        <v>5.4179209018301142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1.4617169621244943</v>
      </c>
      <c r="C12" s="97">
        <v>1.4957466222028217</v>
      </c>
      <c r="D12" s="97">
        <v>1.463304935731861</v>
      </c>
      <c r="E12" s="97">
        <v>0.79349357506422025</v>
      </c>
      <c r="F12" s="97">
        <v>0.86337186682349276</v>
      </c>
      <c r="G12" s="97">
        <v>1.0633964125850719</v>
      </c>
      <c r="H12" s="97">
        <v>1.5166950109496753</v>
      </c>
      <c r="I12" s="97">
        <v>1.8699896768733251</v>
      </c>
      <c r="J12" s="97">
        <v>1.9399023078432465</v>
      </c>
      <c r="K12" s="97">
        <v>0.90820821297280663</v>
      </c>
      <c r="L12" s="97">
        <v>1.2079391709594476</v>
      </c>
      <c r="M12" s="97">
        <v>1.2476600050980842</v>
      </c>
      <c r="N12" s="97">
        <v>1.2510210173553746</v>
      </c>
      <c r="O12" s="97">
        <v>2.1963429420135454</v>
      </c>
      <c r="P12" s="97">
        <v>2.1875517878114166</v>
      </c>
      <c r="Q12" s="97">
        <v>2.314264152135229</v>
      </c>
      <c r="R12" s="97">
        <v>2.3441054631119709</v>
      </c>
      <c r="S12" s="97">
        <v>2.9397662935307944</v>
      </c>
      <c r="T12" s="97">
        <v>3.2785524387727008</v>
      </c>
      <c r="U12" s="97">
        <v>3.2103030418835945</v>
      </c>
      <c r="V12" s="97">
        <v>5.1142399087580337</v>
      </c>
      <c r="W12" s="97">
        <v>5.0896000739393532</v>
      </c>
      <c r="DA12" s="175" t="s">
        <v>332</v>
      </c>
    </row>
    <row r="13" spans="1:105" ht="11.45" customHeight="1" x14ac:dyDescent="0.25">
      <c r="A13" s="85" t="s">
        <v>174</v>
      </c>
      <c r="B13" s="98">
        <v>2.7143614600856552E-2</v>
      </c>
      <c r="C13" s="98">
        <v>2.7244037739171775E-2</v>
      </c>
      <c r="D13" s="98">
        <v>2.7173102760816081E-2</v>
      </c>
      <c r="E13" s="98">
        <v>2.7403170555168724E-2</v>
      </c>
      <c r="F13" s="98">
        <v>3.421281616539068E-2</v>
      </c>
      <c r="G13" s="98">
        <v>4.8076559552057078E-2</v>
      </c>
      <c r="H13" s="98">
        <v>0.11376726545941004</v>
      </c>
      <c r="I13" s="98">
        <v>0.20378149583302319</v>
      </c>
      <c r="J13" s="98">
        <v>0.13474778581187372</v>
      </c>
      <c r="K13" s="98">
        <v>1.6527286293886164E-2</v>
      </c>
      <c r="L13" s="98">
        <v>3.194094354213188E-2</v>
      </c>
      <c r="M13" s="98">
        <v>6.1537248488934465E-2</v>
      </c>
      <c r="N13" s="98">
        <v>1.3313172336221828</v>
      </c>
      <c r="O13" s="98">
        <v>0.59817151044603201</v>
      </c>
      <c r="P13" s="98">
        <v>0.27152516581788444</v>
      </c>
      <c r="Q13" s="98">
        <v>0.2449537234961513</v>
      </c>
      <c r="R13" s="98">
        <v>0.15997631398948284</v>
      </c>
      <c r="S13" s="98">
        <v>8.3541606190025652E-2</v>
      </c>
      <c r="T13" s="98">
        <v>0.13782314287355488</v>
      </c>
      <c r="U13" s="98">
        <v>0.15908238732885274</v>
      </c>
      <c r="V13" s="98">
        <v>0.61267452349851437</v>
      </c>
      <c r="W13" s="98">
        <v>0.32832082789076089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3.0103092000000018</v>
      </c>
      <c r="C19" s="98">
        <f>IF(C5=0,0,C5/TrAvia_ene!C5)</f>
        <v>3.0103092000000005</v>
      </c>
      <c r="D19" s="98">
        <f>IF(D5=0,0,D5/TrAvia_ene!D5)</f>
        <v>3.0103091999999982</v>
      </c>
      <c r="E19" s="98">
        <f>IF(E5=0,0,E5/TrAvia_ene!E5)</f>
        <v>3.0103092000000009</v>
      </c>
      <c r="F19" s="98">
        <f>IF(F5=0,0,F5/TrAvia_ene!F5)</f>
        <v>3.0103092000000022</v>
      </c>
      <c r="G19" s="98">
        <f>IF(G5=0,0,G5/TrAvia_ene!G5)</f>
        <v>3.0103092</v>
      </c>
      <c r="H19" s="98">
        <f>IF(H5=0,0,H5/TrAvia_ene!H5)</f>
        <v>3.0103092000000022</v>
      </c>
      <c r="I19" s="98">
        <f>IF(I5=0,0,I5/TrAvia_ene!I5)</f>
        <v>3.0103092000000018</v>
      </c>
      <c r="J19" s="98">
        <f>IF(J5=0,0,J5/TrAvia_ene!J5)</f>
        <v>3.0103092000000018</v>
      </c>
      <c r="K19" s="98">
        <f>IF(K5=0,0,K5/TrAvia_ene!K5)</f>
        <v>3.0103092</v>
      </c>
      <c r="L19" s="98">
        <f>IF(L5=0,0,L5/TrAvia_ene!L5)</f>
        <v>3.0103091999999996</v>
      </c>
      <c r="M19" s="98">
        <f>IF(M5=0,0,M5/TrAvia_ene!M5)</f>
        <v>3.0103092000000009</v>
      </c>
      <c r="N19" s="98">
        <f>IF(N5=0,0,N5/TrAvia_ene!N5)</f>
        <v>3.0103092</v>
      </c>
      <c r="O19" s="98">
        <f>IF(O5=0,0,O5/TrAvia_ene!O5)</f>
        <v>3.0103091999999996</v>
      </c>
      <c r="P19" s="98">
        <f>IF(P5=0,0,P5/TrAvia_ene!P5)</f>
        <v>3.0103092000000005</v>
      </c>
      <c r="Q19" s="98">
        <f>IF(Q5=0,0,Q5/TrAvia_ene!Q5)</f>
        <v>3.0103092000000009</v>
      </c>
      <c r="R19" s="98">
        <f>IF(R5=0,0,R5/TrAvia_ene!R5)</f>
        <v>3.0103092</v>
      </c>
      <c r="S19" s="98">
        <f>IF(S5=0,0,S5/TrAvia_ene!S5)</f>
        <v>3.0103091999999996</v>
      </c>
      <c r="T19" s="98">
        <f>IF(T5=0,0,T5/TrAvia_ene!T5)</f>
        <v>3.0103092000000005</v>
      </c>
      <c r="U19" s="98">
        <f>IF(U5=0,0,U5/TrAvia_ene!U5)</f>
        <v>3.0103092000000005</v>
      </c>
      <c r="V19" s="98">
        <f>IF(V5=0,0,V5/TrAvia_ene!V5)</f>
        <v>3.0103091999999996</v>
      </c>
      <c r="W19" s="98">
        <f>IF(W5=0,0,W5/TrAvia_ene!W5)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7024.8281587162819</v>
      </c>
      <c r="C21" s="54">
        <f>IF(C3=0,0,C3/TrAvia_act!C13*1000)</f>
        <v>7043.5216646324561</v>
      </c>
      <c r="D21" s="54">
        <f>IF(D3=0,0,D3/TrAvia_act!D13*1000)</f>
        <v>7027.3977241668226</v>
      </c>
      <c r="E21" s="54">
        <f>IF(E3=0,0,E3/TrAvia_act!E13*1000)</f>
        <v>7072.0648470978567</v>
      </c>
      <c r="F21" s="54">
        <f>IF(F3=0,0,F3/TrAvia_act!F13*1000)</f>
        <v>7063.4497483512059</v>
      </c>
      <c r="G21" s="54">
        <f>IF(G3=0,0,G3/TrAvia_act!G13*1000)</f>
        <v>7178.4508304482324</v>
      </c>
      <c r="H21" s="54">
        <f>IF(H3=0,0,H3/TrAvia_act!H13*1000)</f>
        <v>7582.1851870537221</v>
      </c>
      <c r="I21" s="54">
        <f>IF(I3=0,0,I3/TrAvia_act!I13*1000)</f>
        <v>8582.5778678437127</v>
      </c>
      <c r="J21" s="54">
        <f>IF(J3=0,0,J3/TrAvia_act!J13*1000)</f>
        <v>9691.0730023208453</v>
      </c>
      <c r="K21" s="54">
        <f>IF(K3=0,0,K3/TrAvia_act!K13*1000)</f>
        <v>8271.772670131626</v>
      </c>
      <c r="L21" s="54">
        <f>IF(L3=0,0,L3/TrAvia_act!L13*1000)</f>
        <v>8772.888459800708</v>
      </c>
      <c r="M21" s="54">
        <f>IF(M3=0,0,M3/TrAvia_act!M13*1000)</f>
        <v>9506.2478347890392</v>
      </c>
      <c r="N21" s="54">
        <f>IF(N3=0,0,N3/TrAvia_act!N13*1000)</f>
        <v>9674.1846411582756</v>
      </c>
      <c r="O21" s="54">
        <f>IF(O3=0,0,O3/TrAvia_act!O13*1000)</f>
        <v>10279.805717621375</v>
      </c>
      <c r="P21" s="54">
        <f>IF(P3=0,0,P3/TrAvia_act!P13*1000)</f>
        <v>9986.4005447678028</v>
      </c>
      <c r="Q21" s="54">
        <f>IF(Q3=0,0,Q3/TrAvia_act!Q13*1000)</f>
        <v>9829.1891970523357</v>
      </c>
      <c r="R21" s="54">
        <f>IF(R3=0,0,R3/TrAvia_act!R13*1000)</f>
        <v>10841.803802296237</v>
      </c>
      <c r="S21" s="54">
        <f>IF(S3=0,0,S3/TrAvia_act!S13*1000)</f>
        <v>11255.628163861162</v>
      </c>
      <c r="T21" s="54">
        <f>IF(T3=0,0,T3/TrAvia_act!T13*1000)</f>
        <v>11616.315739299422</v>
      </c>
      <c r="U21" s="54">
        <f>IF(U3=0,0,U3/TrAvia_act!U13*1000)</f>
        <v>11111.354659399381</v>
      </c>
      <c r="V21" s="54">
        <f>IF(V3=0,0,V3/TrAvia_act!V13*1000)</f>
        <v>12197.642658129771</v>
      </c>
      <c r="W21" s="54">
        <f>IF(W3=0,0,W3/TrAvia_act!W13*1000)</f>
        <v>10170.202159116383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6993.8180612180031</v>
      </c>
      <c r="C22" s="11">
        <f>IF(C6=0,0,C6/TrAvia_act!C14*1000)</f>
        <v>7019.3701937113447</v>
      </c>
      <c r="D22" s="11">
        <f>IF(D6=0,0,D6/TrAvia_act!D14*1000)</f>
        <v>7001.0944515159181</v>
      </c>
      <c r="E22" s="11">
        <f>IF(E6=0,0,E6/TrAvia_act!E14*1000)</f>
        <v>7060.3616811740685</v>
      </c>
      <c r="F22" s="11">
        <f>IF(F6=0,0,F6/TrAvia_act!F14*1000)</f>
        <v>7051.8018267111156</v>
      </c>
      <c r="G22" s="11">
        <f>IF(G6=0,0,G6/TrAvia_act!G14*1000)</f>
        <v>7169.0200927357764</v>
      </c>
      <c r="H22" s="11">
        <f>IF(H6=0,0,H6/TrAvia_act!H14*1000)</f>
        <v>7572.5136651042094</v>
      </c>
      <c r="I22" s="11">
        <f>IF(I6=0,0,I6/TrAvia_act!I14*1000)</f>
        <v>8576.673542897297</v>
      </c>
      <c r="J22" s="11">
        <f>IF(J6=0,0,J6/TrAvia_act!J14*1000)</f>
        <v>9680.1623166559511</v>
      </c>
      <c r="K22" s="11">
        <f>IF(K6=0,0,K6/TrAvia_act!K14*1000)</f>
        <v>8270.1053494604912</v>
      </c>
      <c r="L22" s="11">
        <f>IF(L6=0,0,L6/TrAvia_act!L14*1000)</f>
        <v>8785.5538872535999</v>
      </c>
      <c r="M22" s="11">
        <f>IF(M6=0,0,M6/TrAvia_act!M14*1000)</f>
        <v>9520.7012078340776</v>
      </c>
      <c r="N22" s="11">
        <f>IF(N6=0,0,N6/TrAvia_act!N14*1000)</f>
        <v>9704.7232247809134</v>
      </c>
      <c r="O22" s="11">
        <f>IF(O6=0,0,O6/TrAvia_act!O14*1000)</f>
        <v>10314.398227409889</v>
      </c>
      <c r="P22" s="11">
        <f>IF(P6=0,0,P6/TrAvia_act!P14*1000)</f>
        <v>10016.141491545215</v>
      </c>
      <c r="Q22" s="11">
        <f>IF(Q6=0,0,Q6/TrAvia_act!Q14*1000)</f>
        <v>9859.5729138268143</v>
      </c>
      <c r="R22" s="11">
        <f>IF(R6=0,0,R6/TrAvia_act!R14*1000)</f>
        <v>10867.233974228609</v>
      </c>
      <c r="S22" s="11">
        <f>IF(S6=0,0,S6/TrAvia_act!S14*1000)</f>
        <v>11277.991597781953</v>
      </c>
      <c r="T22" s="11">
        <f>IF(T6=0,0,T6/TrAvia_act!T14*1000)</f>
        <v>11645.358239231975</v>
      </c>
      <c r="U22" s="11">
        <f>IF(U6=0,0,U6/TrAvia_act!U14*1000)</f>
        <v>11139.067067386977</v>
      </c>
      <c r="V22" s="11">
        <f>IF(V6=0,0,V6/TrAvia_act!V14*1000)</f>
        <v>12201.345794819075</v>
      </c>
      <c r="W22" s="11">
        <f>IF(W6=0,0,W6/TrAvia_act!W14*1000)</f>
        <v>10176.592232412486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7581.657449819596</v>
      </c>
      <c r="C24" s="84">
        <f>IF(C8=0,0,C8/TrAvia_act!C16*1000)</f>
        <v>7609.6827041184715</v>
      </c>
      <c r="D24" s="84">
        <f>IF(D8=0,0,D8/TrAvia_act!D16*1000)</f>
        <v>7590.0413762509579</v>
      </c>
      <c r="E24" s="84">
        <f>IF(E8=0,0,E8/TrAvia_act!E16*1000)</f>
        <v>7654.0328141939117</v>
      </c>
      <c r="F24" s="84">
        <f>IF(F8=0,0,F8/TrAvia_act!F16*1000)</f>
        <v>7644.8265983897672</v>
      </c>
      <c r="G24" s="84">
        <f>IF(G8=0,0,G8/TrAvia_act!G16*1000)</f>
        <v>7686.4747155971927</v>
      </c>
      <c r="H24" s="84">
        <f>IF(H8=0,0,H8/TrAvia_act!H16*1000)</f>
        <v>8419.3225003083571</v>
      </c>
      <c r="I24" s="84">
        <f>IF(I8=0,0,I8/TrAvia_act!I16*1000)</f>
        <v>9780.6997658145829</v>
      </c>
      <c r="J24" s="84">
        <f>IF(J8=0,0,J8/TrAvia_act!J16*1000)</f>
        <v>10520.104483489446</v>
      </c>
      <c r="K24" s="84">
        <f>IF(K8=0,0,K8/TrAvia_act!K16*1000)</f>
        <v>9044.7824649196373</v>
      </c>
      <c r="L24" s="84">
        <f>IF(L8=0,0,L8/TrAvia_act!L16*1000)</f>
        <v>9203.1569896115725</v>
      </c>
      <c r="M24" s="84">
        <f>IF(M8=0,0,M8/TrAvia_act!M16*1000)</f>
        <v>9835.9578549361304</v>
      </c>
      <c r="N24" s="84">
        <f>IF(N8=0,0,N8/TrAvia_act!N16*1000)</f>
        <v>10105.432054551005</v>
      </c>
      <c r="O24" s="84">
        <f>IF(O8=0,0,O8/TrAvia_act!O16*1000)</f>
        <v>10791.862925587524</v>
      </c>
      <c r="P24" s="84">
        <f>IF(P8=0,0,P8/TrAvia_act!P16*1000)</f>
        <v>10786.354622042116</v>
      </c>
      <c r="Q24" s="84">
        <f>IF(Q8=0,0,Q8/TrAvia_act!Q16*1000)</f>
        <v>10722.55296821519</v>
      </c>
      <c r="R24" s="84">
        <f>IF(R8=0,0,R8/TrAvia_act!R16*1000)</f>
        <v>11918.72802666721</v>
      </c>
      <c r="S24" s="84">
        <f>IF(S8=0,0,S8/TrAvia_act!S16*1000)</f>
        <v>12568.080621218105</v>
      </c>
      <c r="T24" s="84">
        <f>IF(T8=0,0,T8/TrAvia_act!T16*1000)</f>
        <v>13513.507475532429</v>
      </c>
      <c r="U24" s="84">
        <f>IF(U8=0,0,U8/TrAvia_act!U16*1000)</f>
        <v>13449.406444604067</v>
      </c>
      <c r="V24" s="84">
        <f>IF(V8=0,0,V8/TrAvia_act!V16*1000)</f>
        <v>13012.075419396213</v>
      </c>
      <c r="W24" s="84">
        <f>IF(W8=0,0,W8/TrAvia_act!W16*1000)</f>
        <v>12111.610981516733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4898.3205741400106</v>
      </c>
      <c r="C25" s="84">
        <f>IF(C9=0,0,C9/TrAvia_act!C17*1000)</f>
        <v>4916.4428740533622</v>
      </c>
      <c r="D25" s="84">
        <f>IF(D9=0,0,D9/TrAvia_act!D17*1000)</f>
        <v>4903.6419899774837</v>
      </c>
      <c r="E25" s="84">
        <f>IF(E9=0,0,E9/TrAvia_act!E17*1000)</f>
        <v>4945.1598875418358</v>
      </c>
      <c r="F25" s="84">
        <f>IF(F9=0,0,F9/TrAvia_act!F17*1000)</f>
        <v>4939.2195928663032</v>
      </c>
      <c r="G25" s="84">
        <f>IF(G9=0,0,G9/TrAvia_act!G17*1000)</f>
        <v>4985.2818014816767</v>
      </c>
      <c r="H25" s="84">
        <f>IF(H9=0,0,H9/TrAvia_act!H17*1000)</f>
        <v>4449.9314722179006</v>
      </c>
      <c r="I25" s="84">
        <f>IF(I9=0,0,I9/TrAvia_act!I17*1000)</f>
        <v>4594.0619761065445</v>
      </c>
      <c r="J25" s="84">
        <f>IF(J9=0,0,J9/TrAvia_act!J17*1000)</f>
        <v>6182.0447588598727</v>
      </c>
      <c r="K25" s="84">
        <f>IF(K9=0,0,K9/TrAvia_act!K17*1000)</f>
        <v>5440.8013626175352</v>
      </c>
      <c r="L25" s="84">
        <f>IF(L9=0,0,L9/TrAvia_act!L17*1000)</f>
        <v>6719.3217908514926</v>
      </c>
      <c r="M25" s="84">
        <f>IF(M9=0,0,M9/TrAvia_act!M17*1000)</f>
        <v>7753.9005485764819</v>
      </c>
      <c r="N25" s="84">
        <f>IF(N9=0,0,N9/TrAvia_act!N17*1000)</f>
        <v>7378.1425884597393</v>
      </c>
      <c r="O25" s="84">
        <f>IF(O9=0,0,O9/TrAvia_act!O17*1000)</f>
        <v>7575.5246792589542</v>
      </c>
      <c r="P25" s="84">
        <f>IF(P9=0,0,P9/TrAvia_act!P17*1000)</f>
        <v>6310.3594591926221</v>
      </c>
      <c r="Q25" s="84">
        <f>IF(Q9=0,0,Q9/TrAvia_act!Q17*1000)</f>
        <v>5809.0720898519703</v>
      </c>
      <c r="R25" s="84">
        <f>IF(R9=0,0,R9/TrAvia_act!R17*1000)</f>
        <v>5867.9798375101082</v>
      </c>
      <c r="S25" s="84">
        <f>IF(S9=0,0,S9/TrAvia_act!S17*1000)</f>
        <v>5574.4794750475348</v>
      </c>
      <c r="T25" s="84">
        <f>IF(T9=0,0,T9/TrAvia_act!T17*1000)</f>
        <v>4765.2281582226706</v>
      </c>
      <c r="U25" s="84">
        <f>IF(U9=0,0,U9/TrAvia_act!U17*1000)</f>
        <v>4037.9073109466235</v>
      </c>
      <c r="V25" s="84">
        <f>IF(V9=0,0,V9/TrAvia_act!V17*1000)</f>
        <v>8500.730848136096</v>
      </c>
      <c r="W25" s="84">
        <f>IF(W9=0,0,W9/TrAvia_act!W17*1000)</f>
        <v>4496.6688965426156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8873.3048195305328</v>
      </c>
      <c r="C26" s="13">
        <f>IF(C10=0,0,C10/TrAvia_act!C18*1000)</f>
        <v>8899.7236938351289</v>
      </c>
      <c r="D26" s="13">
        <f>IF(D10=0,0,D10/TrAvia_act!D18*1000)</f>
        <v>8882.9445611690608</v>
      </c>
      <c r="E26" s="13">
        <f>IF(E10=0,0,E10/TrAvia_act!E18*1000)</f>
        <v>8768.1808249085643</v>
      </c>
      <c r="F26" s="13">
        <f>IF(F10=0,0,F10/TrAvia_act!F18*1000)</f>
        <v>8702.1765211956754</v>
      </c>
      <c r="G26" s="13">
        <f>IF(G10=0,0,G10/TrAvia_act!G18*1000)</f>
        <v>8587.8315945667073</v>
      </c>
      <c r="H26" s="13">
        <f>IF(H10=0,0,H10/TrAvia_act!H18*1000)</f>
        <v>8643.7201418001423</v>
      </c>
      <c r="I26" s="13">
        <f>IF(I10=0,0,I10/TrAvia_act!I18*1000)</f>
        <v>9181.5967466203911</v>
      </c>
      <c r="J26" s="13">
        <f>IF(J10=0,0,J10/TrAvia_act!J18*1000)</f>
        <v>11058.202973760928</v>
      </c>
      <c r="K26" s="13">
        <f>IF(K10=0,0,K10/TrAvia_act!K18*1000)</f>
        <v>8470.6438163217063</v>
      </c>
      <c r="L26" s="13">
        <f>IF(L10=0,0,L10/TrAvia_act!L18*1000)</f>
        <v>7510.1329800758431</v>
      </c>
      <c r="M26" s="13">
        <f>IF(M10=0,0,M10/TrAvia_act!M18*1000)</f>
        <v>7969.7331296804869</v>
      </c>
      <c r="N26" s="13">
        <f>IF(N10=0,0,N10/TrAvia_act!N18*1000)</f>
        <v>7881.0551808462424</v>
      </c>
      <c r="O26" s="13">
        <f>IF(O10=0,0,O10/TrAvia_act!O18*1000)</f>
        <v>8224.5223499300882</v>
      </c>
      <c r="P26" s="13">
        <f>IF(P10=0,0,P10/TrAvia_act!P18*1000)</f>
        <v>7813.708733160408</v>
      </c>
      <c r="Q26" s="13">
        <f>IF(Q10=0,0,Q10/TrAvia_act!Q18*1000)</f>
        <v>7603.8279590957882</v>
      </c>
      <c r="R26" s="13">
        <f>IF(R10=0,0,R10/TrAvia_act!R18*1000)</f>
        <v>8552.9746783915616</v>
      </c>
      <c r="S26" s="13">
        <f>IF(S10=0,0,S10/TrAvia_act!S18*1000)</f>
        <v>9325.0991993619409</v>
      </c>
      <c r="T26" s="13">
        <f>IF(T10=0,0,T10/TrAvia_act!T18*1000)</f>
        <v>9115.0249790610596</v>
      </c>
      <c r="U26" s="13">
        <f>IF(U10=0,0,U10/TrAvia_act!U18*1000)</f>
        <v>8737.9095189389045</v>
      </c>
      <c r="V26" s="13">
        <f>IF(V10=0,0,V10/TrAvia_act!V18*1000)</f>
        <v>12096.779903309774</v>
      </c>
      <c r="W26" s="13">
        <f>IF(W10=0,0,W10/TrAvia_act!W18*1000)</f>
        <v>9961.615836991481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9090.4719240654194</v>
      </c>
      <c r="C28" s="102">
        <f>IF(C12=0,0,C12/TrAvia_act!C20*1000)</f>
        <v>9112.9897173049776</v>
      </c>
      <c r="D28" s="102">
        <f>IF(D12=0,0,D12/TrAvia_act!D20*1000)</f>
        <v>9100.3475907423272</v>
      </c>
      <c r="E28" s="102">
        <f>IF(E12=0,0,E12/TrAvia_act!E20*1000)</f>
        <v>9159.7973375266829</v>
      </c>
      <c r="F28" s="102">
        <f>IF(F12=0,0,F12/TrAvia_act!F20*1000)</f>
        <v>9145.7079635670598</v>
      </c>
      <c r="G28" s="102">
        <f>IF(G12=0,0,G12/TrAvia_act!G20*1000)</f>
        <v>9067.0067777911136</v>
      </c>
      <c r="H28" s="102">
        <f>IF(H12=0,0,H12/TrAvia_act!H20*1000)</f>
        <v>9611.4138998683629</v>
      </c>
      <c r="I28" s="102">
        <f>IF(I12=0,0,I12/TrAvia_act!I20*1000)</f>
        <v>10659.58323498</v>
      </c>
      <c r="J28" s="102">
        <f>IF(J12=0,0,J12/TrAvia_act!J20*1000)</f>
        <v>11707.286830652187</v>
      </c>
      <c r="K28" s="102">
        <f>IF(K12=0,0,K12/TrAvia_act!K20*1000)</f>
        <v>8557.360610781845</v>
      </c>
      <c r="L28" s="102">
        <f>IF(L12=0,0,L12/TrAvia_act!L20*1000)</f>
        <v>7529.5396825779881</v>
      </c>
      <c r="M28" s="102">
        <f>IF(M12=0,0,M12/TrAvia_act!M20*1000)</f>
        <v>7981.5960637994376</v>
      </c>
      <c r="N28" s="102">
        <f>IF(N12=0,0,N12/TrAvia_act!N20*1000)</f>
        <v>8126.9278417936575</v>
      </c>
      <c r="O28" s="102">
        <f>IF(O12=0,0,O12/TrAvia_act!O20*1000)</f>
        <v>8401.7927679255372</v>
      </c>
      <c r="P28" s="102">
        <f>IF(P12=0,0,P12/TrAvia_act!P20*1000)</f>
        <v>8120.1964336204765</v>
      </c>
      <c r="Q28" s="102">
        <f>IF(Q12=0,0,Q12/TrAvia_act!Q20*1000)</f>
        <v>8000.6751025142294</v>
      </c>
      <c r="R28" s="102">
        <f>IF(R12=0,0,R12/TrAvia_act!R20*1000)</f>
        <v>8991.975839688097</v>
      </c>
      <c r="S28" s="102">
        <f>IF(S12=0,0,S12/TrAvia_act!S20*1000)</f>
        <v>9590.33924240333</v>
      </c>
      <c r="T28" s="102">
        <f>IF(T12=0,0,T12/TrAvia_act!T20*1000)</f>
        <v>9631.0444633695715</v>
      </c>
      <c r="U28" s="102">
        <f>IF(U12=0,0,U12/TrAvia_act!U20*1000)</f>
        <v>9562.7573469635336</v>
      </c>
      <c r="V28" s="102">
        <f>IF(V12=0,0,V12/TrAvia_act!V20*1000)</f>
        <v>13347.294777651132</v>
      </c>
      <c r="W28" s="102">
        <f>IF(W12=0,0,W12/TrAvia_act!W20*1000)</f>
        <v>11230.924777728809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3880.7699027063527</v>
      </c>
      <c r="C29" s="86">
        <f>IF(C13=0,0,C13/TrAvia_act!C21*1000)</f>
        <v>3895.1275738728427</v>
      </c>
      <c r="D29" s="86">
        <f>IF(D13=0,0,D13/TrAvia_act!D21*1000)</f>
        <v>3884.9858763465591</v>
      </c>
      <c r="E29" s="86">
        <f>IF(E13=0,0,E13/TrAvia_act!E21*1000)</f>
        <v>3917.8790700141999</v>
      </c>
      <c r="F29" s="86">
        <f>IF(F13=0,0,F13/TrAvia_act!F21*1000)</f>
        <v>3913.172780084602</v>
      </c>
      <c r="G29" s="86">
        <f>IF(G13=0,0,G13/TrAvia_act!G21*1000)</f>
        <v>3959.4603574358093</v>
      </c>
      <c r="H29" s="86">
        <f>IF(H13=0,0,H13/TrAvia_act!H21*1000)</f>
        <v>3690.3579169404193</v>
      </c>
      <c r="I29" s="86">
        <f>IF(I13=0,0,I13/TrAvia_act!I21*1000)</f>
        <v>4040.5831610311179</v>
      </c>
      <c r="J29" s="86">
        <f>IF(J13=0,0,J13/TrAvia_act!J21*1000)</f>
        <v>6149.6519592751029</v>
      </c>
      <c r="K29" s="86">
        <f>IF(K13=0,0,K13/TrAvia_act!K21*1000)</f>
        <v>5440.8458122948123</v>
      </c>
      <c r="L29" s="86">
        <f>IF(L13=0,0,L13/TrAvia_act!L21*1000)</f>
        <v>6843.119278029797</v>
      </c>
      <c r="M29" s="86">
        <f>IF(M13=0,0,M13/TrAvia_act!M21*1000)</f>
        <v>7736.5965070639695</v>
      </c>
      <c r="N29" s="86">
        <f>IF(N13=0,0,N13/TrAvia_act!N21*1000)</f>
        <v>7663.1955332167399</v>
      </c>
      <c r="O29" s="86">
        <f>IF(O13=0,0,O13/TrAvia_act!O21*1000)</f>
        <v>7633.1733624631315</v>
      </c>
      <c r="P29" s="86">
        <f>IF(P13=0,0,P13/TrAvia_act!P21*1000)</f>
        <v>5991.7180887091836</v>
      </c>
      <c r="Q29" s="86">
        <f>IF(Q13=0,0,Q13/TrAvia_act!Q21*1000)</f>
        <v>5177.5147923038812</v>
      </c>
      <c r="R29" s="86">
        <f>IF(R13=0,0,R13/TrAvia_act!R21*1000)</f>
        <v>4986.0754263706613</v>
      </c>
      <c r="S29" s="86">
        <f>IF(S13=0,0,S13/TrAvia_act!S21*1000)</f>
        <v>4725.8065462344975</v>
      </c>
      <c r="T29" s="86">
        <f>IF(T13=0,0,T13/TrAvia_act!T21*1000)</f>
        <v>4007.4186692706116</v>
      </c>
      <c r="U29" s="86">
        <f>IF(U13=0,0,U13/TrAvia_act!U21*1000)</f>
        <v>3188.2469272168664</v>
      </c>
      <c r="V29" s="86">
        <f>IF(V13=0,0,V13/TrAvia_act!V21*1000)</f>
        <v>6788.0411672979917</v>
      </c>
      <c r="W29" s="86">
        <f>IF(W13=0,0,W13/TrAvia_act!W21*1000)</f>
        <v>3619.7575819522685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113.73157360354531</v>
      </c>
      <c r="C32" s="14">
        <f>IF(C6=0,0,C6/TrAvia_act!C4*1000)</f>
        <v>111.24914824651627</v>
      </c>
      <c r="D32" s="14">
        <f>IF(D6=0,0,D6/TrAvia_act!D4*1000)</f>
        <v>109.0609463065235</v>
      </c>
      <c r="E32" s="14">
        <f>IF(E6=0,0,E6/TrAvia_act!E4*1000)</f>
        <v>108.89804278318914</v>
      </c>
      <c r="F32" s="14">
        <f>IF(F6=0,0,F6/TrAvia_act!F4*1000)</f>
        <v>107.37105157882691</v>
      </c>
      <c r="G32" s="14">
        <f>IF(G6=0,0,G6/TrAvia_act!G4*1000)</f>
        <v>107.03272900445735</v>
      </c>
      <c r="H32" s="14">
        <f>IF(H6=0,0,H6/TrAvia_act!H4*1000)</f>
        <v>101.2647625593178</v>
      </c>
      <c r="I32" s="14">
        <f>IF(I6=0,0,I6/TrAvia_act!I4*1000)</f>
        <v>105.816235788288</v>
      </c>
      <c r="J32" s="14">
        <f>IF(J6=0,0,J6/TrAvia_act!J4*1000)</f>
        <v>122.2974802395471</v>
      </c>
      <c r="K32" s="14">
        <f>IF(K6=0,0,K6/TrAvia_act!K4*1000)</f>
        <v>90.760963036334147</v>
      </c>
      <c r="L32" s="14">
        <f>IF(L6=0,0,L6/TrAvia_act!L4*1000)</f>
        <v>95.2318925830795</v>
      </c>
      <c r="M32" s="14">
        <f>IF(M6=0,0,M6/TrAvia_act!M4*1000)</f>
        <v>93.86967406112845</v>
      </c>
      <c r="N32" s="14">
        <f>IF(N6=0,0,N6/TrAvia_act!N4*1000)</f>
        <v>84.732850124652657</v>
      </c>
      <c r="O32" s="14">
        <f>IF(O6=0,0,O6/TrAvia_act!O4*1000)</f>
        <v>84.490895153782631</v>
      </c>
      <c r="P32" s="14">
        <f>IF(P6=0,0,P6/TrAvia_act!P4*1000)</f>
        <v>85.709260702881579</v>
      </c>
      <c r="Q32" s="14">
        <f>IF(Q6=0,0,Q6/TrAvia_act!Q4*1000)</f>
        <v>81.817455885722097</v>
      </c>
      <c r="R32" s="14">
        <f>IF(R6=0,0,R6/TrAvia_act!R4*1000)</f>
        <v>86.155249277195736</v>
      </c>
      <c r="S32" s="14">
        <f>IF(S6=0,0,S6/TrAvia_act!S4*1000)</f>
        <v>86.006749259867533</v>
      </c>
      <c r="T32" s="14">
        <f>IF(T6=0,0,T6/TrAvia_act!T4*1000)</f>
        <v>83.561766244233553</v>
      </c>
      <c r="U32" s="14">
        <f>IF(U6=0,0,U6/TrAvia_act!U4*1000)</f>
        <v>79.062306499155909</v>
      </c>
      <c r="V32" s="14">
        <f>IF(V6=0,0,V6/TrAvia_act!V4*1000)</f>
        <v>119.93853259207309</v>
      </c>
      <c r="W32" s="14">
        <f>IF(W6=0,0,W6/TrAvia_act!W4*1000)</f>
        <v>96.74553388686472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129.85811152813517</v>
      </c>
      <c r="C34" s="87">
        <f>IF(C8=0,0,C8/TrAvia_act!C6*1000)</f>
        <v>126.10600330417529</v>
      </c>
      <c r="D34" s="87">
        <f>IF(D8=0,0,D8/TrAvia_act!D6*1000)</f>
        <v>122.75668719045537</v>
      </c>
      <c r="E34" s="87">
        <f>IF(E8=0,0,E8/TrAvia_act!E6*1000)</f>
        <v>121.8488919979995</v>
      </c>
      <c r="F34" s="87">
        <f>IF(F8=0,0,F8/TrAvia_act!F6*1000)</f>
        <v>119.94143766514377</v>
      </c>
      <c r="G34" s="87">
        <f>IF(G8=0,0,G8/TrAvia_act!G6*1000)</f>
        <v>117.46575992890526</v>
      </c>
      <c r="H34" s="87">
        <f>IF(H8=0,0,H8/TrAvia_act!H6*1000)</f>
        <v>111.5725559853432</v>
      </c>
      <c r="I34" s="87">
        <f>IF(I8=0,0,I8/TrAvia_act!I6*1000)</f>
        <v>121.77365857905527</v>
      </c>
      <c r="J34" s="87">
        <f>IF(J8=0,0,J8/TrAvia_act!J6*1000)</f>
        <v>131.84419203970384</v>
      </c>
      <c r="K34" s="87">
        <f>IF(K8=0,0,K8/TrAvia_act!K6*1000)</f>
        <v>98.517360677115434</v>
      </c>
      <c r="L34" s="87">
        <f>IF(L8=0,0,L8/TrAvia_act!L6*1000)</f>
        <v>97.073170119903395</v>
      </c>
      <c r="M34" s="87">
        <f>IF(M8=0,0,M8/TrAvia_act!M6*1000)</f>
        <v>90.845954327692127</v>
      </c>
      <c r="N34" s="87">
        <f>IF(N8=0,0,N8/TrAvia_act!N6*1000)</f>
        <v>83.580806055619277</v>
      </c>
      <c r="O34" s="87">
        <f>IF(O8=0,0,O8/TrAvia_act!O6*1000)</f>
        <v>86.413010136674473</v>
      </c>
      <c r="P34" s="87">
        <f>IF(P8=0,0,P8/TrAvia_act!P6*1000)</f>
        <v>90.500822263338307</v>
      </c>
      <c r="Q34" s="87">
        <f>IF(Q8=0,0,Q8/TrAvia_act!Q6*1000)</f>
        <v>86.51015454352158</v>
      </c>
      <c r="R34" s="87">
        <f>IF(R8=0,0,R8/TrAvia_act!R6*1000)</f>
        <v>91.626064456783865</v>
      </c>
      <c r="S34" s="87">
        <f>IF(S8=0,0,S8/TrAvia_act!S6*1000)</f>
        <v>94.892550784180642</v>
      </c>
      <c r="T34" s="87">
        <f>IF(T8=0,0,T8/TrAvia_act!T6*1000)</f>
        <v>97.519536873754191</v>
      </c>
      <c r="U34" s="87">
        <f>IF(U8=0,0,U8/TrAvia_act!U6*1000)</f>
        <v>96.50415782588361</v>
      </c>
      <c r="V34" s="87">
        <f>IF(V8=0,0,V8/TrAvia_act!V6*1000)</f>
        <v>130.29212651974308</v>
      </c>
      <c r="W34" s="87">
        <f>IF(W8=0,0,W8/TrAvia_act!W6*1000)</f>
        <v>118.74243706026429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67.48846472865759</v>
      </c>
      <c r="C35" s="87">
        <f>IF(C9=0,0,C9/TrAvia_act!C7*1000)</f>
        <v>67.439895803796603</v>
      </c>
      <c r="D35" s="87">
        <f>IF(D9=0,0,D9/TrAvia_act!D7*1000)</f>
        <v>67.52960622999872</v>
      </c>
      <c r="E35" s="87">
        <f>IF(E9=0,0,E9/TrAvia_act!E7*1000)</f>
        <v>68.656525928134172</v>
      </c>
      <c r="F35" s="87">
        <f>IF(F9=0,0,F9/TrAvia_act!F7*1000)</f>
        <v>68.048137062817503</v>
      </c>
      <c r="G35" s="87">
        <f>IF(G9=0,0,G9/TrAvia_act!G7*1000)</f>
        <v>67.831685989843635</v>
      </c>
      <c r="H35" s="87">
        <f>IF(H9=0,0,H9/TrAvia_act!H7*1000)</f>
        <v>61.575746614536691</v>
      </c>
      <c r="I35" s="87">
        <f>IF(I9=0,0,I9/TrAvia_act!I7*1000)</f>
        <v>55.031947966722889</v>
      </c>
      <c r="J35" s="87">
        <f>IF(J9=0,0,J9/TrAvia_act!J7*1000)</f>
        <v>80.821753678471737</v>
      </c>
      <c r="K35" s="87">
        <f>IF(K9=0,0,K9/TrAvia_act!K7*1000)</f>
        <v>61.407339533567935</v>
      </c>
      <c r="L35" s="87">
        <f>IF(L9=0,0,L9/TrAvia_act!L7*1000)</f>
        <v>84.384850944541597</v>
      </c>
      <c r="M35" s="87">
        <f>IF(M9=0,0,M9/TrAvia_act!M7*1000)</f>
        <v>122.96622543856654</v>
      </c>
      <c r="N35" s="87">
        <f>IF(N9=0,0,N9/TrAvia_act!N7*1000)</f>
        <v>95.164002139585563</v>
      </c>
      <c r="O35" s="87">
        <f>IF(O9=0,0,O9/TrAvia_act!O7*1000)</f>
        <v>71.495402112244363</v>
      </c>
      <c r="P35" s="87">
        <f>IF(P9=0,0,P9/TrAvia_act!P7*1000)</f>
        <v>59.709992984523318</v>
      </c>
      <c r="Q35" s="87">
        <f>IF(Q9=0,0,Q9/TrAvia_act!Q7*1000)</f>
        <v>55.659890177046051</v>
      </c>
      <c r="R35" s="87">
        <f>IF(R9=0,0,R9/TrAvia_act!R7*1000)</f>
        <v>54.646321074257358</v>
      </c>
      <c r="S35" s="87">
        <f>IF(S9=0,0,S9/TrAvia_act!S7*1000)</f>
        <v>44.485506030022187</v>
      </c>
      <c r="T35" s="87">
        <f>IF(T9=0,0,T9/TrAvia_act!T7*1000)</f>
        <v>33.493875388344904</v>
      </c>
      <c r="U35" s="87">
        <f>IF(U9=0,0,U9/TrAvia_act!U7*1000)</f>
        <v>27.738046238690774</v>
      </c>
      <c r="V35" s="87">
        <f>IF(V9=0,0,V9/TrAvia_act!V7*1000)</f>
        <v>77.120230846081114</v>
      </c>
      <c r="W35" s="87">
        <f>IF(W9=0,0,W9/TrAvia_act!W7*1000)</f>
        <v>39.253790171935456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304.37650558413748</v>
      </c>
      <c r="C36" s="15">
        <f>IF(C10=0,0,C10/TrAvia_act!C8*1000)</f>
        <v>289.68624191460384</v>
      </c>
      <c r="D36" s="15">
        <f>IF(D10=0,0,D10/TrAvia_act!D8*1000)</f>
        <v>307.60938294275815</v>
      </c>
      <c r="E36" s="15">
        <f>IF(E10=0,0,E10/TrAvia_act!E8*1000)</f>
        <v>289.54019551606149</v>
      </c>
      <c r="F36" s="15">
        <f>IF(F10=0,0,F10/TrAvia_act!F8*1000)</f>
        <v>309.20081397232889</v>
      </c>
      <c r="G36" s="15">
        <f>IF(G10=0,0,G10/TrAvia_act!G8*1000)</f>
        <v>309.12451502696996</v>
      </c>
      <c r="H36" s="15">
        <f>IF(H10=0,0,H10/TrAvia_act!H8*1000)</f>
        <v>325.66527916789772</v>
      </c>
      <c r="I36" s="15">
        <f>IF(I10=0,0,I10/TrAvia_act!I8*1000)</f>
        <v>324.21656592194762</v>
      </c>
      <c r="J36" s="15">
        <f>IF(J10=0,0,J10/TrAvia_act!J8*1000)</f>
        <v>465.5152977155476</v>
      </c>
      <c r="K36" s="15">
        <f>IF(K10=0,0,K10/TrAvia_act!K8*1000)</f>
        <v>363.85050775762681</v>
      </c>
      <c r="L36" s="15">
        <f>IF(L10=0,0,L10/TrAvia_act!L8*1000)</f>
        <v>323.10731902203196</v>
      </c>
      <c r="M36" s="15">
        <f>IF(M10=0,0,M10/TrAvia_act!M8*1000)</f>
        <v>307.85934213107834</v>
      </c>
      <c r="N36" s="15">
        <f>IF(N10=0,0,N10/TrAvia_act!N8*1000)</f>
        <v>132.32791324040323</v>
      </c>
      <c r="O36" s="15">
        <f>IF(O10=0,0,O10/TrAvia_act!O8*1000)</f>
        <v>206.30306950069493</v>
      </c>
      <c r="P36" s="15">
        <f>IF(P10=0,0,P10/TrAvia_act!P8*1000)</f>
        <v>203.68549950379821</v>
      </c>
      <c r="Q36" s="15">
        <f>IF(Q10=0,0,Q10/TrAvia_act!Q8*1000)</f>
        <v>199.33485991753247</v>
      </c>
      <c r="R36" s="15">
        <f>IF(R10=0,0,R10/TrAvia_act!R8*1000)</f>
        <v>217.53089705659923</v>
      </c>
      <c r="S36" s="15">
        <f>IF(S10=0,0,S10/TrAvia_act!S8*1000)</f>
        <v>279.63235870023942</v>
      </c>
      <c r="T36" s="15">
        <f>IF(T10=0,0,T10/TrAvia_act!T8*1000)</f>
        <v>252.75527227731109</v>
      </c>
      <c r="U36" s="15">
        <f>IF(U10=0,0,U10/TrAvia_act!U8*1000)</f>
        <v>215.84800890514069</v>
      </c>
      <c r="V36" s="15">
        <f>IF(V10=0,0,V10/TrAvia_act!V8*1000)</f>
        <v>368.55569600869518</v>
      </c>
      <c r="W36" s="15">
        <f>IF(W10=0,0,W10/TrAvia_act!W8*1000)</f>
        <v>347.4884563816658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332.6571793488053</v>
      </c>
      <c r="C38" s="101">
        <f>IF(C12=0,0,C12/TrAvia_act!C10*1000)</f>
        <v>315.80676209840431</v>
      </c>
      <c r="D38" s="101">
        <f>IF(D12=0,0,D12/TrAvia_act!D10*1000)</f>
        <v>336.14362916511334</v>
      </c>
      <c r="E38" s="101">
        <f>IF(E12=0,0,E12/TrAvia_act!E10*1000)</f>
        <v>332.29428264622567</v>
      </c>
      <c r="F38" s="101">
        <f>IF(F12=0,0,F12/TrAvia_act!F10*1000)</f>
        <v>365.79717661570254</v>
      </c>
      <c r="G38" s="101">
        <f>IF(G12=0,0,G12/TrAvia_act!G10*1000)</f>
        <v>368.36774145812848</v>
      </c>
      <c r="H38" s="101">
        <f>IF(H12=0,0,H12/TrAvia_act!H10*1000)</f>
        <v>464.24961784558286</v>
      </c>
      <c r="I38" s="101">
        <f>IF(I12=0,0,I12/TrAvia_act!I10*1000)</f>
        <v>519.7618238030667</v>
      </c>
      <c r="J38" s="101">
        <f>IF(J12=0,0,J12/TrAvia_act!J10*1000)</f>
        <v>594.08211002192434</v>
      </c>
      <c r="K38" s="101">
        <f>IF(K12=0,0,K12/TrAvia_act!K10*1000)</f>
        <v>385.60650936518942</v>
      </c>
      <c r="L38" s="101">
        <f>IF(L12=0,0,L12/TrAvia_act!L10*1000)</f>
        <v>340.60990208463147</v>
      </c>
      <c r="M38" s="101">
        <f>IF(M12=0,0,M12/TrAvia_act!M10*1000)</f>
        <v>331.22628351693419</v>
      </c>
      <c r="N38" s="101">
        <f>IF(N12=0,0,N12/TrAvia_act!N10*1000)</f>
        <v>311.6904411335484</v>
      </c>
      <c r="O38" s="101">
        <f>IF(O12=0,0,O12/TrAvia_act!O10*1000)</f>
        <v>333.62286475043959</v>
      </c>
      <c r="P38" s="101">
        <f>IF(P12=0,0,P12/TrAvia_act!P10*1000)</f>
        <v>276.17400774673024</v>
      </c>
      <c r="Q38" s="101">
        <f>IF(Q12=0,0,Q12/TrAvia_act!Q10*1000)</f>
        <v>268.15628894763961</v>
      </c>
      <c r="R38" s="101">
        <f>IF(R12=0,0,R12/TrAvia_act!R10*1000)</f>
        <v>277.9207701293588</v>
      </c>
      <c r="S38" s="101">
        <f>IF(S12=0,0,S12/TrAvia_act!S10*1000)</f>
        <v>321.55651105046832</v>
      </c>
      <c r="T38" s="101">
        <f>IF(T12=0,0,T12/TrAvia_act!T10*1000)</f>
        <v>320.02847778072453</v>
      </c>
      <c r="U38" s="101">
        <f>IF(U12=0,0,U12/TrAvia_act!U10*1000)</f>
        <v>301.47391743418706</v>
      </c>
      <c r="V38" s="101">
        <f>IF(V12=0,0,V12/TrAvia_act!V10*1000)</f>
        <v>539.50803520262355</v>
      </c>
      <c r="W38" s="101">
        <f>IF(W12=0,0,W12/TrAvia_act!W10*1000)</f>
        <v>506.32442868843998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54.566012593373756</v>
      </c>
      <c r="C39" s="88">
        <f>IF(C13=0,0,C13/TrAvia_act!C11*1000)</f>
        <v>52.280947108451485</v>
      </c>
      <c r="D39" s="88">
        <f>IF(D13=0,0,D13/TrAvia_act!D11*1000)</f>
        <v>55.213485629290226</v>
      </c>
      <c r="E39" s="88">
        <f>IF(E13=0,0,E13/TrAvia_act!E11*1000)</f>
        <v>61.270440522632519</v>
      </c>
      <c r="F39" s="88">
        <f>IF(F13=0,0,F13/TrAvia_act!F11*1000)</f>
        <v>63.045255178918168</v>
      </c>
      <c r="G39" s="88">
        <f>IF(G13=0,0,G13/TrAvia_act!G11*1000)</f>
        <v>67.830818282900239</v>
      </c>
      <c r="H39" s="88">
        <f>IF(H13=0,0,H13/TrAvia_act!H11*1000)</f>
        <v>65.399392095265441</v>
      </c>
      <c r="I39" s="88">
        <f>IF(I13=0,0,I13/TrAvia_act!I11*1000)</f>
        <v>72.818867880997516</v>
      </c>
      <c r="J39" s="88">
        <f>IF(J13=0,0,J13/TrAvia_act!J11*1000)</f>
        <v>113.11015817866014</v>
      </c>
      <c r="K39" s="88">
        <f>IF(K13=0,0,K13/TrAvia_act!K11*1000)</f>
        <v>88.735234430499276</v>
      </c>
      <c r="L39" s="88">
        <f>IF(L13=0,0,L13/TrAvia_act!L11*1000)</f>
        <v>109.77683696913873</v>
      </c>
      <c r="M39" s="88">
        <f>IF(M13=0,0,M13/TrAvia_act!M11*1000)</f>
        <v>126.67405468254547</v>
      </c>
      <c r="N39" s="88">
        <f>IF(N13=0,0,N13/TrAvia_act!N11*1000)</f>
        <v>85.885753022361968</v>
      </c>
      <c r="O39" s="88">
        <f>IF(O13=0,0,O13/TrAvia_act!O11*1000)</f>
        <v>85.914988861061545</v>
      </c>
      <c r="P39" s="88">
        <f>IF(P13=0,0,P13/TrAvia_act!P11*1000)</f>
        <v>65.396347999404625</v>
      </c>
      <c r="Q39" s="88">
        <f>IF(Q13=0,0,Q13/TrAvia_act!Q11*1000)</f>
        <v>58.204433964790823</v>
      </c>
      <c r="R39" s="88">
        <f>IF(R13=0,0,R13/TrAvia_act!R11*1000)</f>
        <v>51.991905256059034</v>
      </c>
      <c r="S39" s="88">
        <f>IF(S13=0,0,S13/TrAvia_act!S11*1000)</f>
        <v>50.042191110156715</v>
      </c>
      <c r="T39" s="88">
        <f>IF(T13=0,0,T13/TrAvia_act!T11*1000)</f>
        <v>42.1223645019803</v>
      </c>
      <c r="U39" s="88">
        <f>IF(U13=0,0,U13/TrAvia_act!U11*1000)</f>
        <v>32.064668989473702</v>
      </c>
      <c r="V39" s="88">
        <f>IF(V13=0,0,V13/TrAvia_act!V11*1000)</f>
        <v>101.11221268951327</v>
      </c>
      <c r="W39" s="88">
        <f>IF(W13=0,0,W13/TrAvia_act!W11*1000)</f>
        <v>59.267923132276685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8786.1074898536463</v>
      </c>
      <c r="C41" s="54">
        <f>IF(C3=0,0,C3/TrAvia_act!C23*1000000)</f>
        <v>8826.5608577878065</v>
      </c>
      <c r="D41" s="54">
        <f>IF(D3=0,0,D3/TrAvia_act!D23*1000000)</f>
        <v>8802.2074582637706</v>
      </c>
      <c r="E41" s="54">
        <f>IF(E3=0,0,E3/TrAvia_act!E23*1000000)</f>
        <v>8893.5270176730501</v>
      </c>
      <c r="F41" s="54">
        <f>IF(F3=0,0,F3/TrAvia_act!F23*1000000)</f>
        <v>8882.1407021166797</v>
      </c>
      <c r="G41" s="54">
        <f>IF(G3=0,0,G3/TrAvia_act!G23*1000000)</f>
        <v>9261.4365226610116</v>
      </c>
      <c r="H41" s="54">
        <f>IF(H3=0,0,H3/TrAvia_act!H23*1000000)</f>
        <v>9839.7465681098256</v>
      </c>
      <c r="I41" s="54">
        <f>IF(I3=0,0,I3/TrAvia_act!I23*1000000)</f>
        <v>11425.905232999658</v>
      </c>
      <c r="J41" s="54">
        <f>IF(J3=0,0,J3/TrAvia_act!J23*1000000)</f>
        <v>11504.291043534897</v>
      </c>
      <c r="K41" s="54">
        <f>IF(K3=0,0,K3/TrAvia_act!K23*1000000)</f>
        <v>8259.4761399239542</v>
      </c>
      <c r="L41" s="54">
        <f>IF(L3=0,0,L3/TrAvia_act!L23*1000000)</f>
        <v>9104.2849887640441</v>
      </c>
      <c r="M41" s="54">
        <f>IF(M3=0,0,M3/TrAvia_act!M23*1000000)</f>
        <v>9907.9415833973871</v>
      </c>
      <c r="N41" s="54">
        <f>IF(N3=0,0,N3/TrAvia_act!N23*1000000)</f>
        <v>10598.252420357203</v>
      </c>
      <c r="O41" s="54">
        <f>IF(O3=0,0,O3/TrAvia_act!O23*1000000)</f>
        <v>11788.042956259425</v>
      </c>
      <c r="P41" s="54">
        <f>IF(P3=0,0,P3/TrAvia_act!P23*1000000)</f>
        <v>11589.502354347178</v>
      </c>
      <c r="Q41" s="54">
        <f>IF(Q3=0,0,Q3/TrAvia_act!Q23*1000000)</f>
        <v>11544.964817147697</v>
      </c>
      <c r="R41" s="54">
        <f>IF(R3=0,0,R3/TrAvia_act!R23*1000000)</f>
        <v>12656.769048766597</v>
      </c>
      <c r="S41" s="54">
        <f>IF(S3=0,0,S3/TrAvia_act!S23*1000000)</f>
        <v>13209.584594594593</v>
      </c>
      <c r="T41" s="54">
        <f>IF(T3=0,0,T3/TrAvia_act!T23*1000000)</f>
        <v>14159.475534154541</v>
      </c>
      <c r="U41" s="54">
        <f>IF(U3=0,0,U3/TrAvia_act!U23*1000000)</f>
        <v>13533.649113776393</v>
      </c>
      <c r="V41" s="54">
        <f>IF(V3=0,0,V3/TrAvia_act!V23*1000000)</f>
        <v>14715.267733959032</v>
      </c>
      <c r="W41" s="54">
        <f>IF(W3=0,0,W3/TrAvia_act!W23*1000000)</f>
        <v>13956.917599939999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8825.5083804282931</v>
      </c>
      <c r="C42" s="11">
        <f>IF(C6=0,0,C6/TrAvia_act!C24*1000000)</f>
        <v>8858.2809806234873</v>
      </c>
      <c r="D42" s="11">
        <f>IF(D6=0,0,D6/TrAvia_act!D24*1000000)</f>
        <v>8835.6837873448458</v>
      </c>
      <c r="E42" s="11">
        <f>IF(E6=0,0,E6/TrAvia_act!E24*1000000)</f>
        <v>8909.8196404743903</v>
      </c>
      <c r="F42" s="11">
        <f>IF(F6=0,0,F6/TrAvia_act!F24*1000000)</f>
        <v>8899.0916216202404</v>
      </c>
      <c r="G42" s="11">
        <f>IF(G6=0,0,G6/TrAvia_act!G24*1000000)</f>
        <v>9279.4035352916344</v>
      </c>
      <c r="H42" s="11">
        <f>IF(H6=0,0,H6/TrAvia_act!H24*1000000)</f>
        <v>9855.3946268287018</v>
      </c>
      <c r="I42" s="11">
        <f>IF(I6=0,0,I6/TrAvia_act!I24*1000000)</f>
        <v>11440.20685646974</v>
      </c>
      <c r="J42" s="11">
        <f>IF(J6=0,0,J6/TrAvia_act!J24*1000000)</f>
        <v>11502.931983336446</v>
      </c>
      <c r="K42" s="11">
        <f>IF(K6=0,0,K6/TrAvia_act!K24*1000000)</f>
        <v>8283.6442877487152</v>
      </c>
      <c r="L42" s="11">
        <f>IF(L6=0,0,L6/TrAvia_act!L24*1000000)</f>
        <v>9136.389019806571</v>
      </c>
      <c r="M42" s="11">
        <f>IF(M6=0,0,M6/TrAvia_act!M24*1000000)</f>
        <v>9949.9592307847397</v>
      </c>
      <c r="N42" s="11">
        <f>IF(N6=0,0,N6/TrAvia_act!N24*1000000)</f>
        <v>10616.537682892047</v>
      </c>
      <c r="O42" s="11">
        <f>IF(O6=0,0,O6/TrAvia_act!O24*1000000)</f>
        <v>11876.076114044396</v>
      </c>
      <c r="P42" s="11">
        <f>IF(P6=0,0,P6/TrAvia_act!P24*1000000)</f>
        <v>11678.735638825983</v>
      </c>
      <c r="Q42" s="11">
        <f>IF(Q6=0,0,Q6/TrAvia_act!Q24*1000000)</f>
        <v>11641.362373999842</v>
      </c>
      <c r="R42" s="11">
        <f>IF(R6=0,0,R6/TrAvia_act!R24*1000000)</f>
        <v>12755.517070062297</v>
      </c>
      <c r="S42" s="11">
        <f>IF(S6=0,0,S6/TrAvia_act!S24*1000000)</f>
        <v>13332.405949747797</v>
      </c>
      <c r="T42" s="11">
        <f>IF(T6=0,0,T6/TrAvia_act!T24*1000000)</f>
        <v>14305.893898784258</v>
      </c>
      <c r="U42" s="11">
        <f>IF(U6=0,0,U6/TrAvia_act!U24*1000000)</f>
        <v>13676.052768161931</v>
      </c>
      <c r="V42" s="11">
        <f>IF(V6=0,0,V6/TrAvia_act!V24*1000000)</f>
        <v>15067.32113845465</v>
      </c>
      <c r="W42" s="11">
        <f>IF(W6=0,0,W6/TrAvia_act!W24*1000000)</f>
        <v>14183.518720220593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8390.2310240347524</v>
      </c>
      <c r="C44" s="84">
        <f>IF(C8=0,0,C8/TrAvia_act!C26*1000000)</f>
        <v>8421.1262880262784</v>
      </c>
      <c r="D44" s="84">
        <f>IF(D8=0,0,D8/TrAvia_act!D26*1000000)</f>
        <v>8399.5877314079698</v>
      </c>
      <c r="E44" s="84">
        <f>IF(E8=0,0,E8/TrAvia_act!E26*1000000)</f>
        <v>8470.1536633762789</v>
      </c>
      <c r="F44" s="84">
        <f>IF(F8=0,0,F8/TrAvia_act!F26*1000000)</f>
        <v>8459.8888593612592</v>
      </c>
      <c r="G44" s="84">
        <f>IF(G8=0,0,G8/TrAvia_act!G26*1000000)</f>
        <v>8924.8184554981181</v>
      </c>
      <c r="H44" s="84">
        <f>IF(H8=0,0,H8/TrAvia_act!H26*1000000)</f>
        <v>9683.2858649732207</v>
      </c>
      <c r="I44" s="84">
        <f>IF(I8=0,0,I8/TrAvia_act!I26*1000000)</f>
        <v>11470.615611504703</v>
      </c>
      <c r="J44" s="84">
        <f>IF(J8=0,0,J8/TrAvia_act!J26*1000000)</f>
        <v>11848.600859587885</v>
      </c>
      <c r="K44" s="84">
        <f>IF(K8=0,0,K8/TrAvia_act!K26*1000000)</f>
        <v>8220.0351896344127</v>
      </c>
      <c r="L44" s="84">
        <f>IF(L8=0,0,L8/TrAvia_act!L26*1000000)</f>
        <v>9044.4049172072446</v>
      </c>
      <c r="M44" s="84">
        <f>IF(M8=0,0,M8/TrAvia_act!M26*1000000)</f>
        <v>10015.850168354784</v>
      </c>
      <c r="N44" s="84">
        <f>IF(N8=0,0,N8/TrAvia_act!N26*1000000)</f>
        <v>11065.234346841597</v>
      </c>
      <c r="O44" s="84">
        <f>IF(O8=0,0,O8/TrAvia_act!O26*1000000)</f>
        <v>12335.14221331835</v>
      </c>
      <c r="P44" s="84">
        <f>IF(P8=0,0,P8/TrAvia_act!P26*1000000)</f>
        <v>12417.81722016992</v>
      </c>
      <c r="Q44" s="84">
        <f>IF(Q8=0,0,Q8/TrAvia_act!Q26*1000000)</f>
        <v>12544.473397340875</v>
      </c>
      <c r="R44" s="84">
        <f>IF(R8=0,0,R8/TrAvia_act!R26*1000000)</f>
        <v>13918.176724662544</v>
      </c>
      <c r="S44" s="84">
        <f>IF(S8=0,0,S8/TrAvia_act!S26*1000000)</f>
        <v>14494.70822387314</v>
      </c>
      <c r="T44" s="84">
        <f>IF(T8=0,0,T8/TrAvia_act!T26*1000000)</f>
        <v>15723.353562148841</v>
      </c>
      <c r="U44" s="84">
        <f>IF(U8=0,0,U8/TrAvia_act!U26*1000000)</f>
        <v>15545.083754314748</v>
      </c>
      <c r="V44" s="84">
        <f>IF(V8=0,0,V8/TrAvia_act!V26*1000000)</f>
        <v>15189.739953292948</v>
      </c>
      <c r="W44" s="84">
        <f>IF(W8=0,0,W8/TrAvia_act!W26*1000000)</f>
        <v>15647.205078311938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12364.894994973914</v>
      </c>
      <c r="C45" s="84">
        <f>IF(C9=0,0,C9/TrAvia_act!C27*1000000)</f>
        <v>12410.641354793443</v>
      </c>
      <c r="D45" s="84">
        <f>IF(D9=0,0,D9/TrAvia_act!D27*1000000)</f>
        <v>12378.327914902087</v>
      </c>
      <c r="E45" s="84">
        <f>IF(E9=0,0,E9/TrAvia_act!E27*1000000)</f>
        <v>12483.132089317607</v>
      </c>
      <c r="F45" s="84">
        <f>IF(F9=0,0,F9/TrAvia_act!F27*1000000)</f>
        <v>12468.136925405728</v>
      </c>
      <c r="G45" s="84">
        <f>IF(G9=0,0,G9/TrAvia_act!G27*1000000)</f>
        <v>12514.632037716619</v>
      </c>
      <c r="H45" s="84">
        <f>IF(H9=0,0,H9/TrAvia_act!H27*1000000)</f>
        <v>11250.490320380761</v>
      </c>
      <c r="I45" s="84">
        <f>IF(I9=0,0,I9/TrAvia_act!I27*1000000)</f>
        <v>11230.545757301759</v>
      </c>
      <c r="J45" s="84">
        <f>IF(J9=0,0,J9/TrAvia_act!J27*1000000)</f>
        <v>9532.0807447904026</v>
      </c>
      <c r="K45" s="84">
        <f>IF(K9=0,0,K9/TrAvia_act!K27*1000000)</f>
        <v>8692.0205066925955</v>
      </c>
      <c r="L45" s="84">
        <f>IF(L9=0,0,L9/TrAvia_act!L27*1000000)</f>
        <v>9812.7027409234142</v>
      </c>
      <c r="M45" s="84">
        <f>IF(M9=0,0,M9/TrAvia_act!M27*1000000)</f>
        <v>9505.4015977495746</v>
      </c>
      <c r="N45" s="84">
        <f>IF(N9=0,0,N9/TrAvia_act!N27*1000000)</f>
        <v>8027.8100863024356</v>
      </c>
      <c r="O45" s="84">
        <f>IF(O9=0,0,O9/TrAvia_act!O27*1000000)</f>
        <v>9106.5798713326985</v>
      </c>
      <c r="P45" s="84">
        <f>IF(P9=0,0,P9/TrAvia_act!P27*1000000)</f>
        <v>7840.8038341963775</v>
      </c>
      <c r="Q45" s="84">
        <f>IF(Q9=0,0,Q9/TrAvia_act!Q27*1000000)</f>
        <v>7169.5726147541964</v>
      </c>
      <c r="R45" s="84">
        <f>IF(R9=0,0,R9/TrAvia_act!R27*1000000)</f>
        <v>7060.1343584577098</v>
      </c>
      <c r="S45" s="84">
        <f>IF(S9=0,0,S9/TrAvia_act!S27*1000000)</f>
        <v>7409.8713701353754</v>
      </c>
      <c r="T45" s="84">
        <f>IF(T9=0,0,T9/TrAvia_act!T27*1000000)</f>
        <v>7368.3541062872173</v>
      </c>
      <c r="U45" s="84">
        <f>IF(U9=0,0,U9/TrAvia_act!U27*1000000)</f>
        <v>6130.2776688232452</v>
      </c>
      <c r="V45" s="84">
        <f>IF(V9=0,0,V9/TrAvia_act!V27*1000000)</f>
        <v>14264.108335232471</v>
      </c>
      <c r="W45" s="84">
        <f>IF(W9=0,0,W9/TrAvia_act!W27*1000000)</f>
        <v>8153.4603719744973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7262.7345206114678</v>
      </c>
      <c r="C46" s="13">
        <f>IF(C10=0,0,C10/TrAvia_act!C28*1000000)</f>
        <v>7252.3364759142551</v>
      </c>
      <c r="D46" s="13">
        <f>IF(D10=0,0,D10/TrAvia_act!D28*1000000)</f>
        <v>7270.6245780130585</v>
      </c>
      <c r="E46" s="13">
        <f>IF(E10=0,0,E10/TrAvia_act!E28*1000000)</f>
        <v>7329.4352287445445</v>
      </c>
      <c r="F46" s="13">
        <f>IF(F10=0,0,F10/TrAvia_act!F28*1000000)</f>
        <v>7297.4364470640921</v>
      </c>
      <c r="G46" s="13">
        <f>IF(G10=0,0,G10/TrAvia_act!G28*1000000)</f>
        <v>7459.5501485713357</v>
      </c>
      <c r="H46" s="13">
        <f>IF(H10=0,0,H10/TrAvia_act!H28*1000000)</f>
        <v>8536.4517089480905</v>
      </c>
      <c r="I46" s="13">
        <f>IF(I10=0,0,I10/TrAvia_act!I28*1000000)</f>
        <v>10215.62154042536</v>
      </c>
      <c r="J46" s="13">
        <f>IF(J10=0,0,J10/TrAvia_act!J28*1000000)</f>
        <v>11655.337604804045</v>
      </c>
      <c r="K46" s="13">
        <f>IF(K10=0,0,K10/TrAvia_act!K28*1000000)</f>
        <v>6164.9033284446177</v>
      </c>
      <c r="L46" s="13">
        <f>IF(L10=0,0,L10/TrAvia_act!L28*1000000)</f>
        <v>6457.7089296957265</v>
      </c>
      <c r="M46" s="13">
        <f>IF(M10=0,0,M10/TrAvia_act!M28*1000000)</f>
        <v>6449.2475546158557</v>
      </c>
      <c r="N46" s="13">
        <f>IF(N10=0,0,N10/TrAvia_act!N28*1000000)</f>
        <v>9424.5921568523991</v>
      </c>
      <c r="O46" s="13">
        <f>IF(O10=0,0,O10/TrAvia_act!O28*1000000)</f>
        <v>7593.7892729879823</v>
      </c>
      <c r="P46" s="13">
        <f>IF(P10=0,0,P10/TrAvia_act!P28*1000000)</f>
        <v>6755.7059165640139</v>
      </c>
      <c r="Q46" s="13">
        <f>IF(Q10=0,0,Q10/TrAvia_act!Q28*1000000)</f>
        <v>6462.6714031095453</v>
      </c>
      <c r="R46" s="13">
        <f>IF(R10=0,0,R10/TrAvia_act!R28*1000000)</f>
        <v>6713.3559707813774</v>
      </c>
      <c r="S46" s="13">
        <f>IF(S10=0,0,S10/TrAvia_act!S28*1000000)</f>
        <v>6733.4251664160802</v>
      </c>
      <c r="T46" s="13">
        <f>IF(T10=0,0,T10/TrAvia_act!T28*1000000)</f>
        <v>6659.6015236769108</v>
      </c>
      <c r="U46" s="13">
        <f>IF(U10=0,0,U10/TrAvia_act!U28*1000000)</f>
        <v>6333.4312579181333</v>
      </c>
      <c r="V46" s="13">
        <f>IF(V10=0,0,V10/TrAvia_act!V28*1000000)</f>
        <v>8962.3074057222966</v>
      </c>
      <c r="W46" s="13">
        <f>IF(W10=0,0,W10/TrAvia_act!W28*1000000)</f>
        <v>9105.7494148405276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7272.2236921616632</v>
      </c>
      <c r="C48" s="102">
        <f>IF(C12=0,0,C12/TrAvia_act!C30*1000000)</f>
        <v>7260.9059330234068</v>
      </c>
      <c r="D48" s="102">
        <f>IF(D12=0,0,D12/TrAvia_act!D30*1000000)</f>
        <v>7280.124058367468</v>
      </c>
      <c r="E48" s="102">
        <f>IF(E12=0,0,E12/TrAvia_act!E30*1000000)</f>
        <v>7347.1627320761136</v>
      </c>
      <c r="F48" s="102">
        <f>IF(F12=0,0,F12/TrAvia_act!F30*1000000)</f>
        <v>7316.7107357923114</v>
      </c>
      <c r="G48" s="102">
        <f>IF(G12=0,0,G12/TrAvia_act!G30*1000000)</f>
        <v>7488.7071308807881</v>
      </c>
      <c r="H48" s="102">
        <f>IF(H12=0,0,H12/TrAvia_act!H30*1000000)</f>
        <v>8666.828633998146</v>
      </c>
      <c r="I48" s="102">
        <f>IF(I12=0,0,I12/TrAvia_act!I30*1000000)</f>
        <v>10505.559982434412</v>
      </c>
      <c r="J48" s="102">
        <f>IF(J12=0,0,J12/TrAvia_act!J30*1000000)</f>
        <v>12049.082657411469</v>
      </c>
      <c r="K48" s="102">
        <f>IF(K12=0,0,K12/TrAvia_act!K30*1000000)</f>
        <v>6136.5419795459911</v>
      </c>
      <c r="L48" s="102">
        <f>IF(L12=0,0,L12/TrAvia_act!L30*1000000)</f>
        <v>6391.2125447589824</v>
      </c>
      <c r="M48" s="102">
        <f>IF(M12=0,0,M12/TrAvia_act!M30*1000000)</f>
        <v>6269.6482668245435</v>
      </c>
      <c r="N48" s="102">
        <f>IF(N12=0,0,N12/TrAvia_act!N30*1000000)</f>
        <v>6102.541548074998</v>
      </c>
      <c r="O48" s="102">
        <f>IF(O12=0,0,O12/TrAvia_act!O30*1000000)</f>
        <v>6556.2475881001355</v>
      </c>
      <c r="P48" s="102">
        <f>IF(P12=0,0,P12/TrAvia_act!P30*1000000)</f>
        <v>6377.7020052810976</v>
      </c>
      <c r="Q48" s="102">
        <f>IF(Q12=0,0,Q12/TrAvia_act!Q30*1000000)</f>
        <v>6237.9087658631506</v>
      </c>
      <c r="R48" s="102">
        <f>IF(R12=0,0,R12/TrAvia_act!R30*1000000)</f>
        <v>6640.525391252042</v>
      </c>
      <c r="S48" s="102">
        <f>IF(S12=0,0,S12/TrAvia_act!S30*1000000)</f>
        <v>6727.1539897729854</v>
      </c>
      <c r="T48" s="102">
        <f>IF(T12=0,0,T12/TrAvia_act!T30*1000000)</f>
        <v>6704.6062142591018</v>
      </c>
      <c r="U48" s="102">
        <f>IF(U12=0,0,U12/TrAvia_act!U30*1000000)</f>
        <v>6382.3122105041639</v>
      </c>
      <c r="V48" s="102">
        <f>IF(V12=0,0,V12/TrAvia_act!V30*1000000)</f>
        <v>8653.5362246328841</v>
      </c>
      <c r="W48" s="102">
        <f>IF(W12=0,0,W12/TrAvia_act!W30*1000000)</f>
        <v>9253.8183162533696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6785.903650214138</v>
      </c>
      <c r="C49" s="86">
        <f>IF(C13=0,0,C13/TrAvia_act!C31*1000000)</f>
        <v>6811.0094347929435</v>
      </c>
      <c r="D49" s="86">
        <f>IF(D13=0,0,D13/TrAvia_act!D31*1000000)</f>
        <v>6793.2756902040201</v>
      </c>
      <c r="E49" s="86">
        <f>IF(E13=0,0,E13/TrAvia_act!E31*1000000)</f>
        <v>6850.7926387921807</v>
      </c>
      <c r="F49" s="86">
        <f>IF(F13=0,0,F13/TrAvia_act!F31*1000000)</f>
        <v>6842.5632330781364</v>
      </c>
      <c r="G49" s="86">
        <f>IF(G13=0,0,G13/TrAvia_act!G31*1000000)</f>
        <v>6868.0799360081537</v>
      </c>
      <c r="H49" s="86">
        <f>IF(H13=0,0,H13/TrAvia_act!H31*1000000)</f>
        <v>7110.4540912131279</v>
      </c>
      <c r="I49" s="86">
        <f>IF(I13=0,0,I13/TrAvia_act!I31*1000000)</f>
        <v>8151.2598333209271</v>
      </c>
      <c r="J49" s="86">
        <f>IF(J13=0,0,J13/TrAvia_act!J31*1000000)</f>
        <v>7926.3403418749249</v>
      </c>
      <c r="K49" s="86">
        <f>IF(K13=0,0,K13/TrAvia_act!K31*1000000)</f>
        <v>8263.6431469430827</v>
      </c>
      <c r="L49" s="86">
        <f>IF(L13=0,0,L13/TrAvia_act!L31*1000000)</f>
        <v>10646.981180710627</v>
      </c>
      <c r="M49" s="86">
        <f>IF(M13=0,0,M13/TrAvia_act!M31*1000000)</f>
        <v>15384.312122233616</v>
      </c>
      <c r="N49" s="86">
        <f>IF(N13=0,0,N13/TrAvia_act!N31*1000000)</f>
        <v>19294.452661191055</v>
      </c>
      <c r="O49" s="86">
        <f>IF(O13=0,0,O13/TrAvia_act!O31*1000000)</f>
        <v>18126.409407455518</v>
      </c>
      <c r="P49" s="86">
        <f>IF(P13=0,0,P13/TrAvia_act!P31*1000000)</f>
        <v>12929.76980085164</v>
      </c>
      <c r="Q49" s="86">
        <f>IF(Q13=0,0,Q13/TrAvia_act!Q31*1000000)</f>
        <v>9798.1489398460508</v>
      </c>
      <c r="R49" s="86">
        <f>IF(R13=0,0,R13/TrAvia_act!R31*1000000)</f>
        <v>7998.8156994741412</v>
      </c>
      <c r="S49" s="86">
        <f>IF(S13=0,0,S13/TrAvia_act!S31*1000000)</f>
        <v>6961.8005158354717</v>
      </c>
      <c r="T49" s="86">
        <f>IF(T13=0,0,T13/TrAvia_act!T31*1000000)</f>
        <v>5742.6309530647859</v>
      </c>
      <c r="U49" s="86">
        <f>IF(U13=0,0,U13/TrAvia_act!U31*1000000)</f>
        <v>5485.5995630638881</v>
      </c>
      <c r="V49" s="86">
        <f>IF(V13=0,0,V13/TrAvia_act!V31*1000000)</f>
        <v>12764.052572885716</v>
      </c>
      <c r="W49" s="86">
        <f>IF(W13=0,0,W13/TrAvia_act!W31*1000000)</f>
        <v>7296.018397572464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0.97915923976417985</v>
      </c>
      <c r="C52" s="16">
        <f t="shared" si="35"/>
        <v>0.98377103767488983</v>
      </c>
      <c r="D52" s="16">
        <f t="shared" ref="D52:V52" si="36">IF(D6=0,0,D6/D$3)</f>
        <v>0.9823320087275873</v>
      </c>
      <c r="E52" s="16">
        <f t="shared" si="36"/>
        <v>0.99150379958648038</v>
      </c>
      <c r="F52" s="16">
        <f t="shared" si="36"/>
        <v>0.99130485330761031</v>
      </c>
      <c r="G52" s="16">
        <f t="shared" si="36"/>
        <v>0.99204804789933787</v>
      </c>
      <c r="H52" s="16">
        <f t="shared" si="36"/>
        <v>0.98970733253585186</v>
      </c>
      <c r="I52" s="16">
        <f t="shared" si="36"/>
        <v>0.98955831782850701</v>
      </c>
      <c r="J52" s="16">
        <f t="shared" si="36"/>
        <v>0.99096552948051397</v>
      </c>
      <c r="K52" s="16">
        <f t="shared" si="36"/>
        <v>0.99148588966083806</v>
      </c>
      <c r="L52" s="16">
        <f t="shared" si="36"/>
        <v>0.99149897410408405</v>
      </c>
      <c r="M52" s="16">
        <f t="shared" si="36"/>
        <v>0.99218730267654176</v>
      </c>
      <c r="N52" s="16">
        <f t="shared" si="36"/>
        <v>0.98635815537294991</v>
      </c>
      <c r="O52" s="16">
        <f t="shared" si="36"/>
        <v>0.98675697015872788</v>
      </c>
      <c r="P52" s="16">
        <f t="shared" si="36"/>
        <v>0.98943424906637867</v>
      </c>
      <c r="Q52" s="16">
        <f t="shared" si="36"/>
        <v>0.98958005343404698</v>
      </c>
      <c r="R52" s="16">
        <f t="shared" si="36"/>
        <v>0.99133132098771848</v>
      </c>
      <c r="S52" s="16">
        <f t="shared" si="36"/>
        <v>0.9905126723683001</v>
      </c>
      <c r="T52" s="16">
        <f t="shared" si="36"/>
        <v>0.99099371412533355</v>
      </c>
      <c r="U52" s="16">
        <f t="shared" si="36"/>
        <v>0.99092400723663487</v>
      </c>
      <c r="V52" s="16">
        <f t="shared" si="36"/>
        <v>0.96487845832805319</v>
      </c>
      <c r="W52" s="16">
        <f t="shared" ref="W52" si="37">IF(W6=0,0,W6/W$3)</f>
        <v>0.97088510241726522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0.82892473678044754</v>
      </c>
      <c r="C54" s="103">
        <f t="shared" si="41"/>
        <v>0.8327442999370831</v>
      </c>
      <c r="D54" s="103">
        <f t="shared" ref="D54:V54" si="42">IF(D8=0,0,D8/D$3)</f>
        <v>0.83149194998857323</v>
      </c>
      <c r="E54" s="103">
        <f t="shared" si="42"/>
        <v>0.83930715748084872</v>
      </c>
      <c r="F54" s="103">
        <f t="shared" si="42"/>
        <v>0.83911924361715862</v>
      </c>
      <c r="G54" s="103">
        <f t="shared" si="42"/>
        <v>0.85989435873579256</v>
      </c>
      <c r="H54" s="103">
        <f t="shared" si="42"/>
        <v>0.86563311585907732</v>
      </c>
      <c r="I54" s="103">
        <f t="shared" si="42"/>
        <v>0.86651178255263628</v>
      </c>
      <c r="J54" s="103">
        <f t="shared" si="42"/>
        <v>0.86843003412492237</v>
      </c>
      <c r="K54" s="103">
        <f t="shared" si="42"/>
        <v>0.85127666479755171</v>
      </c>
      <c r="L54" s="103">
        <f t="shared" si="42"/>
        <v>0.86400504613583251</v>
      </c>
      <c r="M54" s="103">
        <f t="shared" si="42"/>
        <v>0.86983376547968294</v>
      </c>
      <c r="N54" s="103">
        <f t="shared" si="42"/>
        <v>0.87617981985172322</v>
      </c>
      <c r="O54" s="103">
        <f t="shared" si="42"/>
        <v>0.87917027249737478</v>
      </c>
      <c r="P54" s="103">
        <f t="shared" si="42"/>
        <v>0.8821682957562953</v>
      </c>
      <c r="Q54" s="103">
        <f t="shared" si="42"/>
        <v>0.88717742979797787</v>
      </c>
      <c r="R54" s="103">
        <f t="shared" si="42"/>
        <v>0.89830921571860056</v>
      </c>
      <c r="S54" s="103">
        <f t="shared" si="42"/>
        <v>0.90019943505758959</v>
      </c>
      <c r="T54" s="103">
        <f t="shared" si="42"/>
        <v>0.90439914173009761</v>
      </c>
      <c r="U54" s="103">
        <f t="shared" si="42"/>
        <v>0.9027450719386263</v>
      </c>
      <c r="V54" s="103">
        <f t="shared" si="42"/>
        <v>0.84407171298802119</v>
      </c>
      <c r="W54" s="103">
        <f t="shared" ref="W54" si="43">IF(W8=0,0,W8/W$3)</f>
        <v>0.86187294186252084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0.15023450298373228</v>
      </c>
      <c r="C55" s="103">
        <f t="shared" si="44"/>
        <v>0.15102673773780673</v>
      </c>
      <c r="D55" s="103">
        <f t="shared" ref="D55:V55" si="45">IF(D9=0,0,D9/D$3)</f>
        <v>0.15084005873901402</v>
      </c>
      <c r="E55" s="103">
        <f t="shared" si="45"/>
        <v>0.15219664210563158</v>
      </c>
      <c r="F55" s="103">
        <f t="shared" si="45"/>
        <v>0.1521856096904517</v>
      </c>
      <c r="G55" s="103">
        <f t="shared" si="45"/>
        <v>0.13215368916354542</v>
      </c>
      <c r="H55" s="103">
        <f t="shared" si="45"/>
        <v>0.12407421667677447</v>
      </c>
      <c r="I55" s="103">
        <f t="shared" si="45"/>
        <v>0.12304653527587066</v>
      </c>
      <c r="J55" s="103">
        <f t="shared" si="45"/>
        <v>0.12253549535559172</v>
      </c>
      <c r="K55" s="103">
        <f t="shared" si="45"/>
        <v>0.14020922486328632</v>
      </c>
      <c r="L55" s="103">
        <f t="shared" si="45"/>
        <v>0.12749392796825157</v>
      </c>
      <c r="M55" s="103">
        <f t="shared" si="45"/>
        <v>0.12235353719685887</v>
      </c>
      <c r="N55" s="103">
        <f t="shared" si="45"/>
        <v>0.11017833552122674</v>
      </c>
      <c r="O55" s="103">
        <f t="shared" si="45"/>
        <v>0.10758669766135316</v>
      </c>
      <c r="P55" s="103">
        <f t="shared" si="45"/>
        <v>0.10726595331008343</v>
      </c>
      <c r="Q55" s="103">
        <f t="shared" si="45"/>
        <v>0.10240262363606907</v>
      </c>
      <c r="R55" s="103">
        <f t="shared" si="45"/>
        <v>9.3022105269117833E-2</v>
      </c>
      <c r="S55" s="103">
        <f t="shared" si="45"/>
        <v>9.0313237310710434E-2</v>
      </c>
      <c r="T55" s="103">
        <f t="shared" si="45"/>
        <v>8.6594572395236033E-2</v>
      </c>
      <c r="U55" s="103">
        <f t="shared" si="45"/>
        <v>8.8178935298008479E-2</v>
      </c>
      <c r="V55" s="103">
        <f t="shared" si="45"/>
        <v>0.12080674534003195</v>
      </c>
      <c r="W55" s="103">
        <f t="shared" ref="W55" si="46">IF(W9=0,0,W9/W$3)</f>
        <v>0.10901216055474444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2.084076023582011E-2</v>
      </c>
      <c r="C56" s="17">
        <f t="shared" si="47"/>
        <v>1.6228962325110261E-2</v>
      </c>
      <c r="D56" s="17">
        <f t="shared" ref="D56:V56" si="48">IF(D10=0,0,D10/D$3)</f>
        <v>1.7667991272412836E-2</v>
      </c>
      <c r="E56" s="17">
        <f t="shared" si="48"/>
        <v>8.4962004135195977E-3</v>
      </c>
      <c r="F56" s="17">
        <f t="shared" si="48"/>
        <v>8.6951466923895476E-3</v>
      </c>
      <c r="G56" s="17">
        <f t="shared" si="48"/>
        <v>7.9519521006622788E-3</v>
      </c>
      <c r="H56" s="17">
        <f t="shared" si="48"/>
        <v>1.0292667464148017E-2</v>
      </c>
      <c r="I56" s="17">
        <f t="shared" si="48"/>
        <v>1.0441682171492998E-2</v>
      </c>
      <c r="J56" s="17">
        <f t="shared" si="48"/>
        <v>9.0344705194859952E-3</v>
      </c>
      <c r="K56" s="17">
        <f t="shared" si="48"/>
        <v>8.514110339161959E-3</v>
      </c>
      <c r="L56" s="17">
        <f t="shared" si="48"/>
        <v>8.5010258959159635E-3</v>
      </c>
      <c r="M56" s="17">
        <f t="shared" si="48"/>
        <v>7.8126973234582016E-3</v>
      </c>
      <c r="N56" s="17">
        <f t="shared" si="48"/>
        <v>1.3641844627050086E-2</v>
      </c>
      <c r="O56" s="17">
        <f t="shared" si="48"/>
        <v>1.3243029841272073E-2</v>
      </c>
      <c r="P56" s="17">
        <f t="shared" si="48"/>
        <v>1.0565750933621337E-2</v>
      </c>
      <c r="Q56" s="17">
        <f t="shared" si="48"/>
        <v>1.0419946565953138E-2</v>
      </c>
      <c r="R56" s="17">
        <f t="shared" si="48"/>
        <v>8.668679012281473E-3</v>
      </c>
      <c r="S56" s="17">
        <f t="shared" si="48"/>
        <v>9.4873276316999322E-3</v>
      </c>
      <c r="T56" s="17">
        <f t="shared" si="48"/>
        <v>9.0062858746664236E-3</v>
      </c>
      <c r="U56" s="17">
        <f t="shared" si="48"/>
        <v>9.0759927633651243E-3</v>
      </c>
      <c r="V56" s="17">
        <f t="shared" si="48"/>
        <v>3.5121541671946734E-2</v>
      </c>
      <c r="W56" s="17">
        <f t="shared" ref="W56" si="49">IF(W10=0,0,W10/W$3)</f>
        <v>2.9114897582734726E-2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2.0460809572424774E-2</v>
      </c>
      <c r="C58" s="104">
        <f t="shared" si="53"/>
        <v>1.5938650326696731E-2</v>
      </c>
      <c r="D58" s="104">
        <f t="shared" ref="D58:V58" si="54">IF(D12=0,0,D12/D$3)</f>
        <v>1.7345883780706353E-2</v>
      </c>
      <c r="E58" s="104">
        <f t="shared" si="54"/>
        <v>8.2125802989984932E-3</v>
      </c>
      <c r="F58" s="104">
        <f t="shared" si="54"/>
        <v>8.3637178467822169E-3</v>
      </c>
      <c r="G58" s="104">
        <f t="shared" si="54"/>
        <v>7.6079918710333858E-3</v>
      </c>
      <c r="H58" s="104">
        <f t="shared" si="54"/>
        <v>9.5744854806567511E-3</v>
      </c>
      <c r="I58" s="104">
        <f t="shared" si="54"/>
        <v>9.4156183318925245E-3</v>
      </c>
      <c r="J58" s="104">
        <f t="shared" si="54"/>
        <v>8.4476848720139372E-3</v>
      </c>
      <c r="K58" s="104">
        <f t="shared" si="54"/>
        <v>8.3619423525056105E-3</v>
      </c>
      <c r="L58" s="104">
        <f t="shared" si="54"/>
        <v>8.2820282807305589E-3</v>
      </c>
      <c r="M58" s="104">
        <f t="shared" si="54"/>
        <v>7.4454708453662016E-3</v>
      </c>
      <c r="N58" s="104">
        <f t="shared" si="54"/>
        <v>6.6088299383226185E-3</v>
      </c>
      <c r="O58" s="104">
        <f t="shared" si="54"/>
        <v>1.0408332330202328E-2</v>
      </c>
      <c r="P58" s="104">
        <f t="shared" si="54"/>
        <v>9.399106973981157E-3</v>
      </c>
      <c r="Q58" s="104">
        <f t="shared" si="54"/>
        <v>9.4226087721432008E-3</v>
      </c>
      <c r="R58" s="104">
        <f t="shared" si="54"/>
        <v>8.1148698962117821E-3</v>
      </c>
      <c r="S58" s="104">
        <f t="shared" si="54"/>
        <v>9.2251688919710376E-3</v>
      </c>
      <c r="T58" s="104">
        <f t="shared" si="54"/>
        <v>8.6429550302672565E-3</v>
      </c>
      <c r="U58" s="104">
        <f t="shared" si="54"/>
        <v>8.6474782385329227E-3</v>
      </c>
      <c r="V58" s="104">
        <f t="shared" si="54"/>
        <v>3.1364182615350088E-2</v>
      </c>
      <c r="W58" s="104">
        <f t="shared" ref="W58" si="55">IF(W12=0,0,W12/W$3)</f>
        <v>2.7350562618913228E-2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3.7995066339533448E-4</v>
      </c>
      <c r="C59" s="105">
        <f t="shared" si="56"/>
        <v>2.9031199841352988E-4</v>
      </c>
      <c r="D59" s="105">
        <f t="shared" ref="D59:V59" si="57">IF(D13=0,0,D13/D$3)</f>
        <v>3.2210749170648344E-4</v>
      </c>
      <c r="E59" s="105">
        <f t="shared" si="57"/>
        <v>2.8362011452110386E-4</v>
      </c>
      <c r="F59" s="105">
        <f t="shared" si="57"/>
        <v>3.3142884560733175E-4</v>
      </c>
      <c r="G59" s="105">
        <f t="shared" si="57"/>
        <v>3.439602296288933E-4</v>
      </c>
      <c r="H59" s="105">
        <f t="shared" si="57"/>
        <v>7.1818198349126513E-4</v>
      </c>
      <c r="I59" s="105">
        <f t="shared" si="57"/>
        <v>1.0260638396004738E-3</v>
      </c>
      <c r="J59" s="105">
        <f t="shared" si="57"/>
        <v>5.8678564747205843E-4</v>
      </c>
      <c r="K59" s="105">
        <f t="shared" si="57"/>
        <v>1.5216798665634856E-4</v>
      </c>
      <c r="L59" s="105">
        <f t="shared" si="57"/>
        <v>2.1899761518540508E-4</v>
      </c>
      <c r="M59" s="105">
        <f t="shared" si="57"/>
        <v>3.6722647809200052E-4</v>
      </c>
      <c r="N59" s="105">
        <f t="shared" si="57"/>
        <v>7.0330146887274672E-3</v>
      </c>
      <c r="O59" s="105">
        <f t="shared" si="57"/>
        <v>2.8346975110697436E-3</v>
      </c>
      <c r="P59" s="105">
        <f t="shared" si="57"/>
        <v>1.1666439596401809E-3</v>
      </c>
      <c r="Q59" s="105">
        <f t="shared" si="57"/>
        <v>9.9733779380993775E-4</v>
      </c>
      <c r="R59" s="105">
        <f t="shared" si="57"/>
        <v>5.5380911606969254E-4</v>
      </c>
      <c r="S59" s="105">
        <f t="shared" si="57"/>
        <v>2.6215873972889562E-4</v>
      </c>
      <c r="T59" s="105">
        <f t="shared" si="57"/>
        <v>3.6333084439916705E-4</v>
      </c>
      <c r="U59" s="105">
        <f t="shared" si="57"/>
        <v>4.2851452483220153E-4</v>
      </c>
      <c r="V59" s="105">
        <f t="shared" si="57"/>
        <v>3.7573590565966463E-3</v>
      </c>
      <c r="W59" s="105">
        <f t="shared" ref="W59" si="58">IF(W13=0,0,W13/W$3)</f>
        <v>1.7643349638214992E-3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497482</v>
      </c>
      <c r="C4" s="11">
        <f t="shared" si="0"/>
        <v>670499</v>
      </c>
      <c r="D4" s="11">
        <f t="shared" ref="D4" si="1">SUM(D5:D7)</f>
        <v>619946</v>
      </c>
      <c r="E4" s="11">
        <f t="shared" ref="E4" si="2">SUM(E5:E7)</f>
        <v>733498</v>
      </c>
      <c r="F4" s="11">
        <f t="shared" ref="F4" si="3">SUM(F5:F7)</f>
        <v>808951</v>
      </c>
      <c r="G4" s="11">
        <f t="shared" ref="G4" si="4">SUM(G5:G7)</f>
        <v>1098917</v>
      </c>
      <c r="H4" s="11">
        <f t="shared" ref="H4" si="5">SUM(H5:H7)</f>
        <v>1373006</v>
      </c>
      <c r="I4" s="11">
        <f t="shared" ref="I4" si="6">SUM(I5:I7)</f>
        <v>1655934</v>
      </c>
      <c r="J4" s="11">
        <f t="shared" ref="J4" si="7">SUM(J5:J7)</f>
        <v>1968903</v>
      </c>
      <c r="K4" s="11">
        <f t="shared" ref="K4" si="8">SUM(K5:K7)</f>
        <v>1340811</v>
      </c>
      <c r="L4" s="11">
        <f t="shared" ref="L4" si="9">SUM(L5:L7)</f>
        <v>1701162</v>
      </c>
      <c r="M4" s="11">
        <f t="shared" ref="M4" si="10">SUM(M5:M7)</f>
        <v>1888788</v>
      </c>
      <c r="N4" s="11">
        <f t="shared" ref="N4" si="11">SUM(N5:N7)</f>
        <v>2165299</v>
      </c>
      <c r="O4" s="11">
        <f t="shared" ref="O4" si="12">SUM(O5:O7)</f>
        <v>2296214</v>
      </c>
      <c r="P4" s="11">
        <f t="shared" ref="P4" si="13">SUM(P5:P7)</f>
        <v>2551470</v>
      </c>
      <c r="Q4" s="11">
        <f t="shared" ref="Q4" si="14">SUM(Q5:Q7)</f>
        <v>2772319</v>
      </c>
      <c r="R4" s="11">
        <f t="shared" ref="R4" si="15">SUM(R5:R7)</f>
        <v>3093189</v>
      </c>
      <c r="S4" s="11">
        <f t="shared" ref="S4" si="16">SUM(S5:S7)</f>
        <v>3344083</v>
      </c>
      <c r="T4" s="11">
        <f t="shared" ref="T4" si="17">SUM(T5:T7)</f>
        <v>3923322</v>
      </c>
      <c r="U4" s="11">
        <f t="shared" ref="U4" si="18">SUM(U5:U7)</f>
        <v>4047271</v>
      </c>
      <c r="V4" s="11">
        <f t="shared" ref="V4:W4" si="19">SUM(V5:V7)</f>
        <v>1590683</v>
      </c>
      <c r="W4" s="11">
        <f t="shared" si="19"/>
        <v>2002083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427869</v>
      </c>
      <c r="C6" s="84">
        <v>578313</v>
      </c>
      <c r="D6" s="84">
        <v>537017</v>
      </c>
      <c r="E6" s="84">
        <v>638358</v>
      </c>
      <c r="F6" s="84">
        <v>706257</v>
      </c>
      <c r="G6" s="84">
        <v>976586</v>
      </c>
      <c r="H6" s="84">
        <v>1229249</v>
      </c>
      <c r="I6" s="84">
        <v>1445122</v>
      </c>
      <c r="J6" s="84">
        <v>1682355</v>
      </c>
      <c r="K6" s="84">
        <v>1163204</v>
      </c>
      <c r="L6" s="84">
        <v>1521002</v>
      </c>
      <c r="M6" s="84">
        <v>1701277</v>
      </c>
      <c r="N6" s="84">
        <v>1927354</v>
      </c>
      <c r="O6" s="84">
        <v>2006158</v>
      </c>
      <c r="P6" s="84">
        <v>2139061</v>
      </c>
      <c r="Q6" s="84">
        <v>2316445</v>
      </c>
      <c r="R6" s="84">
        <v>2570294</v>
      </c>
      <c r="S6" s="84">
        <v>2762332</v>
      </c>
      <c r="T6" s="84">
        <v>3183407</v>
      </c>
      <c r="U6" s="84">
        <v>3161200</v>
      </c>
      <c r="V6" s="84">
        <v>1370942</v>
      </c>
      <c r="W6" s="84">
        <v>1611142</v>
      </c>
      <c r="DA6" s="171" t="s">
        <v>363</v>
      </c>
    </row>
    <row r="7" spans="1:105" ht="11.45" customHeight="1" x14ac:dyDescent="0.25">
      <c r="A7" s="85" t="s">
        <v>174</v>
      </c>
      <c r="B7" s="86">
        <v>69613</v>
      </c>
      <c r="C7" s="86">
        <v>92186</v>
      </c>
      <c r="D7" s="86">
        <v>82929</v>
      </c>
      <c r="E7" s="86">
        <v>95140</v>
      </c>
      <c r="F7" s="86">
        <v>102694</v>
      </c>
      <c r="G7" s="86">
        <v>122331</v>
      </c>
      <c r="H7" s="86">
        <v>143757</v>
      </c>
      <c r="I7" s="86">
        <v>210812</v>
      </c>
      <c r="J7" s="86">
        <v>286548</v>
      </c>
      <c r="K7" s="86">
        <v>177607</v>
      </c>
      <c r="L7" s="86">
        <v>180160</v>
      </c>
      <c r="M7" s="86">
        <v>187511</v>
      </c>
      <c r="N7" s="86">
        <v>237945</v>
      </c>
      <c r="O7" s="86">
        <v>290056</v>
      </c>
      <c r="P7" s="86">
        <v>412409</v>
      </c>
      <c r="Q7" s="86">
        <v>455874</v>
      </c>
      <c r="R7" s="86">
        <v>522895</v>
      </c>
      <c r="S7" s="86">
        <v>581751</v>
      </c>
      <c r="T7" s="86">
        <v>739915</v>
      </c>
      <c r="U7" s="86">
        <v>886071</v>
      </c>
      <c r="V7" s="86">
        <v>219741</v>
      </c>
      <c r="W7" s="86">
        <v>390941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62.765833964168557</v>
      </c>
      <c r="C12" s="14">
        <f>IF(C4=0,0,C4/TrAvia_act!C24)</f>
        <v>64.33496449817693</v>
      </c>
      <c r="D12" s="14">
        <f>IF(D4=0,0,D4/TrAvia_act!D24)</f>
        <v>66.099370935067711</v>
      </c>
      <c r="E12" s="14">
        <f>IF(E4=0,0,E4/TrAvia_act!E24)</f>
        <v>68.21968005952381</v>
      </c>
      <c r="F12" s="14">
        <f>IF(F4=0,0,F4/TrAvia_act!F24)</f>
        <v>70.349682581094015</v>
      </c>
      <c r="G12" s="14">
        <f>IF(G4=0,0,G4/TrAvia_act!G24)</f>
        <v>73.540587566084454</v>
      </c>
      <c r="H12" s="14">
        <f>IF(H4=0,0,H4/TrAvia_act!H24)</f>
        <v>86.309152627608754</v>
      </c>
      <c r="I12" s="14">
        <f>IF(I4=0,0,I4/TrAvia_act!I24)</f>
        <v>96.392921590313762</v>
      </c>
      <c r="J12" s="14">
        <f>IF(J4=0,0,J4/TrAvia_act!J24)</f>
        <v>99.524996208866199</v>
      </c>
      <c r="K12" s="14">
        <f>IF(K4=0,0,K4/TrAvia_act!K24)</f>
        <v>103.1393076923077</v>
      </c>
      <c r="L12" s="14">
        <f>IF(L4=0,0,L4/TrAvia_act!L24)</f>
        <v>107.47801364670205</v>
      </c>
      <c r="M12" s="14">
        <f>IF(M4=0,0,M4/TrAvia_act!M24)</f>
        <v>113.03339317773788</v>
      </c>
      <c r="N12" s="14">
        <f>IF(N4=0,0,N4/TrAvia_act!N24)</f>
        <v>123.11929265935066</v>
      </c>
      <c r="O12" s="14">
        <f>IF(O4=0,0,O4/TrAvia_act!O24)</f>
        <v>130.9652654993441</v>
      </c>
      <c r="P12" s="14">
        <f>IF(P4=0,0,P4/TrAvia_act!P24)</f>
        <v>129.3980119687595</v>
      </c>
      <c r="Q12" s="14">
        <f>IF(Q4=0,0,Q4/TrAvia_act!Q24)</f>
        <v>132.78661749209695</v>
      </c>
      <c r="R12" s="14">
        <f>IF(R4=0,0,R4/TrAvia_act!R24)</f>
        <v>137.78124721603564</v>
      </c>
      <c r="S12" s="14">
        <f>IF(S4=0,0,S4/TrAvia_act!S24)</f>
        <v>141.24954593453009</v>
      </c>
      <c r="T12" s="14">
        <f>IF(T4=0,0,T4/TrAvia_act!T24)</f>
        <v>149.30631350610801</v>
      </c>
      <c r="U12" s="14">
        <f>IF(U4=0,0,U4/TrAvia_act!U24)</f>
        <v>150.46176437785792</v>
      </c>
      <c r="V12" s="14">
        <f>IF(V4=0,0,V4/TrAvia_act!V24)</f>
        <v>152.33508906339782</v>
      </c>
      <c r="W12" s="14">
        <f>IF(W4=0,0,W4/TrAvia_act!W24)</f>
        <v>157.1740461610928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60.621847548880702</v>
      </c>
      <c r="C14" s="87">
        <f>IF(C6=0,0,C6/TrAvia_act!C26)</f>
        <v>62.318211206896549</v>
      </c>
      <c r="D14" s="87">
        <f>IF(D6=0,0,D6/TrAvia_act!D26)</f>
        <v>64.305711890791528</v>
      </c>
      <c r="E14" s="87">
        <f>IF(E6=0,0,E6/TrAvia_act!E26)</f>
        <v>66.676206392312508</v>
      </c>
      <c r="F14" s="87">
        <f>IF(F6=0,0,F6/TrAvia_act!F26)</f>
        <v>68.97714620568415</v>
      </c>
      <c r="G14" s="87">
        <f>IF(G6=0,0,G6/TrAvia_act!G26)</f>
        <v>72.51696740179699</v>
      </c>
      <c r="H14" s="87">
        <f>IF(H6=0,0,H6/TrAvia_act!H26)</f>
        <v>86.805239742956005</v>
      </c>
      <c r="I14" s="87">
        <f>IF(I6=0,0,I6/TrAvia_act!I26)</f>
        <v>96.322202226221421</v>
      </c>
      <c r="J14" s="87">
        <f>IF(J6=0,0,J6/TrAvia_act!J26)</f>
        <v>99.955736438714283</v>
      </c>
      <c r="K14" s="87">
        <f>IF(K6=0,0,K6/TrAvia_act!K26)</f>
        <v>103.41429587482219</v>
      </c>
      <c r="L14" s="87">
        <f>IF(L6=0,0,L6/TrAvia_act!L26)</f>
        <v>109.16543457977464</v>
      </c>
      <c r="M14" s="87">
        <f>IF(M6=0,0,M6/TrAvia_act!M26)</f>
        <v>116.90215075929362</v>
      </c>
      <c r="N14" s="87">
        <f>IF(N6=0,0,N6/TrAvia_act!N26)</f>
        <v>128.58456201214224</v>
      </c>
      <c r="O14" s="87">
        <f>IF(O6=0,0,O6/TrAvia_act!O26)</f>
        <v>133.38816489361702</v>
      </c>
      <c r="P14" s="87">
        <f>IF(P6=0,0,P6/TrAvia_act!P26)</f>
        <v>129.37347284383694</v>
      </c>
      <c r="Q14" s="87">
        <f>IF(Q6=0,0,Q6/TrAvia_act!Q26)</f>
        <v>133.35895221646518</v>
      </c>
      <c r="R14" s="87">
        <f>IF(R6=0,0,R6/TrAvia_act!R26)</f>
        <v>137.8617249517271</v>
      </c>
      <c r="S14" s="87">
        <f>IF(S6=0,0,S6/TrAvia_act!S26)</f>
        <v>139.57516042645648</v>
      </c>
      <c r="T14" s="87">
        <f>IF(T6=0,0,T6/TrAvia_act!T26)</f>
        <v>145.90068289105824</v>
      </c>
      <c r="U14" s="87">
        <f>IF(U6=0,0,U6/TrAvia_act!U26)</f>
        <v>146.63017765202468</v>
      </c>
      <c r="V14" s="87">
        <f>IF(V6=0,0,V6/TrAvia_act!V26)</f>
        <v>151.30140161130117</v>
      </c>
      <c r="W14" s="87">
        <f>IF(W6=0,0,W6/TrAvia_act!W26)</f>
        <v>157.18458536585365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80.19930875576037</v>
      </c>
      <c r="C15" s="88">
        <f>IF(C7=0,0,C7/TrAvia_act!C27)</f>
        <v>80.723292469352018</v>
      </c>
      <c r="D15" s="88">
        <f>IF(D7=0,0,D7/TrAvia_act!D27)</f>
        <v>80.670233463035018</v>
      </c>
      <c r="E15" s="88">
        <f>IF(E7=0,0,E7/TrAvia_act!E27)</f>
        <v>80.764006791171482</v>
      </c>
      <c r="F15" s="88">
        <f>IF(F7=0,0,F7/TrAvia_act!F27)</f>
        <v>81.5031746031746</v>
      </c>
      <c r="G15" s="88">
        <f>IF(G7=0,0,G7/TrAvia_act!G27)</f>
        <v>82.880081300813004</v>
      </c>
      <c r="H15" s="88">
        <f>IF(H7=0,0,H7/TrAvia_act!H27)</f>
        <v>82.287922152261018</v>
      </c>
      <c r="I15" s="88">
        <f>IF(I7=0,0,I7/TrAvia_act!I27)</f>
        <v>96.880514705882348</v>
      </c>
      <c r="J15" s="88">
        <f>IF(J7=0,0,J7/TrAvia_act!J27)</f>
        <v>97.069105691056905</v>
      </c>
      <c r="K15" s="88">
        <f>IF(K7=0,0,K7/TrAvia_act!K27)</f>
        <v>101.37385844748859</v>
      </c>
      <c r="L15" s="88">
        <f>IF(L7=0,0,L7/TrAvia_act!L27)</f>
        <v>95.071240105540895</v>
      </c>
      <c r="M15" s="88">
        <f>IF(M7=0,0,M7/TrAvia_act!M27)</f>
        <v>86.931386184515532</v>
      </c>
      <c r="N15" s="88">
        <f>IF(N7=0,0,N7/TrAvia_act!N27)</f>
        <v>91.587759815242492</v>
      </c>
      <c r="O15" s="88">
        <f>IF(O7=0,0,O7/TrAvia_act!O27)</f>
        <v>116.34817488969114</v>
      </c>
      <c r="P15" s="88">
        <f>IF(P7=0,0,P7/TrAvia_act!P27)</f>
        <v>129.52543969849245</v>
      </c>
      <c r="Q15" s="88">
        <f>IF(Q7=0,0,Q7/TrAvia_act!Q27)</f>
        <v>129.9526795895097</v>
      </c>
      <c r="R15" s="88">
        <f>IF(R7=0,0,R7/TrAvia_act!R27)</f>
        <v>137.3870204939569</v>
      </c>
      <c r="S15" s="88">
        <f>IF(S7=0,0,S7/TrAvia_act!S27)</f>
        <v>149.78141091658085</v>
      </c>
      <c r="T15" s="88">
        <f>IF(T7=0,0,T7/TrAvia_act!T27)</f>
        <v>165.97465231045311</v>
      </c>
      <c r="U15" s="88">
        <f>IF(U7=0,0,U7/TrAvia_act!U27)</f>
        <v>165.93089887640448</v>
      </c>
      <c r="V15" s="88">
        <f>IF(V7=0,0,V7/TrAvia_act!V27)</f>
        <v>159.11730629978277</v>
      </c>
      <c r="W15" s="88">
        <f>IF(W7=0,0,W7/TrAvia_act!W27)</f>
        <v>157.1306270096463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0.64907273026963785</v>
      </c>
      <c r="C18" s="25">
        <f>IF(TrAvia_act!C34=0,0,(TrAvia_act!C34/TrAvia_act!C24)/TrAvia_png!C12)</f>
        <v>0.64914041631680286</v>
      </c>
      <c r="D18" s="25">
        <f>IF(TrAvia_act!D34=0,0,(TrAvia_act!D34/TrAvia_act!D24)/TrAvia_png!D12)</f>
        <v>0.64912911769734782</v>
      </c>
      <c r="E18" s="25">
        <f>IF(TrAvia_act!E34=0,0,(TrAvia_act!E34/TrAvia_act!E24)/TrAvia_png!E12)</f>
        <v>0.64803448680159992</v>
      </c>
      <c r="F18" s="25">
        <f>IF(TrAvia_act!F34=0,0,(TrAvia_act!F34/TrAvia_act!F24)/TrAvia_png!F12)</f>
        <v>0.65031132911634948</v>
      </c>
      <c r="G18" s="25">
        <f>IF(TrAvia_act!G34=0,0,(TrAvia_act!G34/TrAvia_act!G24)/TrAvia_png!G12)</f>
        <v>0.65578838074213064</v>
      </c>
      <c r="H18" s="25">
        <f>IF(TrAvia_act!H34=0,0,(TrAvia_act!H34/TrAvia_act!H24)/TrAvia_png!H12)</f>
        <v>0.66032923381252517</v>
      </c>
      <c r="I18" s="25">
        <f>IF(TrAvia_act!I34=0,0,(TrAvia_act!I34/TrAvia_act!I24)/TrAvia_png!I12)</f>
        <v>0.66472697583357787</v>
      </c>
      <c r="J18" s="25">
        <f>IF(TrAvia_act!J34=0,0,(TrAvia_act!J34/TrAvia_act!J24)/TrAvia_png!J12)</f>
        <v>0.65189956031353502</v>
      </c>
      <c r="K18" s="25">
        <f>IF(TrAvia_act!K34=0,0,(TrAvia_act!K34/TrAvia_act!K24)/TrAvia_png!K12)</f>
        <v>0.70261133000847986</v>
      </c>
      <c r="L18" s="25">
        <f>IF(TrAvia_act!L34=0,0,(TrAvia_act!L34/TrAvia_act!L24)/TrAvia_png!L12)</f>
        <v>0.69041866677012542</v>
      </c>
      <c r="M18" s="25">
        <f>IF(TrAvia_act!M34=0,0,(TrAvia_act!M34/TrAvia_act!M24)/TrAvia_png!M12)</f>
        <v>0.71759138664582789</v>
      </c>
      <c r="N18" s="25">
        <f>IF(TrAvia_act!N34=0,0,(TrAvia_act!N34/TrAvia_act!N24)/TrAvia_png!N12)</f>
        <v>0.73602029096212573</v>
      </c>
      <c r="O18" s="25">
        <f>IF(TrAvia_act!O34=0,0,(TrAvia_act!O34/TrAvia_act!O24)/TrAvia_png!O12)</f>
        <v>0.76502364326669903</v>
      </c>
      <c r="P18" s="25">
        <f>IF(TrAvia_act!P34=0,0,(TrAvia_act!P34/TrAvia_act!P24)/TrAvia_png!P12)</f>
        <v>0.74995512390896235</v>
      </c>
      <c r="Q18" s="25">
        <f>IF(TrAvia_act!Q34=0,0,(TrAvia_act!Q34/TrAvia_act!Q24)/TrAvia_png!Q12)</f>
        <v>0.76437596106364369</v>
      </c>
      <c r="R18" s="25">
        <f>IF(TrAvia_act!R34=0,0,(TrAvia_act!R34/TrAvia_act!R24)/TrAvia_png!R12)</f>
        <v>0.7735004230262037</v>
      </c>
      <c r="S18" s="25">
        <f>IF(TrAvia_act!S34=0,0,(TrAvia_act!S34/TrAvia_act!S24)/TrAvia_png!S12)</f>
        <v>0.78541262283262714</v>
      </c>
      <c r="T18" s="25">
        <f>IF(TrAvia_act!T34=0,0,(TrAvia_act!T34/TrAvia_act!T24)/TrAvia_png!T12)</f>
        <v>0.79618088956246769</v>
      </c>
      <c r="U18" s="25">
        <f>IF(TrAvia_act!U34=0,0,(TrAvia_act!U34/TrAvia_act!U24)/TrAvia_png!U12)</f>
        <v>0.80077291587343669</v>
      </c>
      <c r="V18" s="25">
        <f>IF(TrAvia_act!V34=0,0,(TrAvia_act!V34/TrAvia_act!V24)/TrAvia_png!V12)</f>
        <v>0.57004255404753801</v>
      </c>
      <c r="W18" s="25">
        <f>IF(TrAvia_act!W34=0,0,(TrAvia_act!W34/TrAvia_act!W24)/TrAvia_png!W12)</f>
        <v>0.60583801970247986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0.61992806209377171</v>
      </c>
      <c r="C20" s="89">
        <f>IF(TrAvia_act!C36=0,0,(TrAvia_act!C36/TrAvia_act!C26)/TrAvia_png!C14)</f>
        <v>0.62087312579865916</v>
      </c>
      <c r="D20" s="89">
        <f>IF(TrAvia_act!D36=0,0,(TrAvia_act!D36/TrAvia_act!D26)/TrAvia_png!D14)</f>
        <v>0.62216093717703524</v>
      </c>
      <c r="E20" s="89">
        <f>IF(TrAvia_act!E36=0,0,(TrAvia_act!E36/TrAvia_act!E26)/TrAvia_png!E14)</f>
        <v>0.62297801547094267</v>
      </c>
      <c r="F20" s="89">
        <f>IF(TrAvia_act!F36=0,0,(TrAvia_act!F36/TrAvia_act!F26)/TrAvia_png!F14)</f>
        <v>0.62636405727660038</v>
      </c>
      <c r="G20" s="89">
        <f>IF(TrAvia_act!G36=0,0,(TrAvia_act!G36/TrAvia_act!G26)/TrAvia_png!G14)</f>
        <v>0.63628088053689069</v>
      </c>
      <c r="H20" s="89">
        <f>IF(TrAvia_act!H36=0,0,(TrAvia_act!H36/TrAvia_act!H26)/TrAvia_png!H14)</f>
        <v>0.64356123128837195</v>
      </c>
      <c r="I20" s="89">
        <f>IF(TrAvia_act!I36=0,0,(TrAvia_act!I36/TrAvia_act!I26)/TrAvia_png!I14)</f>
        <v>0.64666166593547125</v>
      </c>
      <c r="J20" s="89">
        <f>IF(TrAvia_act!J36=0,0,(TrAvia_act!J36/TrAvia_act!J26)/TrAvia_png!J14)</f>
        <v>0.64010746839995125</v>
      </c>
      <c r="K20" s="89">
        <f>IF(TrAvia_act!K36=0,0,(TrAvia_act!K36/TrAvia_act!K26)/TrAvia_png!K14)</f>
        <v>0.68776414111368267</v>
      </c>
      <c r="L20" s="89">
        <f>IF(TrAvia_act!L36=0,0,(TrAvia_act!L36/TrAvia_act!L26)/TrAvia_png!L14)</f>
        <v>0.68140870294713607</v>
      </c>
      <c r="M20" s="89">
        <f>IF(TrAvia_act!M36=0,0,(TrAvia_act!M36/TrAvia_act!M26)/TrAvia_png!M14)</f>
        <v>0.71881416136231779</v>
      </c>
      <c r="N20" s="89">
        <f>IF(TrAvia_act!N36=0,0,(TrAvia_act!N36/TrAvia_act!N26)/TrAvia_png!N14)</f>
        <v>0.75134458952532845</v>
      </c>
      <c r="O20" s="89">
        <f>IF(TrAvia_act!O36=0,0,(TrAvia_act!O36/TrAvia_act!O26)/TrAvia_png!O14)</f>
        <v>0.77934439859672067</v>
      </c>
      <c r="P20" s="89">
        <f>IF(TrAvia_act!P36=0,0,(TrAvia_act!P36/TrAvia_act!P26)/TrAvia_png!P14)</f>
        <v>0.76608895211497008</v>
      </c>
      <c r="Q20" s="89">
        <f>IF(TrAvia_act!Q36=0,0,(TrAvia_act!Q36/TrAvia_act!Q26)/TrAvia_png!Q14)</f>
        <v>0.78213167159159824</v>
      </c>
      <c r="R20" s="89">
        <f>IF(TrAvia_act!R36=0,0,(TrAvia_act!R36/TrAvia_act!R26)/TrAvia_png!R14)</f>
        <v>0.79623381605372767</v>
      </c>
      <c r="S20" s="89">
        <f>IF(TrAvia_act!S36=0,0,(TrAvia_act!S36/TrAvia_act!S26)/TrAvia_png!S14)</f>
        <v>0.80015327628974353</v>
      </c>
      <c r="T20" s="89">
        <f>IF(TrAvia_act!T36=0,0,(TrAvia_act!T36/TrAvia_act!T26)/TrAvia_png!T14)</f>
        <v>0.80911614506093643</v>
      </c>
      <c r="U20" s="89">
        <f>IF(TrAvia_act!U36=0,0,(TrAvia_act!U36/TrAvia_act!U26)/TrAvia_png!U14)</f>
        <v>0.81325825635834492</v>
      </c>
      <c r="V20" s="89">
        <f>IF(TrAvia_act!V36=0,0,(TrAvia_act!V36/TrAvia_act!V26)/TrAvia_png!V14)</f>
        <v>0.57002411480573212</v>
      </c>
      <c r="W20" s="89">
        <f>IF(TrAvia_act!W36=0,0,(TrAvia_act!W36/TrAvia_act!W26)/TrAvia_png!W14)</f>
        <v>0.59209616532869236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0.82820737505925623</v>
      </c>
      <c r="C21" s="90">
        <f>IF(TrAvia_act!C37=0,0,(TrAvia_act!C37/TrAvia_act!C27)/TrAvia_png!C15)</f>
        <v>0.82647039680645651</v>
      </c>
      <c r="D21" s="90">
        <f>IF(TrAvia_act!D37=0,0,(TrAvia_act!D37/TrAvia_act!D27)/TrAvia_png!D15)</f>
        <v>0.823764907330367</v>
      </c>
      <c r="E21" s="90">
        <f>IF(TrAvia_act!E37=0,0,(TrAvia_act!E37/TrAvia_act!E27)/TrAvia_png!E15)</f>
        <v>0.81615513979398768</v>
      </c>
      <c r="F21" s="90">
        <f>IF(TrAvia_act!F37=0,0,(TrAvia_act!F37/TrAvia_act!F27)/TrAvia_png!F15)</f>
        <v>0.81500379769022546</v>
      </c>
      <c r="G21" s="90">
        <f>IF(TrAvia_act!G37=0,0,(TrAvia_act!G37/TrAvia_act!G27)/TrAvia_png!G15)</f>
        <v>0.81151956576828443</v>
      </c>
      <c r="H21" s="90">
        <f>IF(TrAvia_act!H37=0,0,(TrAvia_act!H37/TrAvia_act!H27)/TrAvia_png!H15)</f>
        <v>0.80371042801394021</v>
      </c>
      <c r="I21" s="90">
        <f>IF(TrAvia_act!I37=0,0,(TrAvia_act!I37/TrAvia_act!I27)/TrAvia_png!I15)</f>
        <v>0.78856516706828839</v>
      </c>
      <c r="J21" s="90">
        <f>IF(TrAvia_act!J37=0,0,(TrAvia_act!J37/TrAvia_act!J27)/TrAvia_png!J15)</f>
        <v>0.72113223613495814</v>
      </c>
      <c r="K21" s="90">
        <f>IF(TrAvia_act!K37=0,0,(TrAvia_act!K37/TrAvia_act!K27)/TrAvia_png!K15)</f>
        <v>0.79985023112827758</v>
      </c>
      <c r="L21" s="90">
        <f>IF(TrAvia_act!L37=0,0,(TrAvia_act!L37/TrAvia_act!L27)/TrAvia_png!L15)</f>
        <v>0.76648534635879229</v>
      </c>
      <c r="M21" s="90">
        <f>IF(TrAvia_act!M37=0,0,(TrAvia_act!M37/TrAvia_act!M27)/TrAvia_png!M15)</f>
        <v>0.70649721882982863</v>
      </c>
      <c r="N21" s="90">
        <f>IF(TrAvia_act!N37=0,0,(TrAvia_act!N37/TrAvia_act!N27)/TrAvia_png!N15)</f>
        <v>0.61189350480152982</v>
      </c>
      <c r="O21" s="90">
        <f>IF(TrAvia_act!O37=0,0,(TrAvia_act!O37/TrAvia_act!O27)/TrAvia_png!O15)</f>
        <v>0.66597484623658876</v>
      </c>
      <c r="P21" s="90">
        <f>IF(TrAvia_act!P37=0,0,(TrAvia_act!P37/TrAvia_act!P27)/TrAvia_png!P15)</f>
        <v>0.66627304447769087</v>
      </c>
      <c r="Q21" s="90">
        <f>IF(TrAvia_act!Q37=0,0,(TrAvia_act!Q37/TrAvia_act!Q27)/TrAvia_png!Q15)</f>
        <v>0.67415338448781892</v>
      </c>
      <c r="R21" s="90">
        <f>IF(TrAvia_act!R37=0,0,(TrAvia_act!R37/TrAvia_act!R27)/TrAvia_png!R15)</f>
        <v>0.66175427189015013</v>
      </c>
      <c r="S21" s="90">
        <f>IF(TrAvia_act!S37=0,0,(TrAvia_act!S37/TrAvia_act!S27)/TrAvia_png!S15)</f>
        <v>0.71541948359349616</v>
      </c>
      <c r="T21" s="90">
        <f>IF(TrAvia_act!T37=0,0,(TrAvia_act!T37/TrAvia_act!T27)/TrAvia_png!T15)</f>
        <v>0.74052830392680247</v>
      </c>
      <c r="U21" s="90">
        <f>IF(TrAvia_act!U37=0,0,(TrAvia_act!U37/TrAvia_act!U27)/TrAvia_png!U15)</f>
        <v>0.75622946693887971</v>
      </c>
      <c r="V21" s="90">
        <f>IF(TrAvia_act!V37=0,0,(TrAvia_act!V37/TrAvia_act!V27)/TrAvia_png!V15)</f>
        <v>0.5701575946227605</v>
      </c>
      <c r="W21" s="90">
        <f>IF(TrAvia_act!W37=0,0,(TrAvia_act!W37/TrAvia_act!W27)/TrAvia_png!W15)</f>
        <v>0.66247080761547139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3.7015184698987215E-2</v>
      </c>
      <c r="C24" s="23">
        <f>IF(TrAvia_ene!C6=0,0,TrAvia_ene!C6/(C12*TrAvia_act!C14))</f>
        <v>3.6244321634053715E-2</v>
      </c>
      <c r="D24" s="23">
        <f>IF(TrAvia_ene!D6=0,0,TrAvia_ene!D6/(D12*TrAvia_act!D14))</f>
        <v>3.5184995880947798E-2</v>
      </c>
      <c r="E24" s="23">
        <f>IF(TrAvia_ene!E6=0,0,TrAvia_ene!E6/(E12*TrAvia_act!E14))</f>
        <v>3.4380023170940098E-2</v>
      </c>
      <c r="F24" s="23">
        <f>IF(TrAvia_ene!F6=0,0,TrAvia_ene!F6/(F12*TrAvia_act!F14))</f>
        <v>3.3298667198513536E-2</v>
      </c>
      <c r="G24" s="23">
        <f>IF(TrAvia_ene!G6=0,0,TrAvia_ene!G6/(G12*TrAvia_act!G14))</f>
        <v>3.2383336768936594E-2</v>
      </c>
      <c r="H24" s="23">
        <f>IF(TrAvia_ene!H6=0,0,TrAvia_ene!H6/(H12*TrAvia_act!H14))</f>
        <v>2.9145540056863203E-2</v>
      </c>
      <c r="I24" s="23">
        <f>IF(TrAvia_ene!I6=0,0,TrAvia_ene!I6/(I12*TrAvia_act!I14))</f>
        <v>2.9557155078327325E-2</v>
      </c>
      <c r="J24" s="23">
        <f>IF(TrAvia_ene!J6=0,0,TrAvia_ene!J6/(J12*TrAvia_act!J14))</f>
        <v>3.2310178998270822E-2</v>
      </c>
      <c r="K24" s="23">
        <f>IF(TrAvia_ene!K6=0,0,TrAvia_ene!K6/(K12*TrAvia_act!K14))</f>
        <v>2.6636412019770621E-2</v>
      </c>
      <c r="L24" s="23">
        <f>IF(TrAvia_ene!L6=0,0,TrAvia_ene!L6/(L12*TrAvia_act!L14))</f>
        <v>2.7154287358416577E-2</v>
      </c>
      <c r="M24" s="23">
        <f>IF(TrAvia_ene!M6=0,0,TrAvia_ene!M6/(M12*TrAvia_act!M14))</f>
        <v>2.7980216131771422E-2</v>
      </c>
      <c r="N24" s="23">
        <f>IF(TrAvia_ene!N6=0,0,TrAvia_ene!N6/(N12*TrAvia_act!N14))</f>
        <v>2.6184599543236906E-2</v>
      </c>
      <c r="O24" s="23">
        <f>IF(TrAvia_ene!O6=0,0,TrAvia_ene!O6/(O12*TrAvia_act!O14))</f>
        <v>2.6162344583389369E-2</v>
      </c>
      <c r="P24" s="23">
        <f>IF(TrAvia_ene!P6=0,0,TrAvia_ene!P6/(P12*TrAvia_act!P14))</f>
        <v>2.571353234116491E-2</v>
      </c>
      <c r="Q24" s="23">
        <f>IF(TrAvia_ene!Q6=0,0,TrAvia_ene!Q6/(Q12*TrAvia_act!Q14))</f>
        <v>2.4665657063139959E-2</v>
      </c>
      <c r="R24" s="23">
        <f>IF(TrAvia_ene!R6=0,0,TrAvia_ene!R6/(R12*TrAvia_act!R14))</f>
        <v>2.6200995951257126E-2</v>
      </c>
      <c r="S24" s="23">
        <f>IF(TrAvia_ene!S6=0,0,TrAvia_ene!S6/(S12*TrAvia_act!S14))</f>
        <v>2.6523669054545632E-2</v>
      </c>
      <c r="T24" s="23">
        <f>IF(TrAvia_ene!T6=0,0,TrAvia_ene!T6/(T12*TrAvia_act!T14))</f>
        <v>2.5909771004614571E-2</v>
      </c>
      <c r="U24" s="23">
        <f>IF(TrAvia_ene!U6=0,0,TrAvia_ene!U6/(U12*TrAvia_act!U14))</f>
        <v>2.4593002995942186E-2</v>
      </c>
      <c r="V24" s="23">
        <f>IF(TrAvia_ene!V6=0,0,TrAvia_ene!V6/(V12*TrAvia_act!V14))</f>
        <v>2.6607047124986707E-2</v>
      </c>
      <c r="W24" s="23">
        <f>IF(TrAvia_ene!W6=0,0,TrAvia_ene!W6/(W12*TrAvia_act!W14))</f>
        <v>2.1508515349324537E-2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4.1545489905404687E-2</v>
      </c>
      <c r="C26" s="93">
        <f>IF(TrAvia_ene!C8=0,0,TrAvia_ene!C8/(C14*TrAvia_act!C16))</f>
        <v>4.0563971041663885E-2</v>
      </c>
      <c r="D26" s="93">
        <f>IF(TrAvia_ene!D8=0,0,TrAvia_ene!D8/(D14*TrAvia_act!D16))</f>
        <v>3.920879425446596E-2</v>
      </c>
      <c r="E26" s="93">
        <f>IF(TrAvia_ene!E8=0,0,TrAvia_ene!E8/(E14*TrAvia_act!E16))</f>
        <v>3.8133646090085002E-2</v>
      </c>
      <c r="F26" s="93">
        <f>IF(TrAvia_ene!F8=0,0,TrAvia_ene!F8/(F14*TrAvia_act!F16))</f>
        <v>3.6817246980890984E-2</v>
      </c>
      <c r="G26" s="93">
        <f>IF(TrAvia_ene!G8=0,0,TrAvia_ene!G8/(G14*TrAvia_act!G16))</f>
        <v>3.521084626067162E-2</v>
      </c>
      <c r="H26" s="93">
        <f>IF(TrAvia_ene!H8=0,0,TrAvia_ene!H8/(H14*TrAvia_act!H16))</f>
        <v>3.2219596602319489E-2</v>
      </c>
      <c r="I26" s="93">
        <f>IF(TrAvia_ene!I8=0,0,TrAvia_ene!I8/(I14*TrAvia_act!I16))</f>
        <v>3.373124868786239E-2</v>
      </c>
      <c r="J26" s="93">
        <f>IF(TrAvia_ene!J8=0,0,TrAvia_ene!J8/(J14*TrAvia_act!J16))</f>
        <v>3.4962398940489428E-2</v>
      </c>
      <c r="K26" s="93">
        <f>IF(TrAvia_ene!K8=0,0,TrAvia_ene!K8/(K14*TrAvia_act!K16))</f>
        <v>2.9054034038073533E-2</v>
      </c>
      <c r="L26" s="93">
        <f>IF(TrAvia_ene!L8=0,0,TrAvia_ene!L8/(L14*TrAvia_act!L16))</f>
        <v>2.8005322388928302E-2</v>
      </c>
      <c r="M26" s="93">
        <f>IF(TrAvia_ene!M8=0,0,TrAvia_ene!M8/(M14*TrAvia_act!M16))</f>
        <v>2.7950079786734458E-2</v>
      </c>
      <c r="N26" s="93">
        <f>IF(TrAvia_ene!N8=0,0,TrAvia_ene!N8/(N14*TrAvia_act!N16))</f>
        <v>2.6106878656487909E-2</v>
      </c>
      <c r="O26" s="93">
        <f>IF(TrAvia_ene!O8=0,0,TrAvia_ene!O8/(O14*TrAvia_act!O16))</f>
        <v>2.6876209443345411E-2</v>
      </c>
      <c r="P26" s="93">
        <f>IF(TrAvia_ene!P8=0,0,TrAvia_ene!P8/(P14*TrAvia_act!P16))</f>
        <v>2.7696083014311344E-2</v>
      </c>
      <c r="Q26" s="93">
        <f>IF(TrAvia_ene!Q8=0,0,TrAvia_ene!Q8/(Q14*TrAvia_act!Q16))</f>
        <v>2.6709448439540904E-2</v>
      </c>
      <c r="R26" s="93">
        <f>IF(TrAvia_ene!R8=0,0,TrAvia_ene!R8/(R14*TrAvia_act!R16))</f>
        <v>2.8719382357557315E-2</v>
      </c>
      <c r="S26" s="93">
        <f>IF(TrAvia_ene!S8=0,0,TrAvia_ene!S8/(S14*TrAvia_act!S16))</f>
        <v>2.9912293698852389E-2</v>
      </c>
      <c r="T26" s="93">
        <f>IF(TrAvia_ene!T8=0,0,TrAvia_ene!T8/(T14*TrAvia_act!T16))</f>
        <v>3.0768027546782005E-2</v>
      </c>
      <c r="U26" s="93">
        <f>IF(TrAvia_ene!U8=0,0,TrAvia_ene!U8/(U14*TrAvia_act!U16))</f>
        <v>3.046973321356989E-2</v>
      </c>
      <c r="V26" s="93">
        <f>IF(TrAvia_ene!V8=0,0,TrAvia_ene!V8/(V14*TrAvia_act!V16))</f>
        <v>2.8568833944886705E-2</v>
      </c>
      <c r="W26" s="93">
        <f>IF(TrAvia_ene!W8=0,0,TrAvia_ene!W8/(W14*TrAvia_act!W16))</f>
        <v>2.5596515815630459E-2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2.0289225707255786E-2</v>
      </c>
      <c r="C27" s="94">
        <f>IF(TrAvia_ene!C9=0,0,TrAvia_ene!C9/(C15*TrAvia_act!C17))</f>
        <v>2.0232102856422553E-2</v>
      </c>
      <c r="D27" s="94">
        <f>IF(TrAvia_ene!D9=0,0,TrAvia_ene!D9/(D15*TrAvia_act!D17))</f>
        <v>2.0192697326300597E-2</v>
      </c>
      <c r="E27" s="94">
        <f>IF(TrAvia_ene!E9=0,0,TrAvia_ene!E9/(E15*TrAvia_act!E17))</f>
        <v>2.0340019985579706E-2</v>
      </c>
      <c r="F27" s="94">
        <f>IF(TrAvia_ene!F9=0,0,TrAvia_ene!F9/(F15*TrAvia_act!F17))</f>
        <v>2.0131340933875488E-2</v>
      </c>
      <c r="G27" s="94">
        <f>IF(TrAvia_ene!G9=0,0,TrAvia_ene!G9/(G15*TrAvia_act!G17))</f>
        <v>1.9981516145306136E-2</v>
      </c>
      <c r="H27" s="94">
        <f>IF(TrAvia_ene!H9=0,0,TrAvia_ene!H9/(H15*TrAvia_act!H17))</f>
        <v>1.79641271781152E-2</v>
      </c>
      <c r="I27" s="94">
        <f>IF(TrAvia_ene!I9=0,0,TrAvia_ene!I9/(I15*TrAvia_act!I17))</f>
        <v>1.5752493402856501E-2</v>
      </c>
      <c r="J27" s="94">
        <f>IF(TrAvia_ene!J9=0,0,TrAvia_ene!J9/(J15*TrAvia_act!J17))</f>
        <v>2.1156314322633839E-2</v>
      </c>
      <c r="K27" s="94">
        <f>IF(TrAvia_ene!K9=0,0,TrAvia_ene!K9/(K15*TrAvia_act!K17))</f>
        <v>1.7828950860384829E-2</v>
      </c>
      <c r="L27" s="94">
        <f>IF(TrAvia_ene!L9=0,0,TrAvia_ene!L9/(L15*TrAvia_act!L17))</f>
        <v>2.3478220408573697E-2</v>
      </c>
      <c r="M27" s="94">
        <f>IF(TrAvia_ene!M9=0,0,TrAvia_ene!M9/(M15*TrAvia_act!M17))</f>
        <v>2.9630058965370281E-2</v>
      </c>
      <c r="N27" s="94">
        <f>IF(TrAvia_ene!N9=0,0,TrAvia_ene!N9/(N15*TrAvia_act!N17))</f>
        <v>2.6760763603726024E-2</v>
      </c>
      <c r="O27" s="94">
        <f>IF(TrAvia_ene!O9=0,0,TrAvia_ene!O9/(O15*TrAvia_act!O17))</f>
        <v>2.1629278686562739E-2</v>
      </c>
      <c r="P27" s="94">
        <f>IF(TrAvia_ene!P9=0,0,TrAvia_ene!P9/(P15*TrAvia_act!P17))</f>
        <v>1.618407631593587E-2</v>
      </c>
      <c r="Q27" s="94">
        <f>IF(TrAvia_ene!Q9=0,0,TrAvia_ene!Q9/(Q15*TrAvia_act!Q17))</f>
        <v>1.4849451806396971E-2</v>
      </c>
      <c r="R27" s="94">
        <f>IF(TrAvia_ene!R9=0,0,TrAvia_ene!R9/(R15*TrAvia_act!R17))</f>
        <v>1.4188347019800176E-2</v>
      </c>
      <c r="S27" s="94">
        <f>IF(TrAvia_ene!S9=0,0,TrAvia_ene!S9/(S15*TrAvia_act!S17))</f>
        <v>1.2363325334143411E-2</v>
      </c>
      <c r="T27" s="94">
        <f>IF(TrAvia_ene!T9=0,0,TrAvia_ene!T9/(T15*TrAvia_act!T17))</f>
        <v>9.5374181964990416E-3</v>
      </c>
      <c r="U27" s="94">
        <f>IF(TrAvia_ene!U9=0,0,TrAvia_ene!U9/(U15*TrAvia_act!U17))</f>
        <v>8.0838449282940854E-3</v>
      </c>
      <c r="V27" s="94">
        <f>IF(TrAvia_ene!V9=0,0,TrAvia_ene!V9/(V15*TrAvia_act!V17))</f>
        <v>1.7747114112828977E-2</v>
      </c>
      <c r="W27" s="94">
        <f>IF(TrAvia_ene!W9=0,0,TrAvia_ene!W9/(W15*TrAvia_act!W17))</f>
        <v>9.5064629717025867E-3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229.25059999999999</v>
      </c>
      <c r="C3" s="54">
        <f t="shared" si="0"/>
        <v>162.90459999999999</v>
      </c>
      <c r="D3" s="54">
        <f t="shared" si="0"/>
        <v>162.88399999999999</v>
      </c>
      <c r="E3" s="54">
        <f t="shared" si="0"/>
        <v>163.0342</v>
      </c>
      <c r="F3" s="54">
        <f t="shared" si="0"/>
        <v>135.292</v>
      </c>
      <c r="G3" s="54">
        <f t="shared" si="0"/>
        <v>160.34539999999998</v>
      </c>
      <c r="H3" s="54">
        <f t="shared" si="0"/>
        <v>157.67009999999999</v>
      </c>
      <c r="I3" s="54">
        <f t="shared" si="0"/>
        <v>159.96299999999999</v>
      </c>
      <c r="J3" s="54">
        <f t="shared" si="0"/>
        <v>161.97800000000001</v>
      </c>
      <c r="K3" s="54">
        <f t="shared" si="0"/>
        <v>152.97800000000001</v>
      </c>
      <c r="L3" s="54">
        <f t="shared" si="0"/>
        <v>152.97800000000001</v>
      </c>
      <c r="M3" s="54">
        <f t="shared" si="0"/>
        <v>169.95500000000001</v>
      </c>
      <c r="N3" s="54">
        <f t="shared" si="0"/>
        <v>162.21</v>
      </c>
      <c r="O3" s="54">
        <f t="shared" si="0"/>
        <v>156.691</v>
      </c>
      <c r="P3" s="54">
        <f t="shared" si="0"/>
        <v>161.465</v>
      </c>
      <c r="Q3" s="54">
        <f t="shared" si="0"/>
        <v>168.59899999999999</v>
      </c>
      <c r="R3" s="54">
        <f t="shared" ref="R3:V3" si="1">SUM(R4:R5)</f>
        <v>133.59299999999999</v>
      </c>
      <c r="S3" s="54">
        <f t="shared" si="1"/>
        <v>180.87899999999999</v>
      </c>
      <c r="T3" s="54">
        <f t="shared" si="1"/>
        <v>158.05799999999999</v>
      </c>
      <c r="U3" s="54">
        <f t="shared" si="1"/>
        <v>174.24</v>
      </c>
      <c r="V3" s="54">
        <f t="shared" si="1"/>
        <v>121.07000000000001</v>
      </c>
      <c r="W3" s="54">
        <f t="shared" ref="W3" si="2">SUM(W4:W5)</f>
        <v>130.60399999999998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227.767</v>
      </c>
      <c r="C4" s="56">
        <v>162.369</v>
      </c>
      <c r="D4" s="56">
        <v>162.369</v>
      </c>
      <c r="E4" s="56">
        <v>162.369</v>
      </c>
      <c r="F4" s="56">
        <v>134.67099999999999</v>
      </c>
      <c r="G4" s="56">
        <v>159.02099999999999</v>
      </c>
      <c r="H4" s="56">
        <v>155.875</v>
      </c>
      <c r="I4" s="56">
        <v>149.96299999999999</v>
      </c>
      <c r="J4" s="56">
        <v>149.97800000000001</v>
      </c>
      <c r="K4" s="56">
        <v>149.97800000000001</v>
      </c>
      <c r="L4" s="56">
        <v>149.97800000000001</v>
      </c>
      <c r="M4" s="56">
        <v>166.95500000000001</v>
      </c>
      <c r="N4" s="56">
        <v>161.21</v>
      </c>
      <c r="O4" s="56">
        <v>156.691</v>
      </c>
      <c r="P4" s="56">
        <v>161.465</v>
      </c>
      <c r="Q4" s="56">
        <v>168.59899999999999</v>
      </c>
      <c r="R4" s="56">
        <v>133.59299999999999</v>
      </c>
      <c r="S4" s="56">
        <v>180.87899999999999</v>
      </c>
      <c r="T4" s="56">
        <v>158.05799999999999</v>
      </c>
      <c r="U4" s="56">
        <v>174.24</v>
      </c>
      <c r="V4" s="56">
        <v>121.06</v>
      </c>
      <c r="W4" s="56">
        <v>127.604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1.4835999999999998</v>
      </c>
      <c r="C5" s="58">
        <v>0.53560000000000008</v>
      </c>
      <c r="D5" s="58">
        <v>0.51500000000000001</v>
      </c>
      <c r="E5" s="58">
        <v>0.6651999999999999</v>
      </c>
      <c r="F5" s="58">
        <v>0.621</v>
      </c>
      <c r="G5" s="58">
        <v>1.3244</v>
      </c>
      <c r="H5" s="58">
        <v>1.7950999999999999</v>
      </c>
      <c r="I5" s="58">
        <v>10</v>
      </c>
      <c r="J5" s="58">
        <v>12</v>
      </c>
      <c r="K5" s="58">
        <v>3</v>
      </c>
      <c r="L5" s="58">
        <v>3</v>
      </c>
      <c r="M5" s="58">
        <v>3</v>
      </c>
      <c r="N5" s="58">
        <v>1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0.01</v>
      </c>
      <c r="W5" s="58">
        <v>3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0.11</v>
      </c>
      <c r="C7" s="59">
        <f t="shared" si="3"/>
        <v>7.5999999999999998E-2</v>
      </c>
      <c r="D7" s="59">
        <f t="shared" si="3"/>
        <v>7.4999999999999997E-2</v>
      </c>
      <c r="E7" s="59">
        <f t="shared" si="3"/>
        <v>7.4999999999999997E-2</v>
      </c>
      <c r="F7" s="59">
        <f t="shared" si="3"/>
        <v>6.4000000000000001E-2</v>
      </c>
      <c r="G7" s="59">
        <f t="shared" si="3"/>
        <v>8.0999999999999989E-2</v>
      </c>
      <c r="H7" s="59">
        <f t="shared" si="3"/>
        <v>7.5999999999999998E-2</v>
      </c>
      <c r="I7" s="59">
        <f t="shared" si="3"/>
        <v>0.11799999999999999</v>
      </c>
      <c r="J7" s="59">
        <f t="shared" si="3"/>
        <v>0.13999999999999999</v>
      </c>
      <c r="K7" s="59">
        <f t="shared" si="3"/>
        <v>6.9000000000000006E-2</v>
      </c>
      <c r="L7" s="59">
        <f t="shared" si="3"/>
        <v>7.3000000000000009E-2</v>
      </c>
      <c r="M7" s="59">
        <f t="shared" si="3"/>
        <v>8.1000000000000003E-2</v>
      </c>
      <c r="N7" s="59">
        <f t="shared" si="3"/>
        <v>6.8000000000000005E-2</v>
      </c>
      <c r="O7" s="59">
        <f t="shared" si="3"/>
        <v>0.06</v>
      </c>
      <c r="P7" s="59">
        <f t="shared" si="3"/>
        <v>6.2E-2</v>
      </c>
      <c r="Q7" s="59">
        <f t="shared" si="3"/>
        <v>0.06</v>
      </c>
      <c r="R7" s="59">
        <f t="shared" ref="R7:V7" si="4">SUM(R8:R9)</f>
        <v>4.4999999999999998E-2</v>
      </c>
      <c r="S7" s="59">
        <f t="shared" si="4"/>
        <v>6.0999999999999999E-2</v>
      </c>
      <c r="T7" s="59">
        <f t="shared" si="4"/>
        <v>5.5E-2</v>
      </c>
      <c r="U7" s="59">
        <f t="shared" si="4"/>
        <v>6.3E-2</v>
      </c>
      <c r="V7" s="59">
        <f t="shared" si="4"/>
        <v>4.101006271783935E-2</v>
      </c>
      <c r="W7" s="59">
        <f t="shared" ref="W7" si="5">SUM(W8:W9)</f>
        <v>4.5999999999999999E-2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0.106</v>
      </c>
      <c r="C8" s="60">
        <v>7.3999999999999996E-2</v>
      </c>
      <c r="D8" s="60">
        <v>7.1999999999999995E-2</v>
      </c>
      <c r="E8" s="60">
        <v>7.1999999999999995E-2</v>
      </c>
      <c r="F8" s="60">
        <v>5.8999999999999997E-2</v>
      </c>
      <c r="G8" s="60">
        <v>7.2999999999999995E-2</v>
      </c>
      <c r="H8" s="60">
        <v>6.3E-2</v>
      </c>
      <c r="I8" s="60">
        <v>5.5E-2</v>
      </c>
      <c r="J8" s="60">
        <v>5.2999999999999999E-2</v>
      </c>
      <c r="K8" s="60">
        <v>5.2999999999999999E-2</v>
      </c>
      <c r="L8" s="60">
        <v>5.6000000000000001E-2</v>
      </c>
      <c r="M8" s="60">
        <v>6.6000000000000003E-2</v>
      </c>
      <c r="N8" s="60">
        <v>6.3E-2</v>
      </c>
      <c r="O8" s="60">
        <v>0.06</v>
      </c>
      <c r="P8" s="60">
        <v>6.2E-2</v>
      </c>
      <c r="Q8" s="60">
        <v>0.06</v>
      </c>
      <c r="R8" s="60">
        <v>4.4999999999999998E-2</v>
      </c>
      <c r="S8" s="60">
        <v>6.0999999999999999E-2</v>
      </c>
      <c r="T8" s="60">
        <v>5.5E-2</v>
      </c>
      <c r="U8" s="60">
        <v>6.3E-2</v>
      </c>
      <c r="V8" s="60">
        <v>4.1000000000000002E-2</v>
      </c>
      <c r="W8" s="60">
        <v>4.2999999999999997E-2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4.0000000000000001E-3</v>
      </c>
      <c r="C9" s="61">
        <v>2E-3</v>
      </c>
      <c r="D9" s="61">
        <v>3.0000000000000001E-3</v>
      </c>
      <c r="E9" s="61">
        <v>3.0000000000000001E-3</v>
      </c>
      <c r="F9" s="61">
        <v>5.0000000000000001E-3</v>
      </c>
      <c r="G9" s="61">
        <v>8.0000000000000002E-3</v>
      </c>
      <c r="H9" s="61">
        <v>1.2999999999999999E-2</v>
      </c>
      <c r="I9" s="61">
        <v>6.3E-2</v>
      </c>
      <c r="J9" s="61">
        <v>8.6999999999999994E-2</v>
      </c>
      <c r="K9" s="61">
        <v>1.6E-2</v>
      </c>
      <c r="L9" s="61">
        <v>1.7000000000000001E-2</v>
      </c>
      <c r="M9" s="61">
        <v>1.4999999999999999E-2</v>
      </c>
      <c r="N9" s="61">
        <v>5.0000000000000001E-3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1.0062717839348538E-5</v>
      </c>
      <c r="W9" s="61">
        <v>3.0000000000000001E-3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2084.0963636363635</v>
      </c>
      <c r="C13" s="62">
        <f t="shared" si="6"/>
        <v>2143.4815789473682</v>
      </c>
      <c r="D13" s="62">
        <f t="shared" si="6"/>
        <v>2171.7866666666664</v>
      </c>
      <c r="E13" s="62">
        <f t="shared" si="6"/>
        <v>2173.7893333333336</v>
      </c>
      <c r="F13" s="62">
        <f t="shared" ref="F13:V13" si="7">IF(F3=0,0,F3/F7)</f>
        <v>2113.9375</v>
      </c>
      <c r="G13" s="62">
        <f t="shared" si="7"/>
        <v>1979.5728395061728</v>
      </c>
      <c r="H13" s="62">
        <f t="shared" si="7"/>
        <v>2074.6065789473682</v>
      </c>
      <c r="I13" s="62">
        <f t="shared" si="7"/>
        <v>1355.6186440677966</v>
      </c>
      <c r="J13" s="62">
        <f t="shared" si="7"/>
        <v>1156.9857142857145</v>
      </c>
      <c r="K13" s="62">
        <f t="shared" si="7"/>
        <v>2217.072463768116</v>
      </c>
      <c r="L13" s="62">
        <f t="shared" si="7"/>
        <v>2095.5890410958905</v>
      </c>
      <c r="M13" s="62">
        <f t="shared" si="7"/>
        <v>2098.2098765432102</v>
      </c>
      <c r="N13" s="62">
        <f t="shared" si="7"/>
        <v>2385.4411764705883</v>
      </c>
      <c r="O13" s="62">
        <f t="shared" si="7"/>
        <v>2611.5166666666669</v>
      </c>
      <c r="P13" s="62">
        <f t="shared" si="7"/>
        <v>2604.2741935483873</v>
      </c>
      <c r="Q13" s="62">
        <f t="shared" si="7"/>
        <v>2809.9833333333331</v>
      </c>
      <c r="R13" s="62">
        <f t="shared" si="7"/>
        <v>2968.7333333333331</v>
      </c>
      <c r="S13" s="62">
        <f t="shared" si="7"/>
        <v>2965.2295081967213</v>
      </c>
      <c r="T13" s="62">
        <f t="shared" si="7"/>
        <v>2873.7818181818179</v>
      </c>
      <c r="U13" s="62">
        <f t="shared" si="7"/>
        <v>2765.7142857142858</v>
      </c>
      <c r="V13" s="62">
        <f t="shared" si="7"/>
        <v>2952.2022639417869</v>
      </c>
      <c r="W13" s="62">
        <f t="shared" ref="W13" si="8">IF(W3=0,0,W3/W7)</f>
        <v>2839.2173913043475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2148.7452830188681</v>
      </c>
      <c r="C14" s="63">
        <f t="shared" si="6"/>
        <v>2194.1756756756758</v>
      </c>
      <c r="D14" s="63">
        <f t="shared" si="6"/>
        <v>2255.125</v>
      </c>
      <c r="E14" s="63">
        <f t="shared" si="6"/>
        <v>2255.125</v>
      </c>
      <c r="F14" s="63">
        <f t="shared" ref="F14:V14" si="9">IF(F4=0,0,F4/F8)</f>
        <v>2282.5593220338983</v>
      </c>
      <c r="G14" s="63">
        <f t="shared" si="9"/>
        <v>2178.3698630136987</v>
      </c>
      <c r="H14" s="63">
        <f t="shared" si="9"/>
        <v>2474.2063492063494</v>
      </c>
      <c r="I14" s="63">
        <f t="shared" si="9"/>
        <v>2726.6</v>
      </c>
      <c r="J14" s="63">
        <f t="shared" si="9"/>
        <v>2829.7735849056608</v>
      </c>
      <c r="K14" s="63">
        <f t="shared" si="9"/>
        <v>2829.7735849056608</v>
      </c>
      <c r="L14" s="63">
        <f t="shared" si="9"/>
        <v>2678.1785714285716</v>
      </c>
      <c r="M14" s="63">
        <f t="shared" si="9"/>
        <v>2529.621212121212</v>
      </c>
      <c r="N14" s="63">
        <f t="shared" si="9"/>
        <v>2558.8888888888891</v>
      </c>
      <c r="O14" s="63">
        <f t="shared" si="9"/>
        <v>2611.5166666666669</v>
      </c>
      <c r="P14" s="63">
        <f t="shared" si="9"/>
        <v>2604.2741935483873</v>
      </c>
      <c r="Q14" s="63">
        <f t="shared" si="9"/>
        <v>2809.9833333333331</v>
      </c>
      <c r="R14" s="63">
        <f t="shared" si="9"/>
        <v>2968.7333333333331</v>
      </c>
      <c r="S14" s="63">
        <f t="shared" si="9"/>
        <v>2965.2295081967213</v>
      </c>
      <c r="T14" s="63">
        <f t="shared" si="9"/>
        <v>2873.7818181818179</v>
      </c>
      <c r="U14" s="63">
        <f t="shared" si="9"/>
        <v>2765.7142857142858</v>
      </c>
      <c r="V14" s="63">
        <f t="shared" si="9"/>
        <v>2952.6829268292681</v>
      </c>
      <c r="W14" s="63">
        <f t="shared" ref="W14" si="10">IF(W4=0,0,W4/W8)</f>
        <v>2967.5348837209303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370.89999999999992</v>
      </c>
      <c r="C15" s="64">
        <f t="shared" si="6"/>
        <v>267.8</v>
      </c>
      <c r="D15" s="64">
        <f t="shared" si="6"/>
        <v>171.66666666666666</v>
      </c>
      <c r="E15" s="64">
        <f t="shared" si="6"/>
        <v>221.73333333333329</v>
      </c>
      <c r="F15" s="64">
        <f t="shared" ref="F15:V15" si="11">IF(F5=0,0,F5/F9)</f>
        <v>124.2</v>
      </c>
      <c r="G15" s="64">
        <f t="shared" si="11"/>
        <v>165.55</v>
      </c>
      <c r="H15" s="64">
        <f t="shared" si="11"/>
        <v>138.08461538461538</v>
      </c>
      <c r="I15" s="64">
        <f t="shared" si="11"/>
        <v>158.73015873015873</v>
      </c>
      <c r="J15" s="64">
        <f t="shared" si="11"/>
        <v>137.93103448275863</v>
      </c>
      <c r="K15" s="64">
        <f t="shared" si="11"/>
        <v>187.5</v>
      </c>
      <c r="L15" s="64">
        <f t="shared" si="11"/>
        <v>176.47058823529412</v>
      </c>
      <c r="M15" s="64">
        <f t="shared" si="11"/>
        <v>200</v>
      </c>
      <c r="N15" s="64">
        <f t="shared" si="11"/>
        <v>200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993.76730617415399</v>
      </c>
      <c r="W15" s="64">
        <f t="shared" ref="W15" si="12">IF(W5=0,0,W5/W9)</f>
        <v>1000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0.99352847931477606</v>
      </c>
      <c r="C18" s="66">
        <f t="shared" si="16"/>
        <v>0.99671218615066737</v>
      </c>
      <c r="D18" s="66">
        <f t="shared" si="16"/>
        <v>0.9968382407111811</v>
      </c>
      <c r="E18" s="66">
        <f t="shared" si="16"/>
        <v>0.99591987448032382</v>
      </c>
      <c r="F18" s="66">
        <f t="shared" ref="F18:V18" si="17">IF(F4=0,0,F4/F$3)</f>
        <v>0.99540992815539719</v>
      </c>
      <c r="G18" s="66">
        <f t="shared" si="17"/>
        <v>0.99174033056140054</v>
      </c>
      <c r="H18" s="66">
        <f t="shared" si="17"/>
        <v>0.98861483566002695</v>
      </c>
      <c r="I18" s="66">
        <f t="shared" si="17"/>
        <v>0.9374855435319418</v>
      </c>
      <c r="J18" s="66">
        <f t="shared" si="17"/>
        <v>0.92591586511748514</v>
      </c>
      <c r="K18" s="66">
        <f t="shared" si="17"/>
        <v>0.98038933702885378</v>
      </c>
      <c r="L18" s="66">
        <f t="shared" si="17"/>
        <v>0.98038933702885378</v>
      </c>
      <c r="M18" s="66">
        <f t="shared" si="17"/>
        <v>0.98234826865935099</v>
      </c>
      <c r="N18" s="66">
        <f t="shared" si="17"/>
        <v>0.99383515196350414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0.99991740315519939</v>
      </c>
      <c r="W18" s="66">
        <f t="shared" ref="W18" si="18">IF(W4=0,0,W4/W$3)</f>
        <v>0.97702980000612549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6.4715206852239424E-3</v>
      </c>
      <c r="C19" s="67">
        <f t="shared" si="19"/>
        <v>3.2878138493326776E-3</v>
      </c>
      <c r="D19" s="67">
        <f t="shared" si="19"/>
        <v>3.1617592888190374E-3</v>
      </c>
      <c r="E19" s="67">
        <f t="shared" si="19"/>
        <v>4.0801255196762391E-3</v>
      </c>
      <c r="F19" s="67">
        <f t="shared" ref="F19:V19" si="20">IF(F5=0,0,F5/F$3)</f>
        <v>4.5900718446027847E-3</v>
      </c>
      <c r="G19" s="67">
        <f t="shared" si="20"/>
        <v>8.2596694385994249E-3</v>
      </c>
      <c r="H19" s="67">
        <f t="shared" si="20"/>
        <v>1.1385164339973147E-2</v>
      </c>
      <c r="I19" s="67">
        <f t="shared" si="20"/>
        <v>6.2514456468058241E-2</v>
      </c>
      <c r="J19" s="67">
        <f t="shared" si="20"/>
        <v>7.4084134882514904E-2</v>
      </c>
      <c r="K19" s="67">
        <f t="shared" si="20"/>
        <v>1.9610662971146178E-2</v>
      </c>
      <c r="L19" s="67">
        <f t="shared" si="20"/>
        <v>1.9610662971146178E-2</v>
      </c>
      <c r="M19" s="67">
        <f t="shared" si="20"/>
        <v>1.7651731340648995E-2</v>
      </c>
      <c r="N19" s="67">
        <f t="shared" si="20"/>
        <v>6.1648480364958997E-3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8.2596844800528611E-5</v>
      </c>
      <c r="W19" s="67">
        <f t="shared" ref="W19" si="21">IF(W5=0,0,W5/W$3)</f>
        <v>2.2970199993874615E-2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0.96363636363636362</v>
      </c>
      <c r="C22" s="66">
        <f t="shared" si="25"/>
        <v>0.97368421052631582</v>
      </c>
      <c r="D22" s="66">
        <f t="shared" si="25"/>
        <v>0.96</v>
      </c>
      <c r="E22" s="66">
        <f t="shared" si="25"/>
        <v>0.96</v>
      </c>
      <c r="F22" s="66">
        <f t="shared" ref="F22:V22" si="26">IF(F8=0,0,F8/F$7)</f>
        <v>0.92187499999999989</v>
      </c>
      <c r="G22" s="66">
        <f t="shared" si="26"/>
        <v>0.90123456790123468</v>
      </c>
      <c r="H22" s="66">
        <f t="shared" si="26"/>
        <v>0.82894736842105265</v>
      </c>
      <c r="I22" s="66">
        <f t="shared" si="26"/>
        <v>0.46610169491525427</v>
      </c>
      <c r="J22" s="66">
        <f t="shared" si="26"/>
        <v>0.37857142857142861</v>
      </c>
      <c r="K22" s="66">
        <f t="shared" si="26"/>
        <v>0.76811594202898548</v>
      </c>
      <c r="L22" s="66">
        <f t="shared" si="26"/>
        <v>0.76712328767123283</v>
      </c>
      <c r="M22" s="66">
        <f t="shared" si="26"/>
        <v>0.81481481481481488</v>
      </c>
      <c r="N22" s="66">
        <f t="shared" si="26"/>
        <v>0.92647058823529405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0.99975462807973292</v>
      </c>
      <c r="W22" s="66">
        <f t="shared" ref="W22" si="27">IF(W8=0,0,W8/W$7)</f>
        <v>0.93478260869565211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3.6363636363636362E-2</v>
      </c>
      <c r="C23" s="67">
        <f t="shared" si="28"/>
        <v>2.6315789473684213E-2</v>
      </c>
      <c r="D23" s="67">
        <f t="shared" si="28"/>
        <v>0.04</v>
      </c>
      <c r="E23" s="67">
        <f t="shared" si="28"/>
        <v>0.04</v>
      </c>
      <c r="F23" s="67">
        <f t="shared" ref="F23:V23" si="29">IF(F9=0,0,F9/F$7)</f>
        <v>7.8125E-2</v>
      </c>
      <c r="G23" s="67">
        <f t="shared" si="29"/>
        <v>9.8765432098765454E-2</v>
      </c>
      <c r="H23" s="67">
        <f t="shared" si="29"/>
        <v>0.17105263157894737</v>
      </c>
      <c r="I23" s="67">
        <f t="shared" si="29"/>
        <v>0.53389830508474578</v>
      </c>
      <c r="J23" s="67">
        <f t="shared" si="29"/>
        <v>0.62142857142857144</v>
      </c>
      <c r="K23" s="67">
        <f t="shared" si="29"/>
        <v>0.23188405797101447</v>
      </c>
      <c r="L23" s="67">
        <f t="shared" si="29"/>
        <v>0.23287671232876711</v>
      </c>
      <c r="M23" s="67">
        <f t="shared" si="29"/>
        <v>0.18518518518518517</v>
      </c>
      <c r="N23" s="67">
        <f t="shared" si="29"/>
        <v>7.3529411764705885E-2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2.4537192026705346E-4</v>
      </c>
      <c r="W23" s="67">
        <f t="shared" ref="W23" si="30">IF(W9=0,0,W9/W$7)</f>
        <v>6.5217391304347824E-2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3.065348237317282</v>
      </c>
      <c r="C3" s="62">
        <f t="shared" ref="C3:V3" si="0">SUM(C4,C10)</f>
        <v>3.065348237317282</v>
      </c>
      <c r="D3" s="62">
        <f t="shared" si="0"/>
        <v>4.0871023215821154</v>
      </c>
      <c r="E3" s="62">
        <f t="shared" si="0"/>
        <v>4.0871023215821154</v>
      </c>
      <c r="F3" s="62">
        <f t="shared" si="0"/>
        <v>5.1089423903697329</v>
      </c>
      <c r="G3" s="62">
        <f t="shared" si="0"/>
        <v>5.1089423903697329</v>
      </c>
      <c r="H3" s="62">
        <f t="shared" si="0"/>
        <v>6.1306964746345649</v>
      </c>
      <c r="I3" s="62">
        <f t="shared" si="0"/>
        <v>5.1435081685296637</v>
      </c>
      <c r="J3" s="62">
        <f t="shared" si="0"/>
        <v>6.1722269991401557</v>
      </c>
      <c r="K3" s="62">
        <f t="shared" si="0"/>
        <v>5.1435081685296637</v>
      </c>
      <c r="L3" s="62">
        <f t="shared" si="0"/>
        <v>6.1722269991401557</v>
      </c>
      <c r="M3" s="62">
        <f t="shared" si="0"/>
        <v>5.1435081685296646</v>
      </c>
      <c r="N3" s="62">
        <f t="shared" si="0"/>
        <v>5.1435081685296646</v>
      </c>
      <c r="O3" s="62">
        <f t="shared" si="0"/>
        <v>5.1435081685296646</v>
      </c>
      <c r="P3" s="62">
        <f t="shared" si="0"/>
        <v>5.1435081685296646</v>
      </c>
      <c r="Q3" s="62">
        <f t="shared" si="0"/>
        <v>5.1184866723989666</v>
      </c>
      <c r="R3" s="62">
        <f t="shared" si="0"/>
        <v>4.0947549441100586</v>
      </c>
      <c r="S3" s="62">
        <f t="shared" si="0"/>
        <v>5.5279449699054171</v>
      </c>
      <c r="T3" s="62">
        <f t="shared" si="0"/>
        <v>4.8113499570077387</v>
      </c>
      <c r="U3" s="62">
        <f t="shared" si="0"/>
        <v>5.3232158211521918</v>
      </c>
      <c r="V3" s="62">
        <f t="shared" si="0"/>
        <v>3.7920894239036969</v>
      </c>
      <c r="W3" s="62">
        <f t="shared" ref="W3" si="1">SUM(W4,W10)</f>
        <v>3.9970765262252792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3.0541881771082831</v>
      </c>
      <c r="C4" s="71">
        <f t="shared" ref="C4:V4" si="2">SUM(C5:C9)</f>
        <v>3.0577353373506702</v>
      </c>
      <c r="D4" s="71">
        <f t="shared" si="2"/>
        <v>4.0732875603504874</v>
      </c>
      <c r="E4" s="71">
        <f t="shared" si="2"/>
        <v>4.0724019338442359</v>
      </c>
      <c r="F4" s="71">
        <f t="shared" si="2"/>
        <v>5.0747305102274893</v>
      </c>
      <c r="G4" s="71">
        <f t="shared" si="2"/>
        <v>5.0638991701395648</v>
      </c>
      <c r="H4" s="71">
        <f t="shared" si="2"/>
        <v>6.0337426439510189</v>
      </c>
      <c r="I4" s="71">
        <f t="shared" si="2"/>
        <v>4.7187125151487059</v>
      </c>
      <c r="J4" s="71">
        <f t="shared" si="2"/>
        <v>5.516760017885475</v>
      </c>
      <c r="K4" s="71">
        <f t="shared" si="2"/>
        <v>5.0236122114896986</v>
      </c>
      <c r="L4" s="71">
        <f t="shared" si="2"/>
        <v>6.0333025105228986</v>
      </c>
      <c r="M4" s="71">
        <f t="shared" si="2"/>
        <v>5.0555581815008761</v>
      </c>
      <c r="N4" s="71">
        <f t="shared" si="2"/>
        <v>5.111615070958992</v>
      </c>
      <c r="O4" s="71">
        <f t="shared" si="2"/>
        <v>5.1435081685296646</v>
      </c>
      <c r="P4" s="71">
        <f t="shared" si="2"/>
        <v>5.1435081685296646</v>
      </c>
      <c r="Q4" s="71">
        <f t="shared" si="2"/>
        <v>5.1184866723989666</v>
      </c>
      <c r="R4" s="71">
        <f t="shared" si="2"/>
        <v>4.0947549441100586</v>
      </c>
      <c r="S4" s="71">
        <f t="shared" si="2"/>
        <v>5.5279449699054171</v>
      </c>
      <c r="T4" s="71">
        <f t="shared" si="2"/>
        <v>4.8113499570077387</v>
      </c>
      <c r="U4" s="71">
        <f t="shared" si="2"/>
        <v>5.3232158211521918</v>
      </c>
      <c r="V4" s="71">
        <f t="shared" si="2"/>
        <v>3.7919956249179738</v>
      </c>
      <c r="W4" s="71">
        <f t="shared" ref="W4" si="3">SUM(W5:W9)</f>
        <v>3.9695334163973723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3.0541881771082831</v>
      </c>
      <c r="C5" s="73">
        <v>3.0577353373506702</v>
      </c>
      <c r="D5" s="73">
        <v>4.0732875603504874</v>
      </c>
      <c r="E5" s="73">
        <v>4.0724019338442359</v>
      </c>
      <c r="F5" s="73">
        <v>5.0747305102274893</v>
      </c>
      <c r="G5" s="73">
        <v>5.0638991701395648</v>
      </c>
      <c r="H5" s="73">
        <v>6.0337426439510189</v>
      </c>
      <c r="I5" s="73">
        <v>4.7187125151487059</v>
      </c>
      <c r="J5" s="73">
        <v>5.516760017885475</v>
      </c>
      <c r="K5" s="73">
        <v>5.0236122114896986</v>
      </c>
      <c r="L5" s="73">
        <v>6.0333025105228986</v>
      </c>
      <c r="M5" s="73">
        <v>5.0555581815008761</v>
      </c>
      <c r="N5" s="73">
        <v>5.111615070958992</v>
      </c>
      <c r="O5" s="73">
        <v>5.1435081685296646</v>
      </c>
      <c r="P5" s="73">
        <v>5.1435081685296646</v>
      </c>
      <c r="Q5" s="73">
        <v>5.1184866723989666</v>
      </c>
      <c r="R5" s="73">
        <v>4.0947549441100586</v>
      </c>
      <c r="S5" s="73">
        <v>5.5279449699054171</v>
      </c>
      <c r="T5" s="73">
        <v>4.8113499570077387</v>
      </c>
      <c r="U5" s="73">
        <v>5.3232158211521918</v>
      </c>
      <c r="V5" s="73">
        <v>3.7919956249179738</v>
      </c>
      <c r="W5" s="73">
        <v>3.9695334163973723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1.1160060208999149E-2</v>
      </c>
      <c r="C10" s="71">
        <f t="shared" ref="C10:V10" si="4">SUM(C11:C15)</f>
        <v>7.6128999666117718E-3</v>
      </c>
      <c r="D10" s="71">
        <f t="shared" si="4"/>
        <v>1.3814761231627875E-2</v>
      </c>
      <c r="E10" s="71">
        <f t="shared" si="4"/>
        <v>1.4700387737879168E-2</v>
      </c>
      <c r="F10" s="71">
        <f t="shared" si="4"/>
        <v>3.4211880142243356E-2</v>
      </c>
      <c r="G10" s="71">
        <f t="shared" si="4"/>
        <v>4.5043220230167852E-2</v>
      </c>
      <c r="H10" s="71">
        <f t="shared" si="4"/>
        <v>9.6953830683546044E-2</v>
      </c>
      <c r="I10" s="71">
        <f t="shared" si="4"/>
        <v>0.42479565338095798</v>
      </c>
      <c r="J10" s="71">
        <f t="shared" si="4"/>
        <v>0.65546698125468039</v>
      </c>
      <c r="K10" s="71">
        <f t="shared" si="4"/>
        <v>0.1198959570399652</v>
      </c>
      <c r="L10" s="71">
        <f t="shared" si="4"/>
        <v>0.13892448861725695</v>
      </c>
      <c r="M10" s="71">
        <f t="shared" si="4"/>
        <v>8.7949987028788396E-2</v>
      </c>
      <c r="N10" s="71">
        <f t="shared" si="4"/>
        <v>3.1893097570672796E-2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9.3798985722997691E-5</v>
      </c>
      <c r="W10" s="71">
        <f t="shared" ref="W10" si="5">SUM(W11:W15)</f>
        <v>2.7543109827907041E-2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1.1160060208999149E-2</v>
      </c>
      <c r="C11" s="73">
        <v>7.6128999666117718E-3</v>
      </c>
      <c r="D11" s="73">
        <v>1.3814761231627875E-2</v>
      </c>
      <c r="E11" s="73">
        <v>1.4700387737879168E-2</v>
      </c>
      <c r="F11" s="73">
        <v>3.4211880142243356E-2</v>
      </c>
      <c r="G11" s="73">
        <v>4.5043220230167852E-2</v>
      </c>
      <c r="H11" s="73">
        <v>9.6953830683546044E-2</v>
      </c>
      <c r="I11" s="73">
        <v>0.42479565338095798</v>
      </c>
      <c r="J11" s="73">
        <v>0.65546698125468039</v>
      </c>
      <c r="K11" s="73">
        <v>0.1198959570399652</v>
      </c>
      <c r="L11" s="73">
        <v>0.13892448861725695</v>
      </c>
      <c r="M11" s="73">
        <v>8.7949987028788396E-2</v>
      </c>
      <c r="N11" s="73">
        <v>3.1893097570672796E-2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9.3798985722997691E-5</v>
      </c>
      <c r="W11" s="73">
        <v>2.7543109827907041E-2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2786.6802157429838</v>
      </c>
      <c r="C19" s="62">
        <f>IF(C3=0,0,C3/TrNavi_act!C7*100)</f>
        <v>4033.352943838529</v>
      </c>
      <c r="D19" s="62">
        <f>IF(D3=0,0,D3/TrNavi_act!D7*100)</f>
        <v>5449.4697621094874</v>
      </c>
      <c r="E19" s="62">
        <f>IF(E3=0,0,E3/TrNavi_act!E7*100)</f>
        <v>5449.4697621094874</v>
      </c>
      <c r="F19" s="62">
        <f>IF(F3=0,0,F3/TrNavi_act!F7*100)</f>
        <v>7982.7224849527074</v>
      </c>
      <c r="G19" s="62">
        <f>IF(G3=0,0,G3/TrNavi_act!G7*100)</f>
        <v>6307.3362844070789</v>
      </c>
      <c r="H19" s="62">
        <f>IF(H3=0,0,H3/TrNavi_act!H7*100)</f>
        <v>8066.7058876770598</v>
      </c>
      <c r="I19" s="62">
        <f>IF(I3=0,0,I3/TrNavi_act!I7*100)</f>
        <v>4358.9052275675112</v>
      </c>
      <c r="J19" s="62">
        <f>IF(J3=0,0,J3/TrNavi_act!J7*100)</f>
        <v>4408.7335708143974</v>
      </c>
      <c r="K19" s="62">
        <f>IF(K3=0,0,K3/TrNavi_act!K7*100)</f>
        <v>7454.3596645357438</v>
      </c>
      <c r="L19" s="62">
        <f>IF(L3=0,0,L3/TrNavi_act!L7*100)</f>
        <v>8455.1054782741849</v>
      </c>
      <c r="M19" s="62">
        <f>IF(M3=0,0,M3/TrNavi_act!M7*100)</f>
        <v>6350.0100846045243</v>
      </c>
      <c r="N19" s="62">
        <f>IF(N3=0,0,N3/TrNavi_act!N7*100)</f>
        <v>7563.9826007789179</v>
      </c>
      <c r="O19" s="62">
        <f>IF(O3=0,0,O3/TrNavi_act!O7*100)</f>
        <v>8572.5136142161082</v>
      </c>
      <c r="P19" s="62">
        <f>IF(P3=0,0,P3/TrNavi_act!P7*100)</f>
        <v>8295.9809169833316</v>
      </c>
      <c r="Q19" s="62">
        <f>IF(Q3=0,0,Q3/TrNavi_act!Q7*100)</f>
        <v>8530.8111206649446</v>
      </c>
      <c r="R19" s="62">
        <f>IF(R3=0,0,R3/TrNavi_act!R7*100)</f>
        <v>9099.4554313556855</v>
      </c>
      <c r="S19" s="62">
        <f>IF(S3=0,0,S3/TrNavi_act!S7*100)</f>
        <v>9062.2048686974049</v>
      </c>
      <c r="T19" s="62">
        <f>IF(T3=0,0,T3/TrNavi_act!T7*100)</f>
        <v>8747.9090127413438</v>
      </c>
      <c r="U19" s="62">
        <f>IF(U3=0,0,U3/TrNavi_act!U7*100)</f>
        <v>8449.5489224637968</v>
      </c>
      <c r="V19" s="62">
        <f>IF(V3=0,0,V3/TrNavi_act!V7*100)</f>
        <v>9246.7291503412907</v>
      </c>
      <c r="W19" s="62">
        <f>IF(W3=0,0,W3/TrNavi_act!W7*100)</f>
        <v>8689.2967961419126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2881.3096010455502</v>
      </c>
      <c r="C20" s="63">
        <f>IF(C4=0,0,C4/TrNavi_act!C8*100)</f>
        <v>4132.0747802036085</v>
      </c>
      <c r="D20" s="63">
        <f>IF(D4=0,0,D4/TrNavi_act!D8*100)</f>
        <v>5657.3438338201222</v>
      </c>
      <c r="E20" s="63">
        <f>IF(E4=0,0,E4/TrNavi_act!E8*100)</f>
        <v>5656.1137970058835</v>
      </c>
      <c r="F20" s="63">
        <f>IF(F4=0,0,F4/TrNavi_act!F8*100)</f>
        <v>8601.2381529279482</v>
      </c>
      <c r="G20" s="63">
        <f>IF(G4=0,0,G4/TrNavi_act!G8*100)</f>
        <v>6936.848178273377</v>
      </c>
      <c r="H20" s="63">
        <f>IF(H4=0,0,H4/TrNavi_act!H8*100)</f>
        <v>9577.3692761127277</v>
      </c>
      <c r="I20" s="63">
        <f>IF(I4=0,0,I4/TrNavi_act!I8*100)</f>
        <v>8579.4773002703751</v>
      </c>
      <c r="J20" s="63">
        <f>IF(J4=0,0,J4/TrNavi_act!J8*100)</f>
        <v>10408.981165821651</v>
      </c>
      <c r="K20" s="63">
        <f>IF(K4=0,0,K4/TrNavi_act!K8*100)</f>
        <v>9478.513606584338</v>
      </c>
      <c r="L20" s="63">
        <f>IF(L4=0,0,L4/TrNavi_act!L8*100)</f>
        <v>10773.754483076604</v>
      </c>
      <c r="M20" s="63">
        <f>IF(M4=0,0,M4/TrNavi_act!M8*100)</f>
        <v>7659.9366386376896</v>
      </c>
      <c r="N20" s="63">
        <f>IF(N4=0,0,N4/TrNavi_act!N8*100)</f>
        <v>8113.6747158079233</v>
      </c>
      <c r="O20" s="63">
        <f>IF(O4=0,0,O4/TrNavi_act!O8*100)</f>
        <v>8572.5136142161082</v>
      </c>
      <c r="P20" s="63">
        <f>IF(P4=0,0,P4/TrNavi_act!P8*100)</f>
        <v>8295.9809169833316</v>
      </c>
      <c r="Q20" s="63">
        <f>IF(Q4=0,0,Q4/TrNavi_act!Q8*100)</f>
        <v>8530.8111206649446</v>
      </c>
      <c r="R20" s="63">
        <f>IF(R4=0,0,R4/TrNavi_act!R8*100)</f>
        <v>9099.4554313556855</v>
      </c>
      <c r="S20" s="63">
        <f>IF(S4=0,0,S4/TrNavi_act!S8*100)</f>
        <v>9062.2048686974049</v>
      </c>
      <c r="T20" s="63">
        <f>IF(T4=0,0,T4/TrNavi_act!T8*100)</f>
        <v>8747.9090127413438</v>
      </c>
      <c r="U20" s="63">
        <f>IF(U4=0,0,U4/TrNavi_act!U8*100)</f>
        <v>8449.5489224637968</v>
      </c>
      <c r="V20" s="63">
        <f>IF(V4=0,0,V4/TrNavi_act!V8*100)</f>
        <v>9248.7698168731076</v>
      </c>
      <c r="W20" s="63">
        <f>IF(W4=0,0,W4/TrNavi_act!W8*100)</f>
        <v>9231.4730613892389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279.0015052249787</v>
      </c>
      <c r="C21" s="64">
        <f>IF(C10=0,0,C10/TrNavi_act!C9*100)</f>
        <v>380.64499833058858</v>
      </c>
      <c r="D21" s="64">
        <f>IF(D10=0,0,D10/TrNavi_act!D9*100)</f>
        <v>460.49204105426247</v>
      </c>
      <c r="E21" s="64">
        <f>IF(E10=0,0,E10/TrNavi_act!E9*100)</f>
        <v>490.01292459597227</v>
      </c>
      <c r="F21" s="64">
        <f>IF(F10=0,0,F10/TrNavi_act!F9*100)</f>
        <v>684.23760284486707</v>
      </c>
      <c r="G21" s="64">
        <f>IF(G10=0,0,G10/TrNavi_act!G9*100)</f>
        <v>563.04025287709817</v>
      </c>
      <c r="H21" s="64">
        <f>IF(H10=0,0,H10/TrNavi_act!H9*100)</f>
        <v>745.79869756573885</v>
      </c>
      <c r="I21" s="64">
        <f>IF(I10=0,0,I10/TrNavi_act!I9*100)</f>
        <v>674.27881489040954</v>
      </c>
      <c r="J21" s="64">
        <f>IF(J10=0,0,J10/TrNavi_act!J9*100)</f>
        <v>753.41032328124186</v>
      </c>
      <c r="K21" s="64">
        <f>IF(K10=0,0,K10/TrNavi_act!K9*100)</f>
        <v>749.34973149978248</v>
      </c>
      <c r="L21" s="64">
        <f>IF(L10=0,0,L10/TrNavi_act!L9*100)</f>
        <v>817.2028742191585</v>
      </c>
      <c r="M21" s="64">
        <f>IF(M10=0,0,M10/TrNavi_act!M9*100)</f>
        <v>586.33324685858929</v>
      </c>
      <c r="N21" s="64">
        <f>IF(N10=0,0,N10/TrNavi_act!N9*100)</f>
        <v>637.86195141345593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932.14365363811351</v>
      </c>
      <c r="W21" s="64">
        <f>IF(W10=0,0,W10/TrNavi_act!W9*100)</f>
        <v>918.10366093023458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13.371167784587181</v>
      </c>
      <c r="C23" s="62">
        <f>IF(C3=0,0,C3/TrNavi_act!C3*1000)</f>
        <v>18.81683044749677</v>
      </c>
      <c r="D23" s="62">
        <f>IF(D3=0,0,D3/TrNavi_act!D3*1000)</f>
        <v>25.09210432935166</v>
      </c>
      <c r="E23" s="62">
        <f>IF(E3=0,0,E3/TrNavi_act!E3*1000)</f>
        <v>25.068987498218874</v>
      </c>
      <c r="F23" s="62">
        <f>IF(F3=0,0,F3/TrNavi_act!F3*1000)</f>
        <v>37.762339165432792</v>
      </c>
      <c r="G23" s="62">
        <f>IF(G3=0,0,G3/TrNavi_act!G3*1000)</f>
        <v>31.862107614996958</v>
      </c>
      <c r="H23" s="62">
        <f>IF(H3=0,0,H3/TrNavi_act!H3*1000)</f>
        <v>38.883063273471414</v>
      </c>
      <c r="I23" s="62">
        <f>IF(I3=0,0,I3/TrNavi_act!I3*1000)</f>
        <v>32.154361749464961</v>
      </c>
      <c r="J23" s="62">
        <f>IF(J3=0,0,J3/TrNavi_act!J3*1000)</f>
        <v>38.105341460816632</v>
      </c>
      <c r="K23" s="62">
        <f>IF(K3=0,0,K3/TrNavi_act!K3*1000)</f>
        <v>33.622535060790852</v>
      </c>
      <c r="L23" s="62">
        <f>IF(L3=0,0,L3/TrNavi_act!L3*1000)</f>
        <v>40.347154487182181</v>
      </c>
      <c r="M23" s="62">
        <f>IF(M3=0,0,M3/TrNavi_act!M3*1000)</f>
        <v>30.263941446439727</v>
      </c>
      <c r="N23" s="62">
        <f>IF(N3=0,0,N3/TrNavi_act!N3*1000)</f>
        <v>31.708946233460725</v>
      </c>
      <c r="O23" s="62">
        <f>IF(O3=0,0,O3/TrNavi_act!O3*1000)</f>
        <v>32.825804727327444</v>
      </c>
      <c r="P23" s="62">
        <f>IF(P3=0,0,P3/TrNavi_act!P3*1000)</f>
        <v>31.855251407609483</v>
      </c>
      <c r="Q23" s="62">
        <f>IF(Q3=0,0,Q3/TrNavi_act!Q3*1000)</f>
        <v>30.358938501408474</v>
      </c>
      <c r="R23" s="62">
        <f>IF(R3=0,0,R3/TrNavi_act!R3*1000)</f>
        <v>30.650969318078484</v>
      </c>
      <c r="S23" s="62">
        <f>IF(S3=0,0,S3/TrNavi_act!S3*1000)</f>
        <v>30.561563088614033</v>
      </c>
      <c r="T23" s="62">
        <f>IF(T3=0,0,T3/TrNavi_act!T3*1000)</f>
        <v>30.4404076795084</v>
      </c>
      <c r="U23" s="62">
        <f>IF(U3=0,0,U3/TrNavi_act!U3*1000)</f>
        <v>30.551054988247198</v>
      </c>
      <c r="V23" s="62">
        <f>IF(V3=0,0,V3/TrNavi_act!V3*1000)</f>
        <v>31.32146216158996</v>
      </c>
      <c r="W23" s="62">
        <f>IF(W3=0,0,W3/TrNavi_act!W3*1000)</f>
        <v>30.604549066072092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13.409265508648238</v>
      </c>
      <c r="C24" s="63">
        <f>IF(C4=0,0,C4/TrNavi_act!C4*1000)</f>
        <v>18.832014346030771</v>
      </c>
      <c r="D24" s="63">
        <f>IF(D4=0,0,D4/TrNavi_act!D4*1000)</f>
        <v>25.086608652824662</v>
      </c>
      <c r="E24" s="63">
        <f>IF(E4=0,0,E4/TrNavi_act!E4*1000)</f>
        <v>25.081154246464756</v>
      </c>
      <c r="F24" s="63">
        <f>IF(F4=0,0,F4/TrNavi_act!F4*1000)</f>
        <v>37.68242984924364</v>
      </c>
      <c r="G24" s="63">
        <f>IF(G4=0,0,G4/TrNavi_act!G4*1000)</f>
        <v>31.844216613777835</v>
      </c>
      <c r="H24" s="63">
        <f>IF(H4=0,0,H4/TrNavi_act!H4*1000)</f>
        <v>38.708854171297638</v>
      </c>
      <c r="I24" s="63">
        <f>IF(I4=0,0,I4/TrNavi_act!I4*1000)</f>
        <v>31.465845009427035</v>
      </c>
      <c r="J24" s="63">
        <f>IF(J4=0,0,J4/TrNavi_act!J4*1000)</f>
        <v>36.783795075847621</v>
      </c>
      <c r="K24" s="63">
        <f>IF(K4=0,0,K4/TrNavi_act!K4*1000)</f>
        <v>33.495660773511439</v>
      </c>
      <c r="L24" s="63">
        <f>IF(L4=0,0,L4/TrNavi_act!L4*1000)</f>
        <v>40.227916831287907</v>
      </c>
      <c r="M24" s="63">
        <f>IF(M4=0,0,M4/TrNavi_act!M4*1000)</f>
        <v>30.280963022975509</v>
      </c>
      <c r="N24" s="63">
        <f>IF(N4=0,0,N4/TrNavi_act!N4*1000)</f>
        <v>31.70780392630105</v>
      </c>
      <c r="O24" s="63">
        <f>IF(O4=0,0,O4/TrNavi_act!O4*1000)</f>
        <v>32.825804727327444</v>
      </c>
      <c r="P24" s="63">
        <f>IF(P4=0,0,P4/TrNavi_act!P4*1000)</f>
        <v>31.855251407609483</v>
      </c>
      <c r="Q24" s="63">
        <f>IF(Q4=0,0,Q4/TrNavi_act!Q4*1000)</f>
        <v>30.358938501408474</v>
      </c>
      <c r="R24" s="63">
        <f>IF(R4=0,0,R4/TrNavi_act!R4*1000)</f>
        <v>30.650969318078484</v>
      </c>
      <c r="S24" s="63">
        <f>IF(S4=0,0,S4/TrNavi_act!S4*1000)</f>
        <v>30.561563088614033</v>
      </c>
      <c r="T24" s="63">
        <f>IF(T4=0,0,T4/TrNavi_act!T4*1000)</f>
        <v>30.4404076795084</v>
      </c>
      <c r="U24" s="63">
        <f>IF(U4=0,0,U4/TrNavi_act!U4*1000)</f>
        <v>30.551054988247198</v>
      </c>
      <c r="V24" s="63">
        <f>IF(V4=0,0,V4/TrNavi_act!V4*1000)</f>
        <v>31.323274615215375</v>
      </c>
      <c r="W24" s="63">
        <f>IF(W4=0,0,W4/TrNavi_act!W4*1000)</f>
        <v>31.108220873933202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7.5222837752757821</v>
      </c>
      <c r="C25" s="64">
        <f>IF(C10=0,0,C10/TrNavi_act!C5*1000)</f>
        <v>14.213778877169101</v>
      </c>
      <c r="D25" s="64">
        <f>IF(D10=0,0,D10/TrNavi_act!D5*1000)</f>
        <v>26.824779090539561</v>
      </c>
      <c r="E25" s="64">
        <f>IF(E10=0,0,E10/TrNavi_act!E5*1000)</f>
        <v>22.099199846481014</v>
      </c>
      <c r="F25" s="64">
        <f>IF(F10=0,0,F10/TrNavi_act!F5*1000)</f>
        <v>55.09159443195388</v>
      </c>
      <c r="G25" s="64">
        <f>IF(G10=0,0,G10/TrNavi_act!G5*1000)</f>
        <v>34.010284075934649</v>
      </c>
      <c r="H25" s="64">
        <f>IF(H10=0,0,H10/TrNavi_act!H5*1000)</f>
        <v>54.010267218286472</v>
      </c>
      <c r="I25" s="64">
        <f>IF(I10=0,0,I10/TrNavi_act!I5*1000)</f>
        <v>42.479565338095796</v>
      </c>
      <c r="J25" s="64">
        <f>IF(J10=0,0,J10/TrNavi_act!J5*1000)</f>
        <v>54.622248437890036</v>
      </c>
      <c r="K25" s="64">
        <f>IF(K10=0,0,K10/TrNavi_act!K5*1000)</f>
        <v>39.965319013321732</v>
      </c>
      <c r="L25" s="64">
        <f>IF(L10=0,0,L10/TrNavi_act!L5*1000)</f>
        <v>46.308162872418983</v>
      </c>
      <c r="M25" s="64">
        <f>IF(M10=0,0,M10/TrNavi_act!M5*1000)</f>
        <v>29.316662342929465</v>
      </c>
      <c r="N25" s="64">
        <f>IF(N10=0,0,N10/TrNavi_act!N5*1000)</f>
        <v>31.893097570672797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9.3798985722997692</v>
      </c>
      <c r="W25" s="64">
        <f>IF(W10=0,0,W10/TrNavi_act!W5*1000)</f>
        <v>9.1810366093023461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0.99635928470601243</v>
      </c>
      <c r="C28" s="77">
        <f t="shared" si="8"/>
        <v>0.99751646489167756</v>
      </c>
      <c r="D28" s="77">
        <f t="shared" si="8"/>
        <v>0.99661991304727593</v>
      </c>
      <c r="E28" s="77">
        <f t="shared" si="8"/>
        <v>0.99640322493022659</v>
      </c>
      <c r="F28" s="77">
        <f t="shared" si="8"/>
        <v>0.99330352986427639</v>
      </c>
      <c r="G28" s="77">
        <f t="shared" si="8"/>
        <v>0.99118345505029104</v>
      </c>
      <c r="H28" s="77">
        <f t="shared" si="8"/>
        <v>0.98418551120827991</v>
      </c>
      <c r="I28" s="77">
        <f t="shared" si="8"/>
        <v>0.91741129994114679</v>
      </c>
      <c r="J28" s="77">
        <f t="shared" si="8"/>
        <v>0.89380381159895883</v>
      </c>
      <c r="K28" s="77">
        <f t="shared" si="8"/>
        <v>0.97668984803532666</v>
      </c>
      <c r="L28" s="77">
        <f t="shared" si="8"/>
        <v>0.97749199946200771</v>
      </c>
      <c r="M28" s="77">
        <f t="shared" si="8"/>
        <v>0.98290077819514188</v>
      </c>
      <c r="N28" s="77">
        <f t="shared" si="8"/>
        <v>0.99379934929124658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0.99997526456387553</v>
      </c>
      <c r="W28" s="77">
        <f t="shared" si="9"/>
        <v>0.9931091862647129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3.6407152939876616E-3</v>
      </c>
      <c r="C29" s="78">
        <f t="shared" si="10"/>
        <v>2.4835351083224385E-3</v>
      </c>
      <c r="D29" s="78">
        <f t="shared" si="10"/>
        <v>3.3800869527240481E-3</v>
      </c>
      <c r="E29" s="78">
        <f t="shared" si="10"/>
        <v>3.5967750697733095E-3</v>
      </c>
      <c r="F29" s="78">
        <f t="shared" si="10"/>
        <v>6.6964701357236193E-3</v>
      </c>
      <c r="G29" s="78">
        <f t="shared" si="10"/>
        <v>8.8165449497088749E-3</v>
      </c>
      <c r="H29" s="78">
        <f t="shared" si="10"/>
        <v>1.5814488791720066E-2</v>
      </c>
      <c r="I29" s="78">
        <f t="shared" si="10"/>
        <v>8.2588700058853243E-2</v>
      </c>
      <c r="J29" s="78">
        <f t="shared" si="10"/>
        <v>0.10619618840104109</v>
      </c>
      <c r="K29" s="78">
        <f t="shared" si="10"/>
        <v>2.3310151964673356E-2</v>
      </c>
      <c r="L29" s="78">
        <f t="shared" si="10"/>
        <v>2.2508000537992255E-2</v>
      </c>
      <c r="M29" s="78">
        <f t="shared" si="10"/>
        <v>1.709922180485814E-2</v>
      </c>
      <c r="N29" s="78">
        <f t="shared" si="10"/>
        <v>6.2006507087534832E-3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2.4735436124403955E-5</v>
      </c>
      <c r="W29" s="78">
        <f t="shared" si="11"/>
        <v>6.8908137352871601E-3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9.5099939999999972</v>
      </c>
      <c r="C3" s="54">
        <f t="shared" ref="C3:V3" si="1">SUM(C4:C5)</f>
        <v>9.5099939999999989</v>
      </c>
      <c r="D3" s="54">
        <f t="shared" si="1"/>
        <v>12.679903080000001</v>
      </c>
      <c r="E3" s="54">
        <f t="shared" si="1"/>
        <v>12.679903080000001</v>
      </c>
      <c r="F3" s="54">
        <f t="shared" si="1"/>
        <v>15.850078919999998</v>
      </c>
      <c r="G3" s="54">
        <f t="shared" si="1"/>
        <v>15.850078919999998</v>
      </c>
      <c r="H3" s="54">
        <f t="shared" si="1"/>
        <v>19.019987999999998</v>
      </c>
      <c r="I3" s="54">
        <f t="shared" si="1"/>
        <v>15.957316439999998</v>
      </c>
      <c r="J3" s="54">
        <f t="shared" si="1"/>
        <v>19.148833080000003</v>
      </c>
      <c r="K3" s="54">
        <f t="shared" si="1"/>
        <v>15.957316439999998</v>
      </c>
      <c r="L3" s="54">
        <f t="shared" si="1"/>
        <v>19.148833080000003</v>
      </c>
      <c r="M3" s="54">
        <f t="shared" si="1"/>
        <v>15.95731644</v>
      </c>
      <c r="N3" s="54">
        <f t="shared" si="1"/>
        <v>15.957316440000001</v>
      </c>
      <c r="O3" s="54">
        <f t="shared" si="1"/>
        <v>15.957316440000001</v>
      </c>
      <c r="P3" s="54">
        <f t="shared" si="1"/>
        <v>15.957316440000001</v>
      </c>
      <c r="Q3" s="54">
        <f t="shared" si="1"/>
        <v>15.879689279999996</v>
      </c>
      <c r="R3" s="54">
        <f t="shared" si="1"/>
        <v>12.703644719999996</v>
      </c>
      <c r="S3" s="54">
        <f t="shared" si="1"/>
        <v>17.1500004</v>
      </c>
      <c r="T3" s="54">
        <f t="shared" si="1"/>
        <v>14.926822560000002</v>
      </c>
      <c r="U3" s="54">
        <f t="shared" si="1"/>
        <v>16.514844839999999</v>
      </c>
      <c r="V3" s="54">
        <f t="shared" si="1"/>
        <v>11.764649519999999</v>
      </c>
      <c r="W3" s="54">
        <f t="shared" ref="W3" si="2">SUM(W4:W5)</f>
        <v>12.40060536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9.4753708193984671</v>
      </c>
      <c r="C4" s="56">
        <v>9.4863755960210625</v>
      </c>
      <c r="D4" s="56">
        <v>12.637043905037487</v>
      </c>
      <c r="E4" s="56">
        <v>12.634296320714714</v>
      </c>
      <c r="F4" s="56">
        <v>15.743939339863356</v>
      </c>
      <c r="G4" s="56">
        <v>15.710335986745385</v>
      </c>
      <c r="H4" s="56">
        <v>18.719196612955347</v>
      </c>
      <c r="I4" s="56">
        <v>14.639422418792631</v>
      </c>
      <c r="J4" s="56">
        <v>17.115299994576233</v>
      </c>
      <c r="K4" s="56">
        <v>15.585348968835218</v>
      </c>
      <c r="L4" s="56">
        <v>18.717831134733437</v>
      </c>
      <c r="M4" s="56">
        <v>15.684458746782131</v>
      </c>
      <c r="N4" s="56">
        <v>15.858370694506512</v>
      </c>
      <c r="O4" s="56">
        <v>15.957316440000001</v>
      </c>
      <c r="P4" s="56">
        <v>15.957316440000001</v>
      </c>
      <c r="Q4" s="56">
        <v>15.879689279999996</v>
      </c>
      <c r="R4" s="56">
        <v>12.703644719999996</v>
      </c>
      <c r="S4" s="56">
        <v>17.1500004</v>
      </c>
      <c r="T4" s="56">
        <v>14.926822560000002</v>
      </c>
      <c r="U4" s="56">
        <v>16.514844839999999</v>
      </c>
      <c r="V4" s="56">
        <v>11.764358516263272</v>
      </c>
      <c r="W4" s="56">
        <v>12.315155098259437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3.4623180601530891E-2</v>
      </c>
      <c r="C5" s="58">
        <v>2.3618403978935734E-2</v>
      </c>
      <c r="D5" s="58">
        <v>4.2859174962513479E-2</v>
      </c>
      <c r="E5" s="58">
        <v>4.5606759285285806E-2</v>
      </c>
      <c r="F5" s="58">
        <v>0.10613958013664247</v>
      </c>
      <c r="G5" s="58">
        <v>0.13974293325461307</v>
      </c>
      <c r="H5" s="58">
        <v>0.30079138704465014</v>
      </c>
      <c r="I5" s="58">
        <v>1.3178940212073678</v>
      </c>
      <c r="J5" s="58">
        <v>2.0335330854237679</v>
      </c>
      <c r="K5" s="58">
        <v>0.37196747116478041</v>
      </c>
      <c r="L5" s="58">
        <v>0.43100194526656394</v>
      </c>
      <c r="M5" s="58">
        <v>0.27285769321786929</v>
      </c>
      <c r="N5" s="58">
        <v>9.8945745493489612E-2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2.9100373672795964E-4</v>
      </c>
      <c r="W5" s="58">
        <v>8.5450261740563568E-2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3.1024188000000006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3.1024188000000006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3.1024187999999997</v>
      </c>
      <c r="K10" s="80">
        <f>IF(K4=0,0,K4/TrNavi_ene!K4)</f>
        <v>3.1024188000000001</v>
      </c>
      <c r="L10" s="80">
        <f>IF(L4=0,0,L4/TrNavi_ene!L4)</f>
        <v>3.1024187999999997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3.1024188000000001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3.1024188000000001</v>
      </c>
      <c r="W10" s="80">
        <f>IF(W4=0,0,W4/TrNavi_ene!W4)</f>
        <v>3.1024188000000001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3.1024187999999997</v>
      </c>
      <c r="H11" s="81">
        <f>IF(H5=0,0,H5/TrNavi_ene!H10)</f>
        <v>3.1024188000000006</v>
      </c>
      <c r="I11" s="81">
        <f>IF(I5=0,0,I5/TrNavi_ene!I10)</f>
        <v>3.1024188000000001</v>
      </c>
      <c r="J11" s="81">
        <f>IF(J5=0,0,J5/TrNavi_ene!J10)</f>
        <v>3.1024187999999997</v>
      </c>
      <c r="K11" s="81">
        <f>IF(K5=0,0,K5/TrNavi_ene!K10)</f>
        <v>3.1024188000000001</v>
      </c>
      <c r="L11" s="81">
        <f>IF(L5=0,0,L5/TrNavi_ene!L10)</f>
        <v>3.1024187999999997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3.1024188000000001</v>
      </c>
      <c r="W11" s="81">
        <f>IF(W5=0,0,W5/TrNavi_ene!W10)</f>
        <v>3.1024188000000001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86454.490909090877</v>
      </c>
      <c r="C13" s="54">
        <f>IF(C3=0,0,C3/TrNavi_act!C7*1000)</f>
        <v>125131.49999999999</v>
      </c>
      <c r="D13" s="54">
        <f>IF(D3=0,0,D3/TrNavi_act!D7*1000)</f>
        <v>169065.37440000003</v>
      </c>
      <c r="E13" s="54">
        <f>IF(E3=0,0,E3/TrNavi_act!E7*1000)</f>
        <v>169065.37440000003</v>
      </c>
      <c r="F13" s="54">
        <f>IF(F3=0,0,F3/TrNavi_act!F7*1000)</f>
        <v>247657.48312499997</v>
      </c>
      <c r="G13" s="54">
        <f>IF(G3=0,0,G3/TrNavi_act!G7*1000)</f>
        <v>195679.98666666669</v>
      </c>
      <c r="H13" s="54">
        <f>IF(H3=0,0,H3/TrNavi_act!H7*1000)</f>
        <v>250262.99999999997</v>
      </c>
      <c r="I13" s="54">
        <f>IF(I3=0,0,I3/TrNavi_act!I7*1000)</f>
        <v>135231.49525423726</v>
      </c>
      <c r="J13" s="54">
        <f>IF(J3=0,0,J3/TrNavi_act!J7*1000)</f>
        <v>136777.37914285716</v>
      </c>
      <c r="K13" s="54">
        <f>IF(K3=0,0,K3/TrNavi_act!K7*1000)</f>
        <v>231265.45565217387</v>
      </c>
      <c r="L13" s="54">
        <f>IF(L3=0,0,L3/TrNavi_act!L7*1000)</f>
        <v>262312.78191780823</v>
      </c>
      <c r="M13" s="54">
        <f>IF(M3=0,0,M3/TrNavi_act!M7*1000)</f>
        <v>197003.90666666668</v>
      </c>
      <c r="N13" s="54">
        <f>IF(N3=0,0,N3/TrNavi_act!N7*1000)</f>
        <v>234666.41823529411</v>
      </c>
      <c r="O13" s="54">
        <f>IF(O3=0,0,O3/TrNavi_act!O7*1000)</f>
        <v>265955.27400000003</v>
      </c>
      <c r="P13" s="54">
        <f>IF(P3=0,0,P3/TrNavi_act!P7*1000)</f>
        <v>257376.07161290327</v>
      </c>
      <c r="Q13" s="54">
        <f>IF(Q3=0,0,Q3/TrNavi_act!Q7*1000)</f>
        <v>264661.48799999995</v>
      </c>
      <c r="R13" s="54">
        <f>IF(R3=0,0,R3/TrNavi_act!R7*1000)</f>
        <v>282303.2159999999</v>
      </c>
      <c r="S13" s="54">
        <f>IF(S3=0,0,S3/TrNavi_act!S7*1000)</f>
        <v>281147.54754098365</v>
      </c>
      <c r="T13" s="54">
        <f>IF(T3=0,0,T3/TrNavi_act!T7*1000)</f>
        <v>271396.77381818183</v>
      </c>
      <c r="U13" s="54">
        <f>IF(U3=0,0,U3/TrNavi_act!U7*1000)</f>
        <v>262140.39428571425</v>
      </c>
      <c r="V13" s="54">
        <f>IF(V3=0,0,V3/TrNavi_act!V7*1000)</f>
        <v>286872.26354526851</v>
      </c>
      <c r="W13" s="54">
        <f>IF(W3=0,0,W3/TrNavi_act!W7*1000)</f>
        <v>269578.37739130436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89390.290749042149</v>
      </c>
      <c r="C14" s="56">
        <f>IF(C4=0,0,C4/TrNavi_act!C8*1000)</f>
        <v>128194.26481109545</v>
      </c>
      <c r="D14" s="56">
        <f>IF(D4=0,0,D4/TrNavi_act!D8*1000)</f>
        <v>175514.49868107622</v>
      </c>
      <c r="E14" s="56">
        <f>IF(E4=0,0,E4/TrNavi_act!E8*1000)</f>
        <v>175476.33778770437</v>
      </c>
      <c r="F14" s="56">
        <f>IF(F4=0,0,F4/TrNavi_act!F8*1000)</f>
        <v>266846.42948920949</v>
      </c>
      <c r="G14" s="56">
        <f>IF(G4=0,0,G4/TrNavi_act!G8*1000)</f>
        <v>215210.08201021075</v>
      </c>
      <c r="H14" s="56">
        <f>IF(H4=0,0,H4/TrNavi_act!H8*1000)</f>
        <v>297130.10496754519</v>
      </c>
      <c r="I14" s="56">
        <f>IF(I4=0,0,I4/TrNavi_act!I8*1000)</f>
        <v>266171.31670532055</v>
      </c>
      <c r="J14" s="56">
        <f>IF(J4=0,0,J4/TrNavi_act!J8*1000)</f>
        <v>322930.18857691012</v>
      </c>
      <c r="K14" s="56">
        <f>IF(K4=0,0,K4/TrNavi_act!K8*1000)</f>
        <v>294063.18809123052</v>
      </c>
      <c r="L14" s="56">
        <f>IF(L4=0,0,L4/TrNavi_act!L8*1000)</f>
        <v>334246.98454881139</v>
      </c>
      <c r="M14" s="56">
        <f>IF(M4=0,0,M4/TrNavi_act!M8*1000)</f>
        <v>237643.31434518378</v>
      </c>
      <c r="N14" s="56">
        <f>IF(N4=0,0,N4/TrNavi_act!N8*1000)</f>
        <v>251720.1697540716</v>
      </c>
      <c r="O14" s="56">
        <f>IF(O4=0,0,O4/TrNavi_act!O8*1000)</f>
        <v>265955.27400000003</v>
      </c>
      <c r="P14" s="56">
        <f>IF(P4=0,0,P4/TrNavi_act!P8*1000)</f>
        <v>257376.07161290327</v>
      </c>
      <c r="Q14" s="56">
        <f>IF(Q4=0,0,Q4/TrNavi_act!Q8*1000)</f>
        <v>264661.48799999995</v>
      </c>
      <c r="R14" s="56">
        <f>IF(R4=0,0,R4/TrNavi_act!R8*1000)</f>
        <v>282303.2159999999</v>
      </c>
      <c r="S14" s="56">
        <f>IF(S4=0,0,S4/TrNavi_act!S8*1000)</f>
        <v>281147.54754098365</v>
      </c>
      <c r="T14" s="56">
        <f>IF(T4=0,0,T4/TrNavi_act!T8*1000)</f>
        <v>271396.77381818183</v>
      </c>
      <c r="U14" s="56">
        <f>IF(U4=0,0,U4/TrNavi_act!U8*1000)</f>
        <v>262140.39428571425</v>
      </c>
      <c r="V14" s="56">
        <f>IF(V4=0,0,V4/TrNavi_act!V8*1000)</f>
        <v>286935.5735673969</v>
      </c>
      <c r="W14" s="56">
        <f>IF(W4=0,0,W4/TrNavi_act!W8*1000)</f>
        <v>286398.95577347529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8655.7951503827226</v>
      </c>
      <c r="C15" s="58">
        <f>IF(C5=0,0,C5/TrNavi_act!C9*1000)</f>
        <v>11809.201989467867</v>
      </c>
      <c r="D15" s="58">
        <f>IF(D5=0,0,D5/TrNavi_act!D9*1000)</f>
        <v>14286.391654171161</v>
      </c>
      <c r="E15" s="58">
        <f>IF(E5=0,0,E5/TrNavi_act!E9*1000)</f>
        <v>15202.253095095268</v>
      </c>
      <c r="F15" s="58">
        <f>IF(F5=0,0,F5/TrNavi_act!F9*1000)</f>
        <v>21227.916027328494</v>
      </c>
      <c r="G15" s="58">
        <f>IF(G5=0,0,G5/TrNavi_act!G9*1000)</f>
        <v>17467.866656826634</v>
      </c>
      <c r="H15" s="58">
        <f>IF(H5=0,0,H5/TrNavi_act!H9*1000)</f>
        <v>23137.799003434626</v>
      </c>
      <c r="I15" s="58">
        <f>IF(I5=0,0,I5/TrNavi_act!I9*1000)</f>
        <v>20918.952717577267</v>
      </c>
      <c r="J15" s="58">
        <f>IF(J5=0,0,J5/TrNavi_act!J9*1000)</f>
        <v>23373.943510618024</v>
      </c>
      <c r="K15" s="58">
        <f>IF(K5=0,0,K5/TrNavi_act!K9*1000)</f>
        <v>23247.966947798777</v>
      </c>
      <c r="L15" s="58">
        <f>IF(L5=0,0,L5/TrNavi_act!L9*1000)</f>
        <v>25353.055603915524</v>
      </c>
      <c r="M15" s="58">
        <f>IF(M5=0,0,M5/TrNavi_act!M9*1000)</f>
        <v>18190.512881191284</v>
      </c>
      <c r="N15" s="58">
        <f>IF(N5=0,0,N5/TrNavi_act!N9*1000)</f>
        <v>19789.149098697922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28918.999953475715</v>
      </c>
      <c r="W15" s="58">
        <f>IF(W5=0,0,W5/TrNavi_act!W9*1000)</f>
        <v>28483.420580187852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41.482962312857623</v>
      </c>
      <c r="C17" s="62">
        <f>IF(C3=0,0,C3/TrNavi_act!C3*1000)</f>
        <v>58.377688536726403</v>
      </c>
      <c r="D17" s="62">
        <f>IF(D3=0,0,D3/TrNavi_act!D3*1000)</f>
        <v>77.846216202941974</v>
      </c>
      <c r="E17" s="62">
        <f>IF(E3=0,0,E3/TrNavi_act!E3*1000)</f>
        <v>77.7744981114392</v>
      </c>
      <c r="F17" s="62">
        <f>IF(F3=0,0,F3/TrNavi_act!F3*1000)</f>
        <v>117.15459095881499</v>
      </c>
      <c r="G17" s="62">
        <f>IF(G3=0,0,G3/TrNavi_act!G3*1000)</f>
        <v>98.849601672389724</v>
      </c>
      <c r="H17" s="62">
        <f>IF(H3=0,0,H3/TrNavi_act!H3*1000)</f>
        <v>120.63154650120727</v>
      </c>
      <c r="I17" s="62">
        <f>IF(I3=0,0,I3/TrNavi_act!I3*1000)</f>
        <v>99.756296393540993</v>
      </c>
      <c r="J17" s="62">
        <f>IF(J3=0,0,J3/TrNavi_act!J3*1000)</f>
        <v>118.21872772845695</v>
      </c>
      <c r="K17" s="62">
        <f>IF(K3=0,0,K3/TrNavi_act!K3*1000)</f>
        <v>104.31118487625669</v>
      </c>
      <c r="L17" s="62">
        <f>IF(L3=0,0,L3/TrNavi_act!L3*1000)</f>
        <v>125.17377060753834</v>
      </c>
      <c r="M17" s="62">
        <f>IF(M3=0,0,M3/TrNavi_act!M3*1000)</f>
        <v>93.891420905533806</v>
      </c>
      <c r="N17" s="62">
        <f>IF(N3=0,0,N3/TrNavi_act!N3*1000)</f>
        <v>98.374430922877764</v>
      </c>
      <c r="O17" s="62">
        <f>IF(O3=0,0,O3/TrNavi_act!O3*1000)</f>
        <v>101.83939371118956</v>
      </c>
      <c r="P17" s="62">
        <f>IF(P3=0,0,P3/TrNavi_act!P3*1000)</f>
        <v>98.828330845694111</v>
      </c>
      <c r="Q17" s="62">
        <f>IF(Q3=0,0,Q3/TrNavi_act!Q3*1000)</f>
        <v>94.186141554813474</v>
      </c>
      <c r="R17" s="62">
        <f>IF(R3=0,0,R3/TrNavi_act!R3*1000)</f>
        <v>95.092143450629877</v>
      </c>
      <c r="S17" s="62">
        <f>IF(S3=0,0,S3/TrNavi_act!S3*1000)</f>
        <v>94.814767883502242</v>
      </c>
      <c r="T17" s="62">
        <f>IF(T3=0,0,T3/TrNavi_act!T3*1000)</f>
        <v>94.438893064571246</v>
      </c>
      <c r="U17" s="62">
        <f>IF(U3=0,0,U3/TrNavi_act!U3*1000)</f>
        <v>94.782167355371882</v>
      </c>
      <c r="V17" s="62">
        <f>IF(V3=0,0,V3/TrNavi_act!V3*1000)</f>
        <v>97.17229305360533</v>
      </c>
      <c r="W17" s="62">
        <f>IF(W3=0,0,W3/TrNavi_act!W3*1000)</f>
        <v>94.948128388104507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41.601157408221852</v>
      </c>
      <c r="C18" s="63">
        <f>IF(C4=0,0,C4/TrNavi_act!C4*1000)</f>
        <v>58.42479534899558</v>
      </c>
      <c r="D18" s="63">
        <f>IF(D4=0,0,D4/TrNavi_act!D4*1000)</f>
        <v>77.829166312765906</v>
      </c>
      <c r="E18" s="63">
        <f>IF(E4=0,0,E4/TrNavi_act!E4*1000)</f>
        <v>77.812244459932089</v>
      </c>
      <c r="F18" s="63">
        <f>IF(F4=0,0,F4/TrNavi_act!F4*1000)</f>
        <v>116.90667879397462</v>
      </c>
      <c r="G18" s="63">
        <f>IF(G4=0,0,G4/TrNavi_act!G4*1000)</f>
        <v>98.794096293856697</v>
      </c>
      <c r="H18" s="63">
        <f>IF(H4=0,0,H4/TrNavi_act!H4*1000)</f>
        <v>120.09107690749219</v>
      </c>
      <c r="I18" s="63">
        <f>IF(I4=0,0,I4/TrNavi_act!I4*1000)</f>
        <v>97.620229115132602</v>
      </c>
      <c r="J18" s="63">
        <f>IF(J4=0,0,J4/TrNavi_act!J4*1000)</f>
        <v>114.11873737865709</v>
      </c>
      <c r="K18" s="63">
        <f>IF(K4=0,0,K4/TrNavi_act!K4*1000)</f>
        <v>103.91756770216443</v>
      </c>
      <c r="L18" s="63">
        <f>IF(L4=0,0,L4/TrNavi_act!L4*1000)</f>
        <v>124.80384546222403</v>
      </c>
      <c r="M18" s="63">
        <f>IF(M4=0,0,M4/TrNavi_act!M4*1000)</f>
        <v>93.944228964584042</v>
      </c>
      <c r="N18" s="63">
        <f>IF(N4=0,0,N4/TrNavi_act!N4*1000)</f>
        <v>98.370887007670191</v>
      </c>
      <c r="O18" s="63">
        <f>IF(O4=0,0,O4/TrNavi_act!O4*1000)</f>
        <v>101.83939371118956</v>
      </c>
      <c r="P18" s="63">
        <f>IF(P4=0,0,P4/TrNavi_act!P4*1000)</f>
        <v>98.828330845694111</v>
      </c>
      <c r="Q18" s="63">
        <f>IF(Q4=0,0,Q4/TrNavi_act!Q4*1000)</f>
        <v>94.186141554813474</v>
      </c>
      <c r="R18" s="63">
        <f>IF(R4=0,0,R4/TrNavi_act!R4*1000)</f>
        <v>95.092143450629877</v>
      </c>
      <c r="S18" s="63">
        <f>IF(S4=0,0,S4/TrNavi_act!S4*1000)</f>
        <v>94.814767883502242</v>
      </c>
      <c r="T18" s="63">
        <f>IF(T4=0,0,T4/TrNavi_act!T4*1000)</f>
        <v>94.438893064571246</v>
      </c>
      <c r="U18" s="63">
        <f>IF(U4=0,0,U4/TrNavi_act!U4*1000)</f>
        <v>94.782167355371882</v>
      </c>
      <c r="V18" s="63">
        <f>IF(V4=0,0,V4/TrNavi_act!V4*1000)</f>
        <v>97.177916043806974</v>
      </c>
      <c r="W18" s="63">
        <f>IF(W4=0,0,W4/TrNavi_act!W4*1000)</f>
        <v>96.510729273842799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23.337274603350561</v>
      </c>
      <c r="C19" s="64">
        <f>IF(C5=0,0,C5/TrNavi_act!C5*1000)</f>
        <v>44.097094807572311</v>
      </c>
      <c r="D19" s="64">
        <f>IF(D5=0,0,D5/TrNavi_act!D5*1000)</f>
        <v>83.221698956336851</v>
      </c>
      <c r="E19" s="64">
        <f>IF(E5=0,0,E5/TrNavi_act!E5*1000)</f>
        <v>68.560973068679814</v>
      </c>
      <c r="F19" s="64">
        <f>IF(F5=0,0,F5/TrNavi_act!F5*1000)</f>
        <v>170.91719828766904</v>
      </c>
      <c r="G19" s="64">
        <f>IF(G5=0,0,G5/TrNavi_act!G5*1000)</f>
        <v>105.51414471052028</v>
      </c>
      <c r="H19" s="64">
        <f>IF(H5=0,0,H5/TrNavi_act!H5*1000)</f>
        <v>167.56246841103567</v>
      </c>
      <c r="I19" s="64">
        <f>IF(I5=0,0,I5/TrNavi_act!I5*1000)</f>
        <v>131.78940212073678</v>
      </c>
      <c r="J19" s="64">
        <f>IF(J5=0,0,J5/TrNavi_act!J5*1000)</f>
        <v>169.46109045198065</v>
      </c>
      <c r="K19" s="64">
        <f>IF(K5=0,0,K5/TrNavi_act!K5*1000)</f>
        <v>123.98915705492681</v>
      </c>
      <c r="L19" s="64">
        <f>IF(L5=0,0,L5/TrNavi_act!L5*1000)</f>
        <v>143.66731508885462</v>
      </c>
      <c r="M19" s="64">
        <f>IF(M5=0,0,M5/TrNavi_act!M5*1000)</f>
        <v>90.952564405956437</v>
      </c>
      <c r="N19" s="64">
        <f>IF(N5=0,0,N5/TrNavi_act!N5*1000)</f>
        <v>98.945745493489611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29.100373672795964</v>
      </c>
      <c r="W19" s="64">
        <f>IF(W5=0,0,W5/TrNavi_act!W5*1000)</f>
        <v>28.483420580187854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0.99635928470601243</v>
      </c>
      <c r="C22" s="77">
        <f t="shared" si="5"/>
        <v>0.99751646489167745</v>
      </c>
      <c r="D22" s="77">
        <f t="shared" si="5"/>
        <v>0.99661991304727593</v>
      </c>
      <c r="E22" s="77">
        <f t="shared" si="5"/>
        <v>0.99640322493022659</v>
      </c>
      <c r="F22" s="77">
        <f t="shared" si="5"/>
        <v>0.99330352986427639</v>
      </c>
      <c r="G22" s="77">
        <f t="shared" si="5"/>
        <v>0.99118345505029115</v>
      </c>
      <c r="H22" s="77">
        <f t="shared" si="5"/>
        <v>0.98418551120827991</v>
      </c>
      <c r="I22" s="77">
        <f t="shared" si="5"/>
        <v>0.91741129994114679</v>
      </c>
      <c r="J22" s="77">
        <f t="shared" si="5"/>
        <v>0.89380381159895883</v>
      </c>
      <c r="K22" s="77">
        <f t="shared" si="5"/>
        <v>0.97668984803532666</v>
      </c>
      <c r="L22" s="77">
        <f t="shared" si="5"/>
        <v>0.97749199946200771</v>
      </c>
      <c r="M22" s="77">
        <f t="shared" si="5"/>
        <v>0.98290077819514188</v>
      </c>
      <c r="N22" s="77">
        <f t="shared" si="5"/>
        <v>0.99379934929124647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0.99997526456387564</v>
      </c>
      <c r="W22" s="77">
        <f t="shared" si="6"/>
        <v>0.9931091862647129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3.640715293987662E-3</v>
      </c>
      <c r="C23" s="78">
        <f t="shared" si="7"/>
        <v>2.4835351083224381E-3</v>
      </c>
      <c r="D23" s="78">
        <f t="shared" si="7"/>
        <v>3.3800869527240486E-3</v>
      </c>
      <c r="E23" s="78">
        <f t="shared" si="7"/>
        <v>3.5967750697733095E-3</v>
      </c>
      <c r="F23" s="78">
        <f t="shared" si="7"/>
        <v>6.6964701357236202E-3</v>
      </c>
      <c r="G23" s="78">
        <f t="shared" si="7"/>
        <v>8.8165449497088749E-3</v>
      </c>
      <c r="H23" s="78">
        <f t="shared" si="7"/>
        <v>1.5814488791720066E-2</v>
      </c>
      <c r="I23" s="78">
        <f t="shared" si="7"/>
        <v>8.2588700058853257E-2</v>
      </c>
      <c r="J23" s="78">
        <f t="shared" si="7"/>
        <v>0.10619618840104107</v>
      </c>
      <c r="K23" s="78">
        <f t="shared" si="7"/>
        <v>2.3310151964673356E-2</v>
      </c>
      <c r="L23" s="78">
        <f t="shared" si="7"/>
        <v>2.2508000537992255E-2</v>
      </c>
      <c r="M23" s="78">
        <f t="shared" si="7"/>
        <v>1.7099221804858143E-2</v>
      </c>
      <c r="N23" s="78">
        <f t="shared" si="7"/>
        <v>6.2006507087534832E-3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2.4735436124403955E-5</v>
      </c>
      <c r="W23" s="78">
        <f t="shared" si="8"/>
        <v>6.8908137352871593E-3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36996.781946999996</v>
      </c>
      <c r="C3" s="54">
        <f t="shared" si="0"/>
        <v>39455.121976000002</v>
      </c>
      <c r="D3" s="54">
        <f t="shared" si="0"/>
        <v>43451.863495999998</v>
      </c>
      <c r="E3" s="54">
        <f t="shared" si="0"/>
        <v>43412.033990999997</v>
      </c>
      <c r="F3" s="54">
        <f t="shared" si="0"/>
        <v>44965.029962000001</v>
      </c>
      <c r="G3" s="54">
        <f t="shared" si="0"/>
        <v>52914.668848000001</v>
      </c>
      <c r="H3" s="54">
        <f t="shared" si="0"/>
        <v>59414.611768000002</v>
      </c>
      <c r="I3" s="54">
        <f t="shared" si="0"/>
        <v>68018.431718000007</v>
      </c>
      <c r="J3" s="54">
        <f t="shared" si="0"/>
        <v>90089.391537000003</v>
      </c>
      <c r="K3" s="54">
        <f t="shared" si="0"/>
        <v>92230.708299999984</v>
      </c>
      <c r="L3" s="54">
        <f t="shared" si="0"/>
        <v>99054.170441000009</v>
      </c>
      <c r="M3" s="54">
        <f t="shared" si="0"/>
        <v>116685.56220700001</v>
      </c>
      <c r="N3" s="54">
        <f t="shared" si="0"/>
        <v>105168.19001000001</v>
      </c>
      <c r="O3" s="54">
        <f t="shared" si="0"/>
        <v>106837.258619</v>
      </c>
      <c r="P3" s="54">
        <f t="shared" si="0"/>
        <v>125752.423891</v>
      </c>
      <c r="Q3" s="54">
        <f t="shared" si="0"/>
        <v>138879.33434499998</v>
      </c>
      <c r="R3" s="54">
        <f t="shared" ref="R3:W3" si="1">SUM(R4:R5)</f>
        <v>149161.40673600003</v>
      </c>
      <c r="S3" s="54">
        <f t="shared" si="1"/>
        <v>164296.47818100001</v>
      </c>
      <c r="T3" s="54">
        <f t="shared" si="1"/>
        <v>167295.296738</v>
      </c>
      <c r="U3" s="54">
        <f t="shared" si="1"/>
        <v>162561.87449400002</v>
      </c>
      <c r="V3" s="54">
        <f t="shared" si="1"/>
        <v>165668.989275</v>
      </c>
      <c r="W3" s="54">
        <f t="shared" si="1"/>
        <v>166074.94283799999</v>
      </c>
      <c r="DA3" s="172" t="s">
        <v>387</v>
      </c>
    </row>
    <row r="4" spans="1:105" ht="11.45" customHeight="1" x14ac:dyDescent="0.25">
      <c r="A4" s="55" t="s">
        <v>170</v>
      </c>
      <c r="B4" s="56">
        <v>14706.173085</v>
      </c>
      <c r="C4" s="56">
        <v>15479.542592</v>
      </c>
      <c r="D4" s="56">
        <v>17041.777635999999</v>
      </c>
      <c r="E4" s="56">
        <v>17058.988451999998</v>
      </c>
      <c r="F4" s="56">
        <v>17664.083149000002</v>
      </c>
      <c r="G4" s="56">
        <v>19895.224925999999</v>
      </c>
      <c r="H4" s="56">
        <v>14148.462991</v>
      </c>
      <c r="I4" s="56">
        <v>12259.310439000001</v>
      </c>
      <c r="J4" s="56">
        <v>13843.452320999999</v>
      </c>
      <c r="K4" s="56">
        <v>11973.543959999999</v>
      </c>
      <c r="L4" s="56">
        <v>13021.322437999999</v>
      </c>
      <c r="M4" s="56">
        <v>16591.168522</v>
      </c>
      <c r="N4" s="56">
        <v>15928.674920000001</v>
      </c>
      <c r="O4" s="56">
        <v>14227.734057000001</v>
      </c>
      <c r="P4" s="56">
        <v>15198.145814</v>
      </c>
      <c r="Q4" s="56">
        <v>15175.972366</v>
      </c>
      <c r="R4" s="56">
        <v>14519.295994</v>
      </c>
      <c r="S4" s="56">
        <v>16076.966982</v>
      </c>
      <c r="T4" s="56">
        <v>16724.659147999999</v>
      </c>
      <c r="U4" s="56">
        <v>16589.261826999998</v>
      </c>
      <c r="V4" s="56">
        <v>16650.371919000001</v>
      </c>
      <c r="W4" s="56">
        <v>14184.922113999999</v>
      </c>
      <c r="DA4" s="181" t="s">
        <v>388</v>
      </c>
    </row>
    <row r="5" spans="1:105" ht="11.45" customHeight="1" x14ac:dyDescent="0.25">
      <c r="A5" s="57" t="s">
        <v>171</v>
      </c>
      <c r="B5" s="58">
        <v>22290.608861999997</v>
      </c>
      <c r="C5" s="58">
        <v>23975.579384000001</v>
      </c>
      <c r="D5" s="58">
        <v>26410.085859999999</v>
      </c>
      <c r="E5" s="58">
        <v>26353.045538999999</v>
      </c>
      <c r="F5" s="58">
        <v>27300.946812999999</v>
      </c>
      <c r="G5" s="58">
        <v>33019.443921999999</v>
      </c>
      <c r="H5" s="58">
        <v>45266.148777000002</v>
      </c>
      <c r="I5" s="58">
        <v>55759.121278999999</v>
      </c>
      <c r="J5" s="58">
        <v>76245.939215999999</v>
      </c>
      <c r="K5" s="58">
        <v>80257.164339999988</v>
      </c>
      <c r="L5" s="58">
        <v>86032.848003000006</v>
      </c>
      <c r="M5" s="58">
        <v>100094.393685</v>
      </c>
      <c r="N5" s="58">
        <v>89239.515090000001</v>
      </c>
      <c r="O5" s="58">
        <v>92609.524562000006</v>
      </c>
      <c r="P5" s="58">
        <v>110554.278077</v>
      </c>
      <c r="Q5" s="58">
        <v>123703.36197899999</v>
      </c>
      <c r="R5" s="58">
        <v>134642.11074200002</v>
      </c>
      <c r="S5" s="58">
        <v>148219.511199</v>
      </c>
      <c r="T5" s="58">
        <v>150570.63759</v>
      </c>
      <c r="U5" s="58">
        <v>145972.61266700001</v>
      </c>
      <c r="V5" s="58">
        <v>149018.617356</v>
      </c>
      <c r="W5" s="58">
        <v>151890.020724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4.2116999999999996</v>
      </c>
      <c r="C7" s="59">
        <f t="shared" si="2"/>
        <v>4.3826699999999992</v>
      </c>
      <c r="D7" s="59">
        <f t="shared" si="2"/>
        <v>4.7652809999999999</v>
      </c>
      <c r="E7" s="59">
        <f t="shared" si="2"/>
        <v>4.7473910000000004</v>
      </c>
      <c r="F7" s="59">
        <f t="shared" si="2"/>
        <v>4.9002780000000001</v>
      </c>
      <c r="G7" s="59">
        <f t="shared" si="2"/>
        <v>5.5327479999999998</v>
      </c>
      <c r="H7" s="59">
        <f t="shared" si="2"/>
        <v>4.3992979999999999</v>
      </c>
      <c r="I7" s="59">
        <f t="shared" si="2"/>
        <v>3.9839370000000001</v>
      </c>
      <c r="J7" s="59">
        <f t="shared" si="2"/>
        <v>4.5542210000000001</v>
      </c>
      <c r="K7" s="59">
        <f t="shared" si="2"/>
        <v>4.2502069999999996</v>
      </c>
      <c r="L7" s="59">
        <f t="shared" si="2"/>
        <v>4.5578110000000001</v>
      </c>
      <c r="M7" s="59">
        <f t="shared" si="2"/>
        <v>5.2288100000000002</v>
      </c>
      <c r="N7" s="59">
        <f t="shared" si="2"/>
        <v>4.8561099999999993</v>
      </c>
      <c r="O7" s="59">
        <f t="shared" si="2"/>
        <v>4.6034459999999999</v>
      </c>
      <c r="P7" s="59">
        <f t="shared" si="2"/>
        <v>5.1017580000000002</v>
      </c>
      <c r="Q7" s="59">
        <f t="shared" si="2"/>
        <v>5.1790599999999998</v>
      </c>
      <c r="R7" s="59">
        <f t="shared" si="2"/>
        <v>5.1678760000000006</v>
      </c>
      <c r="S7" s="59">
        <f t="shared" si="2"/>
        <v>5.6268530000000005</v>
      </c>
      <c r="T7" s="59">
        <f t="shared" si="2"/>
        <v>5.8570030000000006</v>
      </c>
      <c r="U7" s="59">
        <f t="shared" si="2"/>
        <v>5.8761460000000003</v>
      </c>
      <c r="V7" s="59">
        <f t="shared" si="2"/>
        <v>5.747897</v>
      </c>
      <c r="W7" s="59">
        <f t="shared" si="2"/>
        <v>5.5038360000000006</v>
      </c>
      <c r="DA7" s="172" t="s">
        <v>961</v>
      </c>
    </row>
    <row r="8" spans="1:105" ht="11.45" customHeight="1" x14ac:dyDescent="0.25">
      <c r="A8" s="55" t="s">
        <v>170</v>
      </c>
      <c r="B8" s="60">
        <v>2.7495949999999998</v>
      </c>
      <c r="C8" s="60">
        <v>2.8564059999999998</v>
      </c>
      <c r="D8" s="60">
        <v>3.0957469999999998</v>
      </c>
      <c r="E8" s="60">
        <v>3.0745200000000001</v>
      </c>
      <c r="F8" s="60">
        <v>3.1800759999999997</v>
      </c>
      <c r="G8" s="60">
        <v>3.6471779999999998</v>
      </c>
      <c r="H8" s="60">
        <v>2.2574879999999999</v>
      </c>
      <c r="I8" s="60">
        <v>1.64157</v>
      </c>
      <c r="J8" s="60">
        <v>1.777784</v>
      </c>
      <c r="K8" s="60">
        <v>1.461382</v>
      </c>
      <c r="L8" s="60">
        <v>1.7290079999999999</v>
      </c>
      <c r="M8" s="60">
        <v>2.131618</v>
      </c>
      <c r="N8" s="60">
        <v>2.0389200000000001</v>
      </c>
      <c r="O8" s="60">
        <v>1.7697270000000001</v>
      </c>
      <c r="P8" s="60">
        <v>1.8508899999999999</v>
      </c>
      <c r="Q8" s="60">
        <v>1.7814130000000001</v>
      </c>
      <c r="R8" s="60">
        <v>1.6449450000000001</v>
      </c>
      <c r="S8" s="60">
        <v>1.7977019999999999</v>
      </c>
      <c r="T8" s="60">
        <v>1.8928780000000001</v>
      </c>
      <c r="U8" s="60">
        <v>1.94401</v>
      </c>
      <c r="V8" s="60">
        <v>1.773782</v>
      </c>
      <c r="W8" s="60">
        <v>1.5845860000000001</v>
      </c>
      <c r="DA8" s="181" t="s">
        <v>962</v>
      </c>
    </row>
    <row r="9" spans="1:105" ht="11.45" customHeight="1" x14ac:dyDescent="0.25">
      <c r="A9" s="57" t="s">
        <v>171</v>
      </c>
      <c r="B9" s="61">
        <v>1.462105</v>
      </c>
      <c r="C9" s="61">
        <v>1.5262639999999998</v>
      </c>
      <c r="D9" s="61">
        <v>1.6695340000000001</v>
      </c>
      <c r="E9" s="61">
        <v>1.6728710000000002</v>
      </c>
      <c r="F9" s="61">
        <v>1.720202</v>
      </c>
      <c r="G9" s="61">
        <v>1.88557</v>
      </c>
      <c r="H9" s="61">
        <v>2.14181</v>
      </c>
      <c r="I9" s="61">
        <v>2.3423669999999999</v>
      </c>
      <c r="J9" s="61">
        <v>2.7764369999999996</v>
      </c>
      <c r="K9" s="61">
        <v>2.7888250000000001</v>
      </c>
      <c r="L9" s="61">
        <v>2.8288030000000002</v>
      </c>
      <c r="M9" s="61">
        <v>3.0971920000000002</v>
      </c>
      <c r="N9" s="61">
        <v>2.8171899999999996</v>
      </c>
      <c r="O9" s="61">
        <v>2.8337189999999999</v>
      </c>
      <c r="P9" s="61">
        <v>3.2508680000000001</v>
      </c>
      <c r="Q9" s="61">
        <v>3.3976470000000001</v>
      </c>
      <c r="R9" s="61">
        <v>3.5229310000000003</v>
      </c>
      <c r="S9" s="61">
        <v>3.8291510000000004</v>
      </c>
      <c r="T9" s="61">
        <v>3.9641250000000001</v>
      </c>
      <c r="U9" s="61">
        <v>3.9321359999999999</v>
      </c>
      <c r="V9" s="61">
        <v>3.9741150000000003</v>
      </c>
      <c r="W9" s="61">
        <v>3.9192500000000003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8784.2870923854971</v>
      </c>
      <c r="C13" s="62">
        <f t="shared" si="3"/>
        <v>9002.5308718201486</v>
      </c>
      <c r="D13" s="62">
        <f t="shared" si="3"/>
        <v>9118.4262787441075</v>
      </c>
      <c r="E13" s="62">
        <f t="shared" si="3"/>
        <v>9144.3982581169312</v>
      </c>
      <c r="F13" s="62">
        <f t="shared" si="3"/>
        <v>9176.016128472711</v>
      </c>
      <c r="G13" s="62">
        <f t="shared" si="3"/>
        <v>9563.9036601703174</v>
      </c>
      <c r="H13" s="62">
        <f t="shared" si="3"/>
        <v>13505.475593606072</v>
      </c>
      <c r="I13" s="62">
        <f t="shared" si="3"/>
        <v>17073.169509959622</v>
      </c>
      <c r="J13" s="62">
        <f t="shared" si="3"/>
        <v>19781.5151124638</v>
      </c>
      <c r="K13" s="62">
        <f t="shared" si="3"/>
        <v>21700.286197825186</v>
      </c>
      <c r="L13" s="62">
        <f t="shared" si="3"/>
        <v>21732.838514146377</v>
      </c>
      <c r="M13" s="62">
        <f t="shared" si="3"/>
        <v>22315.892565803693</v>
      </c>
      <c r="N13" s="62">
        <f t="shared" si="3"/>
        <v>21656.879685591972</v>
      </c>
      <c r="O13" s="62">
        <f t="shared" si="3"/>
        <v>23208.105106261701</v>
      </c>
      <c r="P13" s="62">
        <f t="shared" si="3"/>
        <v>24648.841417213436</v>
      </c>
      <c r="Q13" s="62">
        <f t="shared" si="3"/>
        <v>26815.548447980906</v>
      </c>
      <c r="R13" s="62">
        <f t="shared" si="3"/>
        <v>28863.193841338303</v>
      </c>
      <c r="S13" s="62">
        <f t="shared" si="3"/>
        <v>29198.644105506221</v>
      </c>
      <c r="T13" s="62">
        <f t="shared" si="3"/>
        <v>28563.293673914795</v>
      </c>
      <c r="U13" s="62">
        <f t="shared" si="3"/>
        <v>27664.709912585564</v>
      </c>
      <c r="V13" s="62">
        <f t="shared" si="3"/>
        <v>28822.539665376746</v>
      </c>
      <c r="W13" s="62">
        <f t="shared" si="3"/>
        <v>30174.398880707922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5348.4869899021496</v>
      </c>
      <c r="C14" s="63">
        <f t="shared" si="3"/>
        <v>5419.2375285586158</v>
      </c>
      <c r="D14" s="63">
        <f t="shared" si="3"/>
        <v>5504.899992150521</v>
      </c>
      <c r="E14" s="63">
        <f t="shared" si="3"/>
        <v>5548.5046290152595</v>
      </c>
      <c r="F14" s="63">
        <f t="shared" si="3"/>
        <v>5554.6103769218107</v>
      </c>
      <c r="G14" s="63">
        <f t="shared" si="3"/>
        <v>5454.964064271061</v>
      </c>
      <c r="H14" s="63">
        <f t="shared" si="3"/>
        <v>6267.3480395023144</v>
      </c>
      <c r="I14" s="63">
        <f t="shared" si="3"/>
        <v>7468.0400098686023</v>
      </c>
      <c r="J14" s="63">
        <f t="shared" si="3"/>
        <v>7786.9146763611316</v>
      </c>
      <c r="K14" s="63">
        <f t="shared" si="3"/>
        <v>8193.3019292696918</v>
      </c>
      <c r="L14" s="63">
        <f t="shared" si="3"/>
        <v>7531.0943836003071</v>
      </c>
      <c r="M14" s="63">
        <f t="shared" si="3"/>
        <v>7783.3685594698491</v>
      </c>
      <c r="N14" s="63">
        <f t="shared" si="3"/>
        <v>7812.3099091675986</v>
      </c>
      <c r="O14" s="63">
        <f t="shared" si="3"/>
        <v>8039.5078206977696</v>
      </c>
      <c r="P14" s="63">
        <f t="shared" si="3"/>
        <v>8211.2636699101513</v>
      </c>
      <c r="Q14" s="63">
        <f t="shared" si="3"/>
        <v>8519.0645661618055</v>
      </c>
      <c r="R14" s="63">
        <f t="shared" si="3"/>
        <v>8826.6148679743092</v>
      </c>
      <c r="S14" s="63">
        <f t="shared" si="3"/>
        <v>8943.0656371300702</v>
      </c>
      <c r="T14" s="63">
        <f t="shared" si="3"/>
        <v>8835.5716258522734</v>
      </c>
      <c r="U14" s="63">
        <f t="shared" si="3"/>
        <v>8533.5270019187137</v>
      </c>
      <c r="V14" s="63">
        <f t="shared" si="3"/>
        <v>9386.9325086171812</v>
      </c>
      <c r="W14" s="63">
        <f t="shared" si="3"/>
        <v>8951.815877459474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15245.559561043836</v>
      </c>
      <c r="C15" s="64">
        <f t="shared" si="3"/>
        <v>15708.671228568584</v>
      </c>
      <c r="D15" s="64">
        <f t="shared" si="3"/>
        <v>15818.836789187881</v>
      </c>
      <c r="E15" s="64">
        <f t="shared" si="3"/>
        <v>15753.184518710645</v>
      </c>
      <c r="F15" s="64">
        <f t="shared" si="3"/>
        <v>15870.779602046736</v>
      </c>
      <c r="G15" s="64">
        <f t="shared" si="3"/>
        <v>17511.651077393042</v>
      </c>
      <c r="H15" s="64">
        <f t="shared" si="3"/>
        <v>21134.530503172551</v>
      </c>
      <c r="I15" s="64">
        <f t="shared" si="3"/>
        <v>23804.605033711628</v>
      </c>
      <c r="J15" s="64">
        <f t="shared" si="3"/>
        <v>27461.793376186823</v>
      </c>
      <c r="K15" s="64">
        <f t="shared" si="3"/>
        <v>28778.12854517583</v>
      </c>
      <c r="L15" s="64">
        <f t="shared" si="3"/>
        <v>30413.163448638876</v>
      </c>
      <c r="M15" s="64">
        <f t="shared" si="3"/>
        <v>32317.78775258363</v>
      </c>
      <c r="N15" s="64">
        <f t="shared" si="3"/>
        <v>31676.782570575648</v>
      </c>
      <c r="O15" s="64">
        <f t="shared" si="3"/>
        <v>32681.266054255913</v>
      </c>
      <c r="P15" s="64">
        <f t="shared" si="3"/>
        <v>34007.618296713365</v>
      </c>
      <c r="Q15" s="64">
        <f t="shared" si="3"/>
        <v>36408.538608925526</v>
      </c>
      <c r="R15" s="64">
        <f t="shared" si="3"/>
        <v>38218.775997032018</v>
      </c>
      <c r="S15" s="64">
        <f t="shared" si="3"/>
        <v>38708.191763396113</v>
      </c>
      <c r="T15" s="64">
        <f t="shared" si="3"/>
        <v>37983.322319553496</v>
      </c>
      <c r="U15" s="64">
        <f t="shared" si="3"/>
        <v>37122.981673828173</v>
      </c>
      <c r="V15" s="64">
        <f t="shared" si="3"/>
        <v>37497.308798562699</v>
      </c>
      <c r="W15" s="64">
        <f t="shared" si="3"/>
        <v>38754.86910097595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0.39749870964635342</v>
      </c>
      <c r="C18" s="66">
        <f t="shared" si="4"/>
        <v>0.39233290424031608</v>
      </c>
      <c r="D18" s="66">
        <f t="shared" si="4"/>
        <v>0.39219900517198292</v>
      </c>
      <c r="E18" s="66">
        <f t="shared" si="4"/>
        <v>0.3929552910498641</v>
      </c>
      <c r="F18" s="66">
        <f t="shared" si="4"/>
        <v>0.3928404621086195</v>
      </c>
      <c r="G18" s="66">
        <f t="shared" si="4"/>
        <v>0.37598694953851103</v>
      </c>
      <c r="H18" s="66">
        <f t="shared" si="4"/>
        <v>0.23813103494215193</v>
      </c>
      <c r="I18" s="66">
        <f t="shared" si="4"/>
        <v>0.18023512347103657</v>
      </c>
      <c r="J18" s="66">
        <f t="shared" si="4"/>
        <v>0.15366351226064667</v>
      </c>
      <c r="K18" s="66">
        <f t="shared" si="4"/>
        <v>0.12982166331254338</v>
      </c>
      <c r="L18" s="66">
        <f t="shared" si="4"/>
        <v>0.13145657956679307</v>
      </c>
      <c r="M18" s="66">
        <f t="shared" si="4"/>
        <v>0.14218698704615479</v>
      </c>
      <c r="N18" s="66">
        <f t="shared" si="4"/>
        <v>0.15145905732983908</v>
      </c>
      <c r="O18" s="66">
        <f t="shared" si="4"/>
        <v>0.13317202482458432</v>
      </c>
      <c r="P18" s="66">
        <f t="shared" si="4"/>
        <v>0.12085767688401368</v>
      </c>
      <c r="Q18" s="66">
        <f t="shared" si="4"/>
        <v>0.10927451832610525</v>
      </c>
      <c r="R18" s="66">
        <f t="shared" si="4"/>
        <v>9.7339494925102327E-2</v>
      </c>
      <c r="S18" s="66">
        <f t="shared" si="4"/>
        <v>9.7853387729276431E-2</v>
      </c>
      <c r="T18" s="66">
        <f t="shared" si="4"/>
        <v>9.9970886654347321E-2</v>
      </c>
      <c r="U18" s="66">
        <f t="shared" si="4"/>
        <v>0.10204890832267248</v>
      </c>
      <c r="V18" s="66">
        <f t="shared" si="4"/>
        <v>0.10050385405177695</v>
      </c>
      <c r="W18" s="66">
        <f t="shared" si="4"/>
        <v>8.5412777337740053E-2</v>
      </c>
      <c r="DA18" s="181"/>
    </row>
    <row r="19" spans="1:105" ht="11.45" customHeight="1" x14ac:dyDescent="0.25">
      <c r="A19" s="57" t="s">
        <v>171</v>
      </c>
      <c r="B19" s="67">
        <f t="shared" si="4"/>
        <v>0.60250129035364663</v>
      </c>
      <c r="C19" s="67">
        <f t="shared" si="4"/>
        <v>0.60766709575968392</v>
      </c>
      <c r="D19" s="67">
        <f t="shared" si="4"/>
        <v>0.60780099482801708</v>
      </c>
      <c r="E19" s="67">
        <f t="shared" si="4"/>
        <v>0.60704470895013585</v>
      </c>
      <c r="F19" s="67">
        <f t="shared" si="4"/>
        <v>0.60715953789138055</v>
      </c>
      <c r="G19" s="67">
        <f t="shared" si="4"/>
        <v>0.62401305046148892</v>
      </c>
      <c r="H19" s="67">
        <f t="shared" si="4"/>
        <v>0.76186896505784807</v>
      </c>
      <c r="I19" s="67">
        <f t="shared" si="4"/>
        <v>0.81976487652896335</v>
      </c>
      <c r="J19" s="67">
        <f t="shared" si="4"/>
        <v>0.84633648773935322</v>
      </c>
      <c r="K19" s="67">
        <f t="shared" si="4"/>
        <v>0.8701783366874567</v>
      </c>
      <c r="L19" s="67">
        <f t="shared" si="4"/>
        <v>0.86854342043320687</v>
      </c>
      <c r="M19" s="67">
        <f t="shared" si="4"/>
        <v>0.85781301295384516</v>
      </c>
      <c r="N19" s="67">
        <f t="shared" si="4"/>
        <v>0.84854094267016089</v>
      </c>
      <c r="O19" s="67">
        <f t="shared" si="4"/>
        <v>0.86682797517541577</v>
      </c>
      <c r="P19" s="67">
        <f t="shared" si="4"/>
        <v>0.87914232311598628</v>
      </c>
      <c r="Q19" s="67">
        <f t="shared" si="4"/>
        <v>0.89072548167389487</v>
      </c>
      <c r="R19" s="67">
        <f t="shared" si="4"/>
        <v>0.90266050507489759</v>
      </c>
      <c r="S19" s="67">
        <f t="shared" si="4"/>
        <v>0.90214661227072346</v>
      </c>
      <c r="T19" s="67">
        <f t="shared" si="4"/>
        <v>0.90002911334565261</v>
      </c>
      <c r="U19" s="67">
        <f t="shared" si="4"/>
        <v>0.89795109167732745</v>
      </c>
      <c r="V19" s="67">
        <f t="shared" si="4"/>
        <v>0.89949614594822302</v>
      </c>
      <c r="W19" s="67">
        <f t="shared" si="4"/>
        <v>0.91458722266226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0.65284683144573452</v>
      </c>
      <c r="C22" s="66">
        <f t="shared" si="5"/>
        <v>0.6517501888118431</v>
      </c>
      <c r="D22" s="66">
        <f t="shared" si="5"/>
        <v>0.64964626430214711</v>
      </c>
      <c r="E22" s="66">
        <f t="shared" si="5"/>
        <v>0.64762308392125267</v>
      </c>
      <c r="F22" s="66">
        <f t="shared" si="5"/>
        <v>0.6489582835912574</v>
      </c>
      <c r="G22" s="66">
        <f t="shared" si="5"/>
        <v>0.65919828627654831</v>
      </c>
      <c r="H22" s="66">
        <f t="shared" si="5"/>
        <v>0.51314732486864945</v>
      </c>
      <c r="I22" s="66">
        <f t="shared" si="5"/>
        <v>0.41204717845688826</v>
      </c>
      <c r="J22" s="66">
        <f t="shared" si="5"/>
        <v>0.3903596246207639</v>
      </c>
      <c r="K22" s="66">
        <f t="shared" si="5"/>
        <v>0.34383784130984679</v>
      </c>
      <c r="L22" s="66">
        <f t="shared" si="5"/>
        <v>0.37935052594326529</v>
      </c>
      <c r="M22" s="66">
        <f t="shared" si="5"/>
        <v>0.40766790149192644</v>
      </c>
      <c r="N22" s="66">
        <f t="shared" si="5"/>
        <v>0.41986693052669738</v>
      </c>
      <c r="O22" s="66">
        <f t="shared" si="5"/>
        <v>0.38443526870957107</v>
      </c>
      <c r="P22" s="66">
        <f t="shared" si="5"/>
        <v>0.36279455042751929</v>
      </c>
      <c r="Q22" s="66">
        <f t="shared" si="5"/>
        <v>0.3439645418280538</v>
      </c>
      <c r="R22" s="66">
        <f t="shared" si="5"/>
        <v>0.31830194842136306</v>
      </c>
      <c r="S22" s="66">
        <f t="shared" si="5"/>
        <v>0.31948622080583938</v>
      </c>
      <c r="T22" s="66">
        <f t="shared" si="5"/>
        <v>0.32318200963871796</v>
      </c>
      <c r="U22" s="66">
        <f t="shared" si="5"/>
        <v>0.33083078602880184</v>
      </c>
      <c r="V22" s="66">
        <f t="shared" si="5"/>
        <v>0.30859669197273365</v>
      </c>
      <c r="W22" s="66">
        <f t="shared" si="5"/>
        <v>0.28790574428453169</v>
      </c>
      <c r="DA22" s="181"/>
    </row>
    <row r="23" spans="1:105" ht="11.45" customHeight="1" x14ac:dyDescent="0.25">
      <c r="A23" s="57" t="s">
        <v>171</v>
      </c>
      <c r="B23" s="67">
        <f t="shared" si="5"/>
        <v>0.34715316855426553</v>
      </c>
      <c r="C23" s="67">
        <f t="shared" si="5"/>
        <v>0.34824981118815701</v>
      </c>
      <c r="D23" s="67">
        <f t="shared" si="5"/>
        <v>0.35035373569785289</v>
      </c>
      <c r="E23" s="67">
        <f t="shared" si="5"/>
        <v>0.35237691607874727</v>
      </c>
      <c r="F23" s="67">
        <f t="shared" si="5"/>
        <v>0.35104171640874254</v>
      </c>
      <c r="G23" s="67">
        <f t="shared" si="5"/>
        <v>0.34080171372345169</v>
      </c>
      <c r="H23" s="67">
        <f t="shared" si="5"/>
        <v>0.4868526751313505</v>
      </c>
      <c r="I23" s="67">
        <f t="shared" si="5"/>
        <v>0.58795282154311168</v>
      </c>
      <c r="J23" s="67">
        <f t="shared" si="5"/>
        <v>0.60964037537923599</v>
      </c>
      <c r="K23" s="67">
        <f t="shared" si="5"/>
        <v>0.65616215869015326</v>
      </c>
      <c r="L23" s="67">
        <f t="shared" si="5"/>
        <v>0.62064947405673476</v>
      </c>
      <c r="M23" s="67">
        <f t="shared" si="5"/>
        <v>0.59233209850807356</v>
      </c>
      <c r="N23" s="67">
        <f t="shared" si="5"/>
        <v>0.58013306947330268</v>
      </c>
      <c r="O23" s="67">
        <f t="shared" si="5"/>
        <v>0.61556473129042899</v>
      </c>
      <c r="P23" s="67">
        <f t="shared" si="5"/>
        <v>0.63720544957248071</v>
      </c>
      <c r="Q23" s="67">
        <f t="shared" si="5"/>
        <v>0.65603545817194631</v>
      </c>
      <c r="R23" s="67">
        <f t="shared" si="5"/>
        <v>0.68169805157863694</v>
      </c>
      <c r="S23" s="67">
        <f t="shared" si="5"/>
        <v>0.68051377919416056</v>
      </c>
      <c r="T23" s="67">
        <f t="shared" si="5"/>
        <v>0.67681799036128198</v>
      </c>
      <c r="U23" s="67">
        <f t="shared" si="5"/>
        <v>0.66916921397119811</v>
      </c>
      <c r="V23" s="67">
        <f t="shared" si="5"/>
        <v>0.69140330802726635</v>
      </c>
      <c r="W23" s="67">
        <f t="shared" si="5"/>
        <v>0.71209425571546825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91.232416165090271</v>
      </c>
      <c r="C3" s="62">
        <f t="shared" ref="C3:W3" si="0">SUM(C4,C10)</f>
        <v>98.80481513327598</v>
      </c>
      <c r="D3" s="62">
        <f t="shared" si="0"/>
        <v>108.42072226999139</v>
      </c>
      <c r="E3" s="62">
        <f t="shared" si="0"/>
        <v>108.15322441960447</v>
      </c>
      <c r="F3" s="62">
        <f t="shared" si="0"/>
        <v>112.10662080825452</v>
      </c>
      <c r="G3" s="62">
        <f t="shared" si="0"/>
        <v>141.57497850386932</v>
      </c>
      <c r="H3" s="62">
        <f t="shared" si="0"/>
        <v>136.59982803095437</v>
      </c>
      <c r="I3" s="62">
        <f t="shared" si="0"/>
        <v>117.73809114359419</v>
      </c>
      <c r="J3" s="62">
        <f t="shared" si="0"/>
        <v>89.033619948409282</v>
      </c>
      <c r="K3" s="62">
        <f t="shared" si="0"/>
        <v>125.53645743766126</v>
      </c>
      <c r="L3" s="62">
        <f t="shared" si="0"/>
        <v>139.15279449699057</v>
      </c>
      <c r="M3" s="62">
        <f t="shared" si="0"/>
        <v>140.26036113499572</v>
      </c>
      <c r="N3" s="62">
        <f t="shared" si="0"/>
        <v>120.21736887360275</v>
      </c>
      <c r="O3" s="62">
        <f t="shared" si="0"/>
        <v>86.514789337919183</v>
      </c>
      <c r="P3" s="62">
        <f t="shared" si="0"/>
        <v>11.058297506448838</v>
      </c>
      <c r="Q3" s="62">
        <f t="shared" si="0"/>
        <v>75.75434221840068</v>
      </c>
      <c r="R3" s="62">
        <f t="shared" si="0"/>
        <v>162.18675838349094</v>
      </c>
      <c r="S3" s="62">
        <f t="shared" si="0"/>
        <v>174.72287188306103</v>
      </c>
      <c r="T3" s="62">
        <f t="shared" si="0"/>
        <v>201.22321582115222</v>
      </c>
      <c r="U3" s="62">
        <f t="shared" si="0"/>
        <v>194.47506448839209</v>
      </c>
      <c r="V3" s="62">
        <f t="shared" si="0"/>
        <v>181.92871883061053</v>
      </c>
      <c r="W3" s="62">
        <f t="shared" si="0"/>
        <v>188.39776440240757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44.613724464968264</v>
      </c>
      <c r="C4" s="71">
        <f t="shared" ref="C4:W4" si="1">SUM(C5:C9)</f>
        <v>48.269585183751843</v>
      </c>
      <c r="D4" s="71">
        <f t="shared" si="1"/>
        <v>52.796249134964498</v>
      </c>
      <c r="E4" s="71">
        <f t="shared" si="1"/>
        <v>52.680600475020221</v>
      </c>
      <c r="F4" s="71">
        <f t="shared" si="1"/>
        <v>54.63335829915664</v>
      </c>
      <c r="G4" s="71">
        <f t="shared" si="1"/>
        <v>69.525289282120184</v>
      </c>
      <c r="H4" s="71">
        <f t="shared" si="1"/>
        <v>56.347854948232566</v>
      </c>
      <c r="I4" s="71">
        <f t="shared" si="1"/>
        <v>42.092847271840711</v>
      </c>
      <c r="J4" s="71">
        <f t="shared" si="1"/>
        <v>30.098631254519738</v>
      </c>
      <c r="K4" s="71">
        <f t="shared" si="1"/>
        <v>38.691980583324039</v>
      </c>
      <c r="L4" s="71">
        <f t="shared" si="1"/>
        <v>43.607079152994146</v>
      </c>
      <c r="M4" s="71">
        <f t="shared" si="1"/>
        <v>46.341381488939241</v>
      </c>
      <c r="N4" s="71">
        <f t="shared" si="1"/>
        <v>40.890878239261994</v>
      </c>
      <c r="O4" s="71">
        <f t="shared" si="1"/>
        <v>27.129446644668334</v>
      </c>
      <c r="P4" s="71">
        <f t="shared" si="1"/>
        <v>3.3041859962233713</v>
      </c>
      <c r="Q4" s="71">
        <f t="shared" si="1"/>
        <v>21.487273878027146</v>
      </c>
      <c r="R4" s="71">
        <f t="shared" si="1"/>
        <v>42.781344584835949</v>
      </c>
      <c r="S4" s="71">
        <f t="shared" si="1"/>
        <v>46.134517299367971</v>
      </c>
      <c r="T4" s="71">
        <f t="shared" si="1"/>
        <v>53.847414888017461</v>
      </c>
      <c r="U4" s="71">
        <f t="shared" si="1"/>
        <v>53.111205703236635</v>
      </c>
      <c r="V4" s="71">
        <f t="shared" si="1"/>
        <v>43.112922096516499</v>
      </c>
      <c r="W4" s="71">
        <f t="shared" si="1"/>
        <v>41.441484129220719</v>
      </c>
      <c r="DA4" s="186" t="s">
        <v>969</v>
      </c>
    </row>
    <row r="5" spans="1:105" ht="11.45" customHeight="1" x14ac:dyDescent="0.25">
      <c r="A5" s="72" t="s">
        <v>145</v>
      </c>
      <c r="B5" s="73">
        <v>18.65876288797681</v>
      </c>
      <c r="C5" s="73">
        <v>17.80821076521476</v>
      </c>
      <c r="D5" s="73">
        <v>18.633884869856594</v>
      </c>
      <c r="E5" s="73">
        <v>15.24723270107703</v>
      </c>
      <c r="F5" s="73">
        <v>16.944481759160613</v>
      </c>
      <c r="G5" s="73">
        <v>15.32053522125655</v>
      </c>
      <c r="H5" s="73">
        <v>12.035760382613436</v>
      </c>
      <c r="I5" s="73">
        <v>10.684869411888076</v>
      </c>
      <c r="J5" s="73">
        <v>10.458336002018797</v>
      </c>
      <c r="K5" s="73">
        <v>11.460482258128081</v>
      </c>
      <c r="L5" s="73">
        <v>13.033821381340214</v>
      </c>
      <c r="M5" s="73">
        <v>14.785725894301246</v>
      </c>
      <c r="N5" s="73">
        <v>14.98704066227722</v>
      </c>
      <c r="O5" s="73">
        <v>9.4203713740925483</v>
      </c>
      <c r="P5" s="73">
        <v>3.3041859962233713</v>
      </c>
      <c r="Q5" s="73">
        <v>21.487273878027146</v>
      </c>
      <c r="R5" s="73">
        <v>42.577121613986819</v>
      </c>
      <c r="S5" s="73">
        <v>45.952673054378565</v>
      </c>
      <c r="T5" s="73">
        <v>53.561279810945699</v>
      </c>
      <c r="U5" s="73">
        <v>52.506336384402722</v>
      </c>
      <c r="V5" s="73">
        <v>43.112922096516499</v>
      </c>
      <c r="W5" s="73">
        <v>41.441484129220719</v>
      </c>
      <c r="DA5" s="187" t="s">
        <v>970</v>
      </c>
    </row>
    <row r="6" spans="1:105" ht="11.45" customHeight="1" x14ac:dyDescent="0.25">
      <c r="A6" s="72" t="s">
        <v>146</v>
      </c>
      <c r="B6" s="73">
        <v>25.954961576991455</v>
      </c>
      <c r="C6" s="73">
        <v>30.461374418537087</v>
      </c>
      <c r="D6" s="73">
        <v>34.162364265107904</v>
      </c>
      <c r="E6" s="73">
        <v>37.433367773943189</v>
      </c>
      <c r="F6" s="73">
        <v>37.688876539996023</v>
      </c>
      <c r="G6" s="73">
        <v>54.204754060863628</v>
      </c>
      <c r="H6" s="73">
        <v>44.312094565619134</v>
      </c>
      <c r="I6" s="73">
        <v>31.407977859952634</v>
      </c>
      <c r="J6" s="73">
        <v>19.640295252500941</v>
      </c>
      <c r="K6" s="73">
        <v>27.231498325195954</v>
      </c>
      <c r="L6" s="73">
        <v>30.573257771653932</v>
      </c>
      <c r="M6" s="73">
        <v>31.555655594637997</v>
      </c>
      <c r="N6" s="73">
        <v>25.903837576984774</v>
      </c>
      <c r="O6" s="73">
        <v>17.709075270575784</v>
      </c>
      <c r="P6" s="73">
        <v>0</v>
      </c>
      <c r="Q6" s="73">
        <v>0</v>
      </c>
      <c r="R6" s="73">
        <v>0.20422297084912966</v>
      </c>
      <c r="S6" s="73">
        <v>0.18184424498940421</v>
      </c>
      <c r="T6" s="73">
        <v>0.28613507707176256</v>
      </c>
      <c r="U6" s="73">
        <v>0.60486931883391115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46.618691700122007</v>
      </c>
      <c r="C10" s="71">
        <f t="shared" ref="C10:W10" si="2">SUM(C11:C15)</f>
        <v>50.535229949524144</v>
      </c>
      <c r="D10" s="71">
        <f t="shared" si="2"/>
        <v>55.624473135026889</v>
      </c>
      <c r="E10" s="71">
        <f t="shared" si="2"/>
        <v>55.47262394458425</v>
      </c>
      <c r="F10" s="71">
        <f t="shared" si="2"/>
        <v>57.473262509097886</v>
      </c>
      <c r="G10" s="71">
        <f t="shared" si="2"/>
        <v>72.049689221749148</v>
      </c>
      <c r="H10" s="71">
        <f t="shared" si="2"/>
        <v>80.251973082721804</v>
      </c>
      <c r="I10" s="71">
        <f t="shared" si="2"/>
        <v>75.645243871753479</v>
      </c>
      <c r="J10" s="71">
        <f t="shared" si="2"/>
        <v>58.934988693889544</v>
      </c>
      <c r="K10" s="71">
        <f t="shared" si="2"/>
        <v>86.844476854337216</v>
      </c>
      <c r="L10" s="71">
        <f t="shared" si="2"/>
        <v>95.545715343996406</v>
      </c>
      <c r="M10" s="71">
        <f t="shared" si="2"/>
        <v>93.918979646056485</v>
      </c>
      <c r="N10" s="71">
        <f t="shared" si="2"/>
        <v>79.326490634340757</v>
      </c>
      <c r="O10" s="71">
        <f t="shared" si="2"/>
        <v>59.385342693250848</v>
      </c>
      <c r="P10" s="71">
        <f t="shared" si="2"/>
        <v>7.7541115102254672</v>
      </c>
      <c r="Q10" s="71">
        <f t="shared" si="2"/>
        <v>54.267068340373534</v>
      </c>
      <c r="R10" s="71">
        <f t="shared" si="2"/>
        <v>119.40541379865499</v>
      </c>
      <c r="S10" s="71">
        <f t="shared" si="2"/>
        <v>128.58835458369305</v>
      </c>
      <c r="T10" s="71">
        <f t="shared" si="2"/>
        <v>147.37580093313477</v>
      </c>
      <c r="U10" s="71">
        <f t="shared" si="2"/>
        <v>141.36385878515546</v>
      </c>
      <c r="V10" s="71">
        <f t="shared" si="2"/>
        <v>138.81579673409402</v>
      </c>
      <c r="W10" s="71">
        <f t="shared" si="2"/>
        <v>146.95628027318685</v>
      </c>
      <c r="DA10" s="186" t="s">
        <v>975</v>
      </c>
    </row>
    <row r="11" spans="1:105" ht="11.45" customHeight="1" x14ac:dyDescent="0.25">
      <c r="A11" s="72" t="s">
        <v>145</v>
      </c>
      <c r="B11" s="73">
        <v>3.820428857509</v>
      </c>
      <c r="C11" s="73">
        <v>3.6492268960062209</v>
      </c>
      <c r="D11" s="73">
        <v>3.8453068756292161</v>
      </c>
      <c r="E11" s="73">
        <v>3.1448567228266682</v>
      </c>
      <c r="F11" s="73">
        <v>3.4912018177955386</v>
      </c>
      <c r="G11" s="73">
        <v>3.0715542026471483</v>
      </c>
      <c r="H11" s="73">
        <v>3.2909808039729755</v>
      </c>
      <c r="I11" s="73">
        <v>3.7170222476132135</v>
      </c>
      <c r="J11" s="73">
        <v>3.9435556574824924</v>
      </c>
      <c r="K11" s="73">
        <v>4.9988470625941872</v>
      </c>
      <c r="L11" s="73">
        <v>5.4829456006030348</v>
      </c>
      <c r="M11" s="73">
        <v>5.7884787488629827</v>
      </c>
      <c r="N11" s="73">
        <v>5.5871639808870102</v>
      </c>
      <c r="O11" s="73">
        <v>3.9528874393210427</v>
      </c>
      <c r="P11" s="73">
        <v>4.9254786641377635</v>
      </c>
      <c r="Q11" s="73">
        <v>19.460447532119026</v>
      </c>
      <c r="R11" s="73">
        <v>26.010324645686438</v>
      </c>
      <c r="S11" s="73">
        <v>28.879313188097782</v>
      </c>
      <c r="T11" s="73">
        <v>31.712408925081807</v>
      </c>
      <c r="U11" s="73">
        <v>28.263053125485492</v>
      </c>
      <c r="V11" s="73">
        <v>33.446235255160204</v>
      </c>
      <c r="W11" s="73">
        <v>65.556796180323587</v>
      </c>
      <c r="DA11" s="187" t="s">
        <v>976</v>
      </c>
    </row>
    <row r="12" spans="1:105" ht="11.45" customHeight="1" x14ac:dyDescent="0.25">
      <c r="A12" s="72" t="s">
        <v>146</v>
      </c>
      <c r="B12" s="73">
        <v>42.798262842613006</v>
      </c>
      <c r="C12" s="73">
        <v>46.886003053517925</v>
      </c>
      <c r="D12" s="73">
        <v>51.779166259397677</v>
      </c>
      <c r="E12" s="73">
        <v>52.327767221757583</v>
      </c>
      <c r="F12" s="73">
        <v>53.982060691302344</v>
      </c>
      <c r="G12" s="73">
        <v>68.978135019101998</v>
      </c>
      <c r="H12" s="73">
        <v>76.960992278748833</v>
      </c>
      <c r="I12" s="73">
        <v>71.928221624140264</v>
      </c>
      <c r="J12" s="73">
        <v>54.991433036407052</v>
      </c>
      <c r="K12" s="73">
        <v>81.845629791743022</v>
      </c>
      <c r="L12" s="73">
        <v>90.062769743393375</v>
      </c>
      <c r="M12" s="73">
        <v>88.1305008971935</v>
      </c>
      <c r="N12" s="73">
        <v>73.739326653453745</v>
      </c>
      <c r="O12" s="73">
        <v>55.432455253929803</v>
      </c>
      <c r="P12" s="73">
        <v>2.8286328460877037</v>
      </c>
      <c r="Q12" s="73">
        <v>34.806620808254507</v>
      </c>
      <c r="R12" s="73">
        <v>93.395089152968552</v>
      </c>
      <c r="S12" s="73">
        <v>99.709041395595278</v>
      </c>
      <c r="T12" s="73">
        <v>115.66339200805295</v>
      </c>
      <c r="U12" s="73">
        <v>113.10080565966997</v>
      </c>
      <c r="V12" s="73">
        <v>105.3695614789338</v>
      </c>
      <c r="W12" s="73">
        <v>81.399484092863275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2166.1660651302391</v>
      </c>
      <c r="C19" s="62">
        <f>IF(C3=0,0,C3/MBunk_act!C7*100)</f>
        <v>2254.4434131083563</v>
      </c>
      <c r="D19" s="62">
        <f>IF(D3=0,0,D3/MBunk_act!D7*100)</f>
        <v>2275.2220125107287</v>
      </c>
      <c r="E19" s="62">
        <f>IF(E3=0,0,E3/MBunk_act!E7*100)</f>
        <v>2278.1612978497969</v>
      </c>
      <c r="F19" s="62">
        <f>IF(F3=0,0,F3/MBunk_act!F7*100)</f>
        <v>2287.7604251892344</v>
      </c>
      <c r="G19" s="62">
        <f>IF(G3=0,0,G3/MBunk_act!G7*100)</f>
        <v>2558.8546325238258</v>
      </c>
      <c r="H19" s="62">
        <f>IF(H3=0,0,H3/MBunk_act!H7*100)</f>
        <v>3105.0369406881364</v>
      </c>
      <c r="I19" s="62">
        <f>IF(I3=0,0,I3/MBunk_act!I7*100)</f>
        <v>2955.3201053027242</v>
      </c>
      <c r="J19" s="62">
        <f>IF(J3=0,0,J3/MBunk_act!J7*100)</f>
        <v>1954.9692460776339</v>
      </c>
      <c r="K19" s="62">
        <f>IF(K3=0,0,K3/MBunk_act!K7*100)</f>
        <v>2953.655138153536</v>
      </c>
      <c r="L19" s="62">
        <f>IF(L3=0,0,L3/MBunk_act!L7*100)</f>
        <v>3053.0619742018825</v>
      </c>
      <c r="M19" s="62">
        <f>IF(M3=0,0,M3/MBunk_act!M7*100)</f>
        <v>2682.4528168932457</v>
      </c>
      <c r="N19" s="62">
        <f>IF(N3=0,0,N3/MBunk_act!N7*100)</f>
        <v>2475.5899037213485</v>
      </c>
      <c r="O19" s="62">
        <f>IF(O3=0,0,O3/MBunk_act!O7*100)</f>
        <v>1879.3484128611301</v>
      </c>
      <c r="P19" s="62">
        <f>IF(P3=0,0,P3/MBunk_act!P7*100)</f>
        <v>216.75464626994926</v>
      </c>
      <c r="Q19" s="62">
        <f>IF(Q3=0,0,Q3/MBunk_act!Q7*100)</f>
        <v>1462.7044718230854</v>
      </c>
      <c r="R19" s="62">
        <f>IF(R3=0,0,R3/MBunk_act!R7*100)</f>
        <v>3138.3639697138806</v>
      </c>
      <c r="S19" s="62">
        <f>IF(S3=0,0,S3/MBunk_act!S7*100)</f>
        <v>3105.1614798371488</v>
      </c>
      <c r="T19" s="62">
        <f>IF(T3=0,0,T3/MBunk_act!T7*100)</f>
        <v>3435.6003543305719</v>
      </c>
      <c r="U19" s="62">
        <f>IF(U3=0,0,U3/MBunk_act!U7*100)</f>
        <v>3309.5682865672857</v>
      </c>
      <c r="V19" s="62">
        <f>IF(V3=0,0,V3/MBunk_act!V7*100)</f>
        <v>3165.1353326374938</v>
      </c>
      <c r="W19" s="62">
        <f>IF(W3=0,0,W3/MBunk_act!W7*100)</f>
        <v>3423.0264928389502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1622.5562115500015</v>
      </c>
      <c r="C20" s="63">
        <f>IF(C4=0,0,C4/MBunk_act!C8*100)</f>
        <v>1689.8712992393887</v>
      </c>
      <c r="D20" s="63">
        <f>IF(D4=0,0,D4/MBunk_act!D8*100)</f>
        <v>1705.4445707276627</v>
      </c>
      <c r="E20" s="63">
        <f>IF(E4=0,0,E4/MBunk_act!E8*100)</f>
        <v>1713.4577259221021</v>
      </c>
      <c r="F20" s="63">
        <f>IF(F4=0,0,F4/MBunk_act!F8*100)</f>
        <v>1717.9890763351771</v>
      </c>
      <c r="G20" s="63">
        <f>IF(G4=0,0,G4/MBunk_act!G8*100)</f>
        <v>1906.2762849008245</v>
      </c>
      <c r="H20" s="63">
        <f>IF(H4=0,0,H4/MBunk_act!H8*100)</f>
        <v>2496.0422801021564</v>
      </c>
      <c r="I20" s="63">
        <f>IF(I4=0,0,I4/MBunk_act!I8*100)</f>
        <v>2564.1822932826935</v>
      </c>
      <c r="J20" s="63">
        <f>IF(J4=0,0,J4/MBunk_act!J8*100)</f>
        <v>1693.0420824194466</v>
      </c>
      <c r="K20" s="63">
        <f>IF(K4=0,0,K4/MBunk_act!K8*100)</f>
        <v>2647.6294756144553</v>
      </c>
      <c r="L20" s="63">
        <f>IF(L4=0,0,L4/MBunk_act!L8*100)</f>
        <v>2522.0866041680633</v>
      </c>
      <c r="M20" s="63">
        <f>IF(M4=0,0,M4/MBunk_act!M8*100)</f>
        <v>2174.0002894017243</v>
      </c>
      <c r="N20" s="63">
        <f>IF(N4=0,0,N4/MBunk_act!N8*100)</f>
        <v>2005.5165597111213</v>
      </c>
      <c r="O20" s="63">
        <f>IF(O4=0,0,O4/MBunk_act!O8*100)</f>
        <v>1532.9735402504643</v>
      </c>
      <c r="P20" s="63">
        <f>IF(P4=0,0,P4/MBunk_act!P8*100)</f>
        <v>178.51876644335275</v>
      </c>
      <c r="Q20" s="63">
        <f>IF(Q4=0,0,Q4/MBunk_act!Q8*100)</f>
        <v>1206.1927176924803</v>
      </c>
      <c r="R20" s="63">
        <f>IF(R4=0,0,R4/MBunk_act!R8*100)</f>
        <v>2600.7765964719761</v>
      </c>
      <c r="S20" s="63">
        <f>IF(S4=0,0,S4/MBunk_act!S8*100)</f>
        <v>2566.3050549739596</v>
      </c>
      <c r="T20" s="63">
        <f>IF(T4=0,0,T4/MBunk_act!T8*100)</f>
        <v>2844.7377426340977</v>
      </c>
      <c r="U20" s="63">
        <f>IF(U4=0,0,U4/MBunk_act!U8*100)</f>
        <v>2732.0438528215718</v>
      </c>
      <c r="V20" s="63">
        <f>IF(V4=0,0,V4/MBunk_act!V8*100)</f>
        <v>2430.5648662866406</v>
      </c>
      <c r="W20" s="63">
        <f>IF(W4=0,0,W4/MBunk_act!W8*100)</f>
        <v>2615.2877867923053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3188.4640090911398</v>
      </c>
      <c r="C21" s="64">
        <f>IF(C10=0,0,C10/MBunk_act!C9*100)</f>
        <v>3311.0412058152556</v>
      </c>
      <c r="D21" s="64">
        <f>IF(D10=0,0,D10/MBunk_act!D9*100)</f>
        <v>3331.7364686808942</v>
      </c>
      <c r="E21" s="64">
        <f>IF(E10=0,0,E10/MBunk_act!E9*100)</f>
        <v>3316.0132457663649</v>
      </c>
      <c r="F21" s="64">
        <f>IF(F10=0,0,F10/MBunk_act!F9*100)</f>
        <v>3341.0763683042974</v>
      </c>
      <c r="G21" s="64">
        <f>IF(G10=0,0,G10/MBunk_act!G9*100)</f>
        <v>3821.1092254198547</v>
      </c>
      <c r="H21" s="64">
        <f>IF(H10=0,0,H10/MBunk_act!H9*100)</f>
        <v>3746.9230736023178</v>
      </c>
      <c r="I21" s="64">
        <f>IF(I10=0,0,I10/MBunk_act!I9*100)</f>
        <v>3229.4360308078744</v>
      </c>
      <c r="J21" s="64">
        <f>IF(J10=0,0,J10/MBunk_act!J9*100)</f>
        <v>2122.6841701752837</v>
      </c>
      <c r="K21" s="64">
        <f>IF(K10=0,0,K10/MBunk_act!K9*100)</f>
        <v>3114.0167222517443</v>
      </c>
      <c r="L21" s="64">
        <f>IF(L10=0,0,L10/MBunk_act!L9*100)</f>
        <v>3377.6023054272919</v>
      </c>
      <c r="M21" s="64">
        <f>IF(M10=0,0,M10/MBunk_act!M9*100)</f>
        <v>3032.3912642825012</v>
      </c>
      <c r="N21" s="64">
        <f>IF(N10=0,0,N10/MBunk_act!N9*100)</f>
        <v>2815.8019386104866</v>
      </c>
      <c r="O21" s="64">
        <f>IF(O10=0,0,O10/MBunk_act!O9*100)</f>
        <v>2095.6680141274014</v>
      </c>
      <c r="P21" s="64">
        <f>IF(P10=0,0,P10/MBunk_act!P9*100)</f>
        <v>238.52434212110327</v>
      </c>
      <c r="Q21" s="64">
        <f>IF(Q10=0,0,Q10/MBunk_act!Q9*100)</f>
        <v>1597.1955986120256</v>
      </c>
      <c r="R21" s="64">
        <f>IF(R10=0,0,R10/MBunk_act!R9*100)</f>
        <v>3389.377021538457</v>
      </c>
      <c r="S21" s="64">
        <f>IF(S10=0,0,S10/MBunk_act!S9*100)</f>
        <v>3358.1426949131292</v>
      </c>
      <c r="T21" s="64">
        <f>IF(T10=0,0,T10/MBunk_act!T9*100)</f>
        <v>3717.7384904142718</v>
      </c>
      <c r="U21" s="64">
        <f>IF(U10=0,0,U10/MBunk_act!U9*100)</f>
        <v>3595.0907797989557</v>
      </c>
      <c r="V21" s="64">
        <f>IF(V10=0,0,V10/MBunk_act!V9*100)</f>
        <v>3492.9989880537933</v>
      </c>
      <c r="W21" s="64">
        <f>IF(W10=0,0,W10/MBunk_act!W9*100)</f>
        <v>3749.6020992074209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2.465955452444105</v>
      </c>
      <c r="C23" s="62">
        <f>IF(C3=0,0,C3/MBunk_act!C3*1000)</f>
        <v>2.5042329153963219</v>
      </c>
      <c r="D23" s="62">
        <f>IF(D3=0,0,D3/MBunk_act!D3*1000)</f>
        <v>2.4951915417844428</v>
      </c>
      <c r="E23" s="62">
        <f>IF(E3=0,0,E3/MBunk_act!E3*1000)</f>
        <v>2.491318984086909</v>
      </c>
      <c r="F23" s="62">
        <f>IF(F3=0,0,F3/MBunk_act!F3*1000)</f>
        <v>2.4931957323946179</v>
      </c>
      <c r="G23" s="62">
        <f>IF(G3=0,0,G3/MBunk_act!G3*1000)</f>
        <v>2.6755336768817441</v>
      </c>
      <c r="H23" s="62">
        <f>IF(H3=0,0,H3/MBunk_act!H3*1000)</f>
        <v>2.2990948516897554</v>
      </c>
      <c r="I23" s="62">
        <f>IF(I3=0,0,I3/MBunk_act!I3*1000)</f>
        <v>1.7309733284020521</v>
      </c>
      <c r="J23" s="62">
        <f>IF(J3=0,0,J3/MBunk_act!J3*1000)</f>
        <v>0.98828084449702269</v>
      </c>
      <c r="K23" s="62">
        <f>IF(K3=0,0,K3/MBunk_act!K3*1000)</f>
        <v>1.3611134485634355</v>
      </c>
      <c r="L23" s="62">
        <f>IF(L3=0,0,L3/MBunk_act!L3*1000)</f>
        <v>1.4048151014487031</v>
      </c>
      <c r="M23" s="62">
        <f>IF(M3=0,0,M3/MBunk_act!M3*1000)</f>
        <v>1.2020369828288959</v>
      </c>
      <c r="N23" s="62">
        <f>IF(N3=0,0,N3/MBunk_act!N3*1000)</f>
        <v>1.1430962999569718</v>
      </c>
      <c r="O23" s="62">
        <f>IF(O3=0,0,O3/MBunk_act!O3*1000)</f>
        <v>0.80978106754354084</v>
      </c>
      <c r="P23" s="62">
        <f>IF(P3=0,0,P3/MBunk_act!P3*1000)</f>
        <v>8.793705253772266E-2</v>
      </c>
      <c r="Q23" s="62">
        <f>IF(Q3=0,0,Q3/MBunk_act!Q3*1000)</f>
        <v>0.54546878825192213</v>
      </c>
      <c r="R23" s="62">
        <f>IF(R3=0,0,R3/MBunk_act!R3*1000)</f>
        <v>1.0873238723910965</v>
      </c>
      <c r="S23" s="62">
        <f>IF(S3=0,0,S3/MBunk_act!S3*1000)</f>
        <v>1.063460847228719</v>
      </c>
      <c r="T23" s="62">
        <f>IF(T3=0,0,T3/MBunk_act!T3*1000)</f>
        <v>1.2028025876679993</v>
      </c>
      <c r="U23" s="62">
        <f>IF(U3=0,0,U3/MBunk_act!U3*1000)</f>
        <v>1.196314111741926</v>
      </c>
      <c r="V23" s="62">
        <f>IF(V3=0,0,V3/MBunk_act!V3*1000)</f>
        <v>1.0981458849164609</v>
      </c>
      <c r="W23" s="62">
        <f>IF(W3=0,0,W3/MBunk_act!W3*1000)</f>
        <v>1.1344141457039829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3.0336732885643349</v>
      </c>
      <c r="C24" s="63">
        <f>IF(C4=0,0,C4/MBunk_act!C4*1000)</f>
        <v>3.1182823973557268</v>
      </c>
      <c r="D24" s="63">
        <f>IF(D4=0,0,D4/MBunk_act!D4*1000)</f>
        <v>3.0980482354983181</v>
      </c>
      <c r="E24" s="63">
        <f>IF(E4=0,0,E4/MBunk_act!E4*1000)</f>
        <v>3.0881432755084575</v>
      </c>
      <c r="F24" s="63">
        <f>IF(F4=0,0,F4/MBunk_act!F4*1000)</f>
        <v>3.0929065402553624</v>
      </c>
      <c r="G24" s="63">
        <f>IF(G4=0,0,G4/MBunk_act!G4*1000)</f>
        <v>3.4945716643424989</v>
      </c>
      <c r="H24" s="63">
        <f>IF(H4=0,0,H4/MBunk_act!H4*1000)</f>
        <v>3.9826131632867878</v>
      </c>
      <c r="I24" s="63">
        <f>IF(I4=0,0,I4/MBunk_act!I4*1000)</f>
        <v>3.4335411833550284</v>
      </c>
      <c r="J24" s="63">
        <f>IF(J4=0,0,J4/MBunk_act!J4*1000)</f>
        <v>2.1742142463163789</v>
      </c>
      <c r="K24" s="63">
        <f>IF(K4=0,0,K4/MBunk_act!K4*1000)</f>
        <v>3.2314560093972413</v>
      </c>
      <c r="L24" s="63">
        <f>IF(L4=0,0,L4/MBunk_act!L4*1000)</f>
        <v>3.3488978835003751</v>
      </c>
      <c r="M24" s="63">
        <f>IF(M4=0,0,M4/MBunk_act!M4*1000)</f>
        <v>2.7931354821386001</v>
      </c>
      <c r="N24" s="63">
        <f>IF(N4=0,0,N4/MBunk_act!N4*1000)</f>
        <v>2.5671236587244004</v>
      </c>
      <c r="O24" s="63">
        <f>IF(O4=0,0,O4/MBunk_act!O4*1000)</f>
        <v>1.9068002350887863</v>
      </c>
      <c r="P24" s="63">
        <f>IF(P4=0,0,P4/MBunk_act!P4*1000)</f>
        <v>0.21740717826115807</v>
      </c>
      <c r="Q24" s="63">
        <f>IF(Q4=0,0,Q4/MBunk_act!Q4*1000)</f>
        <v>1.4158746049226396</v>
      </c>
      <c r="R24" s="63">
        <f>IF(R4=0,0,R4/MBunk_act!R4*1000)</f>
        <v>2.9465164566184923</v>
      </c>
      <c r="S24" s="63">
        <f>IF(S4=0,0,S4/MBunk_act!S4*1000)</f>
        <v>2.8696032871760471</v>
      </c>
      <c r="T24" s="63">
        <f>IF(T4=0,0,T4/MBunk_act!T4*1000)</f>
        <v>3.2196419915951919</v>
      </c>
      <c r="U24" s="63">
        <f>IF(U4=0,0,U4/MBunk_act!U4*1000)</f>
        <v>3.2015412293267338</v>
      </c>
      <c r="V24" s="63">
        <f>IF(V4=0,0,V4/MBunk_act!V4*1000)</f>
        <v>2.5893068518979847</v>
      </c>
      <c r="W24" s="63">
        <f>IF(W4=0,0,W4/MBunk_act!W4*1000)</f>
        <v>2.9215165085974983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2.0914050391685537</v>
      </c>
      <c r="C25" s="64">
        <f>IF(C10=0,0,C10/MBunk_act!C5*1000)</f>
        <v>2.1077793007683732</v>
      </c>
      <c r="D25" s="64">
        <f>IF(D10=0,0,D10/MBunk_act!D5*1000)</f>
        <v>2.1061829722891665</v>
      </c>
      <c r="E25" s="64">
        <f>IF(E10=0,0,E10/MBunk_act!E5*1000)</f>
        <v>2.1049796260735802</v>
      </c>
      <c r="F25" s="64">
        <f>IF(F10=0,0,F10/MBunk_act!F5*1000)</f>
        <v>2.1051746997188618</v>
      </c>
      <c r="G25" s="64">
        <f>IF(G10=0,0,G10/MBunk_act!G5*1000)</f>
        <v>2.1820382375895888</v>
      </c>
      <c r="H25" s="64">
        <f>IF(H10=0,0,H10/MBunk_act!H5*1000)</f>
        <v>1.7728915591665775</v>
      </c>
      <c r="I25" s="64">
        <f>IF(I10=0,0,I10/MBunk_act!I5*1000)</f>
        <v>1.3566433999784531</v>
      </c>
      <c r="J25" s="64">
        <f>IF(J10=0,0,J10/MBunk_act!J5*1000)</f>
        <v>0.77295904935907978</v>
      </c>
      <c r="K25" s="64">
        <f>IF(K10=0,0,K10/MBunk_act!K5*1000)</f>
        <v>1.0820775636481605</v>
      </c>
      <c r="L25" s="64">
        <f>IF(L10=0,0,L10/MBunk_act!L5*1000)</f>
        <v>1.1105725029661309</v>
      </c>
      <c r="M25" s="64">
        <f>IF(M10=0,0,M10/MBunk_act!M5*1000)</f>
        <v>0.93830409664723358</v>
      </c>
      <c r="N25" s="64">
        <f>IF(N10=0,0,N10/MBunk_act!N5*1000)</f>
        <v>0.88891664812766247</v>
      </c>
      <c r="O25" s="64">
        <f>IF(O10=0,0,O10/MBunk_act!O5*1000)</f>
        <v>0.64124443974975476</v>
      </c>
      <c r="P25" s="64">
        <f>IF(P10=0,0,P10/MBunk_act!P5*1000)</f>
        <v>7.0138502508467399E-2</v>
      </c>
      <c r="Q25" s="64">
        <f>IF(Q10=0,0,Q10/MBunk_act!Q5*1000)</f>
        <v>0.43868709364249914</v>
      </c>
      <c r="R25" s="64">
        <f>IF(R10=0,0,R10/MBunk_act!R5*1000)</f>
        <v>0.88683557573943972</v>
      </c>
      <c r="S25" s="64">
        <f>IF(S10=0,0,S10/MBunk_act!S5*1000)</f>
        <v>0.86755349240795898</v>
      </c>
      <c r="T25" s="64">
        <f>IF(T10=0,0,T10/MBunk_act!T5*1000)</f>
        <v>0.97878180827284078</v>
      </c>
      <c r="U25" s="64">
        <f>IF(U10=0,0,U10/MBunk_act!U5*1000)</f>
        <v>0.96842727003620699</v>
      </c>
      <c r="V25" s="64">
        <f>IF(V10=0,0,V10/MBunk_act!V5*1000)</f>
        <v>0.93153324864414877</v>
      </c>
      <c r="W25" s="64">
        <f>IF(W10=0,0,W10/MBunk_act!W5*1000)</f>
        <v>0.96751767873033434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0.48901176073466235</v>
      </c>
      <c r="C28" s="77">
        <f t="shared" si="3"/>
        <v>0.4885347451806058</v>
      </c>
      <c r="D28" s="77">
        <f t="shared" si="3"/>
        <v>0.48695717967539687</v>
      </c>
      <c r="E28" s="77">
        <f t="shared" si="3"/>
        <v>0.48709227817965117</v>
      </c>
      <c r="F28" s="77">
        <f t="shared" si="3"/>
        <v>0.48733391395857623</v>
      </c>
      <c r="G28" s="77">
        <f t="shared" si="3"/>
        <v>0.49108458300221475</v>
      </c>
      <c r="H28" s="77">
        <f t="shared" si="3"/>
        <v>0.41250311775988319</v>
      </c>
      <c r="I28" s="77">
        <f t="shared" si="3"/>
        <v>0.35751256762353978</v>
      </c>
      <c r="J28" s="77">
        <f t="shared" si="3"/>
        <v>0.33805916542493109</v>
      </c>
      <c r="K28" s="77">
        <f t="shared" si="3"/>
        <v>0.30821309899188176</v>
      </c>
      <c r="L28" s="77">
        <f t="shared" si="3"/>
        <v>0.31337551869241997</v>
      </c>
      <c r="M28" s="77">
        <f t="shared" si="3"/>
        <v>0.3303954240096193</v>
      </c>
      <c r="N28" s="77">
        <f t="shared" si="3"/>
        <v>0.34014118444278135</v>
      </c>
      <c r="O28" s="77">
        <f t="shared" si="3"/>
        <v>0.31358160670891877</v>
      </c>
      <c r="P28" s="77">
        <f t="shared" si="3"/>
        <v>0.29879698880378991</v>
      </c>
      <c r="Q28" s="77">
        <f t="shared" si="3"/>
        <v>0.28364412189177324</v>
      </c>
      <c r="R28" s="77">
        <f t="shared" si="3"/>
        <v>0.26377828258753017</v>
      </c>
      <c r="S28" s="77">
        <f t="shared" si="3"/>
        <v>0.26404395029773203</v>
      </c>
      <c r="T28" s="77">
        <f t="shared" si="3"/>
        <v>0.2676004091688764</v>
      </c>
      <c r="U28" s="77">
        <f t="shared" si="3"/>
        <v>0.27310033727437977</v>
      </c>
      <c r="V28" s="77">
        <f t="shared" si="3"/>
        <v>0.23697700051775722</v>
      </c>
      <c r="W28" s="77">
        <f t="shared" si="3"/>
        <v>0.21996802488963679</v>
      </c>
      <c r="DA28" s="184"/>
    </row>
    <row r="29" spans="1:105" ht="11.45" customHeight="1" x14ac:dyDescent="0.25">
      <c r="A29" s="57" t="s">
        <v>171</v>
      </c>
      <c r="B29" s="78">
        <f>IF(B10=0,0,B10/B$3)</f>
        <v>0.51098823926533765</v>
      </c>
      <c r="C29" s="78">
        <f t="shared" ref="C29:W29" si="4">IF(C10=0,0,C10/C$3)</f>
        <v>0.51146525481939431</v>
      </c>
      <c r="D29" s="78">
        <f t="shared" si="4"/>
        <v>0.51304282032460313</v>
      </c>
      <c r="E29" s="78">
        <f t="shared" si="4"/>
        <v>0.51290772182034883</v>
      </c>
      <c r="F29" s="78">
        <f t="shared" si="4"/>
        <v>0.51266608604142383</v>
      </c>
      <c r="G29" s="78">
        <f t="shared" si="4"/>
        <v>0.50891541699778531</v>
      </c>
      <c r="H29" s="78">
        <f t="shared" si="4"/>
        <v>0.58749688224011676</v>
      </c>
      <c r="I29" s="78">
        <f t="shared" si="4"/>
        <v>0.64248743237646022</v>
      </c>
      <c r="J29" s="78">
        <f t="shared" si="4"/>
        <v>0.66194083457506891</v>
      </c>
      <c r="K29" s="78">
        <f t="shared" si="4"/>
        <v>0.69178690100811824</v>
      </c>
      <c r="L29" s="78">
        <f t="shared" si="4"/>
        <v>0.68662448130757991</v>
      </c>
      <c r="M29" s="78">
        <f t="shared" si="4"/>
        <v>0.6696045759903807</v>
      </c>
      <c r="N29" s="78">
        <f t="shared" si="4"/>
        <v>0.6598588155572187</v>
      </c>
      <c r="O29" s="78">
        <f t="shared" si="4"/>
        <v>0.68641839329108123</v>
      </c>
      <c r="P29" s="78">
        <f t="shared" si="4"/>
        <v>0.70120301119621009</v>
      </c>
      <c r="Q29" s="78">
        <f t="shared" si="4"/>
        <v>0.71635587810822676</v>
      </c>
      <c r="R29" s="78">
        <f t="shared" si="4"/>
        <v>0.73622171741246989</v>
      </c>
      <c r="S29" s="78">
        <f t="shared" si="4"/>
        <v>0.73595604970226791</v>
      </c>
      <c r="T29" s="78">
        <f t="shared" si="4"/>
        <v>0.7323995908311236</v>
      </c>
      <c r="U29" s="78">
        <f t="shared" si="4"/>
        <v>0.72689966272562023</v>
      </c>
      <c r="V29" s="78">
        <f t="shared" si="4"/>
        <v>0.76302299948224273</v>
      </c>
      <c r="W29" s="78">
        <f t="shared" si="4"/>
        <v>0.78003197511036315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292.54041108000001</v>
      </c>
      <c r="C3" s="62">
        <f t="shared" ref="C3:W3" si="1">SUM(C4:C5)</f>
        <v>317.22057000000001</v>
      </c>
      <c r="D3" s="62">
        <f t="shared" si="1"/>
        <v>348.24054708000006</v>
      </c>
      <c r="E3" s="62">
        <f t="shared" si="1"/>
        <v>347.93839007999998</v>
      </c>
      <c r="F3" s="62">
        <f t="shared" si="1"/>
        <v>360.46734804000005</v>
      </c>
      <c r="G3" s="62">
        <f t="shared" si="1"/>
        <v>456.24436488000003</v>
      </c>
      <c r="H3" s="62">
        <f t="shared" si="1"/>
        <v>440.54549783999994</v>
      </c>
      <c r="I3" s="62">
        <f t="shared" si="1"/>
        <v>379.55025144000018</v>
      </c>
      <c r="J3" s="62">
        <f t="shared" si="1"/>
        <v>286.53102432000003</v>
      </c>
      <c r="K3" s="62">
        <f t="shared" si="1"/>
        <v>404.53724160000019</v>
      </c>
      <c r="L3" s="62">
        <f t="shared" si="1"/>
        <v>448.37785008000009</v>
      </c>
      <c r="M3" s="62">
        <f t="shared" si="1"/>
        <v>451.68274728000029</v>
      </c>
      <c r="N3" s="62">
        <f t="shared" si="1"/>
        <v>386.73176328</v>
      </c>
      <c r="O3" s="62">
        <f t="shared" si="1"/>
        <v>278.51066460000004</v>
      </c>
      <c r="P3" s="62">
        <f t="shared" si="1"/>
        <v>34.698286440000004</v>
      </c>
      <c r="Q3" s="62">
        <f t="shared" si="1"/>
        <v>239.83073136000002</v>
      </c>
      <c r="R3" s="62">
        <f t="shared" si="1"/>
        <v>516.10334111999998</v>
      </c>
      <c r="S3" s="62">
        <f t="shared" si="1"/>
        <v>555.86488680000002</v>
      </c>
      <c r="T3" s="62">
        <f t="shared" si="1"/>
        <v>640.29878460000009</v>
      </c>
      <c r="U3" s="62">
        <f t="shared" si="1"/>
        <v>619.05317256000012</v>
      </c>
      <c r="V3" s="62">
        <f t="shared" si="1"/>
        <v>578.97739980000006</v>
      </c>
      <c r="W3" s="62">
        <f t="shared" si="1"/>
        <v>595.73527704000014</v>
      </c>
      <c r="DA3" s="172" t="s">
        <v>985</v>
      </c>
    </row>
    <row r="4" spans="1:105" ht="11.45" customHeight="1" x14ac:dyDescent="0.25">
      <c r="A4" s="55" t="s">
        <v>170</v>
      </c>
      <c r="B4" s="63">
        <v>141.99650921144558</v>
      </c>
      <c r="C4" s="63">
        <v>153.96114606198574</v>
      </c>
      <c r="D4" s="63">
        <v>168.51609844706769</v>
      </c>
      <c r="E4" s="63">
        <v>168.60924410745784</v>
      </c>
      <c r="F4" s="63">
        <v>174.7028189082622</v>
      </c>
      <c r="G4" s="63">
        <v>223.18573186625491</v>
      </c>
      <c r="H4" s="63">
        <v>180.93699848947182</v>
      </c>
      <c r="I4" s="63">
        <v>134.929105137921</v>
      </c>
      <c r="J4" s="63">
        <v>96.092149067674271</v>
      </c>
      <c r="K4" s="63">
        <v>123.80115159814119</v>
      </c>
      <c r="L4" s="63">
        <v>139.51155799340302</v>
      </c>
      <c r="M4" s="63">
        <v>148.13024137109696</v>
      </c>
      <c r="N4" s="63">
        <v>130.43961757451885</v>
      </c>
      <c r="O4" s="63">
        <v>86.613669063329908</v>
      </c>
      <c r="P4" s="63">
        <v>10.250968753380116</v>
      </c>
      <c r="Q4" s="63">
        <v>66.662522439940332</v>
      </c>
      <c r="R4" s="63">
        <v>132.75386407350683</v>
      </c>
      <c r="S4" s="63">
        <v>143.15371819948683</v>
      </c>
      <c r="T4" s="63">
        <v>167.09676596122787</v>
      </c>
      <c r="U4" s="63">
        <v>164.85677447090364</v>
      </c>
      <c r="V4" s="63">
        <v>133.75434003516821</v>
      </c>
      <c r="W4" s="63">
        <v>128.568839462396</v>
      </c>
      <c r="DA4" s="181" t="s">
        <v>986</v>
      </c>
    </row>
    <row r="5" spans="1:105" ht="11.45" customHeight="1" x14ac:dyDescent="0.25">
      <c r="A5" s="57" t="s">
        <v>171</v>
      </c>
      <c r="B5" s="64">
        <v>150.54390186855443</v>
      </c>
      <c r="C5" s="64">
        <v>163.25942393801427</v>
      </c>
      <c r="D5" s="64">
        <v>179.72444863293236</v>
      </c>
      <c r="E5" s="64">
        <v>179.32914597254216</v>
      </c>
      <c r="F5" s="64">
        <v>185.76452913173785</v>
      </c>
      <c r="G5" s="64">
        <v>233.05863301374512</v>
      </c>
      <c r="H5" s="64">
        <v>259.60849935052812</v>
      </c>
      <c r="I5" s="64">
        <v>244.62114630207918</v>
      </c>
      <c r="J5" s="64">
        <v>190.43887525232574</v>
      </c>
      <c r="K5" s="64">
        <v>280.736090001859</v>
      </c>
      <c r="L5" s="64">
        <v>308.86629208659707</v>
      </c>
      <c r="M5" s="64">
        <v>303.5525059089033</v>
      </c>
      <c r="N5" s="64">
        <v>256.29214570548112</v>
      </c>
      <c r="O5" s="64">
        <v>191.89699553667015</v>
      </c>
      <c r="P5" s="64">
        <v>24.447317686619886</v>
      </c>
      <c r="Q5" s="64">
        <v>173.16820892005967</v>
      </c>
      <c r="R5" s="64">
        <v>383.34947704649318</v>
      </c>
      <c r="S5" s="64">
        <v>412.71116860051319</v>
      </c>
      <c r="T5" s="64">
        <v>473.20201863877224</v>
      </c>
      <c r="U5" s="64">
        <v>454.19639808909642</v>
      </c>
      <c r="V5" s="64">
        <v>445.22305976483182</v>
      </c>
      <c r="W5" s="64">
        <v>467.16643757760414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3.2065402120955717</v>
      </c>
      <c r="C9" s="79">
        <f>IF(C3=0,0,C3/MBunk_ene!C3)</f>
        <v>3.2105780429031427</v>
      </c>
      <c r="D9" s="79">
        <f>IF(D3=0,0,D3/MBunk_ene!D3)</f>
        <v>3.2119371628313331</v>
      </c>
      <c r="E9" s="79">
        <f>IF(E3=0,0,E3/MBunk_ene!E3)</f>
        <v>3.2170875343493752</v>
      </c>
      <c r="F9" s="79">
        <f>IF(F3=0,0,F3/MBunk_ene!F3)</f>
        <v>3.2153974978564199</v>
      </c>
      <c r="G9" s="79">
        <f>IF(G3=0,0,G3/MBunk_ene!G3)</f>
        <v>3.222634180852308</v>
      </c>
      <c r="H9" s="79">
        <f>IF(H3=0,0,H3/MBunk_ene!H3)</f>
        <v>3.225080911084087</v>
      </c>
      <c r="I9" s="79">
        <f>IF(I3=0,0,I3/MBunk_ene!I3)</f>
        <v>3.2236827330341042</v>
      </c>
      <c r="J9" s="79">
        <f>IF(J3=0,0,J3/MBunk_ene!J3)</f>
        <v>3.2182340163865182</v>
      </c>
      <c r="K9" s="79">
        <f>IF(K3=0,0,K3/MBunk_ene!K3)</f>
        <v>3.222468196546687</v>
      </c>
      <c r="L9" s="79">
        <f>IF(L3=0,0,L3/MBunk_ene!L3)</f>
        <v>3.2221979565756911</v>
      </c>
      <c r="M9" s="79">
        <f>IF(M3=0,0,M3/MBunk_ene!M3)</f>
        <v>3.2203164431130427</v>
      </c>
      <c r="N9" s="79">
        <f>IF(N3=0,0,N3/MBunk_ene!N3)</f>
        <v>3.2169375099750521</v>
      </c>
      <c r="O9" s="79">
        <f>IF(O3=0,0,O3/MBunk_ene!O3)</f>
        <v>3.2192260621725817</v>
      </c>
      <c r="P9" s="79">
        <f>IF(P3=0,0,P3/MBunk_ene!P3)</f>
        <v>3.1377602582825337</v>
      </c>
      <c r="Q9" s="79">
        <f>IF(Q3=0,0,Q3/MBunk_ene!Q3)</f>
        <v>3.1659007831995312</v>
      </c>
      <c r="R9" s="79">
        <f>IF(R3=0,0,R3/MBunk_ene!R3)</f>
        <v>3.1821546115353789</v>
      </c>
      <c r="S9" s="79">
        <f>IF(S3=0,0,S3/MBunk_ene!S3)</f>
        <v>3.1814088264988611</v>
      </c>
      <c r="T9" s="79">
        <f>IF(T3=0,0,T3/MBunk_ene!T3)</f>
        <v>3.1820323613608257</v>
      </c>
      <c r="U9" s="79">
        <f>IF(U3=0,0,U3/MBunk_ene!U3)</f>
        <v>3.1832007573235717</v>
      </c>
      <c r="V9" s="79">
        <f>IF(V3=0,0,V3/MBunk_ene!V3)</f>
        <v>3.1824409225850263</v>
      </c>
      <c r="W9" s="79">
        <f>IF(W3=0,0,W3/MBunk_ene!W3)</f>
        <v>3.1621143644122092</v>
      </c>
      <c r="DA9" s="172"/>
    </row>
    <row r="10" spans="1:105" ht="11.45" customHeight="1" x14ac:dyDescent="0.25">
      <c r="A10" s="55" t="s">
        <v>170</v>
      </c>
      <c r="B10" s="80">
        <f>IF(B4=0,0,B4/MBunk_ene!B4)</f>
        <v>3.1827988116738504</v>
      </c>
      <c r="C10" s="80">
        <f>IF(C4=0,0,C4/MBunk_ene!C4)</f>
        <v>3.1896098853116106</v>
      </c>
      <c r="D10" s="80">
        <f>IF(D4=0,0,D4/MBunk_ene!D4)</f>
        <v>3.1918195176381823</v>
      </c>
      <c r="E10" s="80">
        <f>IF(E4=0,0,E4/MBunk_ene!E4)</f>
        <v>3.2005945753676057</v>
      </c>
      <c r="F10" s="80">
        <f>IF(F4=0,0,F4/MBunk_ene!F4)</f>
        <v>3.1977316487051657</v>
      </c>
      <c r="G10" s="80">
        <f>IF(G4=0,0,G4/MBunk_ene!G4)</f>
        <v>3.2101374071326818</v>
      </c>
      <c r="H10" s="80">
        <f>IF(H4=0,0,H4/MBunk_ene!H4)</f>
        <v>3.2110716309556193</v>
      </c>
      <c r="I10" s="80">
        <f>IF(I4=0,0,I4/MBunk_ene!I4)</f>
        <v>3.2055114795759119</v>
      </c>
      <c r="J10" s="80">
        <f>IF(J4=0,0,J4/MBunk_ene!J4)</f>
        <v>3.192575378431691</v>
      </c>
      <c r="K10" s="80">
        <f>IF(K4=0,0,K4/MBunk_ene!K4)</f>
        <v>3.1996591989270917</v>
      </c>
      <c r="L10" s="80">
        <f>IF(L4=0,0,L4/MBunk_ene!L4)</f>
        <v>3.19928692091325</v>
      </c>
      <c r="M10" s="80">
        <f>IF(M4=0,0,M4/MBunk_ene!M4)</f>
        <v>3.1965003332162785</v>
      </c>
      <c r="N10" s="80">
        <f>IF(N4=0,0,N4/MBunk_ene!N4)</f>
        <v>3.1899441438084661</v>
      </c>
      <c r="O10" s="80">
        <f>IF(O4=0,0,O4/MBunk_ene!O4)</f>
        <v>3.1926072874896554</v>
      </c>
      <c r="P10" s="80">
        <f>IF(P4=0,0,P4/MBunk_ene!P4)</f>
        <v>3.1024188000000001</v>
      </c>
      <c r="Q10" s="80">
        <f>IF(Q4=0,0,Q4/MBunk_ene!Q4)</f>
        <v>3.1024188000000001</v>
      </c>
      <c r="R10" s="80">
        <f>IF(R4=0,0,R4/MBunk_ene!R4)</f>
        <v>3.1030783478591757</v>
      </c>
      <c r="S10" s="80">
        <f>IF(S4=0,0,S4/MBunk_ene!S4)</f>
        <v>3.1029633900916092</v>
      </c>
      <c r="T10" s="80">
        <f>IF(T4=0,0,T4/MBunk_ene!T4)</f>
        <v>3.103152979743351</v>
      </c>
      <c r="U10" s="80">
        <f>IF(U4=0,0,U4/MBunk_ene!U4)</f>
        <v>3.1039923174038799</v>
      </c>
      <c r="V10" s="80">
        <f>IF(V4=0,0,V4/MBunk_ene!V4)</f>
        <v>3.1024188000000001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3.2292605471843485</v>
      </c>
      <c r="C11" s="81">
        <f>IF(C5=0,0,C5/MBunk_ene!C10)</f>
        <v>3.2306061355826792</v>
      </c>
      <c r="D11" s="81">
        <f>IF(D5=0,0,D5/MBunk_ene!D10)</f>
        <v>3.2310319271996728</v>
      </c>
      <c r="E11" s="81">
        <f>IF(E5=0,0,E5/MBunk_ene!E10)</f>
        <v>3.2327503770452153</v>
      </c>
      <c r="F11" s="81">
        <f>IF(F5=0,0,F5/MBunk_ene!F10)</f>
        <v>3.2321904311997556</v>
      </c>
      <c r="G11" s="81">
        <f>IF(G5=0,0,G5/MBunk_ene!G10)</f>
        <v>3.2346931059821049</v>
      </c>
      <c r="H11" s="81">
        <f>IF(H5=0,0,H5/MBunk_ene!H10)</f>
        <v>3.2349173406980278</v>
      </c>
      <c r="I11" s="81">
        <f>IF(I5=0,0,I5/MBunk_ene!I10)</f>
        <v>3.2337941393486949</v>
      </c>
      <c r="J11" s="81">
        <f>IF(J5=0,0,J5/MBunk_ene!J10)</f>
        <v>3.2313381146380147</v>
      </c>
      <c r="K11" s="81">
        <f>IF(K5=0,0,K5/MBunk_ene!K10)</f>
        <v>3.2326303314916958</v>
      </c>
      <c r="L11" s="81">
        <f>IF(L5=0,0,L5/MBunk_ene!L10)</f>
        <v>3.2326545567697673</v>
      </c>
      <c r="M11" s="81">
        <f>IF(M5=0,0,M5/MBunk_ene!M10)</f>
        <v>3.232067757261341</v>
      </c>
      <c r="N11" s="81">
        <f>IF(N5=0,0,N5/MBunk_ene!N10)</f>
        <v>3.2308519342784492</v>
      </c>
      <c r="O11" s="81">
        <f>IF(O5=0,0,O5/MBunk_ene!O10)</f>
        <v>3.231386514478753</v>
      </c>
      <c r="P11" s="81">
        <f>IF(P5=0,0,P5/MBunk_ene!P10)</f>
        <v>3.1528199787146249</v>
      </c>
      <c r="Q11" s="81">
        <f>IF(Q5=0,0,Q5/MBunk_ene!Q10)</f>
        <v>3.1910367413606209</v>
      </c>
      <c r="R11" s="81">
        <f>IF(R5=0,0,R5/MBunk_ene!R10)</f>
        <v>3.2104865671577389</v>
      </c>
      <c r="S11" s="81">
        <f>IF(S5=0,0,S5/MBunk_ene!S10)</f>
        <v>3.2095532284915889</v>
      </c>
      <c r="T11" s="81">
        <f>IF(T5=0,0,T5/MBunk_ene!T10)</f>
        <v>3.2108529055829638</v>
      </c>
      <c r="U11" s="81">
        <f>IF(U5=0,0,U5/MBunk_ene!U10)</f>
        <v>3.2129598186717816</v>
      </c>
      <c r="V11" s="81">
        <f>IF(V5=0,0,V5/MBunk_ene!V10)</f>
        <v>3.207293912073065</v>
      </c>
      <c r="W11" s="81">
        <f>IF(W5=0,0,W5/MBunk_ene!W10)</f>
        <v>3.1789484376520503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6945.898593916947</v>
      </c>
      <c r="C13" s="62">
        <f>IF(C3=0,0,C3/MBunk_act!C7*100)</f>
        <v>7238.0665210933075</v>
      </c>
      <c r="D13" s="62">
        <f>IF(D3=0,0,D3/MBunk_act!D7*100)</f>
        <v>7307.8701356751071</v>
      </c>
      <c r="E13" s="62">
        <f>IF(E3=0,0,E3/MBunk_act!E7*100)</f>
        <v>7329.0443125497759</v>
      </c>
      <c r="F13" s="62">
        <f>IF(F3=0,0,F3/MBunk_act!F7*100)</f>
        <v>7356.0591468484035</v>
      </c>
      <c r="G13" s="62">
        <f>IF(G3=0,0,G3/MBunk_act!G7*100)</f>
        <v>8246.2524026035535</v>
      </c>
      <c r="H13" s="62">
        <f>IF(H3=0,0,H3/MBunk_act!H7*100)</f>
        <v>10013.995365624241</v>
      </c>
      <c r="I13" s="62">
        <f>IF(I3=0,0,I3/MBunk_act!I7*100)</f>
        <v>9527.0143940529215</v>
      </c>
      <c r="J13" s="62">
        <f>IF(J3=0,0,J3/MBunk_act!J7*100)</f>
        <v>6291.5485287165475</v>
      </c>
      <c r="K13" s="62">
        <f>IF(K3=0,0,K3/MBunk_act!K7*100)</f>
        <v>9518.0597462664809</v>
      </c>
      <c r="L13" s="62">
        <f>IF(L3=0,0,L3/MBunk_act!L7*100)</f>
        <v>9837.5700545722502</v>
      </c>
      <c r="M13" s="62">
        <f>IF(M3=0,0,M3/MBunk_act!M7*100)</f>
        <v>8638.3469141162186</v>
      </c>
      <c r="N13" s="62">
        <f>IF(N3=0,0,N3/MBunk_act!N7*100)</f>
        <v>7963.8180205967346</v>
      </c>
      <c r="O13" s="62">
        <f>IF(O3=0,0,O3/MBunk_act!O7*100)</f>
        <v>6050.0473905852277</v>
      </c>
      <c r="P13" s="62">
        <f>IF(P3=0,0,P3/MBunk_act!P7*100)</f>
        <v>680.12411486393512</v>
      </c>
      <c r="Q13" s="62">
        <f>IF(Q3=0,0,Q3/MBunk_act!Q7*100)</f>
        <v>4630.7772329341624</v>
      </c>
      <c r="R13" s="62">
        <f>IF(R3=0,0,R3/MBunk_act!R7*100)</f>
        <v>9986.7593789015045</v>
      </c>
      <c r="S13" s="62">
        <f>IF(S3=0,0,S3/MBunk_act!S7*100)</f>
        <v>9878.7881396581706</v>
      </c>
      <c r="T13" s="62">
        <f>IF(T3=0,0,T3/MBunk_act!T7*100)</f>
        <v>10932.191508182597</v>
      </c>
      <c r="U13" s="62">
        <f>IF(U3=0,0,U3/MBunk_act!U7*100)</f>
        <v>10535.020276215058</v>
      </c>
      <c r="V13" s="62">
        <f>IF(V3=0,0,V3/MBunk_act!V7*100)</f>
        <v>10072.856208105331</v>
      </c>
      <c r="W13" s="62">
        <f>IF(W3=0,0,W3/MBunk_act!W7*100)</f>
        <v>10824.001242769591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5164.2699819953696</v>
      </c>
      <c r="C14" s="63">
        <f>IF(C4=0,0,C4/MBunk_act!C8*100)</f>
        <v>5390.0302009583284</v>
      </c>
      <c r="D14" s="63">
        <f>IF(D4=0,0,D4/MBunk_act!D8*100)</f>
        <v>5443.4712670986255</v>
      </c>
      <c r="E14" s="63">
        <f>IF(E4=0,0,E4/MBunk_act!E8*100)</f>
        <v>5484.0835027079947</v>
      </c>
      <c r="F14" s="63">
        <f>IF(F4=0,0,F4/MBunk_act!F8*100)</f>
        <v>5493.6680415267501</v>
      </c>
      <c r="G14" s="63">
        <f>IF(G4=0,0,G4/MBunk_act!G8*100)</f>
        <v>6119.4088104900538</v>
      </c>
      <c r="H14" s="63">
        <f>IF(H4=0,0,H4/MBunk_act!H8*100)</f>
        <v>8014.9705553018139</v>
      </c>
      <c r="I14" s="63">
        <f>IF(I4=0,0,I4/MBunk_act!I8*100)</f>
        <v>8219.5157768429617</v>
      </c>
      <c r="J14" s="63">
        <f>IF(J4=0,0,J4/MBunk_act!J8*100)</f>
        <v>5405.164466981043</v>
      </c>
      <c r="K14" s="63">
        <f>IF(K4=0,0,K4/MBunk_act!K8*100)</f>
        <v>8471.5120070003049</v>
      </c>
      <c r="L14" s="63">
        <f>IF(L4=0,0,L4/MBunk_act!L8*100)</f>
        <v>8068.8786861253984</v>
      </c>
      <c r="M14" s="63">
        <f>IF(M4=0,0,M4/MBunk_act!M8*100)</f>
        <v>6949.1926494848967</v>
      </c>
      <c r="N14" s="63">
        <f>IF(N4=0,0,N4/MBunk_act!N8*100)</f>
        <v>6397.4858049613931</v>
      </c>
      <c r="O14" s="63">
        <f>IF(O4=0,0,O4/MBunk_act!O8*100)</f>
        <v>4894.1824961324492</v>
      </c>
      <c r="P14" s="63">
        <f>IF(P4=0,0,P4/MBunk_act!P8*100)</f>
        <v>553.8399771666667</v>
      </c>
      <c r="Q14" s="63">
        <f>IF(Q4=0,0,Q4/MBunk_act!Q8*100)</f>
        <v>3742.114963792244</v>
      </c>
      <c r="R14" s="63">
        <f>IF(R4=0,0,R4/MBunk_act!R8*100)</f>
        <v>8070.41354413107</v>
      </c>
      <c r="S14" s="63">
        <f>IF(S4=0,0,S4/MBunk_act!S8*100)</f>
        <v>7963.1506333912312</v>
      </c>
      <c r="T14" s="63">
        <f>IF(T4=0,0,T4/MBunk_act!T8*100)</f>
        <v>8827.6564026433753</v>
      </c>
      <c r="U14" s="63">
        <f>IF(U4=0,0,U4/MBunk_act!U8*100)</f>
        <v>8480.2431299686541</v>
      </c>
      <c r="V14" s="63">
        <f>IF(V4=0,0,V4/MBunk_act!V8*100)</f>
        <v>7540.6301357871616</v>
      </c>
      <c r="W14" s="63">
        <f>IF(W4=0,0,W4/MBunk_act!W8*100)</f>
        <v>8113.7179971548403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10296.381030675255</v>
      </c>
      <c r="C15" s="64">
        <f>IF(C5=0,0,C5/MBunk_act!C9*100)</f>
        <v>10696.670034673836</v>
      </c>
      <c r="D15" s="64">
        <f>IF(D5=0,0,D5/MBunk_act!D9*100)</f>
        <v>10764.946903323464</v>
      </c>
      <c r="E15" s="64">
        <f>IF(E5=0,0,E5/MBunk_act!E9*100)</f>
        <v>10719.843070538143</v>
      </c>
      <c r="F15" s="64">
        <f>IF(F5=0,0,F5/MBunk_act!F9*100)</f>
        <v>10798.99506754078</v>
      </c>
      <c r="G15" s="64">
        <f>IF(G5=0,0,G5/MBunk_act!G9*100)</f>
        <v>12360.115668670223</v>
      </c>
      <c r="H15" s="64">
        <f>IF(H5=0,0,H5/MBunk_act!H9*100)</f>
        <v>12120.98642505769</v>
      </c>
      <c r="I15" s="64">
        <f>IF(I5=0,0,I5/MBunk_act!I9*100)</f>
        <v>10443.331309828016</v>
      </c>
      <c r="J15" s="64">
        <f>IF(J5=0,0,J5/MBunk_act!J9*100)</f>
        <v>6859.1102644261609</v>
      </c>
      <c r="K15" s="64">
        <f>IF(K5=0,0,K5/MBunk_act!K9*100)</f>
        <v>10066.46490912334</v>
      </c>
      <c r="L15" s="64">
        <f>IF(L5=0,0,L5/MBunk_act!L9*100)</f>
        <v>10918.621483595607</v>
      </c>
      <c r="M15" s="64">
        <f>IF(M5=0,0,M5/MBunk_act!M9*100)</f>
        <v>9800.894032688424</v>
      </c>
      <c r="N15" s="64">
        <f>IF(N5=0,0,N5/MBunk_act!N9*100)</f>
        <v>9097.4391399046981</v>
      </c>
      <c r="O15" s="64">
        <f>IF(O5=0,0,O5/MBunk_act!O9*100)</f>
        <v>6771.9133596757529</v>
      </c>
      <c r="P15" s="64">
        <f>IF(P5=0,0,P5/MBunk_act!P9*100)</f>
        <v>752.02431124917666</v>
      </c>
      <c r="Q15" s="64">
        <f>IF(Q5=0,0,Q5/MBunk_act!Q9*100)</f>
        <v>5096.709838310444</v>
      </c>
      <c r="R15" s="64">
        <f>IF(R5=0,0,R5/MBunk_act!R9*100)</f>
        <v>10881.549398682322</v>
      </c>
      <c r="S15" s="64">
        <f>IF(S5=0,0,S5/MBunk_act!S9*100)</f>
        <v>10778.137728193877</v>
      </c>
      <c r="T15" s="64">
        <f>IF(T5=0,0,T5/MBunk_act!T9*100)</f>
        <v>11937.111434144288</v>
      </c>
      <c r="U15" s="64">
        <f>IF(U5=0,0,U5/MBunk_act!U9*100)</f>
        <v>11550.882219971445</v>
      </c>
      <c r="V15" s="64">
        <f>IF(V5=0,0,V5/MBunk_act!V9*100)</f>
        <v>11203.074389262309</v>
      </c>
      <c r="W15" s="64">
        <f>IF(W5=0,0,W5/MBunk_act!W9*100)</f>
        <v>11919.791735092278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7.9071853194983523</v>
      </c>
      <c r="C17" s="62">
        <f>IF(C3=0,0,C3/MBunk_act!C3*1000)</f>
        <v>8.0400352124867549</v>
      </c>
      <c r="D17" s="62">
        <f>IF(D3=0,0,D3/MBunk_act!D3*1000)</f>
        <v>8.0143984414398624</v>
      </c>
      <c r="E17" s="62">
        <f>IF(E3=0,0,E3/MBunk_act!E3*1000)</f>
        <v>8.0147912477939443</v>
      </c>
      <c r="F17" s="62">
        <f>IF(F3=0,0,F3/MBunk_act!F3*1000)</f>
        <v>8.0166153196079577</v>
      </c>
      <c r="G17" s="62">
        <f>IF(G3=0,0,G3/MBunk_act!G3*1000)</f>
        <v>8.6222662791405629</v>
      </c>
      <c r="H17" s="62">
        <f>IF(H3=0,0,H3/MBunk_act!H3*1000)</f>
        <v>7.4147669189563308</v>
      </c>
      <c r="I17" s="62">
        <f>IF(I3=0,0,I3/MBunk_act!I3*1000)</f>
        <v>5.580108830112267</v>
      </c>
      <c r="J17" s="62">
        <f>IF(J3=0,0,J3/MBunk_act!J3*1000)</f>
        <v>3.180519031503513</v>
      </c>
      <c r="K17" s="62">
        <f>IF(K3=0,0,K3/MBunk_act!K3*1000)</f>
        <v>4.3861447998876555</v>
      </c>
      <c r="L17" s="62">
        <f>IF(L3=0,0,L3/MBunk_act!L3*1000)</f>
        <v>4.5265923492546838</v>
      </c>
      <c r="M17" s="62">
        <f>IF(M3=0,0,M3/MBunk_act!M3*1000)</f>
        <v>3.8709394610338834</v>
      </c>
      <c r="N17" s="62">
        <f>IF(N3=0,0,N3/MBunk_act!N3*1000)</f>
        <v>3.6772693648452757</v>
      </c>
      <c r="O17" s="62">
        <f>IF(O3=0,0,O3/MBunk_act!O3*1000)</f>
        <v>2.6068683172901026</v>
      </c>
      <c r="P17" s="62">
        <f>IF(P3=0,0,P3/MBunk_act!P3*1000)</f>
        <v>0.27592538868336941</v>
      </c>
      <c r="Q17" s="62">
        <f>IF(Q3=0,0,Q3/MBunk_act!Q3*1000)</f>
        <v>1.7269000639376593</v>
      </c>
      <c r="R17" s="62">
        <f>IF(R3=0,0,R3/MBunk_act!R3*1000)</f>
        <v>3.4600326747618335</v>
      </c>
      <c r="S17" s="62">
        <f>IF(S3=0,0,S3/MBunk_act!S3*1000)</f>
        <v>3.3833037260094034</v>
      </c>
      <c r="T17" s="62">
        <f>IF(T3=0,0,T3/MBunk_act!T3*1000)</f>
        <v>3.8273567582881158</v>
      </c>
      <c r="U17" s="62">
        <f>IF(U3=0,0,U3/MBunk_act!U3*1000)</f>
        <v>3.8081079864937748</v>
      </c>
      <c r="V17" s="62">
        <f>IF(V3=0,0,V3/MBunk_act!V3*1000)</f>
        <v>3.4947844031264919</v>
      </c>
      <c r="W17" s="62">
        <f>IF(W3=0,0,W3/MBunk_act!W3*1000)</f>
        <v>3.5871472653229697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9.655571737849268</v>
      </c>
      <c r="C18" s="63">
        <f>IF(C4=0,0,C4/MBunk_act!C4*1000)</f>
        <v>9.9461043597990137</v>
      </c>
      <c r="D18" s="63">
        <f>IF(D4=0,0,D4/MBunk_act!D4*1000)</f>
        <v>9.888410824648064</v>
      </c>
      <c r="E18" s="63">
        <f>IF(E4=0,0,E4/MBunk_act!E4*1000)</f>
        <v>9.883894615550318</v>
      </c>
      <c r="F18" s="63">
        <f>IF(F4=0,0,F4/MBunk_act!F4*1000)</f>
        <v>9.890285130261768</v>
      </c>
      <c r="G18" s="63">
        <f>IF(G4=0,0,G4/MBunk_act!G4*1000)</f>
        <v>11.21805522161177</v>
      </c>
      <c r="H18" s="63">
        <f>IF(H4=0,0,H4/MBunk_act!H4*1000)</f>
        <v>12.788456145700627</v>
      </c>
      <c r="I18" s="63">
        <f>IF(I4=0,0,I4/MBunk_act!I4*1000)</f>
        <v>11.006255678841203</v>
      </c>
      <c r="J18" s="63">
        <f>IF(J4=0,0,J4/MBunk_act!J4*1000)</f>
        <v>6.9413428702250872</v>
      </c>
      <c r="K18" s="63">
        <f>IF(K4=0,0,K4/MBunk_act!K4*1000)</f>
        <v>10.339557946396114</v>
      </c>
      <c r="L18" s="63">
        <f>IF(L4=0,0,L4/MBunk_act!L4*1000)</f>
        <v>10.714085198156816</v>
      </c>
      <c r="M18" s="63">
        <f>IF(M4=0,0,M4/MBunk_act!M4*1000)</f>
        <v>8.9282584993742464</v>
      </c>
      <c r="N18" s="63">
        <f>IF(N4=0,0,N4/MBunk_act!N4*1000)</f>
        <v>8.1889810815800637</v>
      </c>
      <c r="O18" s="63">
        <f>IF(O4=0,0,O4/MBunk_act!O4*1000)</f>
        <v>6.0876643263314474</v>
      </c>
      <c r="P18" s="63">
        <f>IF(P4=0,0,P4/MBunk_act!P4*1000)</f>
        <v>0.67448811709236811</v>
      </c>
      <c r="Q18" s="63">
        <f>IF(Q4=0,0,Q4/MBunk_act!Q4*1000)</f>
        <v>4.3926359927545704</v>
      </c>
      <c r="R18" s="63">
        <f>IF(R4=0,0,R4/MBunk_act!R4*1000)</f>
        <v>9.1432714181435841</v>
      </c>
      <c r="S18" s="63">
        <f>IF(S4=0,0,S4/MBunk_act!S4*1000)</f>
        <v>8.9042739441938128</v>
      </c>
      <c r="T18" s="63">
        <f>IF(T4=0,0,T4/MBunk_act!T4*1000)</f>
        <v>9.9910416399254363</v>
      </c>
      <c r="U18" s="63">
        <f>IF(U4=0,0,U4/MBunk_act!U4*1000)</f>
        <v>9.9375593796819555</v>
      </c>
      <c r="V18" s="63">
        <f>IF(V4=0,0,V4/MBunk_act!V4*1000)</f>
        <v>8.0331142562971234</v>
      </c>
      <c r="W18" s="63">
        <f>IF(W4=0,0,W4/MBunk_act!W4*1000)</f>
        <v>9.0637677407832413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6.7536917811695458</v>
      </c>
      <c r="C19" s="64">
        <f>IF(C5=0,0,C5/MBunk_act!C5*1000)</f>
        <v>6.8094047415164756</v>
      </c>
      <c r="D19" s="64">
        <f>IF(D5=0,0,D5/MBunk_act!D5*1000)</f>
        <v>6.8051444279906015</v>
      </c>
      <c r="E19" s="64">
        <f>IF(E5=0,0,E5/MBunk_act!E5*1000)</f>
        <v>6.8048736798618625</v>
      </c>
      <c r="F19" s="64">
        <f>IF(F5=0,0,F5/MBunk_act!F5*1000)</f>
        <v>6.8043255204351238</v>
      </c>
      <c r="G19" s="64">
        <f>IF(G5=0,0,G5/MBunk_act!G5*1000)</f>
        <v>7.0582240441203856</v>
      </c>
      <c r="H19" s="64">
        <f>IF(H5=0,0,H5/MBunk_act!H5*1000)</f>
        <v>5.7351576479251252</v>
      </c>
      <c r="I19" s="64">
        <f>IF(I5=0,0,I5/MBunk_act!I5*1000)</f>
        <v>4.3871054760364094</v>
      </c>
      <c r="J19" s="64">
        <f>IF(J5=0,0,J5/MBunk_act!J5*1000)</f>
        <v>2.4976920372483611</v>
      </c>
      <c r="K19" s="64">
        <f>IF(K5=0,0,K5/MBunk_act!K5*1000)</f>
        <v>3.497956753275679</v>
      </c>
      <c r="L19" s="64">
        <f>IF(L5=0,0,L5/MBunk_act!L5*1000)</f>
        <v>3.5900972623366689</v>
      </c>
      <c r="M19" s="64">
        <f>IF(M5=0,0,M5/MBunk_act!M5*1000)</f>
        <v>3.0326624172797527</v>
      </c>
      <c r="N19" s="64">
        <f>IF(N5=0,0,N5/MBunk_act!N5*1000)</f>
        <v>2.8719580720155742</v>
      </c>
      <c r="O19" s="64">
        <f>IF(O5=0,0,O5/MBunk_act!O5*1000)</f>
        <v>2.0721086350918405</v>
      </c>
      <c r="P19" s="64">
        <f>IF(P5=0,0,P5/MBunk_act!P5*1000)</f>
        <v>0.22113407198582188</v>
      </c>
      <c r="Q19" s="64">
        <f>IF(Q5=0,0,Q5/MBunk_act!Q5*1000)</f>
        <v>1.3998666337739218</v>
      </c>
      <c r="R19" s="64">
        <f>IF(R5=0,0,R5/MBunk_act!R5*1000)</f>
        <v>2.8471737031890711</v>
      </c>
      <c r="S19" s="64">
        <f>IF(S5=0,0,S5/MBunk_act!S5*1000)</f>
        <v>2.7844591124471179</v>
      </c>
      <c r="T19" s="64">
        <f>IF(T5=0,0,T5/MBunk_act!T5*1000)</f>
        <v>3.1427244130245979</v>
      </c>
      <c r="U19" s="64">
        <f>IF(U5=0,0,U5/MBunk_act!U5*1000)</f>
        <v>3.1115179059323399</v>
      </c>
      <c r="V19" s="64">
        <f>IF(V5=0,0,V5/MBunk_act!V5*1000)</f>
        <v>2.9877009172700233</v>
      </c>
      <c r="W19" s="64">
        <f>IF(W5=0,0,W5/MBunk_act!W5*1000)</f>
        <v>3.0756888132005344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0.48539109071195735</v>
      </c>
      <c r="C22" s="77">
        <f t="shared" si="2"/>
        <v>0.48534414417698618</v>
      </c>
      <c r="D22" s="77">
        <f t="shared" si="2"/>
        <v>0.48390717238436654</v>
      </c>
      <c r="E22" s="77">
        <f t="shared" si="2"/>
        <v>0.48459511486700346</v>
      </c>
      <c r="F22" s="77">
        <f t="shared" si="2"/>
        <v>0.4846564324291473</v>
      </c>
      <c r="G22" s="77">
        <f t="shared" si="2"/>
        <v>0.48918024866993487</v>
      </c>
      <c r="H22" s="77">
        <f t="shared" si="2"/>
        <v>0.41071126450413903</v>
      </c>
      <c r="I22" s="77">
        <f t="shared" si="2"/>
        <v>0.35549734093444746</v>
      </c>
      <c r="J22" s="77">
        <f t="shared" si="2"/>
        <v>0.335363855609429</v>
      </c>
      <c r="K22" s="77">
        <f t="shared" si="2"/>
        <v>0.30603153150619872</v>
      </c>
      <c r="L22" s="77">
        <f t="shared" si="2"/>
        <v>0.31114730125163675</v>
      </c>
      <c r="M22" s="77">
        <f t="shared" si="2"/>
        <v>0.3279519580128446</v>
      </c>
      <c r="N22" s="77">
        <f t="shared" si="2"/>
        <v>0.33728705516251706</v>
      </c>
      <c r="O22" s="77">
        <f t="shared" si="2"/>
        <v>0.31098869835999055</v>
      </c>
      <c r="P22" s="77">
        <f t="shared" si="2"/>
        <v>0.29543155599646131</v>
      </c>
      <c r="Q22" s="77">
        <f t="shared" si="2"/>
        <v>0.27795654902905653</v>
      </c>
      <c r="R22" s="77">
        <f t="shared" si="2"/>
        <v>0.25722341534433124</v>
      </c>
      <c r="S22" s="77">
        <f t="shared" si="2"/>
        <v>0.25753329918641449</v>
      </c>
      <c r="T22" s="77">
        <f t="shared" si="2"/>
        <v>0.26096686418921533</v>
      </c>
      <c r="U22" s="77">
        <f t="shared" si="2"/>
        <v>0.26630470818712321</v>
      </c>
      <c r="V22" s="77">
        <f t="shared" si="2"/>
        <v>0.23101824023074449</v>
      </c>
      <c r="W22" s="77">
        <f t="shared" si="2"/>
        <v>0.2158153871652683</v>
      </c>
      <c r="DA22" s="184"/>
    </row>
    <row r="23" spans="1:105" ht="11.45" customHeight="1" x14ac:dyDescent="0.25">
      <c r="A23" s="57" t="s">
        <v>171</v>
      </c>
      <c r="B23" s="78">
        <f t="shared" si="2"/>
        <v>0.51460890928804259</v>
      </c>
      <c r="C23" s="78">
        <f t="shared" si="2"/>
        <v>0.51465585582301376</v>
      </c>
      <c r="D23" s="78">
        <f t="shared" si="2"/>
        <v>0.51609282761563346</v>
      </c>
      <c r="E23" s="78">
        <f t="shared" si="2"/>
        <v>0.51540488513299665</v>
      </c>
      <c r="F23" s="78">
        <f t="shared" si="2"/>
        <v>0.51534356757085276</v>
      </c>
      <c r="G23" s="78">
        <f t="shared" si="2"/>
        <v>0.51081975133006519</v>
      </c>
      <c r="H23" s="78">
        <f t="shared" si="2"/>
        <v>0.58928873549586103</v>
      </c>
      <c r="I23" s="78">
        <f t="shared" si="2"/>
        <v>0.6445026590655526</v>
      </c>
      <c r="J23" s="78">
        <f t="shared" si="2"/>
        <v>0.66463614439057095</v>
      </c>
      <c r="K23" s="78">
        <f t="shared" si="2"/>
        <v>0.69396846849380123</v>
      </c>
      <c r="L23" s="78">
        <f t="shared" si="2"/>
        <v>0.68885269874836319</v>
      </c>
      <c r="M23" s="78">
        <f t="shared" si="2"/>
        <v>0.67204804198715529</v>
      </c>
      <c r="N23" s="78">
        <f t="shared" si="2"/>
        <v>0.66271294483748289</v>
      </c>
      <c r="O23" s="78">
        <f t="shared" si="2"/>
        <v>0.68901130164000957</v>
      </c>
      <c r="P23" s="78">
        <f t="shared" si="2"/>
        <v>0.70456844400353857</v>
      </c>
      <c r="Q23" s="78">
        <f t="shared" si="2"/>
        <v>0.72204345097094336</v>
      </c>
      <c r="R23" s="78">
        <f t="shared" si="2"/>
        <v>0.74277658465566876</v>
      </c>
      <c r="S23" s="78">
        <f t="shared" si="2"/>
        <v>0.74246670081358546</v>
      </c>
      <c r="T23" s="78">
        <f t="shared" si="2"/>
        <v>0.73903313581078467</v>
      </c>
      <c r="U23" s="78">
        <f t="shared" si="2"/>
        <v>0.73369529181287674</v>
      </c>
      <c r="V23" s="78">
        <f t="shared" si="2"/>
        <v>0.76898175976925542</v>
      </c>
      <c r="W23" s="78">
        <f t="shared" si="2"/>
        <v>0.78418461283473173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2024-05-20T16:52:43Z</dcterms:created>
  <dcterms:modified xsi:type="dcterms:W3CDTF">2024-05-20T16:52:43Z</dcterms:modified>
</cp:coreProperties>
</file>