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T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R5" i="39" l="1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K31" i="6" l="1"/>
  <c r="N31" i="6"/>
  <c r="H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M14" i="29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N11" i="29" s="1"/>
  <c r="M13" i="29"/>
  <c r="L13" i="29"/>
  <c r="K13" i="29"/>
  <c r="J13" i="29"/>
  <c r="I13" i="29"/>
  <c r="H13" i="29"/>
  <c r="H5" i="29" s="1"/>
  <c r="G13" i="29"/>
  <c r="G11" i="29" s="1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M12" i="29"/>
  <c r="L12" i="29"/>
  <c r="L11" i="29" s="1"/>
  <c r="K12" i="29"/>
  <c r="K11" i="29" s="1"/>
  <c r="J12" i="29"/>
  <c r="I12" i="29"/>
  <c r="H12" i="29"/>
  <c r="G12" i="29"/>
  <c r="F12" i="29"/>
  <c r="E12" i="29"/>
  <c r="D12" i="29"/>
  <c r="D11" i="29" s="1"/>
  <c r="W11" i="29"/>
  <c r="V11" i="29"/>
  <c r="U11" i="29"/>
  <c r="T9" i="29"/>
  <c r="S9" i="29"/>
  <c r="R9" i="29"/>
  <c r="Q9" i="29"/>
  <c r="L9" i="29"/>
  <c r="K9" i="29"/>
  <c r="J9" i="29"/>
  <c r="I9" i="29"/>
  <c r="D9" i="29"/>
  <c r="W8" i="29"/>
  <c r="V8" i="29"/>
  <c r="U8" i="29"/>
  <c r="P8" i="29"/>
  <c r="O8" i="29"/>
  <c r="N8" i="29"/>
  <c r="M8" i="29"/>
  <c r="H8" i="29"/>
  <c r="G8" i="29"/>
  <c r="F8" i="29"/>
  <c r="E8" i="29"/>
  <c r="T7" i="29"/>
  <c r="S7" i="29"/>
  <c r="R7" i="29"/>
  <c r="Q7" i="29"/>
  <c r="L7" i="29"/>
  <c r="K7" i="29"/>
  <c r="J7" i="29"/>
  <c r="I7" i="29"/>
  <c r="G7" i="29"/>
  <c r="D7" i="29"/>
  <c r="W6" i="29"/>
  <c r="V6" i="29"/>
  <c r="U6" i="29"/>
  <c r="P6" i="29"/>
  <c r="O6" i="29"/>
  <c r="N6" i="29"/>
  <c r="M6" i="29"/>
  <c r="H6" i="29"/>
  <c r="G6" i="29"/>
  <c r="F6" i="29"/>
  <c r="E6" i="29"/>
  <c r="T5" i="29"/>
  <c r="S5" i="29"/>
  <c r="R5" i="29"/>
  <c r="Q5" i="29"/>
  <c r="L5" i="29"/>
  <c r="K5" i="29"/>
  <c r="J5" i="29"/>
  <c r="I5" i="29"/>
  <c r="D5" i="29"/>
  <c r="W4" i="29"/>
  <c r="V4" i="29"/>
  <c r="U4" i="29"/>
  <c r="P4" i="29"/>
  <c r="O4" i="29"/>
  <c r="N4" i="29"/>
  <c r="M4" i="29"/>
  <c r="H4" i="29"/>
  <c r="G4" i="29"/>
  <c r="F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J11" i="29" l="1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7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19" i="23" s="1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3" i="31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W3" i="29" l="1"/>
  <c r="U19" i="25"/>
  <c r="U15" i="24"/>
  <c r="W3" i="8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V3" i="23" l="1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S81" i="6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T56" i="6" l="1"/>
  <c r="L90" i="6"/>
  <c r="O56" i="6"/>
  <c r="C113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O29" i="12" s="1"/>
  <c r="I19" i="8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D16" i="14" s="1"/>
  <c r="D16" i="17" s="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H4" i="12" s="1"/>
  <c r="G33" i="16"/>
  <c r="K32" i="16"/>
  <c r="G32" i="16"/>
  <c r="G31" i="16"/>
  <c r="K30" i="16"/>
  <c r="G30" i="16"/>
  <c r="I19" i="9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19" i="24" s="1"/>
  <c r="J20" i="21"/>
  <c r="F20" i="21"/>
  <c r="Q19" i="20"/>
  <c r="Q18" i="21"/>
  <c r="Q16" i="20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Q32" i="17"/>
  <c r="Q9" i="17"/>
  <c r="L17" i="25"/>
  <c r="L16" i="18"/>
  <c r="L16" i="25" s="1"/>
  <c r="J28" i="26"/>
  <c r="P25" i="26"/>
  <c r="O24" i="26"/>
  <c r="K19" i="19"/>
  <c r="Q16" i="19"/>
  <c r="Q17" i="21"/>
  <c r="M16" i="19"/>
  <c r="I16" i="19"/>
  <c r="E16" i="19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J4" i="12" s="1"/>
  <c r="F4" i="8"/>
  <c r="F4" i="12" s="1"/>
  <c r="B4" i="8"/>
  <c r="O29" i="9"/>
  <c r="O29" i="13" s="1"/>
  <c r="K29" i="9"/>
  <c r="G29" i="9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M29" i="24" l="1"/>
  <c r="O4" i="12"/>
  <c r="G16" i="12"/>
  <c r="F4" i="24"/>
  <c r="N4" i="12"/>
  <c r="K16" i="24"/>
  <c r="N19" i="23"/>
  <c r="F29" i="24"/>
  <c r="G19" i="23"/>
  <c r="G19" i="26" s="1"/>
  <c r="P4" i="12"/>
  <c r="K29" i="12"/>
  <c r="K29" i="13"/>
  <c r="G19" i="24"/>
  <c r="N19" i="24"/>
  <c r="O4" i="13"/>
  <c r="E4" i="13"/>
  <c r="Q16" i="23"/>
  <c r="Q16" i="26" s="1"/>
  <c r="H29" i="12"/>
  <c r="G29" i="12"/>
  <c r="P29" i="25"/>
  <c r="P29" i="28" s="1"/>
  <c r="G29" i="13"/>
  <c r="E16" i="23"/>
  <c r="Q16" i="24"/>
  <c r="Q16" i="27" s="1"/>
  <c r="K16" i="12"/>
  <c r="I19" i="12"/>
  <c r="I19" i="13"/>
  <c r="P29" i="12"/>
  <c r="O29" i="23"/>
  <c r="K19" i="12"/>
  <c r="P19" i="24"/>
  <c r="C4" i="24"/>
  <c r="C4" i="27" s="1"/>
  <c r="P29" i="13"/>
  <c r="P19" i="13"/>
  <c r="P19" i="16" s="1"/>
  <c r="E19" i="24"/>
  <c r="I4" i="23"/>
  <c r="K4" i="24"/>
  <c r="K4" i="27" s="1"/>
  <c r="G16" i="13"/>
  <c r="N29" i="23"/>
  <c r="C19" i="13"/>
  <c r="C19" i="16" s="1"/>
  <c r="K19" i="24"/>
  <c r="O19" i="23"/>
  <c r="O19" i="26" s="1"/>
  <c r="Q29" i="24"/>
  <c r="G29" i="24"/>
  <c r="G29" i="27" s="1"/>
  <c r="C19" i="12"/>
  <c r="C19" i="15" s="1"/>
  <c r="P16" i="23"/>
  <c r="M4" i="14"/>
  <c r="O16" i="13"/>
  <c r="O16" i="16" s="1"/>
  <c r="O16" i="23"/>
  <c r="F19" i="12"/>
  <c r="M16" i="24"/>
  <c r="J4" i="23"/>
  <c r="J4" i="26" s="1"/>
  <c r="P19" i="12"/>
  <c r="P19" i="15" s="1"/>
  <c r="H4" i="24"/>
  <c r="M4" i="12"/>
  <c r="O19" i="24"/>
  <c r="O19" i="27" s="1"/>
  <c r="P16" i="24"/>
  <c r="L19" i="13"/>
  <c r="L19" i="16" s="1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D4" i="27" s="1"/>
  <c r="P19" i="23"/>
  <c r="N16" i="14"/>
  <c r="D4" i="13"/>
  <c r="N16" i="12"/>
  <c r="N16" i="15" s="1"/>
  <c r="E16" i="12"/>
  <c r="E16" i="15" s="1"/>
  <c r="I16" i="14"/>
  <c r="Q4" i="23"/>
  <c r="J29" i="24"/>
  <c r="P16" i="13"/>
  <c r="C29" i="12"/>
  <c r="G16" i="24"/>
  <c r="I4" i="12"/>
  <c r="L16" i="13"/>
  <c r="L16" i="16" s="1"/>
  <c r="B29" i="13"/>
  <c r="L4" i="24"/>
  <c r="Q29" i="23"/>
  <c r="Q29" i="26" s="1"/>
  <c r="G16" i="25"/>
  <c r="G16" i="28" s="1"/>
  <c r="Q4" i="24"/>
  <c r="D4" i="23"/>
  <c r="C29" i="13"/>
  <c r="B29" i="12"/>
  <c r="B29" i="15" s="1"/>
  <c r="H19" i="24"/>
  <c r="H19" i="27" s="1"/>
  <c r="Q4" i="12"/>
  <c r="B4" i="14"/>
  <c r="B4" i="17" s="1"/>
  <c r="N19" i="12"/>
  <c r="D29" i="25"/>
  <c r="D29" i="28" s="1"/>
  <c r="F16" i="24"/>
  <c r="D29" i="24"/>
  <c r="D29" i="27" s="1"/>
  <c r="G19" i="14"/>
  <c r="G19" i="17" s="1"/>
  <c r="D29" i="23"/>
  <c r="D29" i="26" s="1"/>
  <c r="I16" i="13"/>
  <c r="B4" i="13"/>
  <c r="M4" i="23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H19" i="16" s="1"/>
  <c r="I19" i="24"/>
  <c r="K16" i="23"/>
  <c r="E29" i="13"/>
  <c r="L16" i="24"/>
  <c r="L16" i="27" s="1"/>
  <c r="M4" i="13"/>
  <c r="M4" i="16" s="1"/>
  <c r="D27" i="13"/>
  <c r="D27" i="12"/>
  <c r="D27" i="15" s="1"/>
  <c r="M27" i="12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3"/>
  <c r="E15" i="26" s="1"/>
  <c r="Q19" i="13"/>
  <c r="Q19" i="16" s="1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E29" i="12"/>
  <c r="E29" i="15" s="1"/>
  <c r="P27" i="13"/>
  <c r="P27" i="16" s="1"/>
  <c r="P27" i="12"/>
  <c r="N27" i="23"/>
  <c r="N27" i="26" s="1"/>
  <c r="N27" i="24"/>
  <c r="N27" i="27" s="1"/>
  <c r="C27" i="12"/>
  <c r="C27" i="15" s="1"/>
  <c r="C27" i="13"/>
  <c r="L19" i="12"/>
  <c r="L19" i="15" s="1"/>
  <c r="I27" i="13"/>
  <c r="I27" i="16" s="1"/>
  <c r="I27" i="12"/>
  <c r="E27" i="12"/>
  <c r="E27" i="13"/>
  <c r="E27" i="16" s="1"/>
  <c r="E19" i="23"/>
  <c r="D15" i="23"/>
  <c r="D15" i="24"/>
  <c r="D15" i="27" s="1"/>
  <c r="E19" i="13"/>
  <c r="E19" i="16" s="1"/>
  <c r="C16" i="23"/>
  <c r="C16" i="26" s="1"/>
  <c r="F16" i="23"/>
  <c r="F3" i="19"/>
  <c r="F3" i="23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M4" i="24"/>
  <c r="I19" i="23"/>
  <c r="Q19" i="23"/>
  <c r="Q19" i="26" s="1"/>
  <c r="G15" i="23"/>
  <c r="G15" i="24"/>
  <c r="G15" i="27" s="1"/>
  <c r="H27" i="23"/>
  <c r="H27" i="26" s="1"/>
  <c r="H27" i="24"/>
  <c r="H27" i="27" s="1"/>
  <c r="Q29" i="13"/>
  <c r="I16" i="12"/>
  <c r="F29" i="13"/>
  <c r="D29" i="13"/>
  <c r="C4" i="23"/>
  <c r="C4" i="26" s="1"/>
  <c r="K4" i="23"/>
  <c r="K4" i="26" s="1"/>
  <c r="M19" i="13"/>
  <c r="M19" i="16" s="1"/>
  <c r="N4" i="21"/>
  <c r="N4" i="24"/>
  <c r="N4" i="27" s="1"/>
  <c r="P4" i="13"/>
  <c r="G29" i="23"/>
  <c r="G29" i="26" s="1"/>
  <c r="B19" i="13"/>
  <c r="K27" i="12"/>
  <c r="K27" i="15" s="1"/>
  <c r="K27" i="13"/>
  <c r="K27" i="16" s="1"/>
  <c r="H15" i="23"/>
  <c r="H15" i="26" s="1"/>
  <c r="H15" i="24"/>
  <c r="L16" i="12"/>
  <c r="L16" i="15" s="1"/>
  <c r="P15" i="23"/>
  <c r="P15" i="26" s="1"/>
  <c r="P15" i="24"/>
  <c r="M29" i="12"/>
  <c r="M29" i="15" s="1"/>
  <c r="H16" i="12"/>
  <c r="H16" i="15" s="1"/>
  <c r="J15" i="24"/>
  <c r="J15" i="27" s="1"/>
  <c r="J15" i="23"/>
  <c r="L27" i="23"/>
  <c r="L27" i="26" s="1"/>
  <c r="L27" i="24"/>
  <c r="L27" i="27" s="1"/>
  <c r="O19" i="12"/>
  <c r="G27" i="24"/>
  <c r="G27" i="27" s="1"/>
  <c r="G27" i="23"/>
  <c r="G27" i="26" s="1"/>
  <c r="L4" i="13"/>
  <c r="K4" i="12"/>
  <c r="K4" i="15" s="1"/>
  <c r="P4" i="23"/>
  <c r="P4" i="26" s="1"/>
  <c r="K29" i="23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4"/>
  <c r="K27" i="27" s="1"/>
  <c r="B27" i="12"/>
  <c r="B27" i="15" s="1"/>
  <c r="B27" i="13"/>
  <c r="Q19" i="24"/>
  <c r="K15" i="23"/>
  <c r="K15" i="26" s="1"/>
  <c r="K15" i="24"/>
  <c r="P27" i="23"/>
  <c r="P27" i="26" s="1"/>
  <c r="P27" i="24"/>
  <c r="P27" i="27" s="1"/>
  <c r="P16" i="12"/>
  <c r="F4" i="13"/>
  <c r="F4" i="16" s="1"/>
  <c r="L29" i="13"/>
  <c r="L15" i="23"/>
  <c r="L15" i="26" s="1"/>
  <c r="L15" i="24"/>
  <c r="J27" i="12"/>
  <c r="J27" i="15" s="1"/>
  <c r="J27" i="13"/>
  <c r="J27" i="16" s="1"/>
  <c r="E16" i="24"/>
  <c r="E16" i="27" s="1"/>
  <c r="D16" i="12"/>
  <c r="M15" i="23"/>
  <c r="M15" i="26" s="1"/>
  <c r="M15" i="24"/>
  <c r="M15" i="27" s="1"/>
  <c r="D19" i="23"/>
  <c r="D19" i="26" s="1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H19" i="12"/>
  <c r="L4" i="12"/>
  <c r="L4" i="15" s="1"/>
  <c r="I16" i="24"/>
  <c r="I16" i="27" s="1"/>
  <c r="H16" i="13"/>
  <c r="H16" i="16" s="1"/>
  <c r="L29" i="12"/>
  <c r="L29" i="15" s="1"/>
  <c r="M19" i="21"/>
  <c r="M19" i="24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H19" i="26" s="1"/>
  <c r="O27" i="24"/>
  <c r="O27" i="23"/>
  <c r="O27" i="26" s="1"/>
  <c r="Q19" i="12"/>
  <c r="Q19" i="15" s="1"/>
  <c r="J27" i="24"/>
  <c r="J27" i="27" s="1"/>
  <c r="J27" i="23"/>
  <c r="N4" i="13"/>
  <c r="N4" i="16" s="1"/>
  <c r="Q16" i="12"/>
  <c r="Q16" i="15" s="1"/>
  <c r="L27" i="13"/>
  <c r="L27" i="12"/>
  <c r="L27" i="15" s="1"/>
  <c r="K4" i="13"/>
  <c r="K4" i="16" s="1"/>
  <c r="I29" i="13"/>
  <c r="I29" i="16" s="1"/>
  <c r="J16" i="24"/>
  <c r="H29" i="13"/>
  <c r="H29" i="16" s="1"/>
  <c r="Q27" i="23"/>
  <c r="Q27" i="26" s="1"/>
  <c r="Q27" i="24"/>
  <c r="K19" i="23"/>
  <c r="K19" i="26" s="1"/>
  <c r="F15" i="23"/>
  <c r="F15" i="26" s="1"/>
  <c r="F15" i="24"/>
  <c r="F15" i="27" s="1"/>
  <c r="G27" i="13"/>
  <c r="G27" i="12"/>
  <c r="G27" i="15" s="1"/>
  <c r="O27" i="13"/>
  <c r="O27" i="16" s="1"/>
  <c r="O27" i="12"/>
  <c r="O27" i="15" s="1"/>
  <c r="B19" i="12"/>
  <c r="I27" i="23"/>
  <c r="I27" i="24"/>
  <c r="I27" i="27" s="1"/>
  <c r="D27" i="23"/>
  <c r="D27" i="26" s="1"/>
  <c r="D27" i="24"/>
  <c r="L29" i="24"/>
  <c r="L29" i="27" s="1"/>
  <c r="L19" i="23"/>
  <c r="L19" i="26" s="1"/>
  <c r="C15" i="24"/>
  <c r="C15" i="27" s="1"/>
  <c r="C15" i="23"/>
  <c r="F27" i="13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M16" i="13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O27" i="27"/>
  <c r="H16" i="25"/>
  <c r="H16" i="28" s="1"/>
  <c r="K29" i="14"/>
  <c r="K29" i="17" s="1"/>
  <c r="L16" i="14"/>
  <c r="L16" i="17" s="1"/>
  <c r="I16" i="25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P15" i="27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16" i="28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5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5" i="2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G4" i="16"/>
  <c r="J16" i="14"/>
  <c r="J16" i="17" s="1"/>
  <c r="J16" i="21"/>
  <c r="J16" i="27"/>
  <c r="H19" i="10"/>
  <c r="H19" i="15"/>
  <c r="L31" i="37"/>
  <c r="P44" i="37"/>
  <c r="Q3" i="11"/>
  <c r="B30" i="15"/>
  <c r="B31" i="15"/>
  <c r="B32" i="15"/>
  <c r="B33" i="15"/>
  <c r="N15" i="26"/>
  <c r="D19" i="15"/>
  <c r="L17" i="26"/>
  <c r="L11" i="26"/>
  <c r="L7" i="27"/>
  <c r="L24" i="26"/>
  <c r="L6" i="27"/>
  <c r="L28" i="26"/>
  <c r="L14" i="27"/>
  <c r="L14" i="26"/>
  <c r="L10" i="28"/>
  <c r="N27" i="16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E15" i="27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I16" i="15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19" i="15"/>
  <c r="F29" i="15"/>
  <c r="G16" i="21"/>
  <c r="G16" i="27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6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M16" i="27"/>
  <c r="M16" i="21"/>
  <c r="H19" i="21"/>
  <c r="D3" i="19"/>
  <c r="D4" i="26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P19" i="26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J15" i="2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B19" i="16"/>
  <c r="L19" i="10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0"/>
  <c r="C29" i="16"/>
  <c r="C29" i="10"/>
  <c r="B4" i="15"/>
  <c r="B3" i="8"/>
  <c r="B16" i="15"/>
  <c r="B1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7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O4" i="27"/>
  <c r="O4" i="21"/>
  <c r="O3" i="20"/>
  <c r="O3" i="24" s="1"/>
  <c r="D16" i="27"/>
  <c r="D16" i="21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Q3" i="12" l="1"/>
  <c r="Q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15" i="4"/>
  <c r="B27" i="4"/>
  <c r="B36" i="4"/>
  <c r="B23" i="4"/>
  <c r="B17" i="4"/>
  <c r="B4" i="4"/>
  <c r="B16" i="4"/>
  <c r="B14" i="4"/>
  <c r="B26" i="4"/>
  <c r="B7" i="4"/>
  <c r="B35" i="4"/>
  <c r="B8" i="4"/>
  <c r="B45" i="4"/>
  <c r="B22" i="4"/>
  <c r="B25" i="4"/>
  <c r="B24" i="4"/>
  <c r="B39" i="4"/>
  <c r="B42" i="4"/>
  <c r="B44" i="4"/>
  <c r="B43" i="4"/>
  <c r="B9" i="4"/>
  <c r="B20" i="4"/>
  <c r="B21" i="4"/>
  <c r="B33" i="4"/>
  <c r="B10" i="4"/>
  <c r="B34" i="4"/>
  <c r="B37" i="4"/>
  <c r="B29" i="4"/>
  <c r="B30" i="4"/>
  <c r="B28" i="4"/>
  <c r="B38" i="4"/>
  <c r="B12" i="4"/>
  <c r="B13" i="4"/>
  <c r="B11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<sst xmlns="http://schemas.openxmlformats.org/spreadsheetml/2006/main" count="2099" uniqueCount="1055">
  <si>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</si>
  <si>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</si>
  <si>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</si>
  <si>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</si>
  <si>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</si>
  <si>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</si>
  <si>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</si>
  <si>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</si>
  <si>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</si>
  <si>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</si>
  <si>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</si>
  <si>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</si>
  <si>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</si>
  <si>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</si>
  <si>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</si>
  <si>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</si>
  <si>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</si>
  <si>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</si>
  <si>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</si>
  <si>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</si>
  <si>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</si>
  <si>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</si>
  <si>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</si>
  <si>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</si>
  <si>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</si>
  <si>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</si>
  <si>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</si>
  <si>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</si>
  <si>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</si>
  <si>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</si>
  <si>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</si>
  <si>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</si>
  <si>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</si>
  <si>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</si>
  <si>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</si>
  <si>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</si>
  <si>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</si>
  <si>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</si>
  <si>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</si>
  <si>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</si>
  <si>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</si>
  <si>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</si>
  <si>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</si>
  <si>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</si>
  <si>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</si>
  <si>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</si>
  <si>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</si>
  <si>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</si>
  <si>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</si>
  <si>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</si>
  <si>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</si>
  <si>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</si>
  <si>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</si>
  <si>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</si>
  <si>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</si>
  <si>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</si>
  <si>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</si>
  <si>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</si>
  <si>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</si>
  <si>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</si>
  <si>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</si>
  <si>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</si>
  <si>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</si>
  <si>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</si>
  <si>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</si>
  <si>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</si>
  <si>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</si>
  <si>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</si>
  <si>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</si>
  <si>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</si>
  <si>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</si>
  <si>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</si>
  <si>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</si>
  <si>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</si>
  <si>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</si>
  <si>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</si>
  <si>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</si>
  <si>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</si>
  <si>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</si>
  <si>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</si>
  <si>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</si>
  <si>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</si>
  <si>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</si>
  <si>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</si>
  <si>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</si>
  <si>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</si>
  <si>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</si>
  <si>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</si>
  <si>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</si>
  <si>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</si>
  <si>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</si>
  <si>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</si>
  <si>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</si>
  <si>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</si>
  <si>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</si>
  <si>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</si>
  <si>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</si>
  <si>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</si>
  <si>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</si>
  <si>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</si>
  <si>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</si>
  <si>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</si>
  <si>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</si>
  <si>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</si>
  <si>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</si>
  <si>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</si>
  <si>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</si>
  <si>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</si>
  <si>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</si>
  <si>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</si>
  <si>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</si>
  <si>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</si>
  <si>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</si>
  <si>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</si>
  <si>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</si>
  <si>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</si>
  <si>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</si>
  <si>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</si>
  <si>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</si>
  <si>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</si>
  <si>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</si>
  <si>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</si>
  <si>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</si>
  <si>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</si>
  <si>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</si>
  <si>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</si>
  <si>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</si>
  <si>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</si>
  <si>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</si>
  <si>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</si>
  <si>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</si>
  <si>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</si>
  <si>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</si>
  <si>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</si>
  <si>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</si>
  <si>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</si>
  <si>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</si>
  <si>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</si>
  <si>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</si>
  <si>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</si>
  <si>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</si>
  <si>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</si>
  <si>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</si>
  <si>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</si>
  <si>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</si>
  <si>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</si>
  <si>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</si>
  <si>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</si>
  <si>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</si>
  <si>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</si>
  <si>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</si>
  <si>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</si>
  <si>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</si>
  <si>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</si>
  <si>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</si>
  <si>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</si>
  <si>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</si>
  <si>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</si>
  <si>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</si>
  <si>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</si>
  <si>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</si>
  <si>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</si>
  <si>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</si>
  <si>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</si>
  <si>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</si>
  <si>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</si>
  <si>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</si>
  <si>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</si>
  <si>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</si>
  <si>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</si>
  <si>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</si>
  <si>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</si>
  <si>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</si>
  <si>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</si>
  <si>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</si>
  <si>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</si>
  <si>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</si>
  <si>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</si>
  <si>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</si>
  <si>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</si>
  <si>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</si>
  <si>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</si>
  <si>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</si>
  <si>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</si>
  <si>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LT</t>
  </si>
  <si>
    <t>Lithuania</t>
  </si>
  <si>
    <t>LT - Services sector summary</t>
  </si>
  <si>
    <t>Macro.number.LT.Population</t>
  </si>
  <si>
    <t>Macro.Meuro2015.LT.GDP</t>
  </si>
  <si>
    <t>Macro.Meuro2015.LT.VA</t>
  </si>
  <si>
    <t>Macro.number.LT.Employees</t>
  </si>
  <si>
    <t>NUM.number.LT.Ser.Bld</t>
  </si>
  <si>
    <t>SurfaceArea.ksqm.LT.Ser.Bld</t>
  </si>
  <si>
    <t>NUM.number.LT.Ser.BldNew</t>
  </si>
  <si>
    <t>SurfaceArea.ksqm.LT.Ser.BldNew</t>
  </si>
  <si>
    <t>HDD.Celsius.LT.Actual</t>
  </si>
  <si>
    <t>HDD.Celsius.LT.Mean</t>
  </si>
  <si>
    <t>HDD.ratio.LT.Relative</t>
  </si>
  <si>
    <t>FEC.ktoe.LT.ES.Ser</t>
  </si>
  <si>
    <t>FEC.ktoe.LT.ES.Ser.Solids</t>
  </si>
  <si>
    <t>FEC.ktoe.LT.ES.Ser.LPG</t>
  </si>
  <si>
    <t>FEC.ktoe.LT.ES.Ser.Oil</t>
  </si>
  <si>
    <t>FEC.ktoe.LT.ES.Ser.NG</t>
  </si>
  <si>
    <t>FEC.ktoe.LT.ES.Ser.Biomass_Waste</t>
  </si>
  <si>
    <t>FEC.ktoe.LT.ES.Ser.Biogas</t>
  </si>
  <si>
    <t>FEC.ktoe.LT.ES.Ser.LiqBio</t>
  </si>
  <si>
    <t>FEC.ktoe.LT.ES.Ser.Solar</t>
  </si>
  <si>
    <t>FEC.ktoe.LT.ES.Ser.Geo</t>
  </si>
  <si>
    <t>FEC.ktoe.LT.ES.Ser.Ambient</t>
  </si>
  <si>
    <t>FEC.ktoe.LT.ES.Ser.Steam_Distr</t>
  </si>
  <si>
    <t>FEC.ktoe.LT.ES.Ser.Elec</t>
  </si>
  <si>
    <t>FEC.ktoe.LT.Ser</t>
  </si>
  <si>
    <t>FEC.ktoe.LT.Ser.Bld.Thermal</t>
  </si>
  <si>
    <t>FEC.ktoe.LT.Ser.Bld.Thermal.SH</t>
  </si>
  <si>
    <t>FEC.ktoe.LT.Ser.Bld.Thermal.SC</t>
  </si>
  <si>
    <t>FEC.ktoe.LT.Ser.Bld.Thermal.HW</t>
  </si>
  <si>
    <t>FEC.ktoe.LT.Ser.Bld.Thermal.CA</t>
  </si>
  <si>
    <t>FEC.ktoe.LT.Ser.SEU</t>
  </si>
  <si>
    <t>EMI.ktCO2.LT.ES.Ser</t>
  </si>
  <si>
    <t>EMI.ktCO2.LT.ES.Ser.Solids</t>
  </si>
  <si>
    <t>EMI.ktCO2.LT.ES.Ser.LPG</t>
  </si>
  <si>
    <t>EMI.ktCO2.LT.ES.Ser.Oil</t>
  </si>
  <si>
    <t>EMI.ktCO2.LT.ES.Ser.NG</t>
  </si>
  <si>
    <t>EMI.ktCO2.LT.ES.Ser.Biomass_Waste</t>
  </si>
  <si>
    <t>EMI.ktCO2.LT.ES.Ser.Biogas</t>
  </si>
  <si>
    <t>EMI.ktCO2.LT.ES.Ser.LiqBio</t>
  </si>
  <si>
    <t>EMI.ktCO2.LT.ES.Ser.Solar</t>
  </si>
  <si>
    <t>EMI.ktCO2.LT.ES.Ser.Geo</t>
  </si>
  <si>
    <t>EMI.ktCO2.LT.ES.Ser.Ambient</t>
  </si>
  <si>
    <t>EMI.ktCO2.LT.ES.Ser.Steam_Distr</t>
  </si>
  <si>
    <t>EMI.ktCO2.LT.ES.Ser.Elec</t>
  </si>
  <si>
    <t>EMI.ktCO2.LT.Ser</t>
  </si>
  <si>
    <t>EMI.ktCO2.LT.Ser.Bld.Thermal</t>
  </si>
  <si>
    <t>EMI.ktCO2.LT.Ser.Bld.Thermal.SH</t>
  </si>
  <si>
    <t>EMI.ktCO2.LT.Ser.Bld.Thermal.SC</t>
  </si>
  <si>
    <t>EMI.ktCO2.LT.Ser.Bld.Thermal.HW</t>
  </si>
  <si>
    <t>EMI.ktCO2.LT.Ser.Bld.Thermal.CA</t>
  </si>
  <si>
    <t>EMI.ktCO2.LT.Ser.SEU</t>
  </si>
  <si>
    <t>Eff.ratio.LT.Ser.Bld.Thermal</t>
  </si>
  <si>
    <t>Eff.ratio.LT.Ser.Bld.Thermal.SH</t>
  </si>
  <si>
    <t>Eff.ratio.LT.Ser.Bld.Thermal.SC</t>
  </si>
  <si>
    <t>Eff.ratio.LT.Ser.Bld.Thermal.HW</t>
  </si>
  <si>
    <t>Eff.ratio.LT.Ser.Bld.Thermal.CA</t>
  </si>
  <si>
    <t>LT - Number of buildings</t>
  </si>
  <si>
    <t>NUM.number.LT.Ser.Bld.Thermal</t>
  </si>
  <si>
    <t>NUM.number.LT.Ser.Bld.Thermal.SH</t>
  </si>
  <si>
    <t>NUM.number.LT.Ser.Bld.Thermal.SH.Solids</t>
  </si>
  <si>
    <t>NUM.number.LT.Ser.Bld.Thermal.SH.LPG</t>
  </si>
  <si>
    <t>NUM.number.LT.Ser.Bld.Thermal.SH.Oil</t>
  </si>
  <si>
    <t>NUM.number.LT.Ser.Bld.Thermal.SH.GasHP</t>
  </si>
  <si>
    <t>NUM.number.LT.Ser.Bld.Thermal.SH.GasTH</t>
  </si>
  <si>
    <t>NUM.number.LT.Ser.Bld.Thermal.SH.Biomass</t>
  </si>
  <si>
    <t>NUM.number.LT.Ser.Bld.Thermal.SH.Geo</t>
  </si>
  <si>
    <t>NUM.number.LT.Ser.Bld.Thermal.SH.DistrHeat</t>
  </si>
  <si>
    <t>NUM.number.LT.Ser.Bld.Thermal.SH.AdvElc</t>
  </si>
  <si>
    <t>NUM.number.LT.Ser.Bld.Thermal.SH.ConvElc</t>
  </si>
  <si>
    <t>NUM.number.LT.Ser.Bld.Thermal.SC</t>
  </si>
  <si>
    <t>NUM.number.LT.Ser.Bld.Thermal.SC.GasHP</t>
  </si>
  <si>
    <t>NUM.number.LT.Ser.Bld.Thermal.SC.AC</t>
  </si>
  <si>
    <t>NUM.number.LT.Ser.Bld.Thermal.HW</t>
  </si>
  <si>
    <t>NUM.number.LT.Ser.Bld.Thermal.HW.Solids</t>
  </si>
  <si>
    <t>NUM.number.LT.Ser.Bld.Thermal.HW.LPG</t>
  </si>
  <si>
    <t>NUM.number.LT.Ser.Bld.Thermal.HW.Oil</t>
  </si>
  <si>
    <t>NUM.number.LT.Ser.Bld.Thermal.HW.Gas</t>
  </si>
  <si>
    <t>NUM.number.LT.Ser.Bld.Thermal.HW.Biomass</t>
  </si>
  <si>
    <t>NUM.number.LT.Ser.Bld.Thermal.HW.DistrHeat</t>
  </si>
  <si>
    <t>NUM.number.LT.Ser.Bld.Thermal.HW.Elc</t>
  </si>
  <si>
    <t>NUM.number.LT.Ser.Bld.Thermal.HW.Solar</t>
  </si>
  <si>
    <t>NUM.number.LT.Ser.Bld.Thermal.CA</t>
  </si>
  <si>
    <t>NUM.number.LT.Ser.Bld.Thermal.CA.LPG</t>
  </si>
  <si>
    <t>NUM.number.LT.Ser.Bld.Thermal.CA.Gas</t>
  </si>
  <si>
    <t>NUM.number.LT.Ser.Bld.Thermal.CA.Biomass</t>
  </si>
  <si>
    <t>NUM.number.LT.Ser.Bld.Thermal.CA.Elc</t>
  </si>
  <si>
    <t>LT - Final energy consumption</t>
  </si>
  <si>
    <t>FEC.ktoe.LT.Ser.Bld.Thermal.SH.Solids.Solids</t>
  </si>
  <si>
    <t>FEC.ktoe.LT.Ser.Bld.Thermal.SH.LPG.LPG</t>
  </si>
  <si>
    <t>FEC.ktoe.LT.Ser.Bld.Thermal.SH.Oil.Oil_LiqBio</t>
  </si>
  <si>
    <t>FEC.ktoe.LT.Ser.Bld.Thermal.SH.GasHP.NG_Biogas</t>
  </si>
  <si>
    <t>FEC.ktoe.LT.Ser.Bld.Thermal.SH.GasTH.NG_Biogas</t>
  </si>
  <si>
    <t>FEC.ktoe.LT.Ser.Bld.Thermal.SH.Biomass.Biomass_Waste</t>
  </si>
  <si>
    <t>FEC.ktoe.LT.Ser.Bld.Thermal.SH.Geo.Geo</t>
  </si>
  <si>
    <t>FEC.ktoe.LT.Ser.Bld.Thermal.SH.DistrHeat.Steam_Distr</t>
  </si>
  <si>
    <t>FEC.ktoe.LT.Ser.Bld.Thermal.SH.AdvElc.Elec</t>
  </si>
  <si>
    <t>FEC.ktoe.LT.Ser.Bld.Thermal.SH.ConvElc.Elec</t>
  </si>
  <si>
    <t>FEC.ktoe.LT.Ser.Bld.Thermal.SH.TotalCirculation.Elec</t>
  </si>
  <si>
    <t>FEC.ktoe.LT.Ser.Bld.Thermal.SC.GasHP.NG_Biogas</t>
  </si>
  <si>
    <t>FEC.ktoe.LT.Ser.Bld.Thermal.SC.AC.Elec</t>
  </si>
  <si>
    <t>FEC.ktoe.LT.Ser.Bld.Thermal.HW.Solids.Solids</t>
  </si>
  <si>
    <t>FEC.ktoe.LT.Ser.Bld.Thermal.HW.LPG.LPG</t>
  </si>
  <si>
    <t>FEC.ktoe.LT.Ser.Bld.Thermal.HW.Oil.Oil_LiqBio</t>
  </si>
  <si>
    <t>FEC.ktoe.LT.Ser.Bld.Thermal.HW.Gas.NG_Biogas</t>
  </si>
  <si>
    <t>FEC.ktoe.LT.Ser.Bld.Thermal.HW.Biomass.Biomass_Waste</t>
  </si>
  <si>
    <t>FEC.ktoe.LT.Ser.Bld.Thermal.HW.DistrHeat.Steam_Distr</t>
  </si>
  <si>
    <t>FEC.ktoe.LT.Ser.Bld.Thermal.HW.Elc.Elec</t>
  </si>
  <si>
    <t>FEC.ktoe.LT.Ser.Bld.Thermal.HW.TotalSolar.Solar</t>
  </si>
  <si>
    <t>FEC.ktoe.LT.Ser.Bld.Thermal.CA.LPG</t>
  </si>
  <si>
    <t>FEC.ktoe.LT.Ser.Bld.Thermal.CA.Gas.NG_Biogas</t>
  </si>
  <si>
    <t>FEC.ktoe.LT.Ser.Bld.Thermal.CA.Biomass.Biomass_Waste</t>
  </si>
  <si>
    <t>FEC.ktoe.LT.Ser.Bld.Thermal.CA.Elc.Elec</t>
  </si>
  <si>
    <t>LT - Thermal energy service</t>
  </si>
  <si>
    <t>TES.ktoe.LT.Ser.Bld.Thermal</t>
  </si>
  <si>
    <t>TES.ktoe.LT.Ser.Bld.Thermal.SH</t>
  </si>
  <si>
    <t>TES.ktoe.LT.Ser.Bld.Thermal.SH.Solids.Solids</t>
  </si>
  <si>
    <t>TES.ktoe.LT.Ser.Bld.Thermal.SH.LPG.LPG</t>
  </si>
  <si>
    <t>TES.ktoe.LT.Ser.Bld.Thermal.SH.Oil.Oil_LiqBio</t>
  </si>
  <si>
    <t>TES.ktoe.LT.Ser.Bld.Thermal.SH.GasHP.NG_Biogas</t>
  </si>
  <si>
    <t>TES.ktoe.LT.Ser.Bld.Thermal.SH.GasTH.NG_Biogas</t>
  </si>
  <si>
    <t>TES.ktoe.LT.Ser.Bld.Thermal.SH.Biomass.Biomass_Waste</t>
  </si>
  <si>
    <t>TES.ktoe.LT.Ser.Bld.Thermal.SH.Geo.Geo</t>
  </si>
  <si>
    <t>TES.ktoe.LT.Ser.Bld.Thermal.SH.DistrHeat.Steam_Distr</t>
  </si>
  <si>
    <t>TES.ktoe.LT.Ser.Bld.Thermal.SH.AdvElc.Elec</t>
  </si>
  <si>
    <t>TES.ktoe.LT.Ser.Bld.Thermal.SH.ConvElc.Elec</t>
  </si>
  <si>
    <t>TES.ktoe.LT.Ser.Bld.Thermal.SH.TotalCirculation.Elec</t>
  </si>
  <si>
    <t>TES.ktoe.LT.Ser.Bld.Thermal.SC</t>
  </si>
  <si>
    <t>TES.ktoe.LT.Ser.Bld.Thermal.SC.GasHP.NG_Biogas</t>
  </si>
  <si>
    <t>TES.ktoe.LT.Ser.Bld.Thermal.SC.AC.Elec</t>
  </si>
  <si>
    <t>TES.ktoe.LT.Ser.Bld.Thermal.HW</t>
  </si>
  <si>
    <t>TES.ktoe.LT.Ser.Bld.Thermal.HW.Solids.Solids</t>
  </si>
  <si>
    <t>TES.ktoe.LT.Ser.Bld.Thermal.HW.LPG.LPG</t>
  </si>
  <si>
    <t>TES.ktoe.LT.Ser.Bld.Thermal.HW.Oil.Oil_LiqBio</t>
  </si>
  <si>
    <t>TES.ktoe.LT.Ser.Bld.Thermal.HW.Gas.NG_Biogas</t>
  </si>
  <si>
    <t>TES.ktoe.LT.Ser.Bld.Thermal.HW.Biomass.Biomass_Waste</t>
  </si>
  <si>
    <t>TES.ktoe.LT.Ser.Bld.Thermal.HW.DistrHeat.Steam_Distr</t>
  </si>
  <si>
    <t>TES.ktoe.LT.Ser.Bld.Thermal.HW.Elc.Elec</t>
  </si>
  <si>
    <t>TES.ktoe.LT.Ser.Bld.Thermal.HW.TotalSolar.Solar</t>
  </si>
  <si>
    <t>TES.ktoe.LT.Ser.Bld.Thermal.CA</t>
  </si>
  <si>
    <t>TES.ktoe.LT.Ser.Bld.Thermal.CA.LPG</t>
  </si>
  <si>
    <t>TES.ktoe.LT.Ser.Bld.Thermal.CA.Gas.NG_Biogas</t>
  </si>
  <si>
    <t>TES.ktoe.LT.Ser.Bld.Thermal.CA.Biomass.Biomass_Waste</t>
  </si>
  <si>
    <t>TES.ktoe.LT.Ser.Bld.Thermal.CA.Elc.Elec</t>
  </si>
  <si>
    <t>LT - System efficiency indicator of total stock</t>
  </si>
  <si>
    <t>Eff.ratio.LT.Ser.Bld.Thermal.SH.Solids.Solids</t>
  </si>
  <si>
    <t>Eff.ratio.LT.Ser.Bld.Thermal.SH.LPG.LPG</t>
  </si>
  <si>
    <t>Eff.ratio.LT.Ser.Bld.Thermal.SH.Oil.Oil_LiqBio</t>
  </si>
  <si>
    <t>Eff.ratio.LT.Ser.Bld.Thermal.SH.GasHP.NG_Biogas</t>
  </si>
  <si>
    <t>Eff.ratio.LT.Ser.Bld.Thermal.SH.GasTH.NG_Biogas</t>
  </si>
  <si>
    <t>Eff.ratio.LT.Ser.Bld.Thermal.SH.Biomass.Biomass_Waste</t>
  </si>
  <si>
    <t>Eff.ratio.LT.Ser.Bld.Thermal.SH.Geo.Geo</t>
  </si>
  <si>
    <t>Eff.ratio.LT.Ser.Bld.Thermal.SH.DistrHeat.Steam_Distr</t>
  </si>
  <si>
    <t>Eff.ratio.LT.Ser.Bld.Thermal.SH.AdvElc.Elec</t>
  </si>
  <si>
    <t>Eff.ratio.LT.Ser.Bld.Thermal.SH.ConvElc.Elec</t>
  </si>
  <si>
    <t>Eff.ratio.LT.Ser.Bld.Thermal.SH.TotalCirculation.Elec</t>
  </si>
  <si>
    <t>Eff.ratio.LT.Ser.Bld.Thermal.SC.GasHP.NG_Biogas</t>
  </si>
  <si>
    <t>Eff.ratio.LT.Ser.Bld.Thermal.SC.AC.Elec</t>
  </si>
  <si>
    <t>Eff.ratio.LT.Ser.Bld.Thermal.HW.Solids.Solids</t>
  </si>
  <si>
    <t>Eff.ratio.LT.Ser.Bld.Thermal.HW.LPG.LPG</t>
  </si>
  <si>
    <t>Eff.ratio.LT.Ser.Bld.Thermal.HW.Oil.Oil_LiqBio</t>
  </si>
  <si>
    <t>Eff.ratio.LT.Ser.Bld.Thermal.HW.Gas.NG_Biogas</t>
  </si>
  <si>
    <t>Eff.ratio.LT.Ser.Bld.Thermal.HW.Biomass.Biomass_Waste</t>
  </si>
  <si>
    <t>Eff.ratio.LT.Ser.Bld.Thermal.HW.DistrHeat.Steam_Distr</t>
  </si>
  <si>
    <t>Eff.ratio.LT.Ser.Bld.Thermal.HW.Elc.Elec</t>
  </si>
  <si>
    <t>Eff.ratio.LT.Ser.Bld.Thermal.HW.TotalSolar.Solar</t>
  </si>
  <si>
    <t>Eff.ratio.LT.Ser.Bld.Thermal.CA.LPG</t>
  </si>
  <si>
    <t>Eff.ratio.LT.Ser.Bld.Thermal.CA.Gas.NG_Biogas</t>
  </si>
  <si>
    <t>Eff.ratio.LT.Ser.Bld.Thermal.CA.Biomass.Biomass_Waste</t>
  </si>
  <si>
    <t>Eff.ratio.LT.Ser.Bld.Thermal.CA.Elc.Elec</t>
  </si>
  <si>
    <t>LT - CO2 emissions</t>
  </si>
  <si>
    <t>EMI.ktCO2.LT.Ser.Bld.Thermal.SH.Solids.Solids</t>
  </si>
  <si>
    <t>EMI.ktCO2.LT.Ser.Bld.Thermal.SH.LPG.LPG</t>
  </si>
  <si>
    <t>EMI.ktCO2.LT.Ser.Bld.Thermal.SH.Oil.Oil_LiqBio</t>
  </si>
  <si>
    <t>EMI.ktCO2.LT.Ser.Bld.Thermal.SH.GasHP.NG_Biogas</t>
  </si>
  <si>
    <t>EMI.ktCO2.LT.Ser.Bld.Thermal.SH.GasTH.NG_Biogas</t>
  </si>
  <si>
    <t>EMI.ktCO2.LT.Ser.Bld.Thermal.SH.Biomass.Biomass_Waste</t>
  </si>
  <si>
    <t>EMI.ktCO2.LT.Ser.Bld.Thermal.SH.Geo.Geo</t>
  </si>
  <si>
    <t>EMI.ktCO2.LT.Ser.Bld.Thermal.SH.DistrHeat.Steam_Distr</t>
  </si>
  <si>
    <t>EMI.ktCO2.LT.Ser.Bld.Thermal.SH.AdvElc.Elec</t>
  </si>
  <si>
    <t>EMI.ktCO2.LT.Ser.Bld.Thermal.SH.ConvElc.Elec</t>
  </si>
  <si>
    <t>EMI.ktCO2.LT.Ser.Bld.Thermal.SH.TotalCirculation.Elec</t>
  </si>
  <si>
    <t>EMI.ktCO2.LT.Ser.Bld.Thermal.SC.GasHP.NG_Biogas</t>
  </si>
  <si>
    <t>EMI.ktCO2.LT.Ser.Bld.Thermal.SC.AC.Elec</t>
  </si>
  <si>
    <t>EMI.ktCO2.LT.Ser.Bld.Thermal.HW.Solids.Solids</t>
  </si>
  <si>
    <t>EMI.ktCO2.LT.Ser.Bld.Thermal.HW.LPG.LPG</t>
  </si>
  <si>
    <t>EMI.ktCO2.LT.Ser.Bld.Thermal.HW.Oil.Oil_LiqBio</t>
  </si>
  <si>
    <t>EMI.ktCO2.LT.Ser.Bld.Thermal.HW.Gas.NG_Biogas</t>
  </si>
  <si>
    <t>EMI.ktCO2.LT.Ser.Bld.Thermal.HW.Biomass.Biomass_Waste</t>
  </si>
  <si>
    <t>EMI.ktCO2.LT.Ser.Bld.Thermal.HW.DistrHeat.Steam_Distr</t>
  </si>
  <si>
    <t>EMI.ktCO2.LT.Ser.Bld.Thermal.HW.Elc.Elec</t>
  </si>
  <si>
    <t>EMI.ktCO2.LT.Ser.Bld.Thermal.HW.TotalSolar.Solar</t>
  </si>
  <si>
    <t>EMI.ktCO2.LT.Ser.Bld.Thermal.CA.LPG</t>
  </si>
  <si>
    <t>EMI.ktCO2.LT.Ser.Bld.Thermal.CA.Gas.NG_Biogas</t>
  </si>
  <si>
    <t>EMI.ktCO2.LT.Ser.Bld.Thermal.CA.Biomass.Biomass_Waste</t>
  </si>
  <si>
    <t>EMI.ktCO2.LT.Ser.Bld.Thermal.CA.Elc.Elec</t>
  </si>
  <si>
    <t>LT - Final energy consumption per building</t>
  </si>
  <si>
    <t>FEC_per_building.kWh.LT.Ser.Bld.Thermal</t>
  </si>
  <si>
    <t>FEC_per_building.kWh.LT.Ser.Bld.Thermal.SH</t>
  </si>
  <si>
    <t>FEC_per_building.kWh.LT.Ser.Bld.Thermal.SH.Solids.Solids</t>
  </si>
  <si>
    <t>FEC_per_building.kWh.LT.Ser.Bld.Thermal.SH.LPG.LPG</t>
  </si>
  <si>
    <t>FEC_per_building.kWh.LT.Ser.Bld.Thermal.SH.Oil.Oil_LiqBio</t>
  </si>
  <si>
    <t>FEC_per_building.kWh.LT.Ser.Bld.Thermal.SH.GasHP.NG_Biogas</t>
  </si>
  <si>
    <t>FEC_per_building.kWh.LT.Ser.Bld.Thermal.SH.GasTH.NG_Biogas</t>
  </si>
  <si>
    <t>FEC_per_building.kWh.LT.Ser.Bld.Thermal.SH.Biomass.Biomass_Waste</t>
  </si>
  <si>
    <t>FEC_per_building.kWh.LT.Ser.Bld.Thermal.SH.Geo.Geo</t>
  </si>
  <si>
    <t>FEC_per_building.kWh.LT.Ser.Bld.Thermal.SH.DistrHeat.Steam_Distr</t>
  </si>
  <si>
    <t>FEC_per_building.kWh.LT.Ser.Bld.Thermal.SH.AdvElc.Elec</t>
  </si>
  <si>
    <t>FEC_per_building.kWh.LT.Ser.Bld.Thermal.SH.ConvElc.Elec</t>
  </si>
  <si>
    <t>FEC_per_building.kWh.LT.Ser.Bld.Thermal.SH.TotalCirculation.Elec</t>
  </si>
  <si>
    <t>FEC_per_building.kWh.LT.Ser.Bld.Thermal.SC</t>
  </si>
  <si>
    <t>FEC_per_building.kWh.LT.Ser.Bld.Thermal.SC.GasHP.NG_Biogas</t>
  </si>
  <si>
    <t>FEC_per_building.kWh.LT.Ser.Bld.Thermal.SC.AC.Elec</t>
  </si>
  <si>
    <t>FEC_per_building.kWh.LT.Ser.Bld.Thermal.HW</t>
  </si>
  <si>
    <t>FEC_per_building.kWh.LT.Ser.Bld.Thermal.HW.Solids.Solids</t>
  </si>
  <si>
    <t>FEC_per_building.kWh.LT.Ser.Bld.Thermal.HW.LPG.LPG</t>
  </si>
  <si>
    <t>FEC_per_building.kWh.LT.Ser.Bld.Thermal.HW.Oil.Oil_LiqBio</t>
  </si>
  <si>
    <t>FEC_per_building.kWh.LT.Ser.Bld.Thermal.HW.Gas.NG_Biogas</t>
  </si>
  <si>
    <t>FEC_per_building.kWh.LT.Ser.Bld.Thermal.HW.Biomass.Biomass_Waste</t>
  </si>
  <si>
    <t>FEC_per_building.kWh.LT.Ser.Bld.Thermal.HW.DistrHeat.Steam_Distr</t>
  </si>
  <si>
    <t>FEC_per_building.kWh.LT.Ser.Bld.Thermal.HW.Elc.Elec</t>
  </si>
  <si>
    <t>FEC_per_building.kWh.LT.Ser.Bld.Thermal.HW.TotalSolar.Solar</t>
  </si>
  <si>
    <t>FEC_per_building.kWh.LT.Ser.Bld.Thermal.CA</t>
  </si>
  <si>
    <t>FEC_per_building.kWh.LT.Ser.Bld.Thermal.CA.LPG</t>
  </si>
  <si>
    <t>FEC_per_building.kWh.LT.Ser.Bld.Thermal.CA.Gas.NG_Biogas</t>
  </si>
  <si>
    <t>FEC_per_building.kWh.LT.Ser.Bld.Thermal.CA.Biomass.Biomass_Waste</t>
  </si>
  <si>
    <t>FEC_per_building.kWh.LT.Ser.Bld.Thermal.CA.Elc.Elec</t>
  </si>
  <si>
    <t>LT - Thermal energy service per building</t>
  </si>
  <si>
    <t>TES_per_building.kWh.LT.Ser.Bld.Thermal</t>
  </si>
  <si>
    <t>TES_per_building.kWh.LT.Ser.Bld.Thermal.SH</t>
  </si>
  <si>
    <t>TES_per_building.kWh.LT.Ser.Bld.Thermal.SH.Solids.Solids</t>
  </si>
  <si>
    <t>TES_per_building.kWh.LT.Ser.Bld.Thermal.SH.LPG.LPG</t>
  </si>
  <si>
    <t>TES_per_building.kWh.LT.Ser.Bld.Thermal.SH.Oil.Oil_LiqBio</t>
  </si>
  <si>
    <t>TES_per_building.kWh.LT.Ser.Bld.Thermal.SH.GasHP.NG_Biogas</t>
  </si>
  <si>
    <t>TES_per_building.kWh.LT.Ser.Bld.Thermal.SH.GasTH.NG_Biogas</t>
  </si>
  <si>
    <t>TES_per_building.kWh.LT.Ser.Bld.Thermal.SH.Biomass.Biomass_Waste</t>
  </si>
  <si>
    <t>TES_per_building.kWh.LT.Ser.Bld.Thermal.SH.Geo.Geo</t>
  </si>
  <si>
    <t>TES_per_building.kWh.LT.Ser.Bld.Thermal.SH.DistrHeat.Steam_Distr</t>
  </si>
  <si>
    <t>TES_per_building.kWh.LT.Ser.Bld.Thermal.SH.AdvElc.Elec</t>
  </si>
  <si>
    <t>TES_per_building.kWh.LT.Ser.Bld.Thermal.SH.ConvElc.Elec</t>
  </si>
  <si>
    <t>TES_per_building.kWh.LT.Ser.Bld.Thermal.SH.TotalCirculation.Elec</t>
  </si>
  <si>
    <t>TES_per_building.kWh.LT.Ser.Bld.Thermal.SC</t>
  </si>
  <si>
    <t>TES_per_building.kWh.LT.Ser.Bld.Thermal.SC.GasHP.NG_Biogas</t>
  </si>
  <si>
    <t>TES_per_building.kWh.LT.Ser.Bld.Thermal.SC.AC.Elec</t>
  </si>
  <si>
    <t>TES_per_building.kWh.LT.Ser.Bld.Thermal.HW</t>
  </si>
  <si>
    <t>TES_per_building.kWh.LT.Ser.Bld.Thermal.HW.Solids.Solids</t>
  </si>
  <si>
    <t>TES_per_building.kWh.LT.Ser.Bld.Thermal.HW.LPG.LPG</t>
  </si>
  <si>
    <t>TES_per_building.kWh.LT.Ser.Bld.Thermal.HW.Oil.Oil_LiqBio</t>
  </si>
  <si>
    <t>TES_per_building.kWh.LT.Ser.Bld.Thermal.HW.Gas.NG_Biogas</t>
  </si>
  <si>
    <t>TES_per_building.kWh.LT.Ser.Bld.Thermal.HW.Biomass.Biomass_Waste</t>
  </si>
  <si>
    <t>TES_per_building.kWh.LT.Ser.Bld.Thermal.HW.DistrHeat.Steam_Distr</t>
  </si>
  <si>
    <t>TES_per_building.kWh.LT.Ser.Bld.Thermal.HW.Elc.Elec</t>
  </si>
  <si>
    <t>TES_per_building.kWh.LT.Ser.Bld.Thermal.HW.TotalSolar.Solar</t>
  </si>
  <si>
    <t>TES_per_building.kWh.LT.Ser.Bld.Thermal.CA</t>
  </si>
  <si>
    <t>TES_per_building.kWh.LT.Ser.Bld.Thermal.CA.LPG</t>
  </si>
  <si>
    <t>TES_per_building.kWh.LT.Ser.Bld.Thermal.CA.Gas.NG_Biogas</t>
  </si>
  <si>
    <t>TES_per_building.kWh.LT.Ser.Bld.Thermal.CA.Biomass.Biomass_Waste</t>
  </si>
  <si>
    <t>TES_per_building.kWh.LT.Ser.Bld.Thermal.CA.Elc.Elec</t>
  </si>
  <si>
    <t>LT - CO2 emissions per building</t>
  </si>
  <si>
    <t>EMI_per_building.kgCO2.LT.Ser.Bld.Thermal</t>
  </si>
  <si>
    <t>EMI_per_building.kgCO2.LT.Ser.Bld.Thermal.SH</t>
  </si>
  <si>
    <t>EMI_per_building.kgCO2.LT.Ser.Bld.Thermal.SH.Solids.Solids</t>
  </si>
  <si>
    <t>EMI_per_building.kgCO2.LT.Ser.Bld.Thermal.SH.LPG.LPG</t>
  </si>
  <si>
    <t>EMI_per_building.kgCO2.LT.Ser.Bld.Thermal.SH.Oil.Oil_LiqBio</t>
  </si>
  <si>
    <t>EMI_per_building.kgCO2.LT.Ser.Bld.Thermal.SH.GasHP.NG_Biogas</t>
  </si>
  <si>
    <t>EMI_per_building.kgCO2.LT.Ser.Bld.Thermal.SH.GasTH.NG_Biogas</t>
  </si>
  <si>
    <t>EMI_per_building.kgCO2.LT.Ser.Bld.Thermal.SH.Biomass.Biomass_Waste</t>
  </si>
  <si>
    <t>EMI_per_building.kgCO2.LT.Ser.Bld.Thermal.SH.Geo.Geo</t>
  </si>
  <si>
    <t>EMI_per_building.kgCO2.LT.Ser.Bld.Thermal.SH.DistrHeat.Steam_Distr</t>
  </si>
  <si>
    <t>EMI_per_building.kgCO2.LT.Ser.Bld.Thermal.SH.AdvElc.Elec</t>
  </si>
  <si>
    <t>EMI_per_building.kgCO2.LT.Ser.Bld.Thermal.SH.ConvElc.Elec</t>
  </si>
  <si>
    <t>EMI_per_building.kgCO2.LT.Ser.Bld.Thermal.SH.TotalCirculation.Elec</t>
  </si>
  <si>
    <t>EMI_per_building.kgCO2.LT.Ser.Bld.Thermal.SC</t>
  </si>
  <si>
    <t>EMI_per_building.kgCO2.LT.Ser.Bld.Thermal.SC.GasHP.NG_Biogas</t>
  </si>
  <si>
    <t>EMI_per_building.kgCO2.LT.Ser.Bld.Thermal.SC.AC.Elec</t>
  </si>
  <si>
    <t>EMI_per_building.kgCO2.LT.Ser.Bld.Thermal.HW</t>
  </si>
  <si>
    <t>EMI_per_building.kgCO2.LT.Ser.Bld.Thermal.HW.Solids.Solids</t>
  </si>
  <si>
    <t>EMI_per_building.kgCO2.LT.Ser.Bld.Thermal.HW.LPG.LPG</t>
  </si>
  <si>
    <t>EMI_per_building.kgCO2.LT.Ser.Bld.Thermal.HW.Oil.Oil_LiqBio</t>
  </si>
  <si>
    <t>EMI_per_building.kgCO2.LT.Ser.Bld.Thermal.HW.Gas.NG_Biogas</t>
  </si>
  <si>
    <t>EMI_per_building.kgCO2.LT.Ser.Bld.Thermal.HW.Biomass.Biomass_Waste</t>
  </si>
  <si>
    <t>EMI_per_building.kgCO2.LT.Ser.Bld.Thermal.HW.DistrHeat.Steam_Distr</t>
  </si>
  <si>
    <t>EMI_per_building.kgCO2.LT.Ser.Bld.Thermal.HW.Elc.Elec</t>
  </si>
  <si>
    <t>EMI_per_building.kgCO2.LT.Ser.Bld.Thermal.HW.TotalSolar.Solar</t>
  </si>
  <si>
    <t>EMI_per_building.kgCO2.LT.Ser.Bld.Thermal.CA</t>
  </si>
  <si>
    <t>EMI_per_building.kgCO2.LT.Ser.Bld.Thermal.CA.LPG</t>
  </si>
  <si>
    <t>EMI_per_building.kgCO2.LT.Ser.Bld.Thermal.CA.Gas.NG_Biogas</t>
  </si>
  <si>
    <t>EMI_per_building.kgCO2.LT.Ser.Bld.Thermal.CA.Biomass.Biomass_Waste</t>
  </si>
  <si>
    <t>EMI_per_building.kgCO2.LT.Ser.Bld.Thermal.CA.Elc.Elec</t>
  </si>
  <si>
    <t>LT - Final energy consumption per useful surface area</t>
  </si>
  <si>
    <t>FEC_per_sqm.kWh.LT.Ser.Bld.Thermal</t>
  </si>
  <si>
    <t>FEC_per_sqm.kWh.LT.Ser.Bld.Thermal.SH</t>
  </si>
  <si>
    <t>FEC_per_sqm.kWh.LT.Ser.Bld.Thermal.SH.Solids.Solids</t>
  </si>
  <si>
    <t>FEC_per_sqm.kWh.LT.Ser.Bld.Thermal.SH.LPG.LPG</t>
  </si>
  <si>
    <t>FEC_per_sqm.kWh.LT.Ser.Bld.Thermal.SH.Oil.Oil_LiqBio</t>
  </si>
  <si>
    <t>FEC_per_sqm.kWh.LT.Ser.Bld.Thermal.SH.GasHP.NG_Biogas</t>
  </si>
  <si>
    <t>FEC_per_sqm.kWh.LT.Ser.Bld.Thermal.SH.GasTH.NG_Biogas</t>
  </si>
  <si>
    <t>FEC_per_sqm.kWh.LT.Ser.Bld.Thermal.SH.Biomass.Biomass_Waste</t>
  </si>
  <si>
    <t>FEC_per_sqm.kWh.LT.Ser.Bld.Thermal.SH.Geo.Geo</t>
  </si>
  <si>
    <t>FEC_per_sqm.kWh.LT.Ser.Bld.Thermal.SH.DistrHeat.Steam_Distr</t>
  </si>
  <si>
    <t>FEC_per_sqm.kWh.LT.Ser.Bld.Thermal.SH.AdvElc.Elec</t>
  </si>
  <si>
    <t>FEC_per_sqm.kWh.LT.Ser.Bld.Thermal.SH.ConvElc.Elec</t>
  </si>
  <si>
    <t>FEC_per_sqm.kWh.LT.Ser.Bld.Thermal.SH.TotalCirculation.Elec</t>
  </si>
  <si>
    <t>FEC_per_sqm.kWh.LT.Ser.Bld.Thermal.SC</t>
  </si>
  <si>
    <t>FEC_per_sqm.kWh.LT.Ser.Bld.Thermal.SC.GasHP.NG_Biogas</t>
  </si>
  <si>
    <t>FEC_per_sqm.kWh.LT.Ser.Bld.Thermal.SC.AC.Elec</t>
  </si>
  <si>
    <t>FEC_per_sqm.kWh.LT.Ser.Bld.Thermal.HW</t>
  </si>
  <si>
    <t>FEC_per_sqm.kWh.LT.Ser.Bld.Thermal.HW.Solids.Solids</t>
  </si>
  <si>
    <t>FEC_per_sqm.kWh.LT.Ser.Bld.Thermal.HW.LPG.LPG</t>
  </si>
  <si>
    <t>FEC_per_sqm.kWh.LT.Ser.Bld.Thermal.HW.Oil.Oil_LiqBio</t>
  </si>
  <si>
    <t>FEC_per_sqm.kWh.LT.Ser.Bld.Thermal.HW.Gas.NG_Biogas</t>
  </si>
  <si>
    <t>FEC_per_sqm.kWh.LT.Ser.Bld.Thermal.HW.Biomass.Biomass_Waste</t>
  </si>
  <si>
    <t>FEC_per_sqm.kWh.LT.Ser.Bld.Thermal.HW.DistrHeat.Steam_Distr</t>
  </si>
  <si>
    <t>FEC_per_sqm.kWh.LT.Ser.Bld.Thermal.HW.Elc.Elec</t>
  </si>
  <si>
    <t>FEC_per_sqm.kWh.LT.Ser.Bld.Thermal.HW.TotalSolar.Solar</t>
  </si>
  <si>
    <t>FEC_per_sqm.kWh.LT.Ser.Bld.Thermal.CA</t>
  </si>
  <si>
    <t>FEC_per_sqm.kWh.LT.Ser.Bld.Thermal.CA.LPG</t>
  </si>
  <si>
    <t>FEC_per_sqm.kWh.LT.Ser.Bld.Thermal.CA.Gas.NG_Biogas</t>
  </si>
  <si>
    <t>FEC_per_sqm.kWh.LT.Ser.Bld.Thermal.CA.Biomass.Biomass_Waste</t>
  </si>
  <si>
    <t>FEC_per_sqm.kWh.LT.Ser.Bld.Thermal.CA.Elc.Elec</t>
  </si>
  <si>
    <t>LT - Thermal energy service per useful surface area</t>
  </si>
  <si>
    <t>TES_per_sqm.kWh.LT.Ser.Bld.Thermal</t>
  </si>
  <si>
    <t>TES_per_sqm.kWh.LT.Ser.Bld.Thermal.SH</t>
  </si>
  <si>
    <t>TES_per_sqm.kWh.LT.Ser.Bld.Thermal.SH.Solids.Solids</t>
  </si>
  <si>
    <t>TES_per_sqm.kWh.LT.Ser.Bld.Thermal.SH.LPG.LPG</t>
  </si>
  <si>
    <t>TES_per_sqm.kWh.LT.Ser.Bld.Thermal.SH.Oil.Oil_LiqBio</t>
  </si>
  <si>
    <t>TES_per_sqm.kWh.LT.Ser.Bld.Thermal.SH.GasHP.NG_Biogas</t>
  </si>
  <si>
    <t>TES_per_sqm.kWh.LT.Ser.Bld.Thermal.SH.GasTH.NG_Biogas</t>
  </si>
  <si>
    <t>TES_per_sqm.kWh.LT.Ser.Bld.Thermal.SH.Biomass.Biomass_Waste</t>
  </si>
  <si>
    <t>TES_per_sqm.kWh.LT.Ser.Bld.Thermal.SH.Geo.Geo</t>
  </si>
  <si>
    <t>TES_per_sqm.kWh.LT.Ser.Bld.Thermal.SH.DistrHeat.Steam_Distr</t>
  </si>
  <si>
    <t>TES_per_sqm.kWh.LT.Ser.Bld.Thermal.SH.AdvElc.Elec</t>
  </si>
  <si>
    <t>TES_per_sqm.kWh.LT.Ser.Bld.Thermal.SH.ConvElc.Elec</t>
  </si>
  <si>
    <t>TES_per_sqm.kWh.LT.Ser.Bld.Thermal.SH.TotalCirculation.Elec</t>
  </si>
  <si>
    <t>TES_per_sqm.kWh.LT.Ser.Bld.Thermal.SC</t>
  </si>
  <si>
    <t>TES_per_sqm.kWh.LT.Ser.Bld.Thermal.SC.GasHP.NG_Biogas</t>
  </si>
  <si>
    <t>TES_per_sqm.kWh.LT.Ser.Bld.Thermal.SC.AC.Elec</t>
  </si>
  <si>
    <t>TES_per_sqm.kWh.LT.Ser.Bld.Thermal.HW</t>
  </si>
  <si>
    <t>TES_per_sqm.kWh.LT.Ser.Bld.Thermal.HW.Solids.Solids</t>
  </si>
  <si>
    <t>TES_per_sqm.kWh.LT.Ser.Bld.Thermal.HW.LPG.LPG</t>
  </si>
  <si>
    <t>TES_per_sqm.kWh.LT.Ser.Bld.Thermal.HW.Oil.Oil_LiqBio</t>
  </si>
  <si>
    <t>TES_per_sqm.kWh.LT.Ser.Bld.Thermal.HW.Gas.NG_Biogas</t>
  </si>
  <si>
    <t>TES_per_sqm.kWh.LT.Ser.Bld.Thermal.HW.Biomass.Biomass_Waste</t>
  </si>
  <si>
    <t>TES_per_sqm.kWh.LT.Ser.Bld.Thermal.HW.DistrHeat.Steam_Distr</t>
  </si>
  <si>
    <t>TES_per_sqm.kWh.LT.Ser.Bld.Thermal.HW.Elc.Elec</t>
  </si>
  <si>
    <t>TES_per_sqm.kWh.LT.Ser.Bld.Thermal.HW.TotalSolar.Solar</t>
  </si>
  <si>
    <t>TES_per_sqm.kWh.LT.Ser.Bld.Thermal.CA</t>
  </si>
  <si>
    <t>TES_per_sqm.kWh.LT.Ser.Bld.Thermal.CA.LPG</t>
  </si>
  <si>
    <t>TES_per_sqm.kWh.LT.Ser.Bld.Thermal.CA.Gas.NG_Biogas</t>
  </si>
  <si>
    <t>TES_per_sqm.kWh.LT.Ser.Bld.Thermal.CA.Biomass.Biomass_Waste</t>
  </si>
  <si>
    <t>TES_per_sqm.kWh.LT.Ser.Bld.Thermal.CA.Elc.Elec</t>
  </si>
  <si>
    <t>LT - CO2 emissions per useful surface area</t>
  </si>
  <si>
    <t>EMI_per_sqm.kgCO2.LT.Ser.Bld.Thermal</t>
  </si>
  <si>
    <t>EMI_per_sqm.kgCO2.LT.Ser.Bld.Thermal.SH</t>
  </si>
  <si>
    <t>EMI_per_sqm.kgCO2.LT.Ser.Bld.Thermal.SH.Solids.Solids</t>
  </si>
  <si>
    <t>EMI_per_sqm.kgCO2.LT.Ser.Bld.Thermal.SH.LPG.LPG</t>
  </si>
  <si>
    <t>EMI_per_sqm.kgCO2.LT.Ser.Bld.Thermal.SH.Oil.Oil_LiqBio</t>
  </si>
  <si>
    <t>EMI_per_sqm.kgCO2.LT.Ser.Bld.Thermal.SH.GasHP.NG_Biogas</t>
  </si>
  <si>
    <t>EMI_per_sqm.kgCO2.LT.Ser.Bld.Thermal.SH.GasTH.NG_Biogas</t>
  </si>
  <si>
    <t>EMI_per_sqm.kgCO2.LT.Ser.Bld.Thermal.SH.Biomass.Biomass_Waste</t>
  </si>
  <si>
    <t>EMI_per_sqm.kgCO2.LT.Ser.Bld.Thermal.SH.Geo.Geo</t>
  </si>
  <si>
    <t>EMI_per_sqm.kgCO2.LT.Ser.Bld.Thermal.SH.DistrHeat.Steam_Distr</t>
  </si>
  <si>
    <t>EMI_per_sqm.kgCO2.LT.Ser.Bld.Thermal.SH.AdvElc.Elec</t>
  </si>
  <si>
    <t>EMI_per_sqm.kgCO2.LT.Ser.Bld.Thermal.SH.ConvElc.Elec</t>
  </si>
  <si>
    <t>EMI_per_sqm.kgCO2.LT.Ser.Bld.Thermal.SH.TotalCirculation.Elec</t>
  </si>
  <si>
    <t>EMI_per_sqm.kgCO2.LT.Ser.Bld.Thermal.SC</t>
  </si>
  <si>
    <t>EMI_per_sqm.kgCO2.LT.Ser.Bld.Thermal.SC.GasHP.NG_Biogas</t>
  </si>
  <si>
    <t>EMI_per_sqm.kgCO2.LT.Ser.Bld.Thermal.SC.AC.Elec</t>
  </si>
  <si>
    <t>EMI_per_sqm.kgCO2.LT.Ser.Bld.Thermal.HW</t>
  </si>
  <si>
    <t>EMI_per_sqm.kgCO2.LT.Ser.Bld.Thermal.HW.Solids.Solids</t>
  </si>
  <si>
    <t>EMI_per_sqm.kgCO2.LT.Ser.Bld.Thermal.HW.LPG.LPG</t>
  </si>
  <si>
    <t>EMI_per_sqm.kgCO2.LT.Ser.Bld.Thermal.HW.Oil.Oil_LiqBio</t>
  </si>
  <si>
    <t>EMI_per_sqm.kgCO2.LT.Ser.Bld.Thermal.HW.Gas.NG_Biogas</t>
  </si>
  <si>
    <t>EMI_per_sqm.kgCO2.LT.Ser.Bld.Thermal.HW.Biomass.Biomass_Waste</t>
  </si>
  <si>
    <t>EMI_per_sqm.kgCO2.LT.Ser.Bld.Thermal.HW.DistrHeat.Steam_Distr</t>
  </si>
  <si>
    <t>EMI_per_sqm.kgCO2.LT.Ser.Bld.Thermal.HW.Elc.Elec</t>
  </si>
  <si>
    <t>EMI_per_sqm.kgCO2.LT.Ser.Bld.Thermal.HW.TotalSolar.Solar</t>
  </si>
  <si>
    <t>EMI_per_sqm.kgCO2.LT.Ser.Bld.Thermal.CA</t>
  </si>
  <si>
    <t>EMI_per_sqm.kgCO2.LT.Ser.Bld.Thermal.CA.LPG</t>
  </si>
  <si>
    <t>EMI_per_sqm.kgCO2.LT.Ser.Bld.Thermal.CA.Gas.NG_Biogas</t>
  </si>
  <si>
    <t>EMI_per_sqm.kgCO2.LT.Ser.Bld.Thermal.CA.Biomass.Biomass_Waste</t>
  </si>
  <si>
    <t>EMI_per_sqm.kgCO2.LT.Ser.Bld.Thermal.CA.Elc.Elec</t>
  </si>
  <si>
    <t>LT - Number of new and renovated buildings</t>
  </si>
  <si>
    <t>NUM.number.LT.Ser.BldNew.Thermal</t>
  </si>
  <si>
    <t>NUM.number.LT.Ser.BldNew.Thermal.SH</t>
  </si>
  <si>
    <t>NUM.number.LT.Ser.BldNew.Thermal.SH.Solids</t>
  </si>
  <si>
    <t>NUM.number.LT.Ser.BldNew.Thermal.SH.LPG</t>
  </si>
  <si>
    <t>NUM.number.LT.Ser.BldNew.Thermal.SH.Oil</t>
  </si>
  <si>
    <t>NUM.number.LT.Ser.BldNew.Thermal.SH.GasHP</t>
  </si>
  <si>
    <t>NUM.number.LT.Ser.BldNew.Thermal.SH.GasTH</t>
  </si>
  <si>
    <t>NUM.number.LT.Ser.BldNew.Thermal.SH.Biomass</t>
  </si>
  <si>
    <t>NUM.number.LT.Ser.BldNew.Thermal.SH.Geo</t>
  </si>
  <si>
    <t>NUM.number.LT.Ser.BldNew.Thermal.SH.DistrHeat</t>
  </si>
  <si>
    <t>NUM.number.LT.Ser.BldNew.Thermal.SH.AdvElc</t>
  </si>
  <si>
    <t>NUM.number.LT.Ser.BldNew.Thermal.SH.ConvElc</t>
  </si>
  <si>
    <t>NUM.number.LT.Ser.BldNew.Thermal.SC</t>
  </si>
  <si>
    <t>NUM.number.LT.Ser.BldNew.Thermal.SC.GasHP</t>
  </si>
  <si>
    <t>NUM.number.LT.Ser.BldNew.Thermal.SC.AC</t>
  </si>
  <si>
    <t>NUM.number.LT.Ser.BldNew.Thermal.HW</t>
  </si>
  <si>
    <t>NUM.number.LT.Ser.BldNew.Thermal.HW.Solids</t>
  </si>
  <si>
    <t>NUM.number.LT.Ser.BldNew.Thermal.HW.LPG</t>
  </si>
  <si>
    <t>NUM.number.LT.Ser.BldNew.Thermal.HW.Oil</t>
  </si>
  <si>
    <t>NUM.number.LT.Ser.BldNew.Thermal.HW.Gas</t>
  </si>
  <si>
    <t>NUM.number.LT.Ser.BldNew.Thermal.HW.Biomass</t>
  </si>
  <si>
    <t>NUM.number.LT.Ser.BldNew.Thermal.HW.DistrHeat</t>
  </si>
  <si>
    <t>NUM.number.LT.Ser.BldNew.Thermal.HW.Elc</t>
  </si>
  <si>
    <t>NUM.number.LT.Ser.BldNew.Thermal.HW.Solar</t>
  </si>
  <si>
    <t>NUM.number.LT.Ser.BldNew.Thermal.CA</t>
  </si>
  <si>
    <t>NUM.number.LT.Ser.BldNew.Thermal.CA.LPG</t>
  </si>
  <si>
    <t>NUM.number.LT.Ser.BldNew.Thermal.CA.Gas</t>
  </si>
  <si>
    <t>NUM.number.LT.Ser.BldNew.Thermal.CA.Biomass</t>
  </si>
  <si>
    <t>NUM.number.LT.Ser.BldNew.Thermal.CA.Elc</t>
  </si>
  <si>
    <t>LT - Final energy consumption in new and renovated buildings</t>
  </si>
  <si>
    <t>FEC.ktoe.LT.Ser.BldNew.Thermal</t>
  </si>
  <si>
    <t>FEC.ktoe.LT.Ser.BldNew.Thermal.SH</t>
  </si>
  <si>
    <t>FEC.ktoe.LT.Ser.BldNew.Thermal.SH.Solids.Solids</t>
  </si>
  <si>
    <t>FEC.ktoe.LT.Ser.BldNew.Thermal.SH.LPG.LPG</t>
  </si>
  <si>
    <t>FEC.ktoe.LT.Ser.BldNew.Thermal.SH.Oil.Oil_LiqBio</t>
  </si>
  <si>
    <t>FEC.ktoe.LT.Ser.BldNew.Thermal.SH.GasHP.NG_Biogas</t>
  </si>
  <si>
    <t>FEC.ktoe.LT.Ser.BldNew.Thermal.SH.GasTH.NG_Biogas</t>
  </si>
  <si>
    <t>FEC.ktoe.LT.Ser.BldNew.Thermal.SH.Biomass.Biomass_Waste</t>
  </si>
  <si>
    <t>FEC.ktoe.LT.Ser.BldNew.Thermal.SH.Geo.Geo</t>
  </si>
  <si>
    <t>FEC.ktoe.LT.Ser.BldNew.Thermal.SH.DistrHeat.Steam_Distr</t>
  </si>
  <si>
    <t>FEC.ktoe.LT.Ser.BldNew.Thermal.SH.AdvElc.Elec</t>
  </si>
  <si>
    <t>FEC.ktoe.LT.Ser.BldNew.Thermal.SH.ConvElc.Elec</t>
  </si>
  <si>
    <t>FEC.ktoe.LT.Ser.BldNew.Thermal.SH.TotalCirculation.Elec</t>
  </si>
  <si>
    <t>FEC.ktoe.LT.Ser.BldNew.Thermal.SC</t>
  </si>
  <si>
    <t>FEC.ktoe.LT.Ser.BldNew.Thermal.SC.GasHP.NG_Biogas</t>
  </si>
  <si>
    <t>FEC.ktoe.LT.Ser.BldNew.Thermal.SC.AC.Elec</t>
  </si>
  <si>
    <t>FEC.ktoe.LT.Ser.BldNew.Thermal.HW</t>
  </si>
  <si>
    <t>FEC.ktoe.LT.Ser.BldNew.Thermal.HW.Solids.Solids</t>
  </si>
  <si>
    <t>FEC.ktoe.LT.Ser.BldNew.Thermal.HW.LPG.LPG</t>
  </si>
  <si>
    <t>FEC.ktoe.LT.Ser.BldNew.Thermal.HW.Oil.Oil_LiqBio</t>
  </si>
  <si>
    <t>FEC.ktoe.LT.Ser.BldNew.Thermal.HW.Gas.NG_Biogas</t>
  </si>
  <si>
    <t>FEC.ktoe.LT.Ser.BldNew.Thermal.HW.Biomass.Biomass_Waste</t>
  </si>
  <si>
    <t>FEC.ktoe.LT.Ser.BldNew.Thermal.HW.DistrHeat.Steam_Distr</t>
  </si>
  <si>
    <t>FEC.ktoe.LT.Ser.BldNew.Thermal.HW.Elc.Elec</t>
  </si>
  <si>
    <t>FEC.ktoe.LT.Ser.BldNew.Thermal.HW.TotalSolar.Solar</t>
  </si>
  <si>
    <t>FEC.ktoe.LT.Ser.BldNew.Thermal.CA</t>
  </si>
  <si>
    <t>FEC.ktoe.LT.Ser.BldNew.Thermal.CA.LPG</t>
  </si>
  <si>
    <t>FEC.ktoe.LT.Ser.BldNew.Thermal.CA.Gas.NG_Biogas</t>
  </si>
  <si>
    <t>FEC.ktoe.LT.Ser.BldNew.Thermal.CA.Biomass.Biomass_Waste</t>
  </si>
  <si>
    <t>FEC.ktoe.LT.Ser.BldNew.Thermal.CA.Elc.Elec</t>
  </si>
  <si>
    <t>LT - Thermal energy service in new and renovated buildings</t>
  </si>
  <si>
    <t>TES.ktoe.LT.Ser.BldNew.Thermal</t>
  </si>
  <si>
    <t>TES.ktoe.LT.Ser.BldNew.Thermal.SH</t>
  </si>
  <si>
    <t>TES.ktoe.LT.Ser.BldNew.Thermal.SH.Solids.Solids</t>
  </si>
  <si>
    <t>TES.ktoe.LT.Ser.BldNew.Thermal.SH.LPG.LPG</t>
  </si>
  <si>
    <t>TES.ktoe.LT.Ser.BldNew.Thermal.SH.Oil.Oil_LiqBio</t>
  </si>
  <si>
    <t>TES.ktoe.LT.Ser.BldNew.Thermal.SH.GasHP.NG_Biogas</t>
  </si>
  <si>
    <t>TES.ktoe.LT.Ser.BldNew.Thermal.SH.GasTH.NG_Biogas</t>
  </si>
  <si>
    <t>TES.ktoe.LT.Ser.BldNew.Thermal.SH.Biomass.Biomass_Waste</t>
  </si>
  <si>
    <t>TES.ktoe.LT.Ser.BldNew.Thermal.SH.Geo.Geo</t>
  </si>
  <si>
    <t>TES.ktoe.LT.Ser.BldNew.Thermal.SH.DistrHeat.Steam_Distr</t>
  </si>
  <si>
    <t>TES.ktoe.LT.Ser.BldNew.Thermal.SH.AdvElc.Elec</t>
  </si>
  <si>
    <t>TES.ktoe.LT.Ser.BldNew.Thermal.SH.ConvElc.Elec</t>
  </si>
  <si>
    <t>TES.ktoe.LT.Ser.BldNew.Thermal.SH.TotalCirculation.Elec</t>
  </si>
  <si>
    <t>TES.ktoe.LT.Ser.BldNew.Thermal.SC</t>
  </si>
  <si>
    <t>TES.ktoe.LT.Ser.BldNew.Thermal.SC.GasHP.NG_Biogas</t>
  </si>
  <si>
    <t>TES.ktoe.LT.Ser.BldNew.Thermal.SC.AC.Elec</t>
  </si>
  <si>
    <t>TES.ktoe.LT.Ser.BldNew.Thermal.HW</t>
  </si>
  <si>
    <t>TES.ktoe.LT.Ser.BldNew.Thermal.HW.Solids.Solids</t>
  </si>
  <si>
    <t>TES.ktoe.LT.Ser.BldNew.Thermal.HW.LPG.LPG</t>
  </si>
  <si>
    <t>TES.ktoe.LT.Ser.BldNew.Thermal.HW.Oil.Oil_LiqBio</t>
  </si>
  <si>
    <t>TES.ktoe.LT.Ser.BldNew.Thermal.HW.Gas.NG_Biogas</t>
  </si>
  <si>
    <t>TES.ktoe.LT.Ser.BldNew.Thermal.HW.Biomass.Biomass_Waste</t>
  </si>
  <si>
    <t>TES.ktoe.LT.Ser.BldNew.Thermal.HW.DistrHeat.Steam_Distr</t>
  </si>
  <si>
    <t>TES.ktoe.LT.Ser.BldNew.Thermal.HW.Elc.Elec</t>
  </si>
  <si>
    <t>TES.ktoe.LT.Ser.BldNew.Thermal.HW.TotalSolar.Solar</t>
  </si>
  <si>
    <t>TES.ktoe.LT.Ser.BldNew.Thermal.CA</t>
  </si>
  <si>
    <t>TES.ktoe.LT.Ser.BldNew.Thermal.CA.LPG</t>
  </si>
  <si>
    <t>TES.ktoe.LT.Ser.BldNew.Thermal.CA.Gas.NG_Biogas</t>
  </si>
  <si>
    <t>TES.ktoe.LT.Ser.BldNew.Thermal.CA.Biomass.Biomass_Waste</t>
  </si>
  <si>
    <t>TES.ktoe.LT.Ser.BldNew.Thermal.CA.Elc.Elec</t>
  </si>
  <si>
    <t>LT - System efficiency indicator of new and renovated buildings</t>
  </si>
  <si>
    <t>Eff.ratio.LT.Ser.BldNew.Thermal</t>
  </si>
  <si>
    <t>Eff.ratio.LT.Ser.BldNew.Thermal.SH</t>
  </si>
  <si>
    <t>Eff.ratio.LT.Ser.BldNew.Thermal.SH.Solids.Solids</t>
  </si>
  <si>
    <t>Eff.ratio.LT.Ser.BldNew.Thermal.SH.LPG.LPG</t>
  </si>
  <si>
    <t>Eff.ratio.LT.Ser.BldNew.Thermal.SH.Oil.Oil_LiqBio</t>
  </si>
  <si>
    <t>Eff.ratio.LT.Ser.BldNew.Thermal.SH.GasHP.NG_Biogas</t>
  </si>
  <si>
    <t>Eff.ratio.LT.Ser.BldNew.Thermal.SH.GasTH.NG_Biogas</t>
  </si>
  <si>
    <t>Eff.ratio.LT.Ser.BldNew.Thermal.SH.Biomass.Biomass_Waste</t>
  </si>
  <si>
    <t>Eff.ratio.LT.Ser.BldNew.Thermal.SH.Geo.Geo</t>
  </si>
  <si>
    <t>Eff.ratio.LT.Ser.BldNew.Thermal.SH.DistrHeat.Steam_Distr</t>
  </si>
  <si>
    <t>Eff.ratio.LT.Ser.BldNew.Thermal.SH.AdvElc.Elec</t>
  </si>
  <si>
    <t>Eff.ratio.LT.Ser.BldNew.Thermal.SH.ConvElc.Elec</t>
  </si>
  <si>
    <t>Eff.ratio.LT.Ser.BldNew.Thermal.SH.TotalCirculation.Elec</t>
  </si>
  <si>
    <t>Eff.ratio.LT.Ser.BldNew.Thermal.SC</t>
  </si>
  <si>
    <t>Eff.ratio.LT.Ser.BldNew.Thermal.SC.GasHP.NG_Biogas</t>
  </si>
  <si>
    <t>Eff.ratio.LT.Ser.BldNew.Thermal.SC.AC.Elec</t>
  </si>
  <si>
    <t>Eff.ratio.LT.Ser.BldNew.Thermal.HW</t>
  </si>
  <si>
    <t>Eff.ratio.LT.Ser.BldNew.Thermal.HW.Solids.Solids</t>
  </si>
  <si>
    <t>Eff.ratio.LT.Ser.BldNew.Thermal.HW.LPG.LPG</t>
  </si>
  <si>
    <t>Eff.ratio.LT.Ser.BldNew.Thermal.HW.Oil.Oil_LiqBio</t>
  </si>
  <si>
    <t>Eff.ratio.LT.Ser.BldNew.Thermal.HW.Gas.NG_Biogas</t>
  </si>
  <si>
    <t>Eff.ratio.LT.Ser.BldNew.Thermal.HW.Biomass.Biomass_Waste</t>
  </si>
  <si>
    <t>Eff.ratio.LT.Ser.BldNew.Thermal.HW.DistrHeat.Steam_Distr</t>
  </si>
  <si>
    <t>Eff.ratio.LT.Ser.BldNew.Thermal.HW.Elc.Elec</t>
  </si>
  <si>
    <t>Eff.ratio.LT.Ser.BldNew.Thermal.HW.TotalSolar.Solar</t>
  </si>
  <si>
    <t>Eff.ratio.LT.Ser.BldNew.Thermal.CA</t>
  </si>
  <si>
    <t>Eff.ratio.LT.Ser.BldNew.Thermal.CA.LPG</t>
  </si>
  <si>
    <t>Eff.ratio.LT.Ser.BldNew.Thermal.CA.Gas.NG_Biogas</t>
  </si>
  <si>
    <t>Eff.ratio.LT.Ser.BldNew.Thermal.CA.Biomass.Biomass_Waste</t>
  </si>
  <si>
    <t>Eff.ratio.LT.Ser.BldNew.Thermal.CA.Elc.Elec</t>
  </si>
  <si>
    <t>LT - CO2 emissions in new and renovated buildings</t>
  </si>
  <si>
    <t>EMI.ktCO2.LT.Ser.BldNew.Thermal</t>
  </si>
  <si>
    <t>EMI.ktCO2.LT.Ser.BldNew.Thermal.SH</t>
  </si>
  <si>
    <t>EMI.ktCO2.LT.Ser.BldNew.Thermal.SH.Solids.Solids</t>
  </si>
  <si>
    <t>EMI.ktCO2.LT.Ser.BldNew.Thermal.SH.LPG.LPG</t>
  </si>
  <si>
    <t>EMI.ktCO2.LT.Ser.BldNew.Thermal.SH.Oil.Oil_LiqBio</t>
  </si>
  <si>
    <t>EMI.ktCO2.LT.Ser.BldNew.Thermal.SH.GasHP.NG_Biogas</t>
  </si>
  <si>
    <t>EMI.ktCO2.LT.Ser.BldNew.Thermal.SH.GasTH.NG_Biogas</t>
  </si>
  <si>
    <t>EMI.ktCO2.LT.Ser.BldNew.Thermal.SH.Biomass.Biomass_Waste</t>
  </si>
  <si>
    <t>EMI.ktCO2.LT.Ser.BldNew.Thermal.SH.Geo.Geo</t>
  </si>
  <si>
    <t>EMI.ktCO2.LT.Ser.BldNew.Thermal.SH.DistrHeat.Steam_Distr</t>
  </si>
  <si>
    <t>EMI.ktCO2.LT.Ser.BldNew.Thermal.SH.AdvElc.Elec</t>
  </si>
  <si>
    <t>EMI.ktCO2.LT.Ser.BldNew.Thermal.SH.ConvElc.Elec</t>
  </si>
  <si>
    <t>EMI.ktCO2.LT.Ser.BldNew.Thermal.SH.TotalCirculation.Elec</t>
  </si>
  <si>
    <t>EMI.ktCO2.LT.Ser.BldNew.Thermal.SC</t>
  </si>
  <si>
    <t>EMI.ktCO2.LT.Ser.BldNew.Thermal.SC.GasHP.NG_Biogas</t>
  </si>
  <si>
    <t>EMI.ktCO2.LT.Ser.BldNew.Thermal.SC.AC.Elec</t>
  </si>
  <si>
    <t>EMI.ktCO2.LT.Ser.BldNew.Thermal.HW</t>
  </si>
  <si>
    <t>EMI.ktCO2.LT.Ser.BldNew.Thermal.HW.Solids.Solids</t>
  </si>
  <si>
    <t>EMI.ktCO2.LT.Ser.BldNew.Thermal.HW.LPG.LPG</t>
  </si>
  <si>
    <t>EMI.ktCO2.LT.Ser.BldNew.Thermal.HW.Oil.Oil_LiqBio</t>
  </si>
  <si>
    <t>EMI.ktCO2.LT.Ser.BldNew.Thermal.HW.Gas.NG_Biogas</t>
  </si>
  <si>
    <t>EMI.ktCO2.LT.Ser.BldNew.Thermal.HW.Biomass.Biomass_Waste</t>
  </si>
  <si>
    <t>EMI.ktCO2.LT.Ser.BldNew.Thermal.HW.DistrHeat.Steam_Distr</t>
  </si>
  <si>
    <t>EMI.ktCO2.LT.Ser.BldNew.Thermal.HW.Elc.Elec</t>
  </si>
  <si>
    <t>EMI.ktCO2.LT.Ser.BldNew.Thermal.HW.TotalSolar.Solar</t>
  </si>
  <si>
    <t>EMI.ktCO2.LT.Ser.BldNew.Thermal.CA</t>
  </si>
  <si>
    <t>EMI.ktCO2.LT.Ser.BldNew.Thermal.CA.LPG</t>
  </si>
  <si>
    <t>EMI.ktCO2.LT.Ser.BldNew.Thermal.CA.Gas.NG_Biogas</t>
  </si>
  <si>
    <t>EMI.ktCO2.LT.Ser.BldNew.Thermal.CA.Biomass.Biomass_Waste</t>
  </si>
  <si>
    <t>EMI.ktCO2.LT.Ser.BldNew.Thermal.CA.Elc.Elec</t>
  </si>
  <si>
    <t>LT - Final energy consumption of new and renovated buildings (per building)</t>
  </si>
  <si>
    <t>FEC_per_building.kWh.LT.Ser.BldNew.Thermal</t>
  </si>
  <si>
    <t>FEC_per_building.kWh.LT.Ser.BldNew.Thermal.SH</t>
  </si>
  <si>
    <t>FEC_per_building.kWh.LT.Ser.BldNew.Thermal.SH.Solids.Solids</t>
  </si>
  <si>
    <t>FEC_per_building.kWh.LT.Ser.BldNew.Thermal.SH.LPG.LPG</t>
  </si>
  <si>
    <t>FEC_per_building.kWh.LT.Ser.BldNew.Thermal.SH.Oil.Oil_LiqBio</t>
  </si>
  <si>
    <t>FEC_per_building.kWh.LT.Ser.BldNew.Thermal.SH.GasHP.NG_Biogas</t>
  </si>
  <si>
    <t>FEC_per_building.kWh.LT.Ser.BldNew.Thermal.SH.GasTH.NG_Biogas</t>
  </si>
  <si>
    <t>FEC_per_building.kWh.LT.Ser.BldNew.Thermal.SH.Biomass.Biomass_Waste</t>
  </si>
  <si>
    <t>FEC_per_building.kWh.LT.Ser.BldNew.Thermal.SH.Geo.Geo</t>
  </si>
  <si>
    <t>FEC_per_building.kWh.LT.Ser.BldNew.Thermal.SH.DistrHeat.Steam_Distr</t>
  </si>
  <si>
    <t>FEC_per_building.kWh.LT.Ser.BldNew.Thermal.SH.AdvElc.Elec</t>
  </si>
  <si>
    <t>FEC_per_building.kWh.LT.Ser.BldNew.Thermal.SH.ConvElc.Elec</t>
  </si>
  <si>
    <t>FEC_per_building.kWh.LT.Ser.BldNew.Thermal.SH.TotalCirculation.Elec</t>
  </si>
  <si>
    <t>FEC_per_building.kWh.LT.Ser.BldNew.Thermal.SC</t>
  </si>
  <si>
    <t>FEC_per_building.kWh.LT.Ser.BldNew.Thermal.SC.GasHP.NG_Biogas</t>
  </si>
  <si>
    <t>FEC_per_building.kWh.LT.Ser.BldNew.Thermal.SC.AC.Elec</t>
  </si>
  <si>
    <t>FEC_per_building.kWh.LT.Ser.BldNew.Thermal.HW</t>
  </si>
  <si>
    <t>FEC_per_building.kWh.LT.Ser.BldNew.Thermal.HW.Solids.Solids</t>
  </si>
  <si>
    <t>FEC_per_building.kWh.LT.Ser.BldNew.Thermal.HW.LPG.LPG</t>
  </si>
  <si>
    <t>FEC_per_building.kWh.LT.Ser.BldNew.Thermal.HW.Oil.Oil_LiqBio</t>
  </si>
  <si>
    <t>FEC_per_building.kWh.LT.Ser.BldNew.Thermal.HW.Gas.NG_Biogas</t>
  </si>
  <si>
    <t>FEC_per_building.kWh.LT.Ser.BldNew.Thermal.HW.Biomass.Biomass_Waste</t>
  </si>
  <si>
    <t>FEC_per_building.kWh.LT.Ser.BldNew.Thermal.HW.DistrHeat.Steam_Distr</t>
  </si>
  <si>
    <t>FEC_per_building.kWh.LT.Ser.BldNew.Thermal.HW.Elc.Elec</t>
  </si>
  <si>
    <t>FEC_per_building.kWh.LT.Ser.BldNew.Thermal.HW.TotalSolar.Solar</t>
  </si>
  <si>
    <t>FEC_per_building.kWh.LT.Ser.BldNew.Thermal.CA</t>
  </si>
  <si>
    <t>FEC_per_building.kWh.LT.Ser.BldNew.Thermal.CA.LPG</t>
  </si>
  <si>
    <t>FEC_per_building.kWh.LT.Ser.BldNew.Thermal.CA.Gas.NG_Biogas</t>
  </si>
  <si>
    <t>FEC_per_building.kWh.LT.Ser.BldNew.Thermal.CA.Biomass.Biomass_Waste</t>
  </si>
  <si>
    <t>FEC_per_building.kWh.LT.Ser.BldNew.Thermal.CA.Elc.Elec</t>
  </si>
  <si>
    <t>LT - Thermal energy service of new and renovated buildings (per building)</t>
  </si>
  <si>
    <t>TES_per_building.kWh.LT.Ser.BldNew.Thermal</t>
  </si>
  <si>
    <t>TES_per_building.kWh.LT.Ser.BldNew.Thermal.SH</t>
  </si>
  <si>
    <t>TES_per_building.kWh.LT.Ser.BldNew.Thermal.SH.Solids.Solids</t>
  </si>
  <si>
    <t>TES_per_building.kWh.LT.Ser.BldNew.Thermal.SH.LPG.LPG</t>
  </si>
  <si>
    <t>TES_per_building.kWh.LT.Ser.BldNew.Thermal.SH.Oil.Oil_LiqBio</t>
  </si>
  <si>
    <t>TES_per_building.kWh.LT.Ser.BldNew.Thermal.SH.GasHP.NG_Biogas</t>
  </si>
  <si>
    <t>TES_per_building.kWh.LT.Ser.BldNew.Thermal.SH.GasTH.NG_Biogas</t>
  </si>
  <si>
    <t>TES_per_building.kWh.LT.Ser.BldNew.Thermal.SH.Biomass.Biomass_Waste</t>
  </si>
  <si>
    <t>TES_per_building.kWh.LT.Ser.BldNew.Thermal.SH.Geo.Geo</t>
  </si>
  <si>
    <t>TES_per_building.kWh.LT.Ser.BldNew.Thermal.SH.DistrHeat.Steam_Distr</t>
  </si>
  <si>
    <t>TES_per_building.kWh.LT.Ser.BldNew.Thermal.SH.AdvElc.Elec</t>
  </si>
  <si>
    <t>TES_per_building.kWh.LT.Ser.BldNew.Thermal.SH.ConvElc.Elec</t>
  </si>
  <si>
    <t>TES_per_building.kWh.LT.Ser.BldNew.Thermal.SH.TotalCirculation.Elec</t>
  </si>
  <si>
    <t>TES_per_building.kWh.LT.Ser.BldNew.Thermal.SC</t>
  </si>
  <si>
    <t>TES_per_building.kWh.LT.Ser.BldNew.Thermal.SC.GasHP.NG_Biogas</t>
  </si>
  <si>
    <t>TES_per_building.kWh.LT.Ser.BldNew.Thermal.SC.AC.Elec</t>
  </si>
  <si>
    <t>TES_per_building.kWh.LT.Ser.BldNew.Thermal.HW</t>
  </si>
  <si>
    <t>TES_per_building.kWh.LT.Ser.BldNew.Thermal.HW.Solids.Solids</t>
  </si>
  <si>
    <t>TES_per_building.kWh.LT.Ser.BldNew.Thermal.HW.LPG.LPG</t>
  </si>
  <si>
    <t>TES_per_building.kWh.LT.Ser.BldNew.Thermal.HW.Oil.Oil_LiqBio</t>
  </si>
  <si>
    <t>TES_per_building.kWh.LT.Ser.BldNew.Thermal.HW.Gas.NG_Biogas</t>
  </si>
  <si>
    <t>TES_per_building.kWh.LT.Ser.BldNew.Thermal.HW.Biomass.Biomass_Waste</t>
  </si>
  <si>
    <t>TES_per_building.kWh.LT.Ser.BldNew.Thermal.HW.DistrHeat.Steam_Distr</t>
  </si>
  <si>
    <t>TES_per_building.kWh.LT.Ser.BldNew.Thermal.HW.Elc.Elec</t>
  </si>
  <si>
    <t>TES_per_building.kWh.LT.Ser.BldNew.Thermal.HW.TotalSolar.Solar</t>
  </si>
  <si>
    <t>TES_per_building.kWh.LT.Ser.BldNew.Thermal.CA</t>
  </si>
  <si>
    <t>TES_per_building.kWh.LT.Ser.BldNew.Thermal.CA.LPG</t>
  </si>
  <si>
    <t>TES_per_building.kWh.LT.Ser.BldNew.Thermal.CA.Gas.NG_Biogas</t>
  </si>
  <si>
    <t>TES_per_building.kWh.LT.Ser.BldNew.Thermal.CA.Biomass.Biomass_Waste</t>
  </si>
  <si>
    <t>TES_per_building.kWh.LT.Ser.BldNew.Thermal.CA.Elc.Elec</t>
  </si>
  <si>
    <t>LT - CO2 emissions in new and renovated buildings (per building)</t>
  </si>
  <si>
    <t>EMI_per_building.kgCO2.LT.Ser.BldNew.Thermal</t>
  </si>
  <si>
    <t>EMI_per_building.kgCO2.LT.Ser.BldNew.Thermal.SH</t>
  </si>
  <si>
    <t>EMI_per_building.kgCO2.LT.Ser.BldNew.Thermal.SH.Solids.Solids</t>
  </si>
  <si>
    <t>EMI_per_building.kgCO2.LT.Ser.BldNew.Thermal.SH.LPG.LPG</t>
  </si>
  <si>
    <t>EMI_per_building.kgCO2.LT.Ser.BldNew.Thermal.SH.Oil.Oil_LiqBio</t>
  </si>
  <si>
    <t>EMI_per_building.kgCO2.LT.Ser.BldNew.Thermal.SH.GasHP.NG_Biogas</t>
  </si>
  <si>
    <t>EMI_per_building.kgCO2.LT.Ser.BldNew.Thermal.SH.GasTH.NG_Biogas</t>
  </si>
  <si>
    <t>EMI_per_building.kgCO2.LT.Ser.BldNew.Thermal.SH.Biomass.Biomass_Waste</t>
  </si>
  <si>
    <t>EMI_per_building.kgCO2.LT.Ser.BldNew.Thermal.SH.Geo.Geo</t>
  </si>
  <si>
    <t>EMI_per_building.kgCO2.LT.Ser.BldNew.Thermal.SH.DistrHeat.Steam_Distr</t>
  </si>
  <si>
    <t>EMI_per_building.kgCO2.LT.Ser.BldNew.Thermal.SH.AdvElc.Elec</t>
  </si>
  <si>
    <t>EMI_per_building.kgCO2.LT.Ser.BldNew.Thermal.SH.ConvElc.Elec</t>
  </si>
  <si>
    <t>EMI_per_building.kgCO2.LT.Ser.BldNew.Thermal.SH.TotalCirculation.Elec</t>
  </si>
  <si>
    <t>EMI_per_building.kgCO2.LT.Ser.BldNew.Thermal.SC</t>
  </si>
  <si>
    <t>EMI_per_building.kgCO2.LT.Ser.BldNew.Thermal.SC.GasHP.NG_Biogas</t>
  </si>
  <si>
    <t>EMI_per_building.kgCO2.LT.Ser.BldNew.Thermal.SC.AC.Elec</t>
  </si>
  <si>
    <t>EMI_per_building.kgCO2.LT.Ser.BldNew.Thermal.HW</t>
  </si>
  <si>
    <t>EMI_per_building.kgCO2.LT.Ser.BldNew.Thermal.HW.Solids.Solids</t>
  </si>
  <si>
    <t>EMI_per_building.kgCO2.LT.Ser.BldNew.Thermal.HW.LPG.LPG</t>
  </si>
  <si>
    <t>EMI_per_building.kgCO2.LT.Ser.BldNew.Thermal.HW.Oil.Oil_LiqBio</t>
  </si>
  <si>
    <t>EMI_per_building.kgCO2.LT.Ser.BldNew.Thermal.HW.Gas.NG_Biogas</t>
  </si>
  <si>
    <t>EMI_per_building.kgCO2.LT.Ser.BldNew.Thermal.HW.Biomass.Biomass_Waste</t>
  </si>
  <si>
    <t>EMI_per_building.kgCO2.LT.Ser.BldNew.Thermal.HW.DistrHeat.Steam_Distr</t>
  </si>
  <si>
    <t>EMI_per_building.kgCO2.LT.Ser.BldNew.Thermal.HW.Elc.Elec</t>
  </si>
  <si>
    <t>EMI_per_building.kgCO2.LT.Ser.BldNew.Thermal.HW.TotalSolar.Solar</t>
  </si>
  <si>
    <t>EMI_per_building.kgCO2.LT.Ser.BldNew.Thermal.CA</t>
  </si>
  <si>
    <t>EMI_per_building.kgCO2.LT.Ser.BldNew.Thermal.CA.LPG</t>
  </si>
  <si>
    <t>EMI_per_building.kgCO2.LT.Ser.BldNew.Thermal.CA.Gas.NG_Biogas</t>
  </si>
  <si>
    <t>EMI_per_building.kgCO2.LT.Ser.BldNew.Thermal.CA.Biomass.Biomass_Waste</t>
  </si>
  <si>
    <t>EMI_per_building.kgCO2.LT.Ser.BldNew.Thermal.CA.Elc.Elec</t>
  </si>
  <si>
    <t>LT - Final energy consumption in new and renovated buildings per surface area</t>
  </si>
  <si>
    <t>FEC_per_sqm.kWh.LT.Ser.BldNew.Thermal</t>
  </si>
  <si>
    <t>FEC_per_sqm.kWh.LT.Ser.BldNew.Thermal.SH</t>
  </si>
  <si>
    <t>FEC_per_sqm.kWh.LT.Ser.BldNew.Thermal.SH.Solids.Solids</t>
  </si>
  <si>
    <t>FEC_per_sqm.kWh.LT.Ser.BldNew.Thermal.SH.LPG.LPG</t>
  </si>
  <si>
    <t>FEC_per_sqm.kWh.LT.Ser.BldNew.Thermal.SH.Oil.Oil_LiqBio</t>
  </si>
  <si>
    <t>FEC_per_sqm.kWh.LT.Ser.BldNew.Thermal.SH.GasHP.NG_Biogas</t>
  </si>
  <si>
    <t>FEC_per_sqm.kWh.LT.Ser.BldNew.Thermal.SH.GasTH.NG_Biogas</t>
  </si>
  <si>
    <t>FEC_per_sqm.kWh.LT.Ser.BldNew.Thermal.SH.Biomass.Biomass_Waste</t>
  </si>
  <si>
    <t>FEC_per_sqm.kWh.LT.Ser.BldNew.Thermal.SH.Geo.Geo</t>
  </si>
  <si>
    <t>FEC_per_sqm.kWh.LT.Ser.BldNew.Thermal.SH.DistrHeat.Steam_Distr</t>
  </si>
  <si>
    <t>FEC_per_sqm.kWh.LT.Ser.BldNew.Thermal.SH.AdvElc.Elec</t>
  </si>
  <si>
    <t>FEC_per_sqm.kWh.LT.Ser.BldNew.Thermal.SH.ConvElc.Elec</t>
  </si>
  <si>
    <t>FEC_per_sqm.kWh.LT.Ser.BldNew.Thermal.SH.TotalCirculation.Elec</t>
  </si>
  <si>
    <t>FEC_per_sqm.kWh.LT.Ser.BldNew.Thermal.SC</t>
  </si>
  <si>
    <t>FEC_per_sqm.kWh.LT.Ser.BldNew.Thermal.SC.GasHP.NG_Biogas</t>
  </si>
  <si>
    <t>FEC_per_sqm.kWh.LT.Ser.BldNew.Thermal.SC.AC.Elec</t>
  </si>
  <si>
    <t>FEC_per_sqm.kWh.LT.Ser.BldNew.Thermal.HW</t>
  </si>
  <si>
    <t>FEC_per_sqm.kWh.LT.Ser.BldNew.Thermal.HW.Solids.Solids</t>
  </si>
  <si>
    <t>FEC_per_sqm.kWh.LT.Ser.BldNew.Thermal.HW.LPG.LPG</t>
  </si>
  <si>
    <t>FEC_per_sqm.kWh.LT.Ser.BldNew.Thermal.HW.Oil.Oil_LiqBio</t>
  </si>
  <si>
    <t>FEC_per_sqm.kWh.LT.Ser.BldNew.Thermal.HW.Gas.NG_Biogas</t>
  </si>
  <si>
    <t>FEC_per_sqm.kWh.LT.Ser.BldNew.Thermal.HW.Biomass.Biomass_Waste</t>
  </si>
  <si>
    <t>FEC_per_sqm.kWh.LT.Ser.BldNew.Thermal.HW.DistrHeat.Steam_Distr</t>
  </si>
  <si>
    <t>FEC_per_sqm.kWh.LT.Ser.BldNew.Thermal.HW.Elc.Elec</t>
  </si>
  <si>
    <t>FEC_per_sqm.kWh.LT.Ser.BldNew.Thermal.HW.TotalSolar.Solar</t>
  </si>
  <si>
    <t>FEC_per_sqm.kWh.LT.Ser.BldNew.Thermal.CA</t>
  </si>
  <si>
    <t>FEC_per_sqm.kWh.LT.Ser.BldNew.Thermal.CA.LPG</t>
  </si>
  <si>
    <t>FEC_per_sqm.kWh.LT.Ser.BldNew.Thermal.CA.Gas.NG_Biogas</t>
  </si>
  <si>
    <t>FEC_per_sqm.kWh.LT.Ser.BldNew.Thermal.CA.Biomass.Biomass_Waste</t>
  </si>
  <si>
    <t>FEC_per_sqm.kWh.LT.Ser.BldNew.Thermal.CA.Elc.Elec</t>
  </si>
  <si>
    <t>LT - Thermal energy service in new and renovated buildings per surface area</t>
  </si>
  <si>
    <t>TES_per_sqm.kWh.LT.Ser.BldNew.Thermal</t>
  </si>
  <si>
    <t>TES_per_sqm.kWh.LT.Ser.BldNew.Thermal.SH</t>
  </si>
  <si>
    <t>TES_per_sqm.kWh.LT.Ser.BldNew.Thermal.SH.Solids.Solids</t>
  </si>
  <si>
    <t>TES_per_sqm.kWh.LT.Ser.BldNew.Thermal.SH.LPG.LPG</t>
  </si>
  <si>
    <t>TES_per_sqm.kWh.LT.Ser.BldNew.Thermal.SH.Oil.Oil_LiqBio</t>
  </si>
  <si>
    <t>TES_per_sqm.kWh.LT.Ser.BldNew.Thermal.SH.GasHP.NG_Biogas</t>
  </si>
  <si>
    <t>TES_per_sqm.kWh.LT.Ser.BldNew.Thermal.SH.GasTH.NG_Biogas</t>
  </si>
  <si>
    <t>TES_per_sqm.kWh.LT.Ser.BldNew.Thermal.SH.Biomass.Biomass_Waste</t>
  </si>
  <si>
    <t>TES_per_sqm.kWh.LT.Ser.BldNew.Thermal.SH.Geo.Geo</t>
  </si>
  <si>
    <t>TES_per_sqm.kWh.LT.Ser.BldNew.Thermal.SH.DistrHeat.Steam_Distr</t>
  </si>
  <si>
    <t>TES_per_sqm.kWh.LT.Ser.BldNew.Thermal.SH.AdvElc.Elec</t>
  </si>
  <si>
    <t>TES_per_sqm.kWh.LT.Ser.BldNew.Thermal.SH.ConvElc.Elec</t>
  </si>
  <si>
    <t>TES_per_sqm.kWh.LT.Ser.BldNew.Thermal.SH.TotalCirculation.Elec</t>
  </si>
  <si>
    <t>TES_per_sqm.kWh.LT.Ser.BldNew.Thermal.SC</t>
  </si>
  <si>
    <t>TES_per_sqm.kWh.LT.Ser.BldNew.Thermal.SC.GasHP.NG_Biogas</t>
  </si>
  <si>
    <t>TES_per_sqm.kWh.LT.Ser.BldNew.Thermal.SC.AC.Elec</t>
  </si>
  <si>
    <t>TES_per_sqm.kWh.LT.Ser.BldNew.Thermal.HW</t>
  </si>
  <si>
    <t>TES_per_sqm.kWh.LT.Ser.BldNew.Thermal.HW.Solids.Solids</t>
  </si>
  <si>
    <t>TES_per_sqm.kWh.LT.Ser.BldNew.Thermal.HW.LPG.LPG</t>
  </si>
  <si>
    <t>TES_per_sqm.kWh.LT.Ser.BldNew.Thermal.HW.Oil.Oil_LiqBio</t>
  </si>
  <si>
    <t>TES_per_sqm.kWh.LT.Ser.BldNew.Thermal.HW.Gas.NG_Biogas</t>
  </si>
  <si>
    <t>TES_per_sqm.kWh.LT.Ser.BldNew.Thermal.HW.Biomass.Biomass_Waste</t>
  </si>
  <si>
    <t>TES_per_sqm.kWh.LT.Ser.BldNew.Thermal.HW.DistrHeat.Steam_Distr</t>
  </si>
  <si>
    <t>TES_per_sqm.kWh.LT.Ser.BldNew.Thermal.HW.Elc.Elec</t>
  </si>
  <si>
    <t>TES_per_sqm.kWh.LT.Ser.BldNew.Thermal.HW.TotalSolar.Solar</t>
  </si>
  <si>
    <t>TES_per_sqm.kWh.LT.Ser.BldNew.Thermal.CA</t>
  </si>
  <si>
    <t>TES_per_sqm.kWh.LT.Ser.BldNew.Thermal.CA.LPG</t>
  </si>
  <si>
    <t>TES_per_sqm.kWh.LT.Ser.BldNew.Thermal.CA.Gas.NG_Biogas</t>
  </si>
  <si>
    <t>TES_per_sqm.kWh.LT.Ser.BldNew.Thermal.CA.Biomass.Biomass_Waste</t>
  </si>
  <si>
    <t>TES_per_sqm.kWh.LT.Ser.BldNew.Thermal.CA.Elc.Elec</t>
  </si>
  <si>
    <t>LT - CO2 emissions in new and renovated buildings per surface area</t>
  </si>
  <si>
    <t>EMI_per_sqm.kgCO2.LT.Ser.BldNew.Thermal</t>
  </si>
  <si>
    <t>EMI_per_sqm.kgCO2.LT.Ser.BldNew.Thermal.SH</t>
  </si>
  <si>
    <t>EMI_per_sqm.kgCO2.LT.Ser.BldNew.Thermal.SH.Solids.Solids</t>
  </si>
  <si>
    <t>EMI_per_sqm.kgCO2.LT.Ser.BldNew.Thermal.SH.LPG.LPG</t>
  </si>
  <si>
    <t>EMI_per_sqm.kgCO2.LT.Ser.BldNew.Thermal.SH.Oil.Oil_LiqBio</t>
  </si>
  <si>
    <t>EMI_per_sqm.kgCO2.LT.Ser.BldNew.Thermal.SH.GasHP.NG_Biogas</t>
  </si>
  <si>
    <t>EMI_per_sqm.kgCO2.LT.Ser.BldNew.Thermal.SH.GasTH.NG_Biogas</t>
  </si>
  <si>
    <t>EMI_per_sqm.kgCO2.LT.Ser.BldNew.Thermal.SH.Biomass.Biomass_Waste</t>
  </si>
  <si>
    <t>EMI_per_sqm.kgCO2.LT.Ser.BldNew.Thermal.SH.Geo.Geo</t>
  </si>
  <si>
    <t>EMI_per_sqm.kgCO2.LT.Ser.BldNew.Thermal.SH.DistrHeat.Steam_Distr</t>
  </si>
  <si>
    <t>EMI_per_sqm.kgCO2.LT.Ser.BldNew.Thermal.SH.AdvElc.Elec</t>
  </si>
  <si>
    <t>EMI_per_sqm.kgCO2.LT.Ser.BldNew.Thermal.SH.ConvElc.Elec</t>
  </si>
  <si>
    <t>EMI_per_sqm.kgCO2.LT.Ser.BldNew.Thermal.SH.TotalCirculation.Elec</t>
  </si>
  <si>
    <t>EMI_per_sqm.kgCO2.LT.Ser.BldNew.Thermal.SC</t>
  </si>
  <si>
    <t>EMI_per_sqm.kgCO2.LT.Ser.BldNew.Thermal.SC.GasHP.NG_Biogas</t>
  </si>
  <si>
    <t>EMI_per_sqm.kgCO2.LT.Ser.BldNew.Thermal.SC.AC.Elec</t>
  </si>
  <si>
    <t>EMI_per_sqm.kgCO2.LT.Ser.BldNew.Thermal.HW</t>
  </si>
  <si>
    <t>EMI_per_sqm.kgCO2.LT.Ser.BldNew.Thermal.HW.Solids.Solids</t>
  </si>
  <si>
    <t>EMI_per_sqm.kgCO2.LT.Ser.BldNew.Thermal.HW.LPG.LPG</t>
  </si>
  <si>
    <t>EMI_per_sqm.kgCO2.LT.Ser.BldNew.Thermal.HW.Oil.Oil_LiqBio</t>
  </si>
  <si>
    <t>EMI_per_sqm.kgCO2.LT.Ser.BldNew.Thermal.HW.Gas.NG_Biogas</t>
  </si>
  <si>
    <t>EMI_per_sqm.kgCO2.LT.Ser.BldNew.Thermal.HW.Biomass.Biomass_Waste</t>
  </si>
  <si>
    <t>EMI_per_sqm.kgCO2.LT.Ser.BldNew.Thermal.HW.DistrHeat.Steam_Distr</t>
  </si>
  <si>
    <t>EMI_per_sqm.kgCO2.LT.Ser.BldNew.Thermal.HW.Elc.Elec</t>
  </si>
  <si>
    <t>EMI_per_sqm.kgCO2.LT.Ser.BldNew.Thermal.HW.TotalSolar.Solar</t>
  </si>
  <si>
    <t>EMI_per_sqm.kgCO2.LT.Ser.BldNew.Thermal.CA</t>
  </si>
  <si>
    <t>EMI_per_sqm.kgCO2.LT.Ser.BldNew.Thermal.CA.LPG</t>
  </si>
  <si>
    <t>EMI_per_sqm.kgCO2.LT.Ser.BldNew.Thermal.CA.Gas.NG_Biogas</t>
  </si>
  <si>
    <t>EMI_per_sqm.kgCO2.LT.Ser.BldNew.Thermal.CA.Biomass.Biomass_Waste</t>
  </si>
  <si>
    <t>EMI_per_sqm.kgCO2.LT.Ser.BldNew.Thermal.CA.Elc.Elec</t>
  </si>
  <si>
    <t>FEC.ktoe.LT.Ser.SEU.VE</t>
  </si>
  <si>
    <t>FEC.ktoe.LT.Ser.SEU.SL</t>
  </si>
  <si>
    <t>FEC.ktoe.LT.Ser.SEU.BL</t>
  </si>
  <si>
    <t>FEC.ktoe.LT.Ser.SEU.CR</t>
  </si>
  <si>
    <t>FEC.ktoe.LT.Ser.SEU.BT</t>
  </si>
  <si>
    <t>FEC.ktoe.LT.Ser.SEU.IT</t>
  </si>
  <si>
    <t>Size.MW.LT.Ser.SEU</t>
  </si>
  <si>
    <t>Size.MW.LT.Ser.SEU.VE</t>
  </si>
  <si>
    <t>Size.MW.LT.Ser.SEU.SL</t>
  </si>
  <si>
    <t>Size.MW.LT.Ser.SEU.BL</t>
  </si>
  <si>
    <t>Size.MW.LT.Ser.SEU.CR</t>
  </si>
  <si>
    <t>Size.MW.LT.Ser.SEU.BT</t>
  </si>
  <si>
    <t>Size.MW.LT.Ser.SEU.IT</t>
  </si>
  <si>
    <t>NUM.Msqm.LT.Ser.SEU.VE</t>
  </si>
  <si>
    <t>NUM.k.LT.Ser.SEU.SL</t>
  </si>
  <si>
    <t>NUM.M.LT.Ser.SEU.BL</t>
  </si>
  <si>
    <t>NUM.k.LT.Ser.SEU.CR</t>
  </si>
  <si>
    <t>NUM.Msqm.LT.Ser.SEU.BT</t>
  </si>
  <si>
    <t>NUM.k.LT.Ser.SEU.IT</t>
  </si>
  <si>
    <t>NUM.Msqm.LT.Ser.SEUnew.VE</t>
  </si>
  <si>
    <t>NUM.k.LT.Ser.SEUnew.SL</t>
  </si>
  <si>
    <t>NUM.M.LT.Ser.SEUnew.BL</t>
  </si>
  <si>
    <t>NUM.k.LT.Ser.SEUnew.CR</t>
  </si>
  <si>
    <t>NUM.Msqm.LT.Ser.SEUnew.BT</t>
  </si>
  <si>
    <t>NUM.k.LT.Ser.SEUnew.IT</t>
  </si>
  <si>
    <t>NUM.Msqm.LT.Ser.SEUrepl.VE</t>
  </si>
  <si>
    <t>NUM.k.LT.Ser.SEUrepl.SL</t>
  </si>
  <si>
    <t>NUM.M.LT.Ser.SEUrepl.BL</t>
  </si>
  <si>
    <t>NUM.k.LT.Ser.SEUrepl.CR</t>
  </si>
  <si>
    <t>NUM.Msqm.LT.Ser.SEUrepl.BT</t>
  </si>
  <si>
    <t>NUM.k.LT.Ser.SEUrepl.IT</t>
  </si>
  <si>
    <t>Op.hours.LT.Ser.SEU.VE</t>
  </si>
  <si>
    <t>Op.hours.LT.Ser.SEU.SL</t>
  </si>
  <si>
    <t>Op.hours.LT.Ser.SEU.BL</t>
  </si>
  <si>
    <t>Op.hours.LT.Ser.SEU.CR</t>
  </si>
  <si>
    <t>Op.hours.LT.Ser.SEU.BT</t>
  </si>
  <si>
    <t>Op.hours.LT.Ser.SEU.IT</t>
  </si>
  <si>
    <t>Size_per_appl.W.LT.Ser.SEU.VE</t>
  </si>
  <si>
    <t>Size_per_appl.W.LT.Ser.SEU.SL</t>
  </si>
  <si>
    <t>Size_per_appl.W.LT.Ser.SEU.BL</t>
  </si>
  <si>
    <t>Size_per_appl.W.LT.Ser.SEU.CR</t>
  </si>
  <si>
    <t>Size_per_appl.W.LT.Ser.SEU.BT</t>
  </si>
  <si>
    <t>Size_per_appl.W.LT.Ser.SEU.IT</t>
  </si>
  <si>
    <t>Size_per_appl.W.LT.Ser.SEUnew.VE</t>
  </si>
  <si>
    <t>Size_per_appl.W.LT.Ser.SEUnew.SL</t>
  </si>
  <si>
    <t>Size_per_appl.W.LT.Ser.SEUnew.BL</t>
  </si>
  <si>
    <t>Size_per_appl.W.LT.Ser.SEUnew.CR</t>
  </si>
  <si>
    <t>Size_per_appl.W.LT.Ser.SEUnew.BT</t>
  </si>
  <si>
    <t>Size_per_appl.W.LT.Ser.SEUnew.IT</t>
  </si>
  <si>
    <t>NUM.sqm_per_building.LT.Ser.SEU.VE</t>
  </si>
  <si>
    <t>NUM.number_per_capita.LT.Ser.SEU.SL</t>
  </si>
  <si>
    <t>NUM.number_per_building.LT.Ser.SEU.BL</t>
  </si>
  <si>
    <t>NUM.number_per_capita.LT.Ser.SEU.CR</t>
  </si>
  <si>
    <t>NUM.sqm_per_building.LT.Ser.SEU.BT</t>
  </si>
  <si>
    <t>NUM.number_per_capita.LT.Ser.SEU.IT</t>
  </si>
  <si>
    <t>Lumens_per_sqm.lumen.LT.Ser.SEU.BL</t>
  </si>
  <si>
    <t>LT - Services / specific electric uses</t>
  </si>
  <si>
    <t>LT - Ventilation and others</t>
  </si>
  <si>
    <t>LT - Street lighting</t>
  </si>
  <si>
    <t>LT - Building lighting</t>
  </si>
  <si>
    <t>LT - Commercial refrigeration</t>
  </si>
  <si>
    <t>LT - Miscellaneous building technologies</t>
  </si>
  <si>
    <t>LT - ICT and multimedia</t>
  </si>
  <si>
    <t>LT - Agriculture, forestry and fishing</t>
  </si>
  <si>
    <t>VA.Meuro2015.LT.AGR.AGR</t>
  </si>
  <si>
    <t>OUTPUT.index.LT.AGR.AGR</t>
  </si>
  <si>
    <t>CAP.index.LT.AGR.AGR</t>
  </si>
  <si>
    <t>NEWCAP.index.LT.AGR.AGR</t>
  </si>
  <si>
    <t>CAPOUT.index.LT.AGR.AGR</t>
  </si>
  <si>
    <t>CAPIDLE.index.LT.AGR.AGR</t>
  </si>
  <si>
    <t>FEC.ktoe.LT.ES.AGR</t>
  </si>
  <si>
    <t>FEC.ktoe.LT.ES.AGR.Solids</t>
  </si>
  <si>
    <t>FEC.ktoe.LT.ES.AGR.LPG</t>
  </si>
  <si>
    <t>FEC.ktoe.LT.ES.AGR.Diesel</t>
  </si>
  <si>
    <t>FEC.ktoe.LT.ES.AGR.RFO</t>
  </si>
  <si>
    <t>FEC.ktoe.LT.ES.AGR.NG</t>
  </si>
  <si>
    <t>FEC.ktoe.LT.ES.AGR.Biomass_Waste</t>
  </si>
  <si>
    <t>FEC.ktoe.LT.ES.AGR.Biogas</t>
  </si>
  <si>
    <t>FEC.ktoe.LT.ES.AGR.LiqBio</t>
  </si>
  <si>
    <t>FEC.ktoe.LT.ES.AGR.Solar</t>
  </si>
  <si>
    <t>FEC.ktoe.LT.ES.AGR.Geo</t>
  </si>
  <si>
    <t>FEC.ktoe.LT.ES.AGR.Ambient</t>
  </si>
  <si>
    <t>FEC.ktoe.LT.ES.AGR.Steam_Distr</t>
  </si>
  <si>
    <t>FEC.ktoe.LT.ES.AGR.Elec</t>
  </si>
  <si>
    <t>LT - Agriculture, forestry and fishing / final energy consumption</t>
  </si>
  <si>
    <t>FEC.ktoe.LT.AGR.AGR.LIGHT.GENERIC.ELEC</t>
  </si>
  <si>
    <t>FEC.ktoe.LT.AGR.AGR.FANS.GENERIC.ELEC</t>
  </si>
  <si>
    <t>FEC.ktoe.LT.AGR.AGR.MOTOR.GENERIC.ELEC</t>
  </si>
  <si>
    <t>FEC.ktoe.LT.AGR.AGR.LOW_ENTH.THERM.DIESEL_LIQBIO</t>
  </si>
  <si>
    <t>FEC.ktoe.LT.AGR.AGR.LOW_ENTH.THERM.NG_BIOGAS</t>
  </si>
  <si>
    <t>FEC.ktoe.LT.AGR.AGR.LOW_ENTH.THERM.SOLAR_GEO</t>
  </si>
  <si>
    <t>FEC.ktoe.LT.AGR.AGR.LOW_ENTH.HP.AMBIENT</t>
  </si>
  <si>
    <t>FEC.ktoe.LT.AGR.AGR.LOW_ENTH.THERM.STEAM_DISTR</t>
  </si>
  <si>
    <t>FEC.ktoe.LT.AGR.AGR.LOW_ENTH.THERM.ELEC</t>
  </si>
  <si>
    <t>FEC.ktoe.LT.AGR.AGR.FARM_DRIVES.MECH.DIESEL_LIQBIO</t>
  </si>
  <si>
    <t>FEC.ktoe.LT.AGR.AGR.HEAT_USE.THERM.SOLIDS</t>
  </si>
  <si>
    <t>FEC.ktoe.LT.AGR.AGR.HEAT_USE.THERM.LPG</t>
  </si>
  <si>
    <t>FEC.ktoe.LT.AGR.AGR.HEAT_USE.THERM.DIESEL_LIQBIO</t>
  </si>
  <si>
    <t>FEC.ktoe.LT.AGR.AGR.HEAT_USE.THERM.RFO</t>
  </si>
  <si>
    <t>FEC.ktoe.LT.AGR.AGR.HEAT_USE.THERM.NG_BIOGAS</t>
  </si>
  <si>
    <t>FEC.ktoe.LT.AGR.AGR.HEAT_USE.THERM.BIOMASS_WASTE</t>
  </si>
  <si>
    <t>FEC.ktoe.LT.AGR.AGR.HEAT_USE.THERM.SOLAR_GEO</t>
  </si>
  <si>
    <t>FEC.ktoe.LT.AGR.AGR.FARM_PUMP.MECH.DIESEL_LIQBIO</t>
  </si>
  <si>
    <t>FEC.ktoe.LT.AGR.AGR.FARM_PUMP_ELEC.MECH.ELEC</t>
  </si>
  <si>
    <t>FEC.ktoe.LT.AGR.AGR.GENERIC.MECH.ELEC</t>
  </si>
  <si>
    <t>LT - Agriculture, forestry and fishing / useful energy demand</t>
  </si>
  <si>
    <t>UED.ktoe.LT.AGR.AGR.LIGHT.GENERIC.ELEC</t>
  </si>
  <si>
    <t>UED.ktoe.LT.AGR.AGR.FANS.GENERIC.ELEC</t>
  </si>
  <si>
    <t>UED.ktoe.LT.AGR.AGR.MOTOR.GENERIC.ELEC</t>
  </si>
  <si>
    <t>UED.ktoe.LT.AGR.AGR.LOW_ENTH.THERM.DIESEL_LIQBIO</t>
  </si>
  <si>
    <t>UED.ktoe.LT.AGR.AGR.LOW_ENTH.THERM.NG_BIOGAS</t>
  </si>
  <si>
    <t>UED.ktoe.LT.AGR.AGR.LOW_ENTH.THERM.SOLAR_GEO</t>
  </si>
  <si>
    <t>UED.ktoe.LT.AGR.AGR.LOW_ENTH.HP.AMBIENT</t>
  </si>
  <si>
    <t>UED.ktoe.LT.AGR.AGR.LOW_ENTH.THERM.STEAM_DISTR</t>
  </si>
  <si>
    <t>UED.ktoe.LT.AGR.AGR.LOW_ENTH.THERM.ELEC</t>
  </si>
  <si>
    <t>UED.ktoe.LT.AGR.AGR.FARM_DRIVES.MECH.DIESEL_LIQBIO</t>
  </si>
  <si>
    <t>UED.ktoe.LT.AGR.AGR.HEAT_USE.THERM.SOLIDS</t>
  </si>
  <si>
    <t>UED.ktoe.LT.AGR.AGR.HEAT_USE.THERM.LPG</t>
  </si>
  <si>
    <t>UED.ktoe.LT.AGR.AGR.HEAT_USE.THERM.DIESEL_LIQBIO</t>
  </si>
  <si>
    <t>UED.ktoe.LT.AGR.AGR.HEAT_USE.THERM.RFO</t>
  </si>
  <si>
    <t>UED.ktoe.LT.AGR.AGR.HEAT_USE.THERM.NG_BIOGAS</t>
  </si>
  <si>
    <t>UED.ktoe.LT.AGR.AGR.HEAT_USE.THERM.BIOMASS_WASTE</t>
  </si>
  <si>
    <t>UED.ktoe.LT.AGR.AGR.HEAT_USE.THERM.SOLAR_GEO</t>
  </si>
  <si>
    <t>UED.ktoe.LT.AGR.AGR.FARM_PUMP.MECH.DIESEL_LIQBIO</t>
  </si>
  <si>
    <t>UED.ktoe.LT.AGR.AGR.FARM_PUMP_ELEC.MECH.ELEC</t>
  </si>
  <si>
    <t>UED.ktoe.LT.AGR.AGR.GENERIC.MECH.ELEC</t>
  </si>
  <si>
    <t>LT - Agriculture, forestry and fishing / CO2 emissions</t>
  </si>
  <si>
    <t>FUEL_EMI.ktCO2.LT.AGR.AGR.LIGHT.GENERIC.ELEC</t>
  </si>
  <si>
    <t>FUEL_EMI.ktCO2.LT.AGR.AGR.FANS.GENERIC.ELEC</t>
  </si>
  <si>
    <t>FUEL_EMI.ktCO2.LT.AGR.AGR.MOTOR.GENERIC.ELEC</t>
  </si>
  <si>
    <t>FUEL_EMI.ktCO2.LT.AGR.AGR.LOW_ENTH.THERM.DIESEL_LIQBIO</t>
  </si>
  <si>
    <t>FUEL_EMI.ktCO2.LT.AGR.AGR.LOW_ENTH.THERM.NG_BIOGAS</t>
  </si>
  <si>
    <t>FUEL_EMI.ktCO2.LT.AGR.AGR.LOW_ENTH.THERM.SOLAR_GEO</t>
  </si>
  <si>
    <t>FUEL_EMI.ktCO2.LT.AGR.AGR.LOW_ENTH.HP.AMBIENT</t>
  </si>
  <si>
    <t>FUEL_EMI.ktCO2.LT.AGR.AGR.LOW_ENTH.THERM.STEAM_DISTR</t>
  </si>
  <si>
    <t>FUEL_EMI.ktCO2.LT.AGR.AGR.LOW_ENTH.THERM.ELEC</t>
  </si>
  <si>
    <t>FUEL_EMI.ktCO2.LT.AGR.AGR.FARM_DRIVES.MECH.DIESEL_LIQBIO</t>
  </si>
  <si>
    <t>FUEL_EMI.ktCO2.LT.AGR.AGR.HEAT_USE.THERM.SOLIDS</t>
  </si>
  <si>
    <t>FUEL_EMI.ktCO2.LT.AGR.AGR.HEAT_USE.THERM.LPG</t>
  </si>
  <si>
    <t>FUEL_EMI.ktCO2.LT.AGR.AGR.HEAT_USE.THERM.DIESEL_LIQBIO</t>
  </si>
  <si>
    <t>FUEL_EMI.ktCO2.LT.AGR.AGR.HEAT_USE.THERM.RFO</t>
  </si>
  <si>
    <t>FUEL_EMI.ktCO2.LT.AGR.AGR.HEAT_USE.THERM.NG_BIOGAS</t>
  </si>
  <si>
    <t>FUEL_EMI.ktCO2.LT.AGR.AGR.HEAT_USE.THERM.BIOMASS_WASTE</t>
  </si>
  <si>
    <t>FUEL_EMI.ktCO2.LT.AGR.AGR.HEAT_USE.THERM.SOLAR_GEO</t>
  </si>
  <si>
    <t>FUEL_EMI.ktCO2.LT.AGR.AGR.FARM_PUMP.MECH.DIESEL_LIQBIO</t>
  </si>
  <si>
    <t>FUEL_EMI.ktCO2.LT.AGR.AGR.FARM_PUMP_ELEC.MECH.ELEC</t>
  </si>
  <si>
    <t>FUEL_EMI.ktCO2.LT.AGR.AGR.GENERIC.MECH.ELEC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</si>
</sst>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45432.786597222221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3512074</v>
      </c>
      <c r="C3" s="34">
        <v>3486998</v>
      </c>
      <c r="D3" s="34">
        <v>3454637</v>
      </c>
      <c r="E3" s="34">
        <v>3431497</v>
      </c>
      <c r="F3" s="34">
        <v>3398929</v>
      </c>
      <c r="G3" s="34">
        <v>3355220</v>
      </c>
      <c r="H3" s="34">
        <v>3289835</v>
      </c>
      <c r="I3" s="34">
        <v>3249983</v>
      </c>
      <c r="J3" s="34">
        <v>3212605</v>
      </c>
      <c r="K3" s="34">
        <v>3183856</v>
      </c>
      <c r="L3" s="34">
        <v>3141976</v>
      </c>
      <c r="M3" s="34">
        <v>3052588</v>
      </c>
      <c r="N3" s="34">
        <v>3003641</v>
      </c>
      <c r="O3" s="34">
        <v>2971905</v>
      </c>
      <c r="P3" s="34">
        <v>2943472</v>
      </c>
      <c r="Q3" s="34">
        <v>2921262</v>
      </c>
      <c r="R3" s="34">
        <v>2888558</v>
      </c>
      <c r="S3" s="34">
        <v>2847904</v>
      </c>
      <c r="T3" s="34">
        <v>2808901</v>
      </c>
      <c r="U3" s="34">
        <v>2794184</v>
      </c>
      <c r="V3" s="34">
        <v>2794090</v>
      </c>
      <c r="W3" s="34">
        <v>2795680</v>
      </c>
      <c r="DA3" s="88" t="s">
        <v>187</v>
      </c>
    </row>
    <row r="4" spans="1:105" ht="12" customHeight="1" x14ac:dyDescent="0.25">
      <c r="A4" s="35" t="s">
        <v>178</v>
      </c>
      <c r="B4" s="36">
        <v>20260.324471799537</v>
      </c>
      <c r="C4" s="36">
        <v>21582.613365343608</v>
      </c>
      <c r="D4" s="36">
        <v>23039.485487524897</v>
      </c>
      <c r="E4" s="36">
        <v>25473.822710443379</v>
      </c>
      <c r="F4" s="36">
        <v>27147.348501780583</v>
      </c>
      <c r="G4" s="36">
        <v>29246.392974140934</v>
      </c>
      <c r="H4" s="36">
        <v>31415.118982315911</v>
      </c>
      <c r="I4" s="36">
        <v>34904.47086000289</v>
      </c>
      <c r="J4" s="36">
        <v>35817.011383326382</v>
      </c>
      <c r="K4" s="36">
        <v>30502.035585897189</v>
      </c>
      <c r="L4" s="36">
        <v>31005.695957529169</v>
      </c>
      <c r="M4" s="36">
        <v>32878.259774072983</v>
      </c>
      <c r="N4" s="36">
        <v>34142.208960104639</v>
      </c>
      <c r="O4" s="36">
        <v>35354.151952376145</v>
      </c>
      <c r="P4" s="36">
        <v>36604.72702529619</v>
      </c>
      <c r="Q4" s="36">
        <v>37345.699999999997</v>
      </c>
      <c r="R4" s="36">
        <v>38286.504686146334</v>
      </c>
      <c r="S4" s="36">
        <v>39925.864364841764</v>
      </c>
      <c r="T4" s="36">
        <v>41520.511580810249</v>
      </c>
      <c r="U4" s="36">
        <v>43457.482691283512</v>
      </c>
      <c r="V4" s="36">
        <v>43446.960127536135</v>
      </c>
      <c r="W4" s="36">
        <v>46177.324274162558</v>
      </c>
      <c r="DA4" s="89" t="s">
        <v>188</v>
      </c>
    </row>
    <row r="5" spans="1:105" ht="12" customHeight="1" x14ac:dyDescent="0.25">
      <c r="A5" s="35" t="s">
        <v>147</v>
      </c>
      <c r="B5" s="36">
        <v>11689.375987361769</v>
      </c>
      <c r="C5" s="36">
        <v>12456.813206130049</v>
      </c>
      <c r="D5" s="36">
        <v>13501.977866367037</v>
      </c>
      <c r="E5" s="36">
        <v>14673.821128211439</v>
      </c>
      <c r="F5" s="36">
        <v>15322.36773801225</v>
      </c>
      <c r="G5" s="36">
        <v>16450.485436893203</v>
      </c>
      <c r="H5" s="36">
        <v>17663.439360967408</v>
      </c>
      <c r="I5" s="36">
        <v>19844.947209653092</v>
      </c>
      <c r="J5" s="36">
        <v>20570.463522240923</v>
      </c>
      <c r="K5" s="36">
        <v>19053.192814045891</v>
      </c>
      <c r="L5" s="36">
        <v>18848.636499518372</v>
      </c>
      <c r="M5" s="36">
        <v>19226.755965190372</v>
      </c>
      <c r="N5" s="36">
        <v>19870.527450621426</v>
      </c>
      <c r="O5" s="36">
        <v>20971.16174672839</v>
      </c>
      <c r="P5" s="36">
        <v>21686.427674710561</v>
      </c>
      <c r="Q5" s="36">
        <v>22371.799999999996</v>
      </c>
      <c r="R5" s="36">
        <v>23344.300405847349</v>
      </c>
      <c r="S5" s="36">
        <v>24184.705960302512</v>
      </c>
      <c r="T5" s="36">
        <v>25537.712495318479</v>
      </c>
      <c r="U5" s="36">
        <v>26751.489815885438</v>
      </c>
      <c r="V5" s="36">
        <v>26716.543287656848</v>
      </c>
      <c r="W5" s="36">
        <v>28436.419895322426</v>
      </c>
      <c r="DA5" s="89" t="s">
        <v>189</v>
      </c>
    </row>
    <row r="6" spans="1:105" ht="12" customHeight="1" x14ac:dyDescent="0.25">
      <c r="A6" s="37" t="s">
        <v>70</v>
      </c>
      <c r="B6" s="38">
        <v>794050</v>
      </c>
      <c r="C6" s="38">
        <v>781209.99999999988</v>
      </c>
      <c r="D6" s="38">
        <v>789560.00000000012</v>
      </c>
      <c r="E6" s="38">
        <v>798200</v>
      </c>
      <c r="F6" s="38">
        <v>813209.99999999988</v>
      </c>
      <c r="G6" s="38">
        <v>831660.00000000012</v>
      </c>
      <c r="H6" s="38">
        <v>810420.00000000012</v>
      </c>
      <c r="I6" s="38">
        <v>883550.00000000023</v>
      </c>
      <c r="J6" s="38">
        <v>901680</v>
      </c>
      <c r="K6" s="38">
        <v>864750</v>
      </c>
      <c r="L6" s="38">
        <v>849050.00000000012</v>
      </c>
      <c r="M6" s="38">
        <v>860100</v>
      </c>
      <c r="N6" s="38">
        <v>869500</v>
      </c>
      <c r="O6" s="38">
        <v>880720</v>
      </c>
      <c r="P6" s="38">
        <v>895850</v>
      </c>
      <c r="Q6" s="38">
        <v>906510</v>
      </c>
      <c r="R6" s="38">
        <v>945150.00000000012</v>
      </c>
      <c r="S6" s="38">
        <v>939260</v>
      </c>
      <c r="T6" s="38">
        <v>954379.99999999988</v>
      </c>
      <c r="U6" s="38">
        <v>970720</v>
      </c>
      <c r="V6" s="38">
        <v>968040</v>
      </c>
      <c r="W6" s="38">
        <v>971680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29446.325808510654</v>
      </c>
      <c r="C8" s="34">
        <v>30758.893472254338</v>
      </c>
      <c r="D8" s="34">
        <v>32329.095806478599</v>
      </c>
      <c r="E8" s="34">
        <v>34700.491059361309</v>
      </c>
      <c r="F8" s="34">
        <v>36690.251730184304</v>
      </c>
      <c r="G8" s="34">
        <v>38912.257563759347</v>
      </c>
      <c r="H8" s="34">
        <v>40476.339330041788</v>
      </c>
      <c r="I8" s="34">
        <v>44681.765518081273</v>
      </c>
      <c r="J8" s="34">
        <v>46652.673526676437</v>
      </c>
      <c r="K8" s="34">
        <v>46561.275402728046</v>
      </c>
      <c r="L8" s="34">
        <v>46983.490545106804</v>
      </c>
      <c r="M8" s="34">
        <v>47951.164097780769</v>
      </c>
      <c r="N8" s="34">
        <v>48420.480293396198</v>
      </c>
      <c r="O8" s="34">
        <v>49023.235936405283</v>
      </c>
      <c r="P8" s="34">
        <v>49862.069214575822</v>
      </c>
      <c r="Q8" s="34">
        <v>50249.833059129327</v>
      </c>
      <c r="R8" s="34">
        <v>50613.841674154522</v>
      </c>
      <c r="S8" s="34">
        <v>51033.921541971737</v>
      </c>
      <c r="T8" s="34">
        <v>51394.555670353773</v>
      </c>
      <c r="U8" s="34">
        <v>51662.788167510451</v>
      </c>
      <c r="V8" s="34">
        <v>51822.172222222223</v>
      </c>
      <c r="W8" s="34">
        <v>51895.583090494772</v>
      </c>
      <c r="DA8" s="88" t="s">
        <v>191</v>
      </c>
    </row>
    <row r="9" spans="1:105" ht="12" customHeight="1" x14ac:dyDescent="0.25">
      <c r="A9" s="39" t="s">
        <v>68</v>
      </c>
      <c r="B9" s="40">
        <v>26501.693227659587</v>
      </c>
      <c r="C9" s="40">
        <v>27683.004125028907</v>
      </c>
      <c r="D9" s="40">
        <v>29096.186225830737</v>
      </c>
      <c r="E9" s="40">
        <v>31230.441953425183</v>
      </c>
      <c r="F9" s="40">
        <v>33021.226557165872</v>
      </c>
      <c r="G9" s="40">
        <v>35021.031807383413</v>
      </c>
      <c r="H9" s="40">
        <v>36428.705397037607</v>
      </c>
      <c r="I9" s="40">
        <v>40213.588966273142</v>
      </c>
      <c r="J9" s="40">
        <v>41987.406174008793</v>
      </c>
      <c r="K9" s="40">
        <v>41905.14786245524</v>
      </c>
      <c r="L9" s="40">
        <v>42285.141490596121</v>
      </c>
      <c r="M9" s="40">
        <v>43156.047688002691</v>
      </c>
      <c r="N9" s="40">
        <v>43578.432264056573</v>
      </c>
      <c r="O9" s="40">
        <v>44120.912342764757</v>
      </c>
      <c r="P9" s="40">
        <v>44875.86229311824</v>
      </c>
      <c r="Q9" s="40">
        <v>45224.849753216396</v>
      </c>
      <c r="R9" s="40">
        <v>45552.457506739069</v>
      </c>
      <c r="S9" s="40">
        <v>45930.529387774564</v>
      </c>
      <c r="T9" s="40">
        <v>46255.1001033184</v>
      </c>
      <c r="U9" s="40">
        <v>46496.509350759407</v>
      </c>
      <c r="V9" s="40">
        <v>46639.955000000002</v>
      </c>
      <c r="W9" s="40">
        <v>46706.024781445296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1430.4073603229244</v>
      </c>
      <c r="D10" s="41">
        <v>1692.9520181609764</v>
      </c>
      <c r="E10" s="41">
        <v>2500.4577777075992</v>
      </c>
      <c r="F10" s="41">
        <v>2128.6431703628045</v>
      </c>
      <c r="G10" s="41">
        <v>2368.6040275337496</v>
      </c>
      <c r="H10" s="41">
        <v>1719.7985081907291</v>
      </c>
      <c r="I10" s="41">
        <v>4367.4557708359407</v>
      </c>
      <c r="J10" s="41">
        <v>2149.7718337600877</v>
      </c>
      <c r="K10" s="41">
        <v>186.57951958380119</v>
      </c>
      <c r="L10" s="41">
        <v>608.79466196254907</v>
      </c>
      <c r="M10" s="41">
        <v>1155.6559257884699</v>
      </c>
      <c r="N10" s="41">
        <v>660.80570255669863</v>
      </c>
      <c r="O10" s="41">
        <v>796.349430246427</v>
      </c>
      <c r="P10" s="41">
        <v>1035.23277246927</v>
      </c>
      <c r="Q10" s="41">
        <v>586.96904591365785</v>
      </c>
      <c r="R10" s="41">
        <v>621.70006661046068</v>
      </c>
      <c r="S10" s="41">
        <v>679.63803024878337</v>
      </c>
      <c r="T10" s="41">
        <v>622.3465465459941</v>
      </c>
      <c r="U10" s="41">
        <v>531.79432110721928</v>
      </c>
      <c r="V10" s="41">
        <v>424.3214299297706</v>
      </c>
      <c r="W10" s="41">
        <v>339.16559761725421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1287.366624290632</v>
      </c>
      <c r="D11" s="42">
        <v>1523.656816344879</v>
      </c>
      <c r="E11" s="42">
        <v>2250.4119999368395</v>
      </c>
      <c r="F11" s="42">
        <v>1915.7788533265241</v>
      </c>
      <c r="G11" s="42">
        <v>2131.7436247803744</v>
      </c>
      <c r="H11" s="42">
        <v>1547.8186573716559</v>
      </c>
      <c r="I11" s="42">
        <v>3930.7101937523466</v>
      </c>
      <c r="J11" s="42">
        <v>1934.7946503840787</v>
      </c>
      <c r="K11" s="42">
        <v>167.92156762542106</v>
      </c>
      <c r="L11" s="42">
        <v>547.91519576629412</v>
      </c>
      <c r="M11" s="42">
        <v>1040.0903332096227</v>
      </c>
      <c r="N11" s="42">
        <v>594.72513230102879</v>
      </c>
      <c r="O11" s="42">
        <v>716.71448722178434</v>
      </c>
      <c r="P11" s="42">
        <v>931.70949522234287</v>
      </c>
      <c r="Q11" s="42">
        <v>528.2721413222921</v>
      </c>
      <c r="R11" s="42">
        <v>559.53005994941464</v>
      </c>
      <c r="S11" s="42">
        <v>611.67422722390495</v>
      </c>
      <c r="T11" s="42">
        <v>560.11189189139475</v>
      </c>
      <c r="U11" s="42">
        <v>478.61488899649731</v>
      </c>
      <c r="V11" s="42">
        <v>381.88928693679355</v>
      </c>
      <c r="W11" s="42">
        <v>305.2490378555288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3566.72</v>
      </c>
      <c r="C13" s="43">
        <v>4011.72</v>
      </c>
      <c r="D13" s="43">
        <v>3834.5</v>
      </c>
      <c r="E13" s="43">
        <v>4085.35</v>
      </c>
      <c r="F13" s="43">
        <v>4071.09</v>
      </c>
      <c r="G13" s="43">
        <v>4020.15</v>
      </c>
      <c r="H13" s="43">
        <v>3892.89</v>
      </c>
      <c r="I13" s="43">
        <v>3739.7</v>
      </c>
      <c r="J13" s="43">
        <v>3555.94</v>
      </c>
      <c r="K13" s="43">
        <v>3949.81</v>
      </c>
      <c r="L13" s="43">
        <v>4415</v>
      </c>
      <c r="M13" s="43">
        <v>3767.86</v>
      </c>
      <c r="N13" s="43">
        <v>4081.27</v>
      </c>
      <c r="O13" s="43">
        <v>3873.17</v>
      </c>
      <c r="P13" s="43">
        <v>3729.28</v>
      </c>
      <c r="Q13" s="43">
        <v>3523.32</v>
      </c>
      <c r="R13" s="43">
        <v>3829.94</v>
      </c>
      <c r="S13" s="43">
        <v>3761.5</v>
      </c>
      <c r="T13" s="43">
        <v>3687.57</v>
      </c>
      <c r="U13" s="43">
        <v>3391.36</v>
      </c>
      <c r="V13" s="43">
        <v>3305.64</v>
      </c>
      <c r="W13" s="43">
        <v>4016.22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3813.9895238095237</v>
      </c>
      <c r="C14" s="44">
        <f t="shared" ref="C14:W14" si="0">AVERAGE($B$13:$V$13)</f>
        <v>3813.9895238095237</v>
      </c>
      <c r="D14" s="44">
        <f t="shared" si="0"/>
        <v>3813.9895238095237</v>
      </c>
      <c r="E14" s="44">
        <f t="shared" si="0"/>
        <v>3813.9895238095237</v>
      </c>
      <c r="F14" s="44">
        <f t="shared" si="0"/>
        <v>3813.9895238095237</v>
      </c>
      <c r="G14" s="44">
        <f t="shared" si="0"/>
        <v>3813.9895238095237</v>
      </c>
      <c r="H14" s="44">
        <f t="shared" si="0"/>
        <v>3813.9895238095237</v>
      </c>
      <c r="I14" s="44">
        <f t="shared" si="0"/>
        <v>3813.9895238095237</v>
      </c>
      <c r="J14" s="44">
        <f t="shared" si="0"/>
        <v>3813.9895238095237</v>
      </c>
      <c r="K14" s="44">
        <f t="shared" si="0"/>
        <v>3813.9895238095237</v>
      </c>
      <c r="L14" s="44">
        <f t="shared" si="0"/>
        <v>3813.9895238095237</v>
      </c>
      <c r="M14" s="44">
        <f t="shared" si="0"/>
        <v>3813.9895238095237</v>
      </c>
      <c r="N14" s="44">
        <f t="shared" si="0"/>
        <v>3813.9895238095237</v>
      </c>
      <c r="O14" s="44">
        <f t="shared" si="0"/>
        <v>3813.9895238095237</v>
      </c>
      <c r="P14" s="44">
        <f t="shared" si="0"/>
        <v>3813.9895238095237</v>
      </c>
      <c r="Q14" s="44">
        <f t="shared" si="0"/>
        <v>3813.9895238095237</v>
      </c>
      <c r="R14" s="44">
        <f t="shared" si="0"/>
        <v>3813.9895238095237</v>
      </c>
      <c r="S14" s="44">
        <f t="shared" si="0"/>
        <v>3813.9895238095237</v>
      </c>
      <c r="T14" s="44">
        <f t="shared" si="0"/>
        <v>3813.9895238095237</v>
      </c>
      <c r="U14" s="44">
        <f t="shared" si="0"/>
        <v>3813.9895238095237</v>
      </c>
      <c r="V14" s="44">
        <f t="shared" si="0"/>
        <v>3813.9895238095237</v>
      </c>
      <c r="W14" s="44">
        <f t="shared" si="0"/>
        <v>3813.9895238095237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0.93516774960552485</v>
      </c>
      <c r="C15" s="46">
        <f t="shared" ref="C15:W15" si="1">C13/C14</f>
        <v>1.0518434764846909</v>
      </c>
      <c r="D15" s="46">
        <f t="shared" si="1"/>
        <v>1.0053776959958689</v>
      </c>
      <c r="E15" s="46">
        <f t="shared" si="1"/>
        <v>1.071148720911911</v>
      </c>
      <c r="F15" s="46">
        <f t="shared" si="1"/>
        <v>1.0674098537988843</v>
      </c>
      <c r="G15" s="46">
        <f t="shared" si="1"/>
        <v>1.0540537604792781</v>
      </c>
      <c r="H15" s="46">
        <f t="shared" si="1"/>
        <v>1.0206871245182834</v>
      </c>
      <c r="I15" s="46">
        <f t="shared" si="1"/>
        <v>0.98052183328093645</v>
      </c>
      <c r="J15" s="46">
        <f t="shared" si="1"/>
        <v>0.93234131289595779</v>
      </c>
      <c r="K15" s="46">
        <f t="shared" si="1"/>
        <v>1.0356111298530297</v>
      </c>
      <c r="L15" s="46">
        <f t="shared" si="1"/>
        <v>1.1575805262281291</v>
      </c>
      <c r="M15" s="46">
        <f t="shared" si="1"/>
        <v>0.98790517815490797</v>
      </c>
      <c r="N15" s="46">
        <f t="shared" si="1"/>
        <v>1.0700789749216482</v>
      </c>
      <c r="O15" s="46">
        <f t="shared" si="1"/>
        <v>1.0155166855653461</v>
      </c>
      <c r="P15" s="46">
        <f t="shared" si="1"/>
        <v>0.97778978592345134</v>
      </c>
      <c r="Q15" s="46">
        <f t="shared" si="1"/>
        <v>0.92378858882674797</v>
      </c>
      <c r="R15" s="46">
        <f t="shared" si="1"/>
        <v>1.0041820975361633</v>
      </c>
      <c r="S15" s="46">
        <f t="shared" si="1"/>
        <v>0.98623763293479227</v>
      </c>
      <c r="T15" s="46">
        <f t="shared" si="1"/>
        <v>0.96685373071417036</v>
      </c>
      <c r="U15" s="46">
        <f t="shared" si="1"/>
        <v>0.88918964743579343</v>
      </c>
      <c r="V15" s="46">
        <f t="shared" si="1"/>
        <v>0.8667144939344853</v>
      </c>
      <c r="W15" s="46">
        <f t="shared" si="1"/>
        <v>1.0530233433857161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5768.7635487747521</v>
      </c>
      <c r="C19" s="34">
        <f t="shared" si="2"/>
        <v>6189.4538985521667</v>
      </c>
      <c r="D19" s="34">
        <f t="shared" ref="D19:W19" si="3">D4*1000000/D3</f>
        <v>6669.1480139664154</v>
      </c>
      <c r="E19" s="34">
        <f t="shared" si="3"/>
        <v>7423.5305204822789</v>
      </c>
      <c r="F19" s="34">
        <f t="shared" si="3"/>
        <v>7987.0301797361999</v>
      </c>
      <c r="G19" s="34">
        <f t="shared" si="3"/>
        <v>8716.684144151779</v>
      </c>
      <c r="H19" s="34">
        <f t="shared" si="3"/>
        <v>9549.1472922854518</v>
      </c>
      <c r="I19" s="34">
        <f t="shared" si="3"/>
        <v>10739.893365596956</v>
      </c>
      <c r="J19" s="34">
        <f t="shared" si="3"/>
        <v>11148.899843997748</v>
      </c>
      <c r="K19" s="34">
        <f t="shared" si="3"/>
        <v>9580.2183220275001</v>
      </c>
      <c r="L19" s="34">
        <f t="shared" si="3"/>
        <v>9868.2154025139498</v>
      </c>
      <c r="M19" s="34">
        <f t="shared" si="3"/>
        <v>10770.618168607418</v>
      </c>
      <c r="N19" s="34">
        <f t="shared" si="3"/>
        <v>11366.940643074402</v>
      </c>
      <c r="O19" s="34">
        <f t="shared" si="3"/>
        <v>11896.124523622439</v>
      </c>
      <c r="P19" s="34">
        <f t="shared" si="3"/>
        <v>12435.901216419314</v>
      </c>
      <c r="Q19" s="34">
        <f t="shared" si="3"/>
        <v>12784.098105544796</v>
      </c>
      <c r="R19" s="34">
        <f t="shared" si="3"/>
        <v>13254.539007403117</v>
      </c>
      <c r="S19" s="34">
        <f t="shared" si="3"/>
        <v>14019.385613012857</v>
      </c>
      <c r="T19" s="34">
        <f t="shared" si="3"/>
        <v>14781.763964201746</v>
      </c>
      <c r="U19" s="34">
        <f t="shared" si="3"/>
        <v>15552.834992714694</v>
      </c>
      <c r="V19" s="34">
        <f t="shared" si="3"/>
        <v>15549.59222055701</v>
      </c>
      <c r="W19" s="34">
        <f t="shared" si="3"/>
        <v>16517.385492675327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14721.208975960921</v>
      </c>
      <c r="C20" s="36">
        <f t="shared" si="4"/>
        <v>15945.537315357011</v>
      </c>
      <c r="D20" s="36">
        <f t="shared" ref="D20:W20" si="5">D5*1000000/D6</f>
        <v>17100.635627902928</v>
      </c>
      <c r="E20" s="36">
        <f t="shared" si="5"/>
        <v>18383.639599362865</v>
      </c>
      <c r="F20" s="36">
        <f t="shared" si="5"/>
        <v>18841.833890400081</v>
      </c>
      <c r="G20" s="36">
        <f t="shared" si="5"/>
        <v>19780.301369421639</v>
      </c>
      <c r="H20" s="36">
        <f t="shared" si="5"/>
        <v>21795.413934709664</v>
      </c>
      <c r="I20" s="36">
        <f t="shared" si="5"/>
        <v>22460.468801599327</v>
      </c>
      <c r="J20" s="36">
        <f t="shared" si="5"/>
        <v>22813.485407507014</v>
      </c>
      <c r="K20" s="36">
        <f t="shared" si="5"/>
        <v>22033.180473022134</v>
      </c>
      <c r="L20" s="36">
        <f t="shared" si="5"/>
        <v>22199.677874705103</v>
      </c>
      <c r="M20" s="36">
        <f t="shared" si="5"/>
        <v>22354.093669562113</v>
      </c>
      <c r="N20" s="36">
        <f t="shared" si="5"/>
        <v>22852.820529754372</v>
      </c>
      <c r="O20" s="36">
        <f t="shared" si="5"/>
        <v>23811.383580171212</v>
      </c>
      <c r="P20" s="36">
        <f t="shared" si="5"/>
        <v>24207.654936329251</v>
      </c>
      <c r="Q20" s="36">
        <f t="shared" si="5"/>
        <v>24679.043805363424</v>
      </c>
      <c r="R20" s="36">
        <f t="shared" si="5"/>
        <v>24699.042909429554</v>
      </c>
      <c r="S20" s="36">
        <f t="shared" si="5"/>
        <v>25748.680834169998</v>
      </c>
      <c r="T20" s="36">
        <f t="shared" si="5"/>
        <v>26758.432170957563</v>
      </c>
      <c r="U20" s="36">
        <f t="shared" si="5"/>
        <v>27558.399760884124</v>
      </c>
      <c r="V20" s="36">
        <f t="shared" si="5"/>
        <v>27598.594363514781</v>
      </c>
      <c r="W20" s="36">
        <f t="shared" si="5"/>
        <v>29265.210661248999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3328.3398890119538</v>
      </c>
      <c r="C21" s="36">
        <f t="shared" si="6"/>
        <v>3572.3602956267969</v>
      </c>
      <c r="D21" s="36">
        <f t="shared" ref="D21:W21" si="7">D5*1000000/D3</f>
        <v>3908.3637054680526</v>
      </c>
      <c r="E21" s="36">
        <f t="shared" si="7"/>
        <v>4276.2156365607898</v>
      </c>
      <c r="F21" s="36">
        <f t="shared" si="7"/>
        <v>4507.9987660855077</v>
      </c>
      <c r="G21" s="36">
        <f t="shared" si="7"/>
        <v>4902.9528427027744</v>
      </c>
      <c r="H21" s="36">
        <f t="shared" si="7"/>
        <v>5369.0958242487559</v>
      </c>
      <c r="I21" s="36">
        <f t="shared" si="7"/>
        <v>6106.1695429339452</v>
      </c>
      <c r="J21" s="36">
        <f t="shared" si="7"/>
        <v>6403.0478450481542</v>
      </c>
      <c r="K21" s="36">
        <f t="shared" si="7"/>
        <v>5984.3136165850119</v>
      </c>
      <c r="L21" s="36">
        <f t="shared" si="7"/>
        <v>5998.9753262018457</v>
      </c>
      <c r="M21" s="36">
        <f t="shared" si="7"/>
        <v>6298.5099742219954</v>
      </c>
      <c r="N21" s="36">
        <f t="shared" si="7"/>
        <v>6615.4801624499814</v>
      </c>
      <c r="O21" s="36">
        <f t="shared" si="7"/>
        <v>7056.4711007681572</v>
      </c>
      <c r="P21" s="36">
        <f t="shared" si="7"/>
        <v>7367.6351175450491</v>
      </c>
      <c r="Q21" s="36">
        <f t="shared" si="7"/>
        <v>7658.2655030599772</v>
      </c>
      <c r="R21" s="36">
        <f t="shared" si="7"/>
        <v>8081.6450304433383</v>
      </c>
      <c r="S21" s="36">
        <f t="shared" si="7"/>
        <v>8492.1071638308422</v>
      </c>
      <c r="T21" s="36">
        <f t="shared" si="7"/>
        <v>9091.7097097115475</v>
      </c>
      <c r="U21" s="36">
        <f t="shared" si="7"/>
        <v>9573.9900507215843</v>
      </c>
      <c r="V21" s="36">
        <f t="shared" si="7"/>
        <v>9561.8048408092964</v>
      </c>
      <c r="W21" s="36">
        <f t="shared" si="7"/>
        <v>10171.557508485386</v>
      </c>
      <c r="DA21" s="89"/>
    </row>
    <row r="22" spans="1:105" ht="12" customHeight="1" x14ac:dyDescent="0.25">
      <c r="A22" s="51" t="s">
        <v>152</v>
      </c>
      <c r="B22" s="52">
        <v>0.22877219410434979</v>
      </c>
      <c r="C22" s="52">
        <v>0.23930579015653833</v>
      </c>
      <c r="D22" s="52">
        <v>0.25682652266834349</v>
      </c>
      <c r="E22" s="52">
        <v>0.27788057470657385</v>
      </c>
      <c r="F22" s="52">
        <v>0.28623655774257684</v>
      </c>
      <c r="G22" s="52">
        <v>0.30514043859092554</v>
      </c>
      <c r="H22" s="52">
        <v>0.32471073837358594</v>
      </c>
      <c r="I22" s="52">
        <v>0.35838194242686783</v>
      </c>
      <c r="J22" s="52">
        <v>0.37092849080643492</v>
      </c>
      <c r="K22" s="52">
        <v>0.35463399465110507</v>
      </c>
      <c r="L22" s="52">
        <v>0.35076465485553143</v>
      </c>
      <c r="M22" s="52">
        <v>0.3614182028437245</v>
      </c>
      <c r="N22" s="52">
        <v>0.38076242791729337</v>
      </c>
      <c r="O22" s="52">
        <v>0.40460520933217009</v>
      </c>
      <c r="P22" s="52">
        <v>0.41698453862133128</v>
      </c>
      <c r="Q22" s="52">
        <v>0.4272116829115537</v>
      </c>
      <c r="R22" s="52">
        <v>0.44362722351633294</v>
      </c>
      <c r="S22" s="52">
        <v>0.45418309909573323</v>
      </c>
      <c r="T22" s="52">
        <v>0.47619399168818816</v>
      </c>
      <c r="U22" s="52">
        <v>0.49206675436805236</v>
      </c>
      <c r="V22" s="52">
        <v>0.52062183390297712</v>
      </c>
      <c r="W22" s="52">
        <v>0.52564059973820765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26.966012845327604</v>
      </c>
      <c r="C23" s="53">
        <f t="shared" si="8"/>
        <v>25.39785771892868</v>
      </c>
      <c r="D23" s="53">
        <f t="shared" ref="D23:W23" si="9">D6/D8</f>
        <v>24.422582206638022</v>
      </c>
      <c r="E23" s="53">
        <f t="shared" si="9"/>
        <v>23.002556322172449</v>
      </c>
      <c r="F23" s="53">
        <f t="shared" si="9"/>
        <v>22.164197890498226</v>
      </c>
      <c r="G23" s="53">
        <f t="shared" si="9"/>
        <v>21.372699814121315</v>
      </c>
      <c r="H23" s="53">
        <f t="shared" si="9"/>
        <v>20.022067544000983</v>
      </c>
      <c r="I23" s="53">
        <f t="shared" si="9"/>
        <v>19.774285768597395</v>
      </c>
      <c r="J23" s="53">
        <f t="shared" si="9"/>
        <v>19.327509697475556</v>
      </c>
      <c r="K23" s="53">
        <f t="shared" si="9"/>
        <v>18.572300533445738</v>
      </c>
      <c r="L23" s="53">
        <f t="shared" si="9"/>
        <v>18.071241411594656</v>
      </c>
      <c r="M23" s="53">
        <f t="shared" si="9"/>
        <v>17.936999365565065</v>
      </c>
      <c r="N23" s="53">
        <f t="shared" si="9"/>
        <v>17.957277472908221</v>
      </c>
      <c r="O23" s="53">
        <f t="shared" si="9"/>
        <v>17.9653583280896</v>
      </c>
      <c r="P23" s="53">
        <f t="shared" si="9"/>
        <v>17.966562842484734</v>
      </c>
      <c r="Q23" s="53">
        <f t="shared" si="9"/>
        <v>18.040059932802233</v>
      </c>
      <c r="R23" s="53">
        <f t="shared" si="9"/>
        <v>18.673745535554396</v>
      </c>
      <c r="S23" s="53">
        <f t="shared" si="9"/>
        <v>18.404621311092587</v>
      </c>
      <c r="T23" s="53">
        <f t="shared" si="9"/>
        <v>18.56967119477444</v>
      </c>
      <c r="U23" s="53">
        <f t="shared" si="9"/>
        <v>18.789539520255001</v>
      </c>
      <c r="V23" s="53">
        <f t="shared" si="9"/>
        <v>18.68003517584869</v>
      </c>
      <c r="W23" s="53">
        <f t="shared" si="9"/>
        <v>18.723751466586247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7.5458812165289189</v>
      </c>
      <c r="C24" s="54">
        <f t="shared" si="10"/>
        <v>7.9389217100293461</v>
      </c>
      <c r="D24" s="54">
        <f t="shared" ref="D24:W24" si="11">D9*1000/D3</f>
        <v>8.4223570308054754</v>
      </c>
      <c r="E24" s="54">
        <f t="shared" si="11"/>
        <v>9.1011129992027335</v>
      </c>
      <c r="F24" s="54">
        <f t="shared" si="11"/>
        <v>9.7151857414985336</v>
      </c>
      <c r="G24" s="54">
        <f t="shared" si="11"/>
        <v>10.437775110837265</v>
      </c>
      <c r="H24" s="54">
        <f t="shared" si="11"/>
        <v>11.07311017027833</v>
      </c>
      <c r="I24" s="54">
        <f t="shared" si="11"/>
        <v>12.373476712423772</v>
      </c>
      <c r="J24" s="54">
        <f t="shared" si="11"/>
        <v>13.069582526955164</v>
      </c>
      <c r="K24" s="54">
        <f t="shared" si="11"/>
        <v>13.16175978513326</v>
      </c>
      <c r="L24" s="54">
        <f t="shared" si="11"/>
        <v>13.458136373605694</v>
      </c>
      <c r="M24" s="54">
        <f t="shared" si="11"/>
        <v>14.137527792156259</v>
      </c>
      <c r="N24" s="54">
        <f t="shared" si="11"/>
        <v>14.508535562025079</v>
      </c>
      <c r="O24" s="54">
        <f t="shared" si="11"/>
        <v>14.846003604679408</v>
      </c>
      <c r="P24" s="54">
        <f t="shared" si="11"/>
        <v>15.245894064260927</v>
      </c>
      <c r="Q24" s="54">
        <f t="shared" si="11"/>
        <v>15.481271366011125</v>
      </c>
      <c r="R24" s="54">
        <f t="shared" si="11"/>
        <v>15.7699646352052</v>
      </c>
      <c r="S24" s="54">
        <f t="shared" si="11"/>
        <v>16.127836257041867</v>
      </c>
      <c r="T24" s="54">
        <f t="shared" si="11"/>
        <v>16.467330142044307</v>
      </c>
      <c r="U24" s="54">
        <f t="shared" si="11"/>
        <v>16.64046081101295</v>
      </c>
      <c r="V24" s="54">
        <f t="shared" si="11"/>
        <v>16.692359587558023</v>
      </c>
      <c r="W24" s="54">
        <f t="shared" si="11"/>
        <v>16.706498877355525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33.375345667980085</v>
      </c>
      <c r="C25" s="54">
        <f t="shared" si="12"/>
        <v>35.43605960628885</v>
      </c>
      <c r="D25" s="54">
        <f t="shared" ref="D25:W25" si="13">D9*1000/D6</f>
        <v>36.851140161394618</v>
      </c>
      <c r="E25" s="54">
        <f t="shared" si="13"/>
        <v>39.126086135586547</v>
      </c>
      <c r="F25" s="54">
        <f t="shared" si="13"/>
        <v>40.606026189011295</v>
      </c>
      <c r="G25" s="54">
        <f t="shared" si="13"/>
        <v>42.109794636490157</v>
      </c>
      <c r="H25" s="54">
        <f t="shared" si="13"/>
        <v>44.950402750472108</v>
      </c>
      <c r="I25" s="54">
        <f t="shared" si="13"/>
        <v>45.513653971221927</v>
      </c>
      <c r="J25" s="54">
        <f t="shared" si="13"/>
        <v>46.565750791864957</v>
      </c>
      <c r="K25" s="54">
        <f t="shared" si="13"/>
        <v>48.459263211859195</v>
      </c>
      <c r="L25" s="54">
        <f t="shared" si="13"/>
        <v>49.802887333603579</v>
      </c>
      <c r="M25" s="54">
        <f t="shared" si="13"/>
        <v>50.175616426000104</v>
      </c>
      <c r="N25" s="54">
        <f t="shared" si="13"/>
        <v>50.118956025366955</v>
      </c>
      <c r="O25" s="54">
        <f t="shared" si="13"/>
        <v>50.096412415710731</v>
      </c>
      <c r="P25" s="54">
        <f t="shared" si="13"/>
        <v>50.093053851781256</v>
      </c>
      <c r="Q25" s="54">
        <f t="shared" si="13"/>
        <v>49.888969512985398</v>
      </c>
      <c r="R25" s="54">
        <f t="shared" si="13"/>
        <v>48.196008577198391</v>
      </c>
      <c r="S25" s="54">
        <f t="shared" si="13"/>
        <v>48.900761650421146</v>
      </c>
      <c r="T25" s="54">
        <f t="shared" si="13"/>
        <v>48.466124712712343</v>
      </c>
      <c r="U25" s="54">
        <f t="shared" si="13"/>
        <v>47.898991831588319</v>
      </c>
      <c r="V25" s="54">
        <f t="shared" si="13"/>
        <v>48.179780794182058</v>
      </c>
      <c r="W25" s="54">
        <f t="shared" si="13"/>
        <v>48.067290446901545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</v>
      </c>
      <c r="C26" s="55">
        <f t="shared" si="14"/>
        <v>900.00000000000011</v>
      </c>
      <c r="D26" s="55">
        <f t="shared" ref="D26:W26" si="15">D9*1000/D8</f>
        <v>900</v>
      </c>
      <c r="E26" s="55">
        <f t="shared" si="15"/>
        <v>900.00000000000011</v>
      </c>
      <c r="F26" s="55">
        <f t="shared" si="15"/>
        <v>900</v>
      </c>
      <c r="G26" s="55">
        <f t="shared" si="15"/>
        <v>900</v>
      </c>
      <c r="H26" s="55">
        <f t="shared" si="15"/>
        <v>900</v>
      </c>
      <c r="I26" s="55">
        <f t="shared" si="15"/>
        <v>900</v>
      </c>
      <c r="J26" s="55">
        <f t="shared" si="15"/>
        <v>900</v>
      </c>
      <c r="K26" s="55">
        <f t="shared" si="15"/>
        <v>900</v>
      </c>
      <c r="L26" s="55">
        <f t="shared" si="15"/>
        <v>900</v>
      </c>
      <c r="M26" s="55">
        <f t="shared" si="15"/>
        <v>900</v>
      </c>
      <c r="N26" s="55">
        <f t="shared" si="15"/>
        <v>899.99999999999989</v>
      </c>
      <c r="O26" s="55">
        <f t="shared" si="15"/>
        <v>900.00000000000011</v>
      </c>
      <c r="P26" s="55">
        <f t="shared" si="15"/>
        <v>900</v>
      </c>
      <c r="Q26" s="55">
        <f t="shared" si="15"/>
        <v>900</v>
      </c>
      <c r="R26" s="55">
        <f t="shared" si="15"/>
        <v>899.99999999999989</v>
      </c>
      <c r="S26" s="55">
        <f t="shared" si="15"/>
        <v>900</v>
      </c>
      <c r="T26" s="55">
        <f t="shared" si="15"/>
        <v>900.00000000000011</v>
      </c>
      <c r="U26" s="55">
        <f t="shared" si="15"/>
        <v>900.00000000000011</v>
      </c>
      <c r="V26" s="55">
        <f t="shared" si="15"/>
        <v>900</v>
      </c>
      <c r="W26" s="55">
        <f t="shared" si="15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900.00000000000011</v>
      </c>
      <c r="D27" s="57">
        <f t="shared" ref="D27:W27" si="17">IF(SUM(D11)=0,"",D11*1000/D10)</f>
        <v>900</v>
      </c>
      <c r="E27" s="57">
        <f t="shared" si="17"/>
        <v>900.00000000000011</v>
      </c>
      <c r="F27" s="57">
        <f t="shared" si="17"/>
        <v>900</v>
      </c>
      <c r="G27" s="57">
        <f t="shared" si="17"/>
        <v>900</v>
      </c>
      <c r="H27" s="57">
        <f t="shared" si="17"/>
        <v>899.99999999999989</v>
      </c>
      <c r="I27" s="57">
        <f t="shared" si="17"/>
        <v>900</v>
      </c>
      <c r="J27" s="57">
        <f t="shared" si="17"/>
        <v>899.99999999999989</v>
      </c>
      <c r="K27" s="57">
        <f t="shared" si="17"/>
        <v>900</v>
      </c>
      <c r="L27" s="57">
        <f t="shared" si="17"/>
        <v>900</v>
      </c>
      <c r="M27" s="57">
        <f t="shared" si="17"/>
        <v>899.99999999999989</v>
      </c>
      <c r="N27" s="57">
        <f t="shared" si="17"/>
        <v>900.00000000000011</v>
      </c>
      <c r="O27" s="57">
        <f t="shared" si="17"/>
        <v>900</v>
      </c>
      <c r="P27" s="57">
        <f t="shared" si="17"/>
        <v>899.99999999999989</v>
      </c>
      <c r="Q27" s="57">
        <f t="shared" si="17"/>
        <v>900.00000000000011</v>
      </c>
      <c r="R27" s="57">
        <f t="shared" si="17"/>
        <v>900.00000000000011</v>
      </c>
      <c r="S27" s="57">
        <f t="shared" si="17"/>
        <v>899.99999999999989</v>
      </c>
      <c r="T27" s="57">
        <f t="shared" si="17"/>
        <v>900.00000000000011</v>
      </c>
      <c r="U27" s="57">
        <f t="shared" si="17"/>
        <v>900</v>
      </c>
      <c r="V27" s="57">
        <f t="shared" si="17"/>
        <v>900</v>
      </c>
      <c r="W27" s="57">
        <f t="shared" si="17"/>
        <v>900.00000000000011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469.13121238177109</v>
      </c>
      <c r="C31" s="80">
        <f t="shared" ref="C31:W31" si="18">SUM(C32:C33,C36:C37,C44:C45)</f>
        <v>477.73533963886501</v>
      </c>
      <c r="D31" s="80">
        <f t="shared" si="18"/>
        <v>495.86070507308671</v>
      </c>
      <c r="E31" s="80">
        <f t="shared" si="18"/>
        <v>522.72794496990537</v>
      </c>
      <c r="F31" s="80">
        <f t="shared" si="18"/>
        <v>548.56063821323005</v>
      </c>
      <c r="G31" s="80">
        <f t="shared" si="18"/>
        <v>565.3741999460002</v>
      </c>
      <c r="H31" s="80">
        <f t="shared" si="18"/>
        <v>610.58325120126506</v>
      </c>
      <c r="I31" s="80">
        <f t="shared" si="18"/>
        <v>632.20138700047892</v>
      </c>
      <c r="J31" s="80">
        <f t="shared" si="18"/>
        <v>608.73542136608967</v>
      </c>
      <c r="K31" s="80">
        <f t="shared" si="18"/>
        <v>592.95027972164121</v>
      </c>
      <c r="L31" s="80">
        <f t="shared" si="18"/>
        <v>602.48438868247501</v>
      </c>
      <c r="M31" s="80">
        <f t="shared" si="18"/>
        <v>584.57625056852783</v>
      </c>
      <c r="N31" s="80">
        <f t="shared" si="18"/>
        <v>612.07027932819631</v>
      </c>
      <c r="O31" s="80">
        <f t="shared" si="18"/>
        <v>588.74113341289478</v>
      </c>
      <c r="P31" s="80">
        <f t="shared" si="18"/>
        <v>580.70673940344</v>
      </c>
      <c r="Q31" s="80">
        <f t="shared" si="18"/>
        <v>570.54844459051344</v>
      </c>
      <c r="R31" s="80">
        <f t="shared" si="18"/>
        <v>597.18130281794788</v>
      </c>
      <c r="S31" s="80">
        <f t="shared" si="18"/>
        <v>628.07245142793681</v>
      </c>
      <c r="T31" s="80">
        <f t="shared" si="18"/>
        <v>643.48918919329185</v>
      </c>
      <c r="U31" s="80">
        <f t="shared" si="18"/>
        <v>616.48374239438067</v>
      </c>
      <c r="V31" s="80">
        <f t="shared" si="18"/>
        <v>566.90329654561606</v>
      </c>
      <c r="W31" s="80">
        <f t="shared" si="18"/>
        <v>635.54262349489318</v>
      </c>
      <c r="DA31" s="103" t="s">
        <v>198</v>
      </c>
    </row>
    <row r="32" spans="1:105" ht="12" customHeight="1" x14ac:dyDescent="0.25">
      <c r="A32" s="58" t="s">
        <v>29</v>
      </c>
      <c r="B32" s="59">
        <v>44.818400687876178</v>
      </c>
      <c r="C32" s="59">
        <v>37.03387790197764</v>
      </c>
      <c r="D32" s="59">
        <v>43.384006878761816</v>
      </c>
      <c r="E32" s="59">
        <v>43.92631126397248</v>
      </c>
      <c r="F32" s="59">
        <v>43.252364574376614</v>
      </c>
      <c r="G32" s="59">
        <v>50.701977644024083</v>
      </c>
      <c r="H32" s="59">
        <v>68.093293207222686</v>
      </c>
      <c r="I32" s="59">
        <v>51.945915735167674</v>
      </c>
      <c r="J32" s="59">
        <v>39.482717110920035</v>
      </c>
      <c r="K32" s="59">
        <v>48.633190025795358</v>
      </c>
      <c r="L32" s="59">
        <v>49.106964746345653</v>
      </c>
      <c r="M32" s="59">
        <v>58.618142734307824</v>
      </c>
      <c r="N32" s="59">
        <v>40.986930352536547</v>
      </c>
      <c r="O32" s="59">
        <v>47.942132416165094</v>
      </c>
      <c r="P32" s="59">
        <v>41.944625967325877</v>
      </c>
      <c r="Q32" s="59">
        <v>31.328460877042129</v>
      </c>
      <c r="R32" s="59">
        <v>38.243508168529665</v>
      </c>
      <c r="S32" s="59">
        <v>39.788822012037826</v>
      </c>
      <c r="T32" s="59">
        <v>41.187016337059319</v>
      </c>
      <c r="U32" s="59">
        <v>34.636113499570079</v>
      </c>
      <c r="V32" s="59">
        <v>22.883748925193462</v>
      </c>
      <c r="W32" s="59">
        <v>27.925365434221838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19.891745485812553</v>
      </c>
      <c r="C33" s="55">
        <f t="shared" ref="C33:W33" si="19">SUM(C34:C35)</f>
        <v>14.060619088564058</v>
      </c>
      <c r="D33" s="55">
        <f t="shared" si="19"/>
        <v>15.145141874462594</v>
      </c>
      <c r="E33" s="55">
        <f t="shared" si="19"/>
        <v>9.9113499570077384</v>
      </c>
      <c r="F33" s="55">
        <f t="shared" si="19"/>
        <v>10.143078245915733</v>
      </c>
      <c r="G33" s="55">
        <f t="shared" si="19"/>
        <v>7.1135855546001707</v>
      </c>
      <c r="H33" s="55">
        <f t="shared" si="19"/>
        <v>6.0917454858125533</v>
      </c>
      <c r="I33" s="55">
        <f t="shared" si="19"/>
        <v>6.030696474634567</v>
      </c>
      <c r="J33" s="55">
        <f t="shared" si="19"/>
        <v>9.1578675838349106</v>
      </c>
      <c r="K33" s="55">
        <f t="shared" si="19"/>
        <v>3.0142734307824588</v>
      </c>
      <c r="L33" s="55">
        <f t="shared" si="19"/>
        <v>4.0360275150472926</v>
      </c>
      <c r="M33" s="55">
        <f t="shared" si="19"/>
        <v>5.0647463456577819</v>
      </c>
      <c r="N33" s="55">
        <f t="shared" si="19"/>
        <v>3.086156491831471</v>
      </c>
      <c r="O33" s="55">
        <f t="shared" si="19"/>
        <v>3.086156491831471</v>
      </c>
      <c r="P33" s="55">
        <f t="shared" si="19"/>
        <v>4.1148753224419607</v>
      </c>
      <c r="Q33" s="55">
        <f t="shared" si="19"/>
        <v>2.0473774720550302</v>
      </c>
      <c r="R33" s="55">
        <f t="shared" si="19"/>
        <v>2.0473774720550302</v>
      </c>
      <c r="S33" s="55">
        <f t="shared" si="19"/>
        <v>2.3715391229578673</v>
      </c>
      <c r="T33" s="55">
        <f t="shared" si="19"/>
        <v>1.7670679277730008</v>
      </c>
      <c r="U33" s="55">
        <f t="shared" si="19"/>
        <v>2.2751504729148753</v>
      </c>
      <c r="V33" s="55">
        <f t="shared" si="19"/>
        <v>2.5843508168529663</v>
      </c>
      <c r="W33" s="55">
        <f t="shared" si="19"/>
        <v>2.9952708512467754</v>
      </c>
      <c r="DA33" s="101"/>
    </row>
    <row r="34" spans="1:105" ht="12" customHeight="1" x14ac:dyDescent="0.25">
      <c r="A34" s="61" t="s">
        <v>52</v>
      </c>
      <c r="B34" s="55">
        <v>0</v>
      </c>
      <c r="C34" s="55">
        <v>0</v>
      </c>
      <c r="D34" s="55"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0</v>
      </c>
      <c r="V34" s="55">
        <v>0</v>
      </c>
      <c r="W34" s="55">
        <v>0</v>
      </c>
      <c r="DA34" s="101" t="s">
        <v>200</v>
      </c>
    </row>
    <row r="35" spans="1:105" ht="12" customHeight="1" x14ac:dyDescent="0.25">
      <c r="A35" s="61" t="s">
        <v>170</v>
      </c>
      <c r="B35" s="55">
        <v>19.891745485812553</v>
      </c>
      <c r="C35" s="55">
        <v>14.060619088564058</v>
      </c>
      <c r="D35" s="55">
        <v>15.145141874462594</v>
      </c>
      <c r="E35" s="55">
        <v>9.9113499570077384</v>
      </c>
      <c r="F35" s="55">
        <v>10.143078245915733</v>
      </c>
      <c r="G35" s="55">
        <v>7.1135855546001707</v>
      </c>
      <c r="H35" s="55">
        <v>6.0917454858125533</v>
      </c>
      <c r="I35" s="55">
        <v>6.030696474634567</v>
      </c>
      <c r="J35" s="55">
        <v>9.1578675838349106</v>
      </c>
      <c r="K35" s="55">
        <v>3.0142734307824588</v>
      </c>
      <c r="L35" s="55">
        <v>4.0360275150472926</v>
      </c>
      <c r="M35" s="55">
        <v>5.0647463456577819</v>
      </c>
      <c r="N35" s="55">
        <v>3.086156491831471</v>
      </c>
      <c r="O35" s="55">
        <v>3.086156491831471</v>
      </c>
      <c r="P35" s="55">
        <v>4.1148753224419607</v>
      </c>
      <c r="Q35" s="55">
        <v>2.0473774720550302</v>
      </c>
      <c r="R35" s="55">
        <v>2.0473774720550302</v>
      </c>
      <c r="S35" s="55">
        <v>2.3715391229578673</v>
      </c>
      <c r="T35" s="55">
        <v>1.7670679277730008</v>
      </c>
      <c r="U35" s="55">
        <v>2.2751504729148753</v>
      </c>
      <c r="V35" s="55">
        <v>2.5843508168529663</v>
      </c>
      <c r="W35" s="55">
        <v>2.9952708512467754</v>
      </c>
      <c r="DA35" s="101" t="s">
        <v>201</v>
      </c>
    </row>
    <row r="36" spans="1:105" ht="12" customHeight="1" x14ac:dyDescent="0.25">
      <c r="A36" s="60" t="s">
        <v>153</v>
      </c>
      <c r="B36" s="55">
        <v>31.104901117798789</v>
      </c>
      <c r="C36" s="55">
        <v>33.920894239036969</v>
      </c>
      <c r="D36" s="55">
        <v>38.478073946689591</v>
      </c>
      <c r="E36" s="55">
        <v>40.004299226139302</v>
      </c>
      <c r="F36" s="55">
        <v>51.913155631986243</v>
      </c>
      <c r="G36" s="55">
        <v>50.580395528804807</v>
      </c>
      <c r="H36" s="55">
        <v>53.826311263972478</v>
      </c>
      <c r="I36" s="55">
        <v>71.990541702493545</v>
      </c>
      <c r="J36" s="55">
        <v>68.615649183147028</v>
      </c>
      <c r="K36" s="55">
        <v>62.145313843508163</v>
      </c>
      <c r="L36" s="55">
        <v>66.40154772141014</v>
      </c>
      <c r="M36" s="55">
        <v>60.14617368873602</v>
      </c>
      <c r="N36" s="55">
        <v>63.263112639724852</v>
      </c>
      <c r="O36" s="55">
        <v>63.198624247635422</v>
      </c>
      <c r="P36" s="55">
        <v>53.890799656061908</v>
      </c>
      <c r="Q36" s="55">
        <v>61.500429922613932</v>
      </c>
      <c r="R36" s="55">
        <v>65.477214101461726</v>
      </c>
      <c r="S36" s="55">
        <v>68.852966466036108</v>
      </c>
      <c r="T36" s="55">
        <v>73.107824591573518</v>
      </c>
      <c r="U36" s="55">
        <v>72.5938950988822</v>
      </c>
      <c r="V36" s="55">
        <v>69.345743766122098</v>
      </c>
      <c r="W36" s="55">
        <v>72.463370593293206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40.675494411006007</v>
      </c>
      <c r="C37" s="55">
        <f t="shared" ref="C37:W37" si="20">SUM(C38:C42)</f>
        <v>39.672312983662941</v>
      </c>
      <c r="D37" s="55">
        <f t="shared" si="20"/>
        <v>39.743938091143583</v>
      </c>
      <c r="E37" s="55">
        <f t="shared" si="20"/>
        <v>34.417626827171112</v>
      </c>
      <c r="F37" s="55">
        <f t="shared" si="20"/>
        <v>31.264918314703351</v>
      </c>
      <c r="G37" s="55">
        <f t="shared" si="20"/>
        <v>31.724677558039549</v>
      </c>
      <c r="H37" s="55">
        <f t="shared" si="20"/>
        <v>31.270851246775582</v>
      </c>
      <c r="I37" s="55">
        <f t="shared" si="20"/>
        <v>29.766122098022358</v>
      </c>
      <c r="J37" s="55">
        <f t="shared" si="20"/>
        <v>31.518056749785035</v>
      </c>
      <c r="K37" s="55">
        <f t="shared" si="20"/>
        <v>30.639122957867585</v>
      </c>
      <c r="L37" s="55">
        <f t="shared" si="20"/>
        <v>31.709114359415302</v>
      </c>
      <c r="M37" s="55">
        <f t="shared" si="20"/>
        <v>34.479793637145313</v>
      </c>
      <c r="N37" s="55">
        <f t="shared" si="20"/>
        <v>35.392175408426475</v>
      </c>
      <c r="O37" s="55">
        <f t="shared" si="20"/>
        <v>37.422355975924326</v>
      </c>
      <c r="P37" s="55">
        <f t="shared" si="20"/>
        <v>38.330008598452267</v>
      </c>
      <c r="Q37" s="55">
        <f t="shared" si="20"/>
        <v>38.32527944969906</v>
      </c>
      <c r="R37" s="55">
        <f t="shared" si="20"/>
        <v>39.949355116079111</v>
      </c>
      <c r="S37" s="55">
        <f t="shared" si="20"/>
        <v>35.536543422183996</v>
      </c>
      <c r="T37" s="55">
        <f t="shared" si="20"/>
        <v>36.6408426483233</v>
      </c>
      <c r="U37" s="55">
        <f t="shared" si="20"/>
        <v>35.989251934651755</v>
      </c>
      <c r="V37" s="55">
        <f t="shared" si="20"/>
        <v>38.186672398968177</v>
      </c>
      <c r="W37" s="55">
        <f t="shared" si="20"/>
        <v>39.508942390369732</v>
      </c>
      <c r="DA37" s="101"/>
    </row>
    <row r="38" spans="1:105" ht="12" customHeight="1" x14ac:dyDescent="0.25">
      <c r="A38" s="61" t="s">
        <v>171</v>
      </c>
      <c r="B38" s="55">
        <v>40.675494411006007</v>
      </c>
      <c r="C38" s="55">
        <v>39.672312983662941</v>
      </c>
      <c r="D38" s="55">
        <v>38.931900257953558</v>
      </c>
      <c r="E38" s="55">
        <v>33.486156491831473</v>
      </c>
      <c r="F38" s="55">
        <v>30.95442820292347</v>
      </c>
      <c r="G38" s="55">
        <v>31.175322441960443</v>
      </c>
      <c r="H38" s="55">
        <v>30.649871023215823</v>
      </c>
      <c r="I38" s="55">
        <v>29.049613069647464</v>
      </c>
      <c r="J38" s="55">
        <v>30.682115219260531</v>
      </c>
      <c r="K38" s="55">
        <v>29.397162510748068</v>
      </c>
      <c r="L38" s="55">
        <v>30.03723129836629</v>
      </c>
      <c r="M38" s="55">
        <v>32.545141874462594</v>
      </c>
      <c r="N38" s="55">
        <v>33.50533104041272</v>
      </c>
      <c r="O38" s="55">
        <v>35.320550300945825</v>
      </c>
      <c r="P38" s="55">
        <v>33.863628546861555</v>
      </c>
      <c r="Q38" s="55">
        <v>33.763284608770427</v>
      </c>
      <c r="R38" s="55">
        <v>34.694754944110066</v>
      </c>
      <c r="S38" s="55">
        <v>30.759587274290617</v>
      </c>
      <c r="T38" s="55">
        <v>31.792261392949271</v>
      </c>
      <c r="U38" s="55">
        <v>31.307910576096294</v>
      </c>
      <c r="V38" s="55">
        <v>33.529148753224412</v>
      </c>
      <c r="W38" s="55">
        <v>33.752794496990539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0.81203783319002576</v>
      </c>
      <c r="E39" s="55">
        <v>0.93147033533963886</v>
      </c>
      <c r="F39" s="55">
        <v>0.31049011177987962</v>
      </c>
      <c r="G39" s="55">
        <v>0.5493551160791057</v>
      </c>
      <c r="H39" s="55">
        <v>0.62098022355975924</v>
      </c>
      <c r="I39" s="55">
        <v>0.7165090283748925</v>
      </c>
      <c r="J39" s="55">
        <v>0.83594153052450548</v>
      </c>
      <c r="K39" s="55">
        <v>1.241960447119518</v>
      </c>
      <c r="L39" s="55">
        <v>1.671883061049011</v>
      </c>
      <c r="M39" s="55">
        <v>1.9346517626827171</v>
      </c>
      <c r="N39" s="55">
        <v>1.886844368013757</v>
      </c>
      <c r="O39" s="55">
        <v>2.101805674978503</v>
      </c>
      <c r="P39" s="55">
        <v>4.4663800515907139</v>
      </c>
      <c r="Q39" s="55">
        <v>4.5619948409286319</v>
      </c>
      <c r="R39" s="55">
        <v>5.2546001719690452</v>
      </c>
      <c r="S39" s="55">
        <v>4.7769561478933786</v>
      </c>
      <c r="T39" s="55">
        <v>4.8485812553740324</v>
      </c>
      <c r="U39" s="55">
        <v>4.6813413585554597</v>
      </c>
      <c r="V39" s="55">
        <v>4.6575236457437663</v>
      </c>
      <c r="W39" s="55">
        <v>5.7561478933791914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DA42" s="101" t="s">
        <v>207</v>
      </c>
    </row>
    <row r="43" spans="1:105" ht="12" customHeight="1" x14ac:dyDescent="0.25">
      <c r="A43" s="61" t="s">
        <v>157</v>
      </c>
      <c r="B43" s="55">
        <v>1.6571062297492736E-3</v>
      </c>
      <c r="C43" s="55">
        <v>2.8301712670845761E-3</v>
      </c>
      <c r="D43" s="55">
        <v>4.8326509150033829E-3</v>
      </c>
      <c r="E43" s="55">
        <v>1.1208038268557121E-2</v>
      </c>
      <c r="F43" s="55">
        <v>1.7093407270307635E-2</v>
      </c>
      <c r="G43" s="55">
        <v>2.6671976312569234E-2</v>
      </c>
      <c r="H43" s="55">
        <v>3.70147487045282E-2</v>
      </c>
      <c r="I43" s="55">
        <v>4.9835138063500595E-2</v>
      </c>
      <c r="J43" s="55">
        <v>9.3339486609354982E-2</v>
      </c>
      <c r="K43" s="55">
        <v>0.11019057834686088</v>
      </c>
      <c r="L43" s="55">
        <v>0.12988281185937453</v>
      </c>
      <c r="M43" s="55">
        <v>0.25427626880166943</v>
      </c>
      <c r="N43" s="55">
        <v>0.41660090546969447</v>
      </c>
      <c r="O43" s="55">
        <v>0.60685987348150883</v>
      </c>
      <c r="P43" s="55">
        <v>1.0137212199783578</v>
      </c>
      <c r="Q43" s="55">
        <v>1.1413728286891078</v>
      </c>
      <c r="R43" s="55">
        <v>1.2303781203872401</v>
      </c>
      <c r="S43" s="55">
        <v>1.2818034259110762</v>
      </c>
      <c r="T43" s="55">
        <v>1.3613929492691326</v>
      </c>
      <c r="U43" s="55">
        <v>1.4092003439380891</v>
      </c>
      <c r="V43" s="55">
        <v>1.4092003439380902</v>
      </c>
      <c r="W43" s="55">
        <v>2.9616509028374836</v>
      </c>
      <c r="DA43" s="101" t="s">
        <v>208</v>
      </c>
    </row>
    <row r="44" spans="1:105" ht="12" customHeight="1" x14ac:dyDescent="0.25">
      <c r="A44" s="60" t="s">
        <v>169</v>
      </c>
      <c r="B44" s="55">
        <v>167.98030954428199</v>
      </c>
      <c r="C44" s="55">
        <v>177.72519346517629</v>
      </c>
      <c r="D44" s="55">
        <v>174.93069647463449</v>
      </c>
      <c r="E44" s="55">
        <v>186.29982803095439</v>
      </c>
      <c r="F44" s="55">
        <v>189.57196904557179</v>
      </c>
      <c r="G44" s="55">
        <v>190.86173688736031</v>
      </c>
      <c r="H44" s="55">
        <v>204.33267411865859</v>
      </c>
      <c r="I44" s="55">
        <v>210.90094582975061</v>
      </c>
      <c r="J44" s="55">
        <v>178.91943250214959</v>
      </c>
      <c r="K44" s="55">
        <v>192.27093723129829</v>
      </c>
      <c r="L44" s="55">
        <v>205.33585554600171</v>
      </c>
      <c r="M44" s="55">
        <v>170.6314703353396</v>
      </c>
      <c r="N44" s="55">
        <v>199.57962166809969</v>
      </c>
      <c r="O44" s="55">
        <v>171.13310404127259</v>
      </c>
      <c r="P44" s="55">
        <v>169.58056749785041</v>
      </c>
      <c r="Q44" s="55">
        <v>174.3097162510748</v>
      </c>
      <c r="R44" s="55">
        <v>173.71263972484951</v>
      </c>
      <c r="S44" s="55">
        <v>202.1591573516767</v>
      </c>
      <c r="T44" s="55">
        <v>201.60980223559761</v>
      </c>
      <c r="U44" s="55">
        <v>175.12184006878761</v>
      </c>
      <c r="V44" s="55">
        <v>157.82940670679281</v>
      </c>
      <c r="W44" s="55">
        <v>197.5016337059329</v>
      </c>
      <c r="DA44" s="101" t="s">
        <v>209</v>
      </c>
    </row>
    <row r="45" spans="1:105" ht="12" customHeight="1" x14ac:dyDescent="0.25">
      <c r="A45" s="62" t="s">
        <v>24</v>
      </c>
      <c r="B45" s="63">
        <v>164.66036113499561</v>
      </c>
      <c r="C45" s="63">
        <v>175.32244196044712</v>
      </c>
      <c r="D45" s="63">
        <v>184.17884780739465</v>
      </c>
      <c r="E45" s="63">
        <v>208.16852966466035</v>
      </c>
      <c r="F45" s="63">
        <v>222.41515240067631</v>
      </c>
      <c r="G45" s="63">
        <v>234.39182677317129</v>
      </c>
      <c r="H45" s="63">
        <v>246.96837587882314</v>
      </c>
      <c r="I45" s="63">
        <v>261.56716516041024</v>
      </c>
      <c r="J45" s="63">
        <v>281.04169823625313</v>
      </c>
      <c r="K45" s="63">
        <v>256.2474422323894</v>
      </c>
      <c r="L45" s="63">
        <v>245.89487879425494</v>
      </c>
      <c r="M45" s="63">
        <v>255.63592382734126</v>
      </c>
      <c r="N45" s="63">
        <v>269.76228276757729</v>
      </c>
      <c r="O45" s="63">
        <v>265.95876024006589</v>
      </c>
      <c r="P45" s="63">
        <v>272.84586236130758</v>
      </c>
      <c r="Q45" s="63">
        <v>263.03718061802851</v>
      </c>
      <c r="R45" s="63">
        <v>277.75120823497281</v>
      </c>
      <c r="S45" s="63">
        <v>279.36342305304424</v>
      </c>
      <c r="T45" s="63">
        <v>289.17663545296506</v>
      </c>
      <c r="U45" s="63">
        <v>295.86749131957419</v>
      </c>
      <c r="V45" s="63">
        <v>276.07337393168655</v>
      </c>
      <c r="W45" s="63">
        <v>295.14804051982873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469.13121238177121</v>
      </c>
      <c r="C47" s="82">
        <f t="shared" ref="C47:W47" si="22">SUM(C48,C53)</f>
        <v>477.73533963886501</v>
      </c>
      <c r="D47" s="82">
        <f t="shared" si="22"/>
        <v>495.86070507308671</v>
      </c>
      <c r="E47" s="82">
        <f t="shared" si="22"/>
        <v>522.72794496990537</v>
      </c>
      <c r="F47" s="82">
        <f t="shared" si="22"/>
        <v>548.56063821323005</v>
      </c>
      <c r="G47" s="82">
        <f t="shared" si="22"/>
        <v>565.37419994600009</v>
      </c>
      <c r="H47" s="82">
        <f t="shared" si="22"/>
        <v>610.58325120126506</v>
      </c>
      <c r="I47" s="82">
        <f t="shared" si="22"/>
        <v>632.20138700047892</v>
      </c>
      <c r="J47" s="82">
        <f t="shared" si="22"/>
        <v>608.73542136608978</v>
      </c>
      <c r="K47" s="82">
        <f t="shared" si="22"/>
        <v>592.95027972164121</v>
      </c>
      <c r="L47" s="82">
        <f t="shared" si="22"/>
        <v>602.48438868247513</v>
      </c>
      <c r="M47" s="82">
        <f t="shared" si="22"/>
        <v>584.57625056852794</v>
      </c>
      <c r="N47" s="82">
        <f t="shared" si="22"/>
        <v>612.07027932819642</v>
      </c>
      <c r="O47" s="82">
        <f t="shared" si="22"/>
        <v>588.7411334128949</v>
      </c>
      <c r="P47" s="82">
        <f t="shared" si="22"/>
        <v>580.70673940344</v>
      </c>
      <c r="Q47" s="82">
        <f t="shared" si="22"/>
        <v>570.54844459051355</v>
      </c>
      <c r="R47" s="82">
        <f t="shared" si="22"/>
        <v>597.18130281794811</v>
      </c>
      <c r="S47" s="82">
        <f t="shared" si="22"/>
        <v>628.0724514279367</v>
      </c>
      <c r="T47" s="82">
        <f t="shared" si="22"/>
        <v>643.48918919329185</v>
      </c>
      <c r="U47" s="82">
        <f t="shared" si="22"/>
        <v>616.48374239438067</v>
      </c>
      <c r="V47" s="82">
        <f t="shared" si="22"/>
        <v>566.90329654561606</v>
      </c>
      <c r="W47" s="82">
        <f t="shared" si="22"/>
        <v>635.54262349489318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363.55793916570462</v>
      </c>
      <c r="C48" s="64">
        <f t="shared" ref="C48:W48" si="24">SUM(C49:C52)</f>
        <v>364.5999506730069</v>
      </c>
      <c r="D48" s="64">
        <f t="shared" si="24"/>
        <v>373.92977813099617</v>
      </c>
      <c r="E48" s="64">
        <f t="shared" si="24"/>
        <v>387.86884777286292</v>
      </c>
      <c r="F48" s="64">
        <f t="shared" si="24"/>
        <v>402.75788431210935</v>
      </c>
      <c r="G48" s="64">
        <f t="shared" si="24"/>
        <v>408.57659805598337</v>
      </c>
      <c r="H48" s="64">
        <f t="shared" si="24"/>
        <v>444.79777839203854</v>
      </c>
      <c r="I48" s="64">
        <f t="shared" si="24"/>
        <v>452.25679861754406</v>
      </c>
      <c r="J48" s="64">
        <f t="shared" si="24"/>
        <v>420.71635774077441</v>
      </c>
      <c r="K48" s="64">
        <f t="shared" si="24"/>
        <v>405.02943266243716</v>
      </c>
      <c r="L48" s="64">
        <f t="shared" si="24"/>
        <v>414.50272144663404</v>
      </c>
      <c r="M48" s="64">
        <f t="shared" si="24"/>
        <v>392.04607365585383</v>
      </c>
      <c r="N48" s="64">
        <f t="shared" si="24"/>
        <v>414.35134660156598</v>
      </c>
      <c r="O48" s="64">
        <f t="shared" si="24"/>
        <v>386.786755732237</v>
      </c>
      <c r="P48" s="64">
        <f t="shared" si="24"/>
        <v>373.74879516064516</v>
      </c>
      <c r="Q48" s="64">
        <f t="shared" si="24"/>
        <v>359.79969689342715</v>
      </c>
      <c r="R48" s="64">
        <f t="shared" si="24"/>
        <v>382.18993204719635</v>
      </c>
      <c r="S48" s="64">
        <f t="shared" si="24"/>
        <v>404.42122480706672</v>
      </c>
      <c r="T48" s="64">
        <f t="shared" si="24"/>
        <v>420.07626574018497</v>
      </c>
      <c r="U48" s="64">
        <f t="shared" si="24"/>
        <v>391.23250399536295</v>
      </c>
      <c r="V48" s="64">
        <f t="shared" si="24"/>
        <v>352.68680401873138</v>
      </c>
      <c r="W48" s="64">
        <f t="shared" si="24"/>
        <v>414.81236464003655</v>
      </c>
      <c r="DA48" s="108" t="s">
        <v>212</v>
      </c>
    </row>
    <row r="49" spans="1:105" ht="12" customHeight="1" x14ac:dyDescent="0.25">
      <c r="A49" s="61" t="s">
        <v>32</v>
      </c>
      <c r="B49" s="65">
        <v>298.90577451498984</v>
      </c>
      <c r="C49" s="65">
        <v>298.05986690437794</v>
      </c>
      <c r="D49" s="65">
        <v>304.33581742322656</v>
      </c>
      <c r="E49" s="65">
        <v>315.14548810287476</v>
      </c>
      <c r="F49" s="65">
        <v>325.69779718618793</v>
      </c>
      <c r="G49" s="65">
        <v>326.52385088293499</v>
      </c>
      <c r="H49" s="65">
        <v>356.22844532751719</v>
      </c>
      <c r="I49" s="65">
        <v>358.03542663751927</v>
      </c>
      <c r="J49" s="65">
        <v>323.13766605997142</v>
      </c>
      <c r="K49" s="65">
        <v>308.12037579187518</v>
      </c>
      <c r="L49" s="65">
        <v>316.83982309522031</v>
      </c>
      <c r="M49" s="65">
        <v>293.78962786790595</v>
      </c>
      <c r="N49" s="65">
        <v>313.96845532588719</v>
      </c>
      <c r="O49" s="65">
        <v>287.71700983371494</v>
      </c>
      <c r="P49" s="65">
        <v>273.9371296369975</v>
      </c>
      <c r="Q49" s="65">
        <v>261.44022871450039</v>
      </c>
      <c r="R49" s="65">
        <v>281.264975816066</v>
      </c>
      <c r="S49" s="65">
        <v>304.96784948322181</v>
      </c>
      <c r="T49" s="65">
        <v>318.87960808219077</v>
      </c>
      <c r="U49" s="65">
        <v>289.78103471669124</v>
      </c>
      <c r="V49" s="65">
        <v>261.43423136095998</v>
      </c>
      <c r="W49" s="65">
        <v>311.53320942595968</v>
      </c>
      <c r="DA49" s="109" t="s">
        <v>213</v>
      </c>
    </row>
    <row r="50" spans="1:105" ht="12" customHeight="1" x14ac:dyDescent="0.25">
      <c r="A50" s="61" t="s">
        <v>31</v>
      </c>
      <c r="B50" s="65">
        <v>1.165352807056919</v>
      </c>
      <c r="C50" s="65">
        <v>1.2864017697449364</v>
      </c>
      <c r="D50" s="65">
        <v>1.4689840106473053</v>
      </c>
      <c r="E50" s="65">
        <v>1.3959410967031012</v>
      </c>
      <c r="F50" s="65">
        <v>1.4727327197045095</v>
      </c>
      <c r="G50" s="65">
        <v>1.5635673526712102</v>
      </c>
      <c r="H50" s="65">
        <v>1.8294184108207201</v>
      </c>
      <c r="I50" s="65">
        <v>1.7999062238712262</v>
      </c>
      <c r="J50" s="65">
        <v>1.8533571742791057</v>
      </c>
      <c r="K50" s="65">
        <v>1.9351536367622304</v>
      </c>
      <c r="L50" s="65">
        <v>2.5037095666596443</v>
      </c>
      <c r="M50" s="65">
        <v>2.0127903021893601</v>
      </c>
      <c r="N50" s="65">
        <v>2.2016188063932534</v>
      </c>
      <c r="O50" s="65">
        <v>2.0526801983271628</v>
      </c>
      <c r="P50" s="65">
        <v>2.2837077169581774</v>
      </c>
      <c r="Q50" s="65">
        <v>2.2122459795852891</v>
      </c>
      <c r="R50" s="65">
        <v>2.1080720029282061</v>
      </c>
      <c r="S50" s="65">
        <v>2.0847476169896599</v>
      </c>
      <c r="T50" s="65">
        <v>2.2331340543239793</v>
      </c>
      <c r="U50" s="65">
        <v>2.2013002146273446</v>
      </c>
      <c r="V50" s="65">
        <v>2.1547339253933089</v>
      </c>
      <c r="W50" s="65">
        <v>2.5695617025079667</v>
      </c>
      <c r="DA50" s="109" t="s">
        <v>214</v>
      </c>
    </row>
    <row r="51" spans="1:105" ht="12" customHeight="1" x14ac:dyDescent="0.25">
      <c r="A51" s="61" t="s">
        <v>35</v>
      </c>
      <c r="B51" s="65">
        <v>31.374172360243804</v>
      </c>
      <c r="C51" s="65">
        <v>32.535268998680742</v>
      </c>
      <c r="D51" s="65">
        <v>33.960272048701093</v>
      </c>
      <c r="E51" s="65">
        <v>35.773391706117252</v>
      </c>
      <c r="F51" s="65">
        <v>38.898523071469512</v>
      </c>
      <c r="G51" s="65">
        <v>41.763392934548236</v>
      </c>
      <c r="H51" s="65">
        <v>44.839947841319052</v>
      </c>
      <c r="I51" s="65">
        <v>47.76845317289596</v>
      </c>
      <c r="J51" s="65">
        <v>50.277844817456312</v>
      </c>
      <c r="K51" s="65">
        <v>50.311108356515177</v>
      </c>
      <c r="L51" s="65">
        <v>51.231688227401229</v>
      </c>
      <c r="M51" s="65">
        <v>52.458451283220526</v>
      </c>
      <c r="N51" s="65">
        <v>53.380781462802247</v>
      </c>
      <c r="O51" s="65">
        <v>54.084089316744844</v>
      </c>
      <c r="P51" s="65">
        <v>54.750186964866785</v>
      </c>
      <c r="Q51" s="65">
        <v>55.273059319551855</v>
      </c>
      <c r="R51" s="65">
        <v>56.073522390442726</v>
      </c>
      <c r="S51" s="65">
        <v>56.352219294060291</v>
      </c>
      <c r="T51" s="65">
        <v>56.029508184126882</v>
      </c>
      <c r="U51" s="65">
        <v>55.549751840580271</v>
      </c>
      <c r="V51" s="65">
        <v>48.772156854454593</v>
      </c>
      <c r="W51" s="65">
        <v>54.261987735761416</v>
      </c>
      <c r="DA51" s="109" t="s">
        <v>215</v>
      </c>
    </row>
    <row r="52" spans="1:105" ht="12" customHeight="1" x14ac:dyDescent="0.25">
      <c r="A52" s="66" t="s">
        <v>34</v>
      </c>
      <c r="B52" s="67">
        <v>32.112639483414036</v>
      </c>
      <c r="C52" s="67">
        <v>32.718413000203284</v>
      </c>
      <c r="D52" s="67">
        <v>34.164704648421207</v>
      </c>
      <c r="E52" s="67">
        <v>35.554026867167792</v>
      </c>
      <c r="F52" s="67">
        <v>36.688831334747427</v>
      </c>
      <c r="G52" s="67">
        <v>38.725786885828967</v>
      </c>
      <c r="H52" s="67">
        <v>41.899966812381592</v>
      </c>
      <c r="I52" s="67">
        <v>44.653012583257599</v>
      </c>
      <c r="J52" s="67">
        <v>45.447489689067595</v>
      </c>
      <c r="K52" s="67">
        <v>44.662794877284632</v>
      </c>
      <c r="L52" s="67">
        <v>43.927500557352857</v>
      </c>
      <c r="M52" s="67">
        <v>43.78520420253794</v>
      </c>
      <c r="N52" s="67">
        <v>44.800491006483291</v>
      </c>
      <c r="O52" s="67">
        <v>42.932976383450054</v>
      </c>
      <c r="P52" s="67">
        <v>42.777770841822679</v>
      </c>
      <c r="Q52" s="67">
        <v>40.874162879789608</v>
      </c>
      <c r="R52" s="67">
        <v>42.743361837759394</v>
      </c>
      <c r="S52" s="67">
        <v>41.016408412794988</v>
      </c>
      <c r="T52" s="67">
        <v>42.93401541954335</v>
      </c>
      <c r="U52" s="67">
        <v>43.700417223464093</v>
      </c>
      <c r="V52" s="67">
        <v>40.325681877923486</v>
      </c>
      <c r="W52" s="67">
        <v>46.447605775807496</v>
      </c>
      <c r="DA52" s="110" t="s">
        <v>216</v>
      </c>
    </row>
    <row r="53" spans="1:105" ht="12" customHeight="1" x14ac:dyDescent="0.25">
      <c r="A53" s="78" t="s">
        <v>33</v>
      </c>
      <c r="B53" s="68">
        <v>105.57327321606658</v>
      </c>
      <c r="C53" s="68">
        <v>113.1353889658581</v>
      </c>
      <c r="D53" s="68">
        <v>121.93092694209057</v>
      </c>
      <c r="E53" s="68">
        <v>134.85909719704244</v>
      </c>
      <c r="F53" s="68">
        <v>145.8027539011207</v>
      </c>
      <c r="G53" s="68">
        <v>156.79760189001672</v>
      </c>
      <c r="H53" s="68">
        <v>165.78547280922646</v>
      </c>
      <c r="I53" s="68">
        <v>179.94458838293488</v>
      </c>
      <c r="J53" s="68">
        <v>188.01906362531537</v>
      </c>
      <c r="K53" s="68">
        <v>187.92084705920411</v>
      </c>
      <c r="L53" s="68">
        <v>187.98166723584109</v>
      </c>
      <c r="M53" s="68">
        <v>192.53017691267411</v>
      </c>
      <c r="N53" s="68">
        <v>197.71893272663041</v>
      </c>
      <c r="O53" s="68">
        <v>201.95437768065787</v>
      </c>
      <c r="P53" s="68">
        <v>206.95794424279484</v>
      </c>
      <c r="Q53" s="68">
        <v>210.7487476970864</v>
      </c>
      <c r="R53" s="68">
        <v>214.99137077075173</v>
      </c>
      <c r="S53" s="68">
        <v>223.65122662086998</v>
      </c>
      <c r="T53" s="68">
        <v>223.41292345310688</v>
      </c>
      <c r="U53" s="68">
        <v>225.25123839901772</v>
      </c>
      <c r="V53" s="68">
        <v>214.21649252688462</v>
      </c>
      <c r="W53" s="68">
        <v>220.73025885485663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0.77496003158674331</v>
      </c>
      <c r="C56" s="70">
        <f t="shared" ref="C56:W56" si="28">IF(C48=0,0,C48/C$47)</f>
        <v>0.76318396488863338</v>
      </c>
      <c r="D56" s="70">
        <f t="shared" si="28"/>
        <v>0.75410246124641256</v>
      </c>
      <c r="E56" s="70">
        <f t="shared" si="28"/>
        <v>0.74200901540703623</v>
      </c>
      <c r="F56" s="70">
        <f t="shared" si="28"/>
        <v>0.73420850176923202</v>
      </c>
      <c r="G56" s="70">
        <f t="shared" si="28"/>
        <v>0.72266579920874929</v>
      </c>
      <c r="H56" s="70">
        <f t="shared" si="28"/>
        <v>0.72848014994997123</v>
      </c>
      <c r="I56" s="70">
        <f t="shared" si="28"/>
        <v>0.71536824802505761</v>
      </c>
      <c r="J56" s="70">
        <f t="shared" si="28"/>
        <v>0.69113171827035536</v>
      </c>
      <c r="K56" s="70">
        <f t="shared" si="28"/>
        <v>0.68307486565750009</v>
      </c>
      <c r="L56" s="70">
        <f t="shared" si="28"/>
        <v>0.68798914832146418</v>
      </c>
      <c r="M56" s="70">
        <f t="shared" si="28"/>
        <v>0.6706500191798257</v>
      </c>
      <c r="N56" s="70">
        <f t="shared" si="28"/>
        <v>0.67696694414954239</v>
      </c>
      <c r="O56" s="70">
        <f t="shared" si="28"/>
        <v>0.65697253645258114</v>
      </c>
      <c r="P56" s="70">
        <f t="shared" si="28"/>
        <v>0.64361022492109743</v>
      </c>
      <c r="Q56" s="70">
        <f t="shared" si="28"/>
        <v>0.63062076551914503</v>
      </c>
      <c r="R56" s="70">
        <f t="shared" si="28"/>
        <v>0.63998978240567539</v>
      </c>
      <c r="S56" s="70">
        <f t="shared" si="28"/>
        <v>0.64390855527512159</v>
      </c>
      <c r="T56" s="70">
        <f t="shared" si="28"/>
        <v>0.65281013697652357</v>
      </c>
      <c r="U56" s="70">
        <f t="shared" si="28"/>
        <v>0.63461933720399932</v>
      </c>
      <c r="V56" s="70">
        <f t="shared" si="28"/>
        <v>0.62212868785170716</v>
      </c>
      <c r="W56" s="70">
        <f t="shared" si="28"/>
        <v>0.65269007821844338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0.63714749013916661</v>
      </c>
      <c r="C57" s="71">
        <f t="shared" ref="C57:W57" si="30">IF(C49=0,0,C49/C$47)</f>
        <v>0.62390165050316493</v>
      </c>
      <c r="D57" s="71">
        <f t="shared" si="30"/>
        <v>0.61375264123494</v>
      </c>
      <c r="E57" s="71">
        <f t="shared" si="30"/>
        <v>0.60288624538911617</v>
      </c>
      <c r="F57" s="71">
        <f t="shared" si="30"/>
        <v>0.59373162144307279</v>
      </c>
      <c r="G57" s="71">
        <f t="shared" si="30"/>
        <v>0.57753581771881679</v>
      </c>
      <c r="H57" s="71">
        <f t="shared" si="30"/>
        <v>0.58342321808970565</v>
      </c>
      <c r="I57" s="71">
        <f t="shared" si="30"/>
        <v>0.56633128936372934</v>
      </c>
      <c r="J57" s="71">
        <f t="shared" si="30"/>
        <v>0.5308343406973165</v>
      </c>
      <c r="K57" s="71">
        <f t="shared" si="30"/>
        <v>0.51963948130106519</v>
      </c>
      <c r="L57" s="71">
        <f t="shared" si="30"/>
        <v>0.52588885130798479</v>
      </c>
      <c r="M57" s="71">
        <f t="shared" si="30"/>
        <v>0.50256853161958204</v>
      </c>
      <c r="N57" s="71">
        <f t="shared" si="30"/>
        <v>0.51296144565375157</v>
      </c>
      <c r="O57" s="71">
        <f t="shared" si="30"/>
        <v>0.48869867163151609</v>
      </c>
      <c r="P57" s="71">
        <f t="shared" si="30"/>
        <v>0.47173058456048417</v>
      </c>
      <c r="Q57" s="71">
        <f t="shared" si="30"/>
        <v>0.45822617026348711</v>
      </c>
      <c r="R57" s="71">
        <f t="shared" si="30"/>
        <v>0.47098757862787638</v>
      </c>
      <c r="S57" s="71">
        <f t="shared" si="30"/>
        <v>0.4855615762001193</v>
      </c>
      <c r="T57" s="71">
        <f t="shared" si="30"/>
        <v>0.49554773170618943</v>
      </c>
      <c r="U57" s="71">
        <f t="shared" si="30"/>
        <v>0.47005462559515604</v>
      </c>
      <c r="V57" s="71">
        <f t="shared" si="30"/>
        <v>0.46116195293622464</v>
      </c>
      <c r="W57" s="71">
        <f t="shared" si="30"/>
        <v>0.49018460431940325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2.4840658142110022E-3</v>
      </c>
      <c r="C58" s="72">
        <f t="shared" ref="C58:W58" si="32">IF(C50=0,0,C50/C$47)</f>
        <v>2.6927079975229955E-3</v>
      </c>
      <c r="D58" s="72">
        <f t="shared" si="32"/>
        <v>2.9624932881721017E-3</v>
      </c>
      <c r="E58" s="72">
        <f t="shared" si="32"/>
        <v>2.6704925767522696E-3</v>
      </c>
      <c r="F58" s="72">
        <f t="shared" si="32"/>
        <v>2.6847218285684692E-3</v>
      </c>
      <c r="G58" s="72">
        <f t="shared" si="32"/>
        <v>2.7655442233136024E-3</v>
      </c>
      <c r="H58" s="72">
        <f t="shared" si="32"/>
        <v>2.9961817773768141E-3</v>
      </c>
      <c r="I58" s="72">
        <f t="shared" si="32"/>
        <v>2.8470456738650951E-3</v>
      </c>
      <c r="J58" s="72">
        <f t="shared" si="32"/>
        <v>3.044602152639493E-3</v>
      </c>
      <c r="K58" s="72">
        <f t="shared" si="32"/>
        <v>3.263601861644593E-3</v>
      </c>
      <c r="L58" s="72">
        <f t="shared" si="32"/>
        <v>4.1556422269045119E-3</v>
      </c>
      <c r="M58" s="72">
        <f t="shared" si="32"/>
        <v>3.4431612646456757E-3</v>
      </c>
      <c r="N58" s="72">
        <f t="shared" si="32"/>
        <v>3.5970032866319422E-3</v>
      </c>
      <c r="O58" s="72">
        <f t="shared" si="32"/>
        <v>3.4865581523545099E-3</v>
      </c>
      <c r="P58" s="72">
        <f t="shared" si="32"/>
        <v>3.9326351185526628E-3</v>
      </c>
      <c r="Q58" s="72">
        <f t="shared" si="32"/>
        <v>3.8774025248163335E-3</v>
      </c>
      <c r="R58" s="72">
        <f t="shared" si="32"/>
        <v>3.5300368463994859E-3</v>
      </c>
      <c r="S58" s="72">
        <f t="shared" si="32"/>
        <v>3.3192788702162304E-3</v>
      </c>
      <c r="T58" s="72">
        <f t="shared" si="32"/>
        <v>3.4703520926645877E-3</v>
      </c>
      <c r="U58" s="72">
        <f t="shared" si="32"/>
        <v>3.570735225032286E-3</v>
      </c>
      <c r="V58" s="72">
        <f t="shared" si="32"/>
        <v>3.8008844515864046E-3</v>
      </c>
      <c r="W58" s="72">
        <f t="shared" si="32"/>
        <v>4.0430989323387437E-3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6.6877179629463712E-2</v>
      </c>
      <c r="C59" s="72">
        <f t="shared" ref="C59:W59" si="34">IF(C51=0,0,C51/C$47)</f>
        <v>6.810312384106891E-2</v>
      </c>
      <c r="D59" s="72">
        <f t="shared" si="34"/>
        <v>6.8487524220527951E-2</v>
      </c>
      <c r="E59" s="72">
        <f t="shared" si="34"/>
        <v>6.8435965687996286E-2</v>
      </c>
      <c r="F59" s="72">
        <f t="shared" si="34"/>
        <v>7.0910160813159429E-2</v>
      </c>
      <c r="G59" s="72">
        <f t="shared" si="34"/>
        <v>7.3868586395589214E-2</v>
      </c>
      <c r="H59" s="72">
        <f t="shared" si="34"/>
        <v>7.3437893609267335E-2</v>
      </c>
      <c r="I59" s="72">
        <f t="shared" si="34"/>
        <v>7.5558918653336915E-2</v>
      </c>
      <c r="J59" s="72">
        <f t="shared" si="34"/>
        <v>8.2593920203666807E-2</v>
      </c>
      <c r="K59" s="72">
        <f t="shared" si="34"/>
        <v>8.4848780879458532E-2</v>
      </c>
      <c r="L59" s="72">
        <f t="shared" si="34"/>
        <v>8.5034050989164556E-2</v>
      </c>
      <c r="M59" s="72">
        <f t="shared" si="34"/>
        <v>8.9737568421916242E-2</v>
      </c>
      <c r="N59" s="72">
        <f t="shared" si="34"/>
        <v>8.7213483917880433E-2</v>
      </c>
      <c r="O59" s="72">
        <f t="shared" si="34"/>
        <v>9.1863955560948868E-2</v>
      </c>
      <c r="P59" s="72">
        <f t="shared" si="34"/>
        <v>9.4281989944032071E-2</v>
      </c>
      <c r="Q59" s="72">
        <f t="shared" si="34"/>
        <v>9.6877065994320083E-2</v>
      </c>
      <c r="R59" s="72">
        <f t="shared" si="34"/>
        <v>9.3896982584427718E-2</v>
      </c>
      <c r="S59" s="72">
        <f t="shared" si="34"/>
        <v>8.9722482121198377E-2</v>
      </c>
      <c r="T59" s="72">
        <f t="shared" si="34"/>
        <v>8.7071405588597522E-2</v>
      </c>
      <c r="U59" s="72">
        <f t="shared" si="34"/>
        <v>9.0107407577090085E-2</v>
      </c>
      <c r="V59" s="72">
        <f t="shared" si="34"/>
        <v>8.6032586424605706E-2</v>
      </c>
      <c r="W59" s="72">
        <f t="shared" si="34"/>
        <v>8.5378990692034099E-2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6.8451296003901999E-2</v>
      </c>
      <c r="C60" s="73">
        <f t="shared" ref="C60:W60" si="36">IF(C52=0,0,C52/C$47)</f>
        <v>6.8486482546876587E-2</v>
      </c>
      <c r="D60" s="73">
        <f t="shared" si="36"/>
        <v>6.8899802502772528E-2</v>
      </c>
      <c r="E60" s="73">
        <f t="shared" si="36"/>
        <v>6.8016311753171563E-2</v>
      </c>
      <c r="F60" s="73">
        <f t="shared" si="36"/>
        <v>6.688199768443133E-2</v>
      </c>
      <c r="G60" s="73">
        <f t="shared" si="36"/>
        <v>6.8495850871029731E-2</v>
      </c>
      <c r="H60" s="73">
        <f t="shared" si="36"/>
        <v>6.8622856473621499E-2</v>
      </c>
      <c r="I60" s="73">
        <f t="shared" si="36"/>
        <v>7.0630994334126271E-2</v>
      </c>
      <c r="J60" s="73">
        <f t="shared" si="36"/>
        <v>7.4658855216732573E-2</v>
      </c>
      <c r="K60" s="73">
        <f t="shared" si="36"/>
        <v>7.5323001615331814E-2</v>
      </c>
      <c r="L60" s="73">
        <f t="shared" si="36"/>
        <v>7.2910603797410239E-2</v>
      </c>
      <c r="M60" s="73">
        <f t="shared" si="36"/>
        <v>7.4900757873681612E-2</v>
      </c>
      <c r="N60" s="73">
        <f t="shared" si="36"/>
        <v>7.319501129127845E-2</v>
      </c>
      <c r="O60" s="73">
        <f t="shared" si="36"/>
        <v>7.2923351107761603E-2</v>
      </c>
      <c r="P60" s="73">
        <f t="shared" si="36"/>
        <v>7.3665015298028533E-2</v>
      </c>
      <c r="Q60" s="73">
        <f t="shared" si="36"/>
        <v>7.1640126736521509E-2</v>
      </c>
      <c r="R60" s="73">
        <f t="shared" si="36"/>
        <v>7.1575184346971743E-2</v>
      </c>
      <c r="S60" s="73">
        <f t="shared" si="36"/>
        <v>6.530521808358776E-2</v>
      </c>
      <c r="T60" s="73">
        <f t="shared" si="36"/>
        <v>6.6720647589072077E-2</v>
      </c>
      <c r="U60" s="73">
        <f t="shared" si="36"/>
        <v>7.0886568806720937E-2</v>
      </c>
      <c r="V60" s="73">
        <f t="shared" si="36"/>
        <v>7.1133264039290461E-2</v>
      </c>
      <c r="W60" s="73">
        <f t="shared" si="36"/>
        <v>7.3083384274667332E-2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0.22503996841325663</v>
      </c>
      <c r="C61" s="70">
        <f t="shared" ref="C61:W61" si="38">IF(C53=0,0,C53/C$47)</f>
        <v>0.23681603511136659</v>
      </c>
      <c r="D61" s="70">
        <f t="shared" si="38"/>
        <v>0.2458975387535875</v>
      </c>
      <c r="E61" s="70">
        <f t="shared" si="38"/>
        <v>0.25799098459296371</v>
      </c>
      <c r="F61" s="70">
        <f t="shared" si="38"/>
        <v>0.26579149823076798</v>
      </c>
      <c r="G61" s="70">
        <f t="shared" si="38"/>
        <v>0.27733420079125071</v>
      </c>
      <c r="H61" s="70">
        <f t="shared" si="38"/>
        <v>0.27151985005002865</v>
      </c>
      <c r="I61" s="70">
        <f t="shared" si="38"/>
        <v>0.28463175197494239</v>
      </c>
      <c r="J61" s="70">
        <f t="shared" si="38"/>
        <v>0.30886828172964464</v>
      </c>
      <c r="K61" s="70">
        <f t="shared" si="38"/>
        <v>0.31692513434250003</v>
      </c>
      <c r="L61" s="70">
        <f t="shared" si="38"/>
        <v>0.31201085167853587</v>
      </c>
      <c r="M61" s="70">
        <f t="shared" si="38"/>
        <v>0.32934998082017436</v>
      </c>
      <c r="N61" s="70">
        <f t="shared" si="38"/>
        <v>0.32303305585045755</v>
      </c>
      <c r="O61" s="70">
        <f t="shared" si="38"/>
        <v>0.34302746354741886</v>
      </c>
      <c r="P61" s="70">
        <f t="shared" si="38"/>
        <v>0.35638977507890252</v>
      </c>
      <c r="Q61" s="70">
        <f t="shared" si="38"/>
        <v>0.36937923448085497</v>
      </c>
      <c r="R61" s="70">
        <f t="shared" si="38"/>
        <v>0.36001021759432456</v>
      </c>
      <c r="S61" s="70">
        <f t="shared" si="38"/>
        <v>0.35609144472487836</v>
      </c>
      <c r="T61" s="70">
        <f t="shared" si="38"/>
        <v>0.34718986302347637</v>
      </c>
      <c r="U61" s="70">
        <f t="shared" si="38"/>
        <v>0.36538066279600062</v>
      </c>
      <c r="V61" s="70">
        <f t="shared" si="38"/>
        <v>0.37787131214829267</v>
      </c>
      <c r="W61" s="70">
        <f t="shared" si="38"/>
        <v>0.34730992178155662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315.6789114</v>
      </c>
      <c r="C65" s="80">
        <v>272.36534435999999</v>
      </c>
      <c r="D65" s="80">
        <v>311.58969551999996</v>
      </c>
      <c r="E65" s="80">
        <v>301.74478379999999</v>
      </c>
      <c r="F65" s="80">
        <v>327.47220547200004</v>
      </c>
      <c r="G65" s="80">
        <v>345.18161484000001</v>
      </c>
      <c r="H65" s="80">
        <v>419.55001113599991</v>
      </c>
      <c r="I65" s="80">
        <v>397.85393426400003</v>
      </c>
      <c r="J65" s="80">
        <v>349.58853345600005</v>
      </c>
      <c r="K65" s="80">
        <v>352.03592275200003</v>
      </c>
      <c r="L65" s="80">
        <v>367.60599669600003</v>
      </c>
      <c r="M65" s="80">
        <v>393.08049129600005</v>
      </c>
      <c r="N65" s="80">
        <v>324.8874264960001</v>
      </c>
      <c r="O65" s="80">
        <v>352.5113303280001</v>
      </c>
      <c r="P65" s="80">
        <v>309.7747225440001</v>
      </c>
      <c r="Q65" s="80">
        <v>277.68165314399999</v>
      </c>
      <c r="R65" s="80">
        <v>314.90964107999997</v>
      </c>
      <c r="S65" s="80">
        <v>330.02766338399999</v>
      </c>
      <c r="T65" s="80">
        <v>344.192851512</v>
      </c>
      <c r="U65" s="80">
        <v>317.71727107200002</v>
      </c>
      <c r="V65" s="80">
        <v>263.44850227200004</v>
      </c>
      <c r="W65" s="80">
        <v>292.38061024799998</v>
      </c>
      <c r="DA65" s="103" t="s">
        <v>218</v>
      </c>
    </row>
    <row r="66" spans="1:105" ht="12" customHeight="1" x14ac:dyDescent="0.25">
      <c r="A66" s="58" t="s">
        <v>29</v>
      </c>
      <c r="B66" s="59">
        <v>180.21602447999999</v>
      </c>
      <c r="C66" s="59">
        <v>149.00366447999997</v>
      </c>
      <c r="D66" s="59">
        <v>174.37455359999996</v>
      </c>
      <c r="E66" s="59">
        <v>176.55425279999997</v>
      </c>
      <c r="F66" s="59">
        <v>174.17819599199998</v>
      </c>
      <c r="G66" s="59">
        <v>204.35757407999998</v>
      </c>
      <c r="H66" s="59">
        <v>274.27215621599993</v>
      </c>
      <c r="I66" s="59">
        <v>209.88372974399999</v>
      </c>
      <c r="J66" s="59">
        <v>160.027108416</v>
      </c>
      <c r="K66" s="59">
        <v>196.58559355200001</v>
      </c>
      <c r="L66" s="59">
        <v>198.989700696</v>
      </c>
      <c r="M66" s="59">
        <v>235.96526865600006</v>
      </c>
      <c r="N66" s="59">
        <v>166.72080657600006</v>
      </c>
      <c r="O66" s="59">
        <v>194.49618040800004</v>
      </c>
      <c r="P66" s="59">
        <v>170.43022598400006</v>
      </c>
      <c r="Q66" s="59">
        <v>126.87794078399997</v>
      </c>
      <c r="R66" s="59">
        <v>154.76527871999997</v>
      </c>
      <c r="S66" s="59">
        <v>161.06079110399995</v>
      </c>
      <c r="T66" s="59">
        <v>167.11784647199997</v>
      </c>
      <c r="U66" s="59">
        <v>140.264237232</v>
      </c>
      <c r="V66" s="59">
        <v>92.665423151999988</v>
      </c>
      <c r="W66" s="59">
        <v>113.00954716799998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62.403856920000003</v>
      </c>
      <c r="C67" s="55">
        <f t="shared" ref="C67:W67" si="39">SUM(C68:C69)</f>
        <v>43.688459880000003</v>
      </c>
      <c r="D67" s="55">
        <f t="shared" si="39"/>
        <v>46.838041920000002</v>
      </c>
      <c r="E67" s="55">
        <f t="shared" si="39"/>
        <v>31.228641000000003</v>
      </c>
      <c r="F67" s="55">
        <f t="shared" si="39"/>
        <v>31.360659479999999</v>
      </c>
      <c r="G67" s="55">
        <f t="shared" si="39"/>
        <v>22.021070760000001</v>
      </c>
      <c r="H67" s="55">
        <f t="shared" si="39"/>
        <v>18.850894919999998</v>
      </c>
      <c r="I67" s="55">
        <f t="shared" si="39"/>
        <v>18.879194520000006</v>
      </c>
      <c r="J67" s="55">
        <f t="shared" si="39"/>
        <v>28.397345040000008</v>
      </c>
      <c r="K67" s="55">
        <f t="shared" si="39"/>
        <v>9.4837391999999987</v>
      </c>
      <c r="L67" s="55">
        <f t="shared" si="39"/>
        <v>12.652686000000003</v>
      </c>
      <c r="M67" s="55">
        <f t="shared" si="39"/>
        <v>15.844202640000002</v>
      </c>
      <c r="N67" s="55">
        <f t="shared" si="39"/>
        <v>9.5745499200000026</v>
      </c>
      <c r="O67" s="55">
        <f t="shared" si="39"/>
        <v>9.5745499200000026</v>
      </c>
      <c r="P67" s="55">
        <f t="shared" si="39"/>
        <v>12.766066560000002</v>
      </c>
      <c r="Q67" s="55">
        <f t="shared" si="39"/>
        <v>6.3518223600000008</v>
      </c>
      <c r="R67" s="55">
        <f t="shared" si="39"/>
        <v>6.3518223600000008</v>
      </c>
      <c r="S67" s="55">
        <f t="shared" si="39"/>
        <v>7.2453826799999987</v>
      </c>
      <c r="T67" s="55">
        <f t="shared" si="39"/>
        <v>5.3597268000000007</v>
      </c>
      <c r="U67" s="55">
        <f t="shared" si="39"/>
        <v>6.9448705199999994</v>
      </c>
      <c r="V67" s="55">
        <f t="shared" si="39"/>
        <v>7.9041567600000002</v>
      </c>
      <c r="W67" s="55">
        <f t="shared" si="39"/>
        <v>9.16947504</v>
      </c>
      <c r="DA67" s="101"/>
    </row>
    <row r="68" spans="1:105" ht="12" customHeight="1" x14ac:dyDescent="0.25">
      <c r="A68" s="61" t="s">
        <v>52</v>
      </c>
      <c r="B68" s="55">
        <v>0</v>
      </c>
      <c r="C68" s="55">
        <v>0</v>
      </c>
      <c r="D68" s="55">
        <v>0</v>
      </c>
      <c r="E68" s="55">
        <v>0</v>
      </c>
      <c r="F68" s="55">
        <v>0</v>
      </c>
      <c r="G68" s="55">
        <v>0</v>
      </c>
      <c r="H68" s="55">
        <v>0</v>
      </c>
      <c r="I68" s="55">
        <v>0</v>
      </c>
      <c r="J68" s="55">
        <v>0</v>
      </c>
      <c r="K68" s="55">
        <v>0</v>
      </c>
      <c r="L68" s="55">
        <v>0</v>
      </c>
      <c r="M68" s="55">
        <v>0</v>
      </c>
      <c r="N68" s="55">
        <v>0</v>
      </c>
      <c r="O68" s="55">
        <v>0</v>
      </c>
      <c r="P68" s="55">
        <v>0</v>
      </c>
      <c r="Q68" s="55">
        <v>0</v>
      </c>
      <c r="R68" s="55">
        <v>0</v>
      </c>
      <c r="S68" s="55">
        <v>0</v>
      </c>
      <c r="T68" s="55">
        <v>0</v>
      </c>
      <c r="U68" s="55">
        <v>0</v>
      </c>
      <c r="V68" s="55">
        <v>0</v>
      </c>
      <c r="W68" s="55">
        <v>0</v>
      </c>
      <c r="DA68" s="101" t="s">
        <v>220</v>
      </c>
    </row>
    <row r="69" spans="1:105" ht="12" customHeight="1" x14ac:dyDescent="0.25">
      <c r="A69" s="61" t="s">
        <v>170</v>
      </c>
      <c r="B69" s="55">
        <v>62.403856920000003</v>
      </c>
      <c r="C69" s="55">
        <v>43.688459880000003</v>
      </c>
      <c r="D69" s="55">
        <v>46.838041920000002</v>
      </c>
      <c r="E69" s="55">
        <v>31.228641000000003</v>
      </c>
      <c r="F69" s="55">
        <v>31.360659479999999</v>
      </c>
      <c r="G69" s="55">
        <v>22.021070760000001</v>
      </c>
      <c r="H69" s="55">
        <v>18.850894919999998</v>
      </c>
      <c r="I69" s="55">
        <v>18.879194520000006</v>
      </c>
      <c r="J69" s="55">
        <v>28.397345040000008</v>
      </c>
      <c r="K69" s="55">
        <v>9.4837391999999987</v>
      </c>
      <c r="L69" s="55">
        <v>12.652686000000003</v>
      </c>
      <c r="M69" s="55">
        <v>15.844202640000002</v>
      </c>
      <c r="N69" s="55">
        <v>9.5745499200000026</v>
      </c>
      <c r="O69" s="55">
        <v>9.5745499200000026</v>
      </c>
      <c r="P69" s="55">
        <v>12.766066560000002</v>
      </c>
      <c r="Q69" s="55">
        <v>6.3518223600000008</v>
      </c>
      <c r="R69" s="55">
        <v>6.3518223600000008</v>
      </c>
      <c r="S69" s="55">
        <v>7.2453826799999987</v>
      </c>
      <c r="T69" s="55">
        <v>5.3597268000000007</v>
      </c>
      <c r="U69" s="55">
        <v>6.9448705199999994</v>
      </c>
      <c r="V69" s="55">
        <v>7.9041567600000002</v>
      </c>
      <c r="W69" s="55">
        <v>9.16947504</v>
      </c>
      <c r="DA69" s="101" t="s">
        <v>221</v>
      </c>
    </row>
    <row r="70" spans="1:105" ht="12" customHeight="1" x14ac:dyDescent="0.25">
      <c r="A70" s="60" t="s">
        <v>153</v>
      </c>
      <c r="B70" s="55">
        <v>73.059029999999993</v>
      </c>
      <c r="C70" s="55">
        <v>79.673220000000001</v>
      </c>
      <c r="D70" s="55">
        <v>90.377099999999999</v>
      </c>
      <c r="E70" s="55">
        <v>93.961890000000025</v>
      </c>
      <c r="F70" s="55">
        <v>121.93335000000002</v>
      </c>
      <c r="G70" s="55">
        <v>118.80297</v>
      </c>
      <c r="H70" s="55">
        <v>126.42695999999999</v>
      </c>
      <c r="I70" s="55">
        <v>169.09101000000001</v>
      </c>
      <c r="J70" s="55">
        <v>161.16408000000001</v>
      </c>
      <c r="K70" s="55">
        <v>145.96659</v>
      </c>
      <c r="L70" s="55">
        <v>155.96361000000002</v>
      </c>
      <c r="M70" s="55">
        <v>141.27101999999999</v>
      </c>
      <c r="N70" s="55">
        <v>148.59207000000004</v>
      </c>
      <c r="O70" s="55">
        <v>148.44060000000002</v>
      </c>
      <c r="P70" s="55">
        <v>126.57843000000001</v>
      </c>
      <c r="Q70" s="55">
        <v>144.45189000000002</v>
      </c>
      <c r="R70" s="55">
        <v>153.79254</v>
      </c>
      <c r="S70" s="55">
        <v>161.72148960000001</v>
      </c>
      <c r="T70" s="55">
        <v>171.71527824000003</v>
      </c>
      <c r="U70" s="55">
        <v>170.50816332000002</v>
      </c>
      <c r="V70" s="55">
        <v>162.87892236000002</v>
      </c>
      <c r="W70" s="55">
        <v>170.20158804000002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315.67891140000006</v>
      </c>
      <c r="C81" s="82">
        <f t="shared" ref="C81:W81" si="42">C82+C87</f>
        <v>272.36534435999994</v>
      </c>
      <c r="D81" s="82">
        <f t="shared" si="42"/>
        <v>311.58969551999996</v>
      </c>
      <c r="E81" s="82">
        <f t="shared" si="42"/>
        <v>301.74478379999999</v>
      </c>
      <c r="F81" s="82">
        <f t="shared" si="42"/>
        <v>327.47220547200004</v>
      </c>
      <c r="G81" s="82">
        <f t="shared" si="42"/>
        <v>345.1816148399999</v>
      </c>
      <c r="H81" s="82">
        <f t="shared" si="42"/>
        <v>419.55001113599991</v>
      </c>
      <c r="I81" s="82">
        <f t="shared" si="42"/>
        <v>397.85393426399997</v>
      </c>
      <c r="J81" s="82">
        <f t="shared" si="42"/>
        <v>349.58853345600005</v>
      </c>
      <c r="K81" s="82">
        <f t="shared" si="42"/>
        <v>352.03592275200026</v>
      </c>
      <c r="L81" s="82">
        <f t="shared" si="42"/>
        <v>367.6059966960002</v>
      </c>
      <c r="M81" s="82">
        <f t="shared" si="42"/>
        <v>393.08049129600005</v>
      </c>
      <c r="N81" s="82">
        <f t="shared" si="42"/>
        <v>324.88742649600022</v>
      </c>
      <c r="O81" s="82">
        <f t="shared" si="42"/>
        <v>352.5113303280001</v>
      </c>
      <c r="P81" s="82">
        <f t="shared" si="42"/>
        <v>309.77472254399993</v>
      </c>
      <c r="Q81" s="82">
        <f t="shared" si="42"/>
        <v>277.68165314400028</v>
      </c>
      <c r="R81" s="82">
        <f t="shared" si="42"/>
        <v>314.90964107999991</v>
      </c>
      <c r="S81" s="82">
        <f t="shared" si="42"/>
        <v>330.02766338400005</v>
      </c>
      <c r="T81" s="82">
        <f t="shared" si="42"/>
        <v>344.19285151200023</v>
      </c>
      <c r="U81" s="82">
        <f t="shared" si="42"/>
        <v>317.71727107200013</v>
      </c>
      <c r="V81" s="82">
        <f t="shared" si="42"/>
        <v>263.44850227200016</v>
      </c>
      <c r="W81" s="82">
        <f t="shared" si="42"/>
        <v>292.38061024799998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315.67891140000006</v>
      </c>
      <c r="C82" s="64">
        <f t="shared" ref="C82:W82" si="44">SUM(C83:C86)</f>
        <v>272.36534435999994</v>
      </c>
      <c r="D82" s="64">
        <f t="shared" si="44"/>
        <v>311.58969551999996</v>
      </c>
      <c r="E82" s="64">
        <f t="shared" si="44"/>
        <v>301.74478379999999</v>
      </c>
      <c r="F82" s="64">
        <f t="shared" si="44"/>
        <v>327.47220547200004</v>
      </c>
      <c r="G82" s="64">
        <f t="shared" si="44"/>
        <v>345.1816148399999</v>
      </c>
      <c r="H82" s="64">
        <f t="shared" si="44"/>
        <v>419.55001113599991</v>
      </c>
      <c r="I82" s="64">
        <f t="shared" si="44"/>
        <v>397.85393426399997</v>
      </c>
      <c r="J82" s="64">
        <f t="shared" si="44"/>
        <v>349.58853345600005</v>
      </c>
      <c r="K82" s="64">
        <f t="shared" si="44"/>
        <v>352.03592275200026</v>
      </c>
      <c r="L82" s="64">
        <f t="shared" si="44"/>
        <v>367.6059966960002</v>
      </c>
      <c r="M82" s="64">
        <f t="shared" si="44"/>
        <v>393.08049129600005</v>
      </c>
      <c r="N82" s="64">
        <f t="shared" si="44"/>
        <v>324.88742649600022</v>
      </c>
      <c r="O82" s="64">
        <f t="shared" si="44"/>
        <v>352.5113303280001</v>
      </c>
      <c r="P82" s="64">
        <f t="shared" si="44"/>
        <v>309.77472254399993</v>
      </c>
      <c r="Q82" s="64">
        <f t="shared" si="44"/>
        <v>277.68165314400028</v>
      </c>
      <c r="R82" s="64">
        <f t="shared" si="44"/>
        <v>314.90964107999991</v>
      </c>
      <c r="S82" s="64">
        <f t="shared" si="44"/>
        <v>330.02766338400005</v>
      </c>
      <c r="T82" s="64">
        <f t="shared" si="44"/>
        <v>344.19285151200023</v>
      </c>
      <c r="U82" s="64">
        <f t="shared" si="44"/>
        <v>317.71727107200013</v>
      </c>
      <c r="V82" s="64">
        <f t="shared" si="44"/>
        <v>263.44850227200016</v>
      </c>
      <c r="W82" s="64">
        <f t="shared" si="44"/>
        <v>292.38061024799998</v>
      </c>
      <c r="DA82" s="108" t="s">
        <v>232</v>
      </c>
    </row>
    <row r="83" spans="1:105" ht="12" customHeight="1" x14ac:dyDescent="0.25">
      <c r="A83" s="61" t="s">
        <v>32</v>
      </c>
      <c r="B83" s="65">
        <v>285.10023033633001</v>
      </c>
      <c r="C83" s="65">
        <v>242.99550841446128</v>
      </c>
      <c r="D83" s="65">
        <v>279.76341457165279</v>
      </c>
      <c r="E83" s="65">
        <v>269.59802814104</v>
      </c>
      <c r="F83" s="65">
        <v>295.33514162676477</v>
      </c>
      <c r="G83" s="65">
        <v>311.96350213909579</v>
      </c>
      <c r="H83" s="65">
        <v>384.00573701925538</v>
      </c>
      <c r="I83" s="65">
        <v>351.34812634003777</v>
      </c>
      <c r="J83" s="65">
        <v>299.44266347966152</v>
      </c>
      <c r="K83" s="65">
        <v>303.69678035340007</v>
      </c>
      <c r="L83" s="65">
        <v>322.29012305243026</v>
      </c>
      <c r="M83" s="65">
        <v>349.62118755439622</v>
      </c>
      <c r="N83" s="65">
        <v>285.44802677037183</v>
      </c>
      <c r="O83" s="65">
        <v>317.54947278797971</v>
      </c>
      <c r="P83" s="65">
        <v>279.25263785769175</v>
      </c>
      <c r="Q83" s="65">
        <v>243.46480042338828</v>
      </c>
      <c r="R83" s="65">
        <v>278.77610108646002</v>
      </c>
      <c r="S83" s="65">
        <v>295.40263272036646</v>
      </c>
      <c r="T83" s="65">
        <v>308.5118358134381</v>
      </c>
      <c r="U83" s="65">
        <v>289.14769595597306</v>
      </c>
      <c r="V83" s="65">
        <v>237.96555130994071</v>
      </c>
      <c r="W83" s="65">
        <v>265.86425119947921</v>
      </c>
      <c r="DA83" s="109" t="s">
        <v>233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DA84" s="109" t="s">
        <v>234</v>
      </c>
    </row>
    <row r="85" spans="1:105" ht="12" customHeight="1" x14ac:dyDescent="0.25">
      <c r="A85" s="61" t="s">
        <v>35</v>
      </c>
      <c r="B85" s="65">
        <v>10.395794567812727</v>
      </c>
      <c r="C85" s="65">
        <v>7.7425694249065229</v>
      </c>
      <c r="D85" s="65">
        <v>7.8072449960720043</v>
      </c>
      <c r="E85" s="65">
        <v>7.2538801852742676</v>
      </c>
      <c r="F85" s="65">
        <v>8.9202944528401655</v>
      </c>
      <c r="G85" s="65">
        <v>8.4691521353012842</v>
      </c>
      <c r="H85" s="65">
        <v>9.5907027284751258</v>
      </c>
      <c r="I85" s="65">
        <v>12.719952555899974</v>
      </c>
      <c r="J85" s="65">
        <v>14.031644492401583</v>
      </c>
      <c r="K85" s="65">
        <v>13.249139718771147</v>
      </c>
      <c r="L85" s="65">
        <v>13.120449101755806</v>
      </c>
      <c r="M85" s="65">
        <v>13.022656765035716</v>
      </c>
      <c r="N85" s="65">
        <v>12.718058007340272</v>
      </c>
      <c r="O85" s="65">
        <v>12.888263275222702</v>
      </c>
      <c r="P85" s="65">
        <v>11.72438404946554</v>
      </c>
      <c r="Q85" s="65">
        <v>12.673315865778797</v>
      </c>
      <c r="R85" s="65">
        <v>13.362561971205723</v>
      </c>
      <c r="S85" s="65">
        <v>13.582169789379957</v>
      </c>
      <c r="T85" s="65">
        <v>13.763995643366101</v>
      </c>
      <c r="U85" s="65">
        <v>14.290521786835516</v>
      </c>
      <c r="V85" s="65">
        <v>14.551160645137481</v>
      </c>
      <c r="W85" s="65">
        <v>15.190216173425281</v>
      </c>
      <c r="DA85" s="109" t="s">
        <v>235</v>
      </c>
    </row>
    <row r="86" spans="1:105" ht="12" customHeight="1" x14ac:dyDescent="0.25">
      <c r="A86" s="66" t="s">
        <v>34</v>
      </c>
      <c r="B86" s="67">
        <v>20.182886495857289</v>
      </c>
      <c r="C86" s="67">
        <v>21.627266520632134</v>
      </c>
      <c r="D86" s="67">
        <v>24.01903595227515</v>
      </c>
      <c r="E86" s="67">
        <v>24.892875473685692</v>
      </c>
      <c r="F86" s="67">
        <v>23.216769392395125</v>
      </c>
      <c r="G86" s="67">
        <v>24.748960565602808</v>
      </c>
      <c r="H86" s="67">
        <v>25.953571388269374</v>
      </c>
      <c r="I86" s="67">
        <v>33.785855368062258</v>
      </c>
      <c r="J86" s="67">
        <v>36.114225483936956</v>
      </c>
      <c r="K86" s="67">
        <v>35.090002679828999</v>
      </c>
      <c r="L86" s="67">
        <v>32.195424541814141</v>
      </c>
      <c r="M86" s="67">
        <v>30.436646976568102</v>
      </c>
      <c r="N86" s="67">
        <v>26.721341718288109</v>
      </c>
      <c r="O86" s="67">
        <v>22.073594264797688</v>
      </c>
      <c r="P86" s="67">
        <v>18.797700636842624</v>
      </c>
      <c r="Q86" s="67">
        <v>21.543536854833153</v>
      </c>
      <c r="R86" s="67">
        <v>22.770978022334209</v>
      </c>
      <c r="S86" s="67">
        <v>21.042860874253627</v>
      </c>
      <c r="T86" s="67">
        <v>21.917020055196012</v>
      </c>
      <c r="U86" s="67">
        <v>14.279053329191527</v>
      </c>
      <c r="V86" s="67">
        <v>10.931790316921965</v>
      </c>
      <c r="W86" s="67">
        <v>11.326142875095533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0.90313359569045304</v>
      </c>
      <c r="C91" s="71">
        <f t="shared" ref="C91:W91" si="50">IF(C83=0,0,C83/C$81)</f>
        <v>0.89216750018416824</v>
      </c>
      <c r="D91" s="71">
        <f t="shared" si="50"/>
        <v>0.89785836500390837</v>
      </c>
      <c r="E91" s="71">
        <f t="shared" si="50"/>
        <v>0.89346375684072388</v>
      </c>
      <c r="F91" s="71">
        <f t="shared" si="50"/>
        <v>0.90186323202937269</v>
      </c>
      <c r="G91" s="71">
        <f t="shared" si="50"/>
        <v>0.90376627470063398</v>
      </c>
      <c r="H91" s="71">
        <f t="shared" si="50"/>
        <v>0.91528000673745036</v>
      </c>
      <c r="I91" s="71">
        <f t="shared" si="50"/>
        <v>0.8831083372092462</v>
      </c>
      <c r="J91" s="71">
        <f t="shared" si="50"/>
        <v>0.85655745204054301</v>
      </c>
      <c r="K91" s="71">
        <f t="shared" si="50"/>
        <v>0.86268690416388616</v>
      </c>
      <c r="L91" s="71">
        <f t="shared" si="50"/>
        <v>0.87672705545920437</v>
      </c>
      <c r="M91" s="71">
        <f t="shared" si="50"/>
        <v>0.8894391741540848</v>
      </c>
      <c r="N91" s="71">
        <f t="shared" si="50"/>
        <v>0.87860595237250916</v>
      </c>
      <c r="O91" s="71">
        <f t="shared" si="50"/>
        <v>0.90082061331903984</v>
      </c>
      <c r="P91" s="71">
        <f t="shared" si="50"/>
        <v>0.90147006045022648</v>
      </c>
      <c r="Q91" s="71">
        <f t="shared" si="50"/>
        <v>0.87677668894146277</v>
      </c>
      <c r="R91" s="71">
        <f t="shared" si="50"/>
        <v>0.88525743489587061</v>
      </c>
      <c r="S91" s="71">
        <f t="shared" si="50"/>
        <v>0.89508445956136096</v>
      </c>
      <c r="T91" s="71">
        <f t="shared" si="50"/>
        <v>0.89633423372443832</v>
      </c>
      <c r="U91" s="71">
        <f t="shared" si="50"/>
        <v>0.91007862109720594</v>
      </c>
      <c r="V91" s="71">
        <f t="shared" si="50"/>
        <v>0.90327160434660847</v>
      </c>
      <c r="W91" s="71">
        <f t="shared" si="50"/>
        <v>0.90930876358035728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0</v>
      </c>
      <c r="C92" s="72">
        <f t="shared" ref="C92:W92" si="52">IF(C84=0,0,C84/C$81)</f>
        <v>0</v>
      </c>
      <c r="D92" s="72">
        <f t="shared" si="52"/>
        <v>0</v>
      </c>
      <c r="E92" s="72">
        <f t="shared" si="52"/>
        <v>0</v>
      </c>
      <c r="F92" s="72">
        <f t="shared" si="52"/>
        <v>0</v>
      </c>
      <c r="G92" s="72">
        <f t="shared" si="52"/>
        <v>0</v>
      </c>
      <c r="H92" s="72">
        <f t="shared" si="52"/>
        <v>0</v>
      </c>
      <c r="I92" s="72">
        <f t="shared" si="52"/>
        <v>0</v>
      </c>
      <c r="J92" s="72">
        <f t="shared" si="52"/>
        <v>0</v>
      </c>
      <c r="K92" s="72">
        <f t="shared" si="52"/>
        <v>0</v>
      </c>
      <c r="L92" s="72">
        <f t="shared" si="52"/>
        <v>0</v>
      </c>
      <c r="M92" s="72">
        <f t="shared" si="52"/>
        <v>0</v>
      </c>
      <c r="N92" s="72">
        <f t="shared" si="52"/>
        <v>0</v>
      </c>
      <c r="O92" s="72">
        <f t="shared" si="52"/>
        <v>0</v>
      </c>
      <c r="P92" s="72">
        <f t="shared" si="52"/>
        <v>0</v>
      </c>
      <c r="Q92" s="72">
        <f t="shared" si="52"/>
        <v>0</v>
      </c>
      <c r="R92" s="72">
        <f t="shared" si="52"/>
        <v>0</v>
      </c>
      <c r="S92" s="72">
        <f t="shared" si="52"/>
        <v>0</v>
      </c>
      <c r="T92" s="72">
        <f t="shared" si="52"/>
        <v>0</v>
      </c>
      <c r="U92" s="72">
        <f t="shared" si="52"/>
        <v>0</v>
      </c>
      <c r="V92" s="72">
        <f t="shared" si="52"/>
        <v>0</v>
      </c>
      <c r="W92" s="72">
        <f t="shared" si="52"/>
        <v>0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3.2931545923383231E-2</v>
      </c>
      <c r="C93" s="72">
        <f t="shared" ref="C93:W93" si="54">IF(C85=0,0,C85/C$81)</f>
        <v>2.842714605670519E-2</v>
      </c>
      <c r="D93" s="72">
        <f t="shared" si="54"/>
        <v>2.5056171973347179E-2</v>
      </c>
      <c r="E93" s="72">
        <f t="shared" si="54"/>
        <v>2.4039786517344487E-2</v>
      </c>
      <c r="F93" s="72">
        <f t="shared" si="54"/>
        <v>2.7239852127245286E-2</v>
      </c>
      <c r="G93" s="72">
        <f t="shared" si="54"/>
        <v>2.4535351163551811E-2</v>
      </c>
      <c r="H93" s="72">
        <f t="shared" si="54"/>
        <v>2.285949820977656E-2</v>
      </c>
      <c r="I93" s="72">
        <f t="shared" si="54"/>
        <v>3.1971413276158586E-2</v>
      </c>
      <c r="J93" s="72">
        <f t="shared" si="54"/>
        <v>4.0137599347684655E-2</v>
      </c>
      <c r="K93" s="72">
        <f t="shared" si="54"/>
        <v>3.7635760621238662E-2</v>
      </c>
      <c r="L93" s="72">
        <f t="shared" si="54"/>
        <v>3.5691607916304061E-2</v>
      </c>
      <c r="M93" s="72">
        <f t="shared" si="54"/>
        <v>3.312974582406663E-2</v>
      </c>
      <c r="N93" s="72">
        <f t="shared" si="54"/>
        <v>3.9146045584182824E-2</v>
      </c>
      <c r="O93" s="72">
        <f t="shared" si="54"/>
        <v>3.656127382694508E-2</v>
      </c>
      <c r="P93" s="72">
        <f t="shared" si="54"/>
        <v>3.7848097976426166E-2</v>
      </c>
      <c r="Q93" s="72">
        <f t="shared" si="54"/>
        <v>4.5639730685435899E-2</v>
      </c>
      <c r="R93" s="72">
        <f t="shared" si="54"/>
        <v>4.2433003719346551E-2</v>
      </c>
      <c r="S93" s="72">
        <f t="shared" si="54"/>
        <v>4.1154640341699397E-2</v>
      </c>
      <c r="T93" s="72">
        <f t="shared" si="54"/>
        <v>3.9989196704412734E-2</v>
      </c>
      <c r="U93" s="72">
        <f t="shared" si="54"/>
        <v>4.4978737663893133E-2</v>
      </c>
      <c r="V93" s="72">
        <f t="shared" si="54"/>
        <v>5.5233415713686555E-2</v>
      </c>
      <c r="W93" s="72">
        <f t="shared" si="54"/>
        <v>5.1953568879074423E-2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6.3934858386163598E-2</v>
      </c>
      <c r="C94" s="73">
        <f t="shared" ref="C94:W94" si="56">IF(C86=0,0,C86/C$81)</f>
        <v>7.9405353759126607E-2</v>
      </c>
      <c r="D94" s="73">
        <f t="shared" si="56"/>
        <v>7.7085463022744424E-2</v>
      </c>
      <c r="E94" s="73">
        <f t="shared" si="56"/>
        <v>8.249645664193149E-2</v>
      </c>
      <c r="F94" s="73">
        <f t="shared" si="56"/>
        <v>7.0896915843382119E-2</v>
      </c>
      <c r="G94" s="73">
        <f t="shared" si="56"/>
        <v>7.1698374135814147E-2</v>
      </c>
      <c r="H94" s="73">
        <f t="shared" si="56"/>
        <v>6.1860495052772989E-2</v>
      </c>
      <c r="I94" s="73">
        <f t="shared" si="56"/>
        <v>8.4920249514595258E-2</v>
      </c>
      <c r="J94" s="73">
        <f t="shared" si="56"/>
        <v>0.10330494861177238</v>
      </c>
      <c r="K94" s="73">
        <f t="shared" si="56"/>
        <v>9.9677335214875082E-2</v>
      </c>
      <c r="L94" s="73">
        <f t="shared" si="56"/>
        <v>8.7581336624491607E-2</v>
      </c>
      <c r="M94" s="73">
        <f t="shared" si="56"/>
        <v>7.7431080021848495E-2</v>
      </c>
      <c r="N94" s="73">
        <f t="shared" si="56"/>
        <v>8.2248002043308011E-2</v>
      </c>
      <c r="O94" s="73">
        <f t="shared" si="56"/>
        <v>6.2618112854015043E-2</v>
      </c>
      <c r="P94" s="73">
        <f t="shared" si="56"/>
        <v>6.0681841573347314E-2</v>
      </c>
      <c r="Q94" s="73">
        <f t="shared" si="56"/>
        <v>7.7583580373101188E-2</v>
      </c>
      <c r="R94" s="73">
        <f t="shared" si="56"/>
        <v>7.2309561384782908E-2</v>
      </c>
      <c r="S94" s="73">
        <f t="shared" si="56"/>
        <v>6.3760900096939563E-2</v>
      </c>
      <c r="T94" s="73">
        <f t="shared" si="56"/>
        <v>6.3676569571148922E-2</v>
      </c>
      <c r="U94" s="73">
        <f t="shared" si="56"/>
        <v>4.4942641238900891E-2</v>
      </c>
      <c r="V94" s="73">
        <f t="shared" si="56"/>
        <v>4.1494979939704968E-2</v>
      </c>
      <c r="W94" s="73">
        <f t="shared" si="56"/>
        <v>3.8737667540568413E-2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185286.13842964044</v>
      </c>
      <c r="C99" s="82">
        <f t="shared" ref="C99:W99" si="60">C47*11630*1000/C$8</f>
        <v>180632.70075081778</v>
      </c>
      <c r="D99" s="82">
        <f t="shared" si="60"/>
        <v>178379.87287118455</v>
      </c>
      <c r="E99" s="82">
        <f t="shared" si="60"/>
        <v>175194.23542451431</v>
      </c>
      <c r="F99" s="82">
        <f t="shared" si="60"/>
        <v>173881.61491329782</v>
      </c>
      <c r="G99" s="82">
        <f t="shared" si="60"/>
        <v>168977.65272544455</v>
      </c>
      <c r="H99" s="82">
        <f t="shared" si="60"/>
        <v>175437.88121669999</v>
      </c>
      <c r="I99" s="82">
        <f t="shared" si="60"/>
        <v>164552.63227770731</v>
      </c>
      <c r="J99" s="82">
        <f t="shared" si="60"/>
        <v>151751.06623716746</v>
      </c>
      <c r="K99" s="82">
        <f t="shared" si="60"/>
        <v>148106.16104297363</v>
      </c>
      <c r="L99" s="82">
        <f t="shared" si="60"/>
        <v>149135.22514148182</v>
      </c>
      <c r="M99" s="82">
        <f t="shared" si="60"/>
        <v>141782.20533391862</v>
      </c>
      <c r="N99" s="82">
        <f t="shared" si="60"/>
        <v>147011.70466410596</v>
      </c>
      <c r="O99" s="82">
        <f t="shared" si="60"/>
        <v>139669.67399855491</v>
      </c>
      <c r="P99" s="82">
        <f t="shared" si="60"/>
        <v>135446.03113437918</v>
      </c>
      <c r="Q99" s="82">
        <f t="shared" si="60"/>
        <v>132049.76030029115</v>
      </c>
      <c r="R99" s="82">
        <f t="shared" si="60"/>
        <v>137219.74705032608</v>
      </c>
      <c r="S99" s="82">
        <f t="shared" si="60"/>
        <v>143129.949441559</v>
      </c>
      <c r="T99" s="82">
        <f t="shared" si="60"/>
        <v>145614.24206717865</v>
      </c>
      <c r="U99" s="82">
        <f t="shared" si="60"/>
        <v>138778.91957359575</v>
      </c>
      <c r="V99" s="82">
        <f t="shared" si="60"/>
        <v>127225.18289185663</v>
      </c>
      <c r="W99" s="82">
        <f t="shared" si="60"/>
        <v>142427.54914915704</v>
      </c>
      <c r="DA99" s="107"/>
    </row>
    <row r="100" spans="1:105" ht="12" customHeight="1" x14ac:dyDescent="0.25">
      <c r="A100" s="77" t="s">
        <v>36</v>
      </c>
      <c r="B100" s="64">
        <f t="shared" si="59"/>
        <v>143589.35169001989</v>
      </c>
      <c r="C100" s="64">
        <f t="shared" ref="C100:W100" si="61">C48*11630*1000/C$8</f>
        <v>137855.98074755113</v>
      </c>
      <c r="D100" s="64">
        <f t="shared" si="61"/>
        <v>134516.70116898246</v>
      </c>
      <c r="E100" s="64">
        <f t="shared" si="61"/>
        <v>129995.7021323324</v>
      </c>
      <c r="F100" s="64">
        <f t="shared" si="61"/>
        <v>127665.35997070692</v>
      </c>
      <c r="G100" s="64">
        <f t="shared" si="61"/>
        <v>122114.37045525189</v>
      </c>
      <c r="H100" s="64">
        <f t="shared" si="61"/>
        <v>127803.01401564683</v>
      </c>
      <c r="I100" s="64">
        <f t="shared" si="61"/>
        <v>117715.72826041502</v>
      </c>
      <c r="J100" s="64">
        <f t="shared" si="61"/>
        <v>104879.97515785205</v>
      </c>
      <c r="K100" s="64">
        <f t="shared" si="61"/>
        <v>101167.59605747729</v>
      </c>
      <c r="L100" s="64">
        <f t="shared" si="61"/>
        <v>102603.41652981789</v>
      </c>
      <c r="M100" s="64">
        <f t="shared" si="61"/>
        <v>95086.238726550495</v>
      </c>
      <c r="N100" s="64">
        <f t="shared" si="61"/>
        <v>99522.064460674839</v>
      </c>
      <c r="O100" s="64">
        <f t="shared" si="61"/>
        <v>91759.139992335738</v>
      </c>
      <c r="P100" s="64">
        <f t="shared" si="61"/>
        <v>87174.45056306776</v>
      </c>
      <c r="Q100" s="64">
        <f t="shared" si="61"/>
        <v>83273.320927189197</v>
      </c>
      <c r="R100" s="64">
        <f t="shared" si="61"/>
        <v>87819.236056500013</v>
      </c>
      <c r="S100" s="64">
        <f t="shared" si="61"/>
        <v>92162.598961515469</v>
      </c>
      <c r="T100" s="64">
        <f t="shared" si="61"/>
        <v>95058.453309607561</v>
      </c>
      <c r="U100" s="64">
        <f t="shared" si="61"/>
        <v>88071.78595768247</v>
      </c>
      <c r="V100" s="64">
        <f t="shared" si="61"/>
        <v>79150.43609420424</v>
      </c>
      <c r="W100" s="64">
        <f t="shared" si="61"/>
        <v>92961.048194624513</v>
      </c>
      <c r="DA100" s="108"/>
    </row>
    <row r="101" spans="1:105" ht="12" customHeight="1" x14ac:dyDescent="0.25">
      <c r="A101" s="61" t="s">
        <v>32</v>
      </c>
      <c r="B101" s="65">
        <f t="shared" si="59"/>
        <v>118054.59805802361</v>
      </c>
      <c r="C101" s="65">
        <f t="shared" ref="C101:W101" si="62">C49*11630*1000/C$8</f>
        <v>112697.04013327947</v>
      </c>
      <c r="D101" s="65">
        <f t="shared" si="62"/>
        <v>109481.11811784234</v>
      </c>
      <c r="E101" s="65">
        <f t="shared" si="62"/>
        <v>105622.19480890231</v>
      </c>
      <c r="F101" s="65">
        <f t="shared" si="62"/>
        <v>103239.0131616123</v>
      </c>
      <c r="G101" s="65">
        <f t="shared" si="62"/>
        <v>97590.646842995891</v>
      </c>
      <c r="H101" s="65">
        <f t="shared" si="62"/>
        <v>102354.53323428662</v>
      </c>
      <c r="I101" s="65">
        <f t="shared" si="62"/>
        <v>93191.304406029609</v>
      </c>
      <c r="J101" s="65">
        <f t="shared" si="62"/>
        <v>80554.677196121585</v>
      </c>
      <c r="K101" s="65">
        <f t="shared" si="62"/>
        <v>76961.808701862858</v>
      </c>
      <c r="L101" s="65">
        <f t="shared" si="62"/>
        <v>78428.552239211582</v>
      </c>
      <c r="M101" s="65">
        <f t="shared" si="62"/>
        <v>71255.274744453549</v>
      </c>
      <c r="N101" s="65">
        <f t="shared" si="62"/>
        <v>75411.33655252216</v>
      </c>
      <c r="O101" s="65">
        <f t="shared" si="62"/>
        <v>68256.384150300684</v>
      </c>
      <c r="P101" s="65">
        <f t="shared" si="62"/>
        <v>63894.035443418245</v>
      </c>
      <c r="Q101" s="65">
        <f t="shared" si="62"/>
        <v>60508.655946613857</v>
      </c>
      <c r="R101" s="65">
        <f t="shared" si="62"/>
        <v>64628.796403162771</v>
      </c>
      <c r="S101" s="65">
        <f t="shared" si="62"/>
        <v>69498.403852286778</v>
      </c>
      <c r="T101" s="65">
        <f t="shared" si="62"/>
        <v>72158.807360506384</v>
      </c>
      <c r="U101" s="65">
        <f t="shared" si="62"/>
        <v>65233.67308066682</v>
      </c>
      <c r="V101" s="65">
        <f t="shared" si="62"/>
        <v>58671.413805076954</v>
      </c>
      <c r="W101" s="65">
        <f t="shared" si="62"/>
        <v>69815.791823861917</v>
      </c>
      <c r="DA101" s="109"/>
    </row>
    <row r="102" spans="1:105" ht="12" customHeight="1" x14ac:dyDescent="0.25">
      <c r="A102" s="61" t="s">
        <v>31</v>
      </c>
      <c r="B102" s="65">
        <f t="shared" si="59"/>
        <v>460.26296232023725</v>
      </c>
      <c r="C102" s="65">
        <f t="shared" ref="C102:W102" si="63">C50*11630*1000/C$8</f>
        <v>486.39111792590501</v>
      </c>
      <c r="D102" s="65">
        <f t="shared" si="63"/>
        <v>528.44917612587699</v>
      </c>
      <c r="E102" s="65">
        <f t="shared" si="63"/>
        <v>467.85490519095498</v>
      </c>
      <c r="F102" s="65">
        <f t="shared" si="63"/>
        <v>466.82376714446724</v>
      </c>
      <c r="G102" s="65">
        <f t="shared" si="63"/>
        <v>467.31517136394524</v>
      </c>
      <c r="H102" s="65">
        <f t="shared" si="63"/>
        <v>525.64378276307446</v>
      </c>
      <c r="I102" s="65">
        <f t="shared" si="63"/>
        <v>468.48885984936044</v>
      </c>
      <c r="J102" s="65">
        <f t="shared" si="63"/>
        <v>462.02162293101827</v>
      </c>
      <c r="K102" s="65">
        <f t="shared" si="63"/>
        <v>483.35954290088267</v>
      </c>
      <c r="L102" s="65">
        <f t="shared" si="63"/>
        <v>619.75263911685317</v>
      </c>
      <c r="M102" s="65">
        <f t="shared" si="63"/>
        <v>488.17899742178804</v>
      </c>
      <c r="N102" s="65">
        <f t="shared" si="63"/>
        <v>528.80158485015352</v>
      </c>
      <c r="O102" s="65">
        <f t="shared" si="63"/>
        <v>486.96644051635838</v>
      </c>
      <c r="P102" s="65">
        <f t="shared" si="63"/>
        <v>532.65981870763699</v>
      </c>
      <c r="Q102" s="65">
        <f t="shared" si="63"/>
        <v>512.01007398974048</v>
      </c>
      <c r="R102" s="65">
        <f t="shared" si="63"/>
        <v>484.39076314126834</v>
      </c>
      <c r="S102" s="65">
        <f t="shared" si="63"/>
        <v>475.08821687648413</v>
      </c>
      <c r="T102" s="65">
        <f t="shared" si="63"/>
        <v>505.33268967960134</v>
      </c>
      <c r="U102" s="65">
        <f t="shared" si="63"/>
        <v>495.54277661336096</v>
      </c>
      <c r="V102" s="65">
        <f t="shared" si="63"/>
        <v>483.56821950389457</v>
      </c>
      <c r="W102" s="65">
        <f t="shared" si="63"/>
        <v>575.84867190058071</v>
      </c>
      <c r="DA102" s="109"/>
    </row>
    <row r="103" spans="1:105" ht="12" customHeight="1" x14ac:dyDescent="0.25">
      <c r="A103" s="61" t="s">
        <v>35</v>
      </c>
      <c r="B103" s="65">
        <f t="shared" si="59"/>
        <v>12391.414362608744</v>
      </c>
      <c r="C103" s="65">
        <f t="shared" ref="C103:W103" si="64">C51*11630*1000/C$8</f>
        <v>12301.651188979684</v>
      </c>
      <c r="D103" s="65">
        <f t="shared" si="64"/>
        <v>12216.795863719948</v>
      </c>
      <c r="E103" s="65">
        <f t="shared" si="64"/>
        <v>11989.586684246804</v>
      </c>
      <c r="F103" s="65">
        <f t="shared" si="64"/>
        <v>12329.973275953807</v>
      </c>
      <c r="G103" s="65">
        <f t="shared" si="64"/>
        <v>12482.140339273374</v>
      </c>
      <c r="H103" s="65">
        <f t="shared" si="64"/>
        <v>12883.788455827293</v>
      </c>
      <c r="I103" s="65">
        <f t="shared" si="64"/>
        <v>12433.418956463749</v>
      </c>
      <c r="J103" s="65">
        <f t="shared" si="64"/>
        <v>12533.715455613965</v>
      </c>
      <c r="K103" s="65">
        <f t="shared" si="64"/>
        <v>12566.627205233068</v>
      </c>
      <c r="L103" s="65">
        <f t="shared" si="64"/>
        <v>12681.572338961301</v>
      </c>
      <c r="M103" s="65">
        <f t="shared" si="64"/>
        <v>12723.190352162699</v>
      </c>
      <c r="N103" s="65">
        <f t="shared" si="64"/>
        <v>12821.402940463193</v>
      </c>
      <c r="O103" s="65">
        <f t="shared" si="64"/>
        <v>12830.608725415463</v>
      </c>
      <c r="P103" s="65">
        <f t="shared" si="64"/>
        <v>12770.121345370595</v>
      </c>
      <c r="Q103" s="65">
        <f t="shared" si="64"/>
        <v>12792.593343145454</v>
      </c>
      <c r="R103" s="65">
        <f t="shared" si="64"/>
        <v>12884.520199024044</v>
      </c>
      <c r="S103" s="65">
        <f t="shared" si="64"/>
        <v>12841.974329778306</v>
      </c>
      <c r="T103" s="65">
        <f t="shared" si="64"/>
        <v>12678.836730507534</v>
      </c>
      <c r="U103" s="65">
        <f t="shared" si="64"/>
        <v>12505.0086691262</v>
      </c>
      <c r="V103" s="65">
        <f t="shared" si="64"/>
        <v>10945.511542529923</v>
      </c>
      <c r="W103" s="65">
        <f t="shared" si="64"/>
        <v>12160.320393095108</v>
      </c>
      <c r="DA103" s="109"/>
    </row>
    <row r="104" spans="1:105" ht="12" customHeight="1" x14ac:dyDescent="0.25">
      <c r="A104" s="66" t="s">
        <v>34</v>
      </c>
      <c r="B104" s="67">
        <f t="shared" si="59"/>
        <v>12683.07630706728</v>
      </c>
      <c r="C104" s="67">
        <f t="shared" ref="C104:W104" si="65">C52*11630*1000/C$8</f>
        <v>12370.898307366062</v>
      </c>
      <c r="D104" s="67">
        <f t="shared" si="65"/>
        <v>12290.338011294289</v>
      </c>
      <c r="E104" s="67">
        <f t="shared" si="65"/>
        <v>11916.065733992298</v>
      </c>
      <c r="F104" s="67">
        <f t="shared" si="65"/>
        <v>11629.549765996364</v>
      </c>
      <c r="G104" s="67">
        <f t="shared" si="65"/>
        <v>11574.268101618703</v>
      </c>
      <c r="H104" s="67">
        <f t="shared" si="65"/>
        <v>12039.04854276986</v>
      </c>
      <c r="I104" s="67">
        <f t="shared" si="65"/>
        <v>11622.516038072308</v>
      </c>
      <c r="J104" s="67">
        <f t="shared" si="65"/>
        <v>11329.560883185479</v>
      </c>
      <c r="K104" s="67">
        <f t="shared" si="65"/>
        <v>11155.800607480498</v>
      </c>
      <c r="L104" s="67">
        <f t="shared" si="65"/>
        <v>10873.539312528155</v>
      </c>
      <c r="M104" s="67">
        <f t="shared" si="65"/>
        <v>10619.59463251245</v>
      </c>
      <c r="N104" s="67">
        <f t="shared" si="65"/>
        <v>10760.523382839327</v>
      </c>
      <c r="O104" s="67">
        <f t="shared" si="65"/>
        <v>10185.180676103222</v>
      </c>
      <c r="P104" s="67">
        <f t="shared" si="65"/>
        <v>9977.633955571293</v>
      </c>
      <c r="Q104" s="67">
        <f t="shared" si="65"/>
        <v>9460.061563440142</v>
      </c>
      <c r="R104" s="67">
        <f t="shared" si="65"/>
        <v>9821.5286911719231</v>
      </c>
      <c r="S104" s="67">
        <f t="shared" si="65"/>
        <v>9347.1325625739009</v>
      </c>
      <c r="T104" s="67">
        <f t="shared" si="65"/>
        <v>9715.4765289140614</v>
      </c>
      <c r="U104" s="67">
        <f t="shared" si="65"/>
        <v>9837.5614312760881</v>
      </c>
      <c r="V104" s="67">
        <f t="shared" si="65"/>
        <v>9049.9425270934571</v>
      </c>
      <c r="W104" s="67">
        <f t="shared" si="65"/>
        <v>10409.087305766912</v>
      </c>
      <c r="DA104" s="110"/>
    </row>
    <row r="105" spans="1:105" ht="12" customHeight="1" x14ac:dyDescent="0.25">
      <c r="A105" s="78" t="s">
        <v>33</v>
      </c>
      <c r="B105" s="68">
        <f t="shared" si="59"/>
        <v>41696.786739620584</v>
      </c>
      <c r="C105" s="68">
        <f t="shared" ref="C105:W105" si="66">C53*11630*1000/C$8</f>
        <v>42776.720003266637</v>
      </c>
      <c r="D105" s="68">
        <f t="shared" si="66"/>
        <v>43863.171702202118</v>
      </c>
      <c r="E105" s="68">
        <f t="shared" si="66"/>
        <v>45198.533292181928</v>
      </c>
      <c r="F105" s="68">
        <f t="shared" si="66"/>
        <v>46216.254942590873</v>
      </c>
      <c r="G105" s="68">
        <f t="shared" si="66"/>
        <v>46863.282270192685</v>
      </c>
      <c r="H105" s="68">
        <f t="shared" si="66"/>
        <v>47634.867201053115</v>
      </c>
      <c r="I105" s="68">
        <f t="shared" si="66"/>
        <v>46836.904017292291</v>
      </c>
      <c r="J105" s="68">
        <f t="shared" si="66"/>
        <v>46871.091079315396</v>
      </c>
      <c r="K105" s="68">
        <f t="shared" si="66"/>
        <v>46938.56498549637</v>
      </c>
      <c r="L105" s="68">
        <f t="shared" si="66"/>
        <v>46531.808611663932</v>
      </c>
      <c r="M105" s="68">
        <f t="shared" si="66"/>
        <v>46695.966607368122</v>
      </c>
      <c r="N105" s="68">
        <f t="shared" si="66"/>
        <v>47489.64020343111</v>
      </c>
      <c r="O105" s="68">
        <f t="shared" si="66"/>
        <v>47910.534006219175</v>
      </c>
      <c r="P105" s="68">
        <f t="shared" si="66"/>
        <v>48271.580571311431</v>
      </c>
      <c r="Q105" s="68">
        <f t="shared" si="66"/>
        <v>48776.439373101937</v>
      </c>
      <c r="R105" s="68">
        <f t="shared" si="66"/>
        <v>49400.510993826072</v>
      </c>
      <c r="S105" s="68">
        <f t="shared" si="66"/>
        <v>50967.35048004354</v>
      </c>
      <c r="T105" s="68">
        <f t="shared" si="66"/>
        <v>50555.788757571092</v>
      </c>
      <c r="U105" s="68">
        <f t="shared" si="66"/>
        <v>50707.133615913277</v>
      </c>
      <c r="V105" s="68">
        <f t="shared" si="66"/>
        <v>48074.746797652391</v>
      </c>
      <c r="W105" s="68">
        <f t="shared" si="66"/>
        <v>49466.500954532537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89233.619893582727</v>
      </c>
      <c r="C107" s="85">
        <f t="shared" ref="C107:W107" si="68">SUM(C108:C111)</f>
        <v>87467.697949084977</v>
      </c>
      <c r="D107" s="85">
        <f t="shared" si="68"/>
        <v>85463.899683133423</v>
      </c>
      <c r="E107" s="85">
        <f t="shared" si="68"/>
        <v>84378.541484999834</v>
      </c>
      <c r="F107" s="85">
        <f t="shared" si="68"/>
        <v>83466.53397603074</v>
      </c>
      <c r="G107" s="85">
        <f t="shared" si="68"/>
        <v>80609.617733821244</v>
      </c>
      <c r="H107" s="85">
        <f t="shared" si="68"/>
        <v>84964.560976266963</v>
      </c>
      <c r="I107" s="85">
        <f t="shared" si="68"/>
        <v>79111.619305935586</v>
      </c>
      <c r="J107" s="85">
        <f t="shared" si="68"/>
        <v>70653.175691080294</v>
      </c>
      <c r="K107" s="85">
        <f t="shared" si="68"/>
        <v>69244.550030876155</v>
      </c>
      <c r="L107" s="85">
        <f t="shared" si="68"/>
        <v>71121.636012097879</v>
      </c>
      <c r="M107" s="85">
        <f t="shared" si="68"/>
        <v>65390.174946264335</v>
      </c>
      <c r="N107" s="85">
        <f t="shared" si="68"/>
        <v>70113.317757170502</v>
      </c>
      <c r="O107" s="85">
        <f t="shared" si="68"/>
        <v>64589.43120781672</v>
      </c>
      <c r="P107" s="85">
        <f t="shared" si="68"/>
        <v>62259.24364905378</v>
      </c>
      <c r="Q107" s="85">
        <f t="shared" si="68"/>
        <v>60091.010818938244</v>
      </c>
      <c r="R107" s="85">
        <f t="shared" si="68"/>
        <v>63502.651948907616</v>
      </c>
      <c r="S107" s="85">
        <f t="shared" si="68"/>
        <v>67836.438209820175</v>
      </c>
      <c r="T107" s="85">
        <f t="shared" si="68"/>
        <v>70806.856359604601</v>
      </c>
      <c r="U107" s="85">
        <f t="shared" si="68"/>
        <v>66408.786980887788</v>
      </c>
      <c r="V107" s="85">
        <f t="shared" si="68"/>
        <v>60371.874046632845</v>
      </c>
      <c r="W107" s="85">
        <f t="shared" si="68"/>
        <v>72635.829165606934</v>
      </c>
      <c r="DA107" s="117"/>
    </row>
    <row r="108" spans="1:105" ht="12" customHeight="1" x14ac:dyDescent="0.25">
      <c r="A108" s="61" t="s">
        <v>32</v>
      </c>
      <c r="B108" s="65">
        <v>71851.729985598577</v>
      </c>
      <c r="C108" s="65">
        <v>70133.927610791652</v>
      </c>
      <c r="D108" s="65">
        <v>68085.411493521533</v>
      </c>
      <c r="E108" s="65">
        <v>67361.539917746428</v>
      </c>
      <c r="F108" s="65">
        <v>66220.307539931833</v>
      </c>
      <c r="G108" s="65">
        <v>63167.845468427739</v>
      </c>
      <c r="H108" s="65">
        <v>66619.285499623933</v>
      </c>
      <c r="I108" s="65">
        <v>61539.991213655849</v>
      </c>
      <c r="J108" s="65">
        <v>53161.072401425423</v>
      </c>
      <c r="K108" s="65">
        <v>51583.737096092693</v>
      </c>
      <c r="L108" s="65">
        <v>52996.932423953949</v>
      </c>
      <c r="M108" s="65">
        <v>47677.069707120223</v>
      </c>
      <c r="N108" s="65">
        <v>51822.609800610233</v>
      </c>
      <c r="O108" s="65">
        <v>46571.714000433742</v>
      </c>
      <c r="P108" s="65">
        <v>44069.046648421463</v>
      </c>
      <c r="Q108" s="65">
        <v>42207.389857331211</v>
      </c>
      <c r="R108" s="65">
        <v>45200.398028157892</v>
      </c>
      <c r="S108" s="65">
        <v>49664.985617563019</v>
      </c>
      <c r="T108" s="65">
        <v>52113.23362835664</v>
      </c>
      <c r="U108" s="65">
        <v>47376.455252845903</v>
      </c>
      <c r="V108" s="65">
        <v>42882.311529522922</v>
      </c>
      <c r="W108" s="65">
        <v>52482.09794805861</v>
      </c>
      <c r="DA108" s="109"/>
    </row>
    <row r="109" spans="1:105" ht="12" customHeight="1" x14ac:dyDescent="0.25">
      <c r="A109" s="61" t="s">
        <v>31</v>
      </c>
      <c r="B109" s="65">
        <v>907.08684041469905</v>
      </c>
      <c r="C109" s="65">
        <v>1013.0567044736341</v>
      </c>
      <c r="D109" s="65">
        <v>1165.5619154501176</v>
      </c>
      <c r="E109" s="65">
        <v>1090.4644390699593</v>
      </c>
      <c r="F109" s="65">
        <v>1148.5579885160757</v>
      </c>
      <c r="G109" s="65">
        <v>1212.0146558133465</v>
      </c>
      <c r="H109" s="65">
        <v>1436.2801419031266</v>
      </c>
      <c r="I109" s="65">
        <v>1349.8464165627699</v>
      </c>
      <c r="J109" s="65">
        <v>1401.7482664899019</v>
      </c>
      <c r="K109" s="65">
        <v>1492.3452016170072</v>
      </c>
      <c r="L109" s="65">
        <v>1955.2376594678235</v>
      </c>
      <c r="M109" s="65">
        <v>1589.0054319307105</v>
      </c>
      <c r="N109" s="65">
        <v>1776.4220847385257</v>
      </c>
      <c r="O109" s="65">
        <v>1694.2647634247953</v>
      </c>
      <c r="P109" s="65">
        <v>1927.6480582442473</v>
      </c>
      <c r="Q109" s="65">
        <v>1928.447279937235</v>
      </c>
      <c r="R109" s="65">
        <v>1899.6360917580639</v>
      </c>
      <c r="S109" s="65">
        <v>1932.2895743165413</v>
      </c>
      <c r="T109" s="65">
        <v>2123.8970138554469</v>
      </c>
      <c r="U109" s="65">
        <v>2139.8931055185722</v>
      </c>
      <c r="V109" s="65">
        <v>2143.1289089172787</v>
      </c>
      <c r="W109" s="65">
        <v>2615.6849151449492</v>
      </c>
      <c r="DA109" s="109"/>
    </row>
    <row r="110" spans="1:105" ht="12" customHeight="1" x14ac:dyDescent="0.25">
      <c r="A110" s="61" t="s">
        <v>35</v>
      </c>
      <c r="B110" s="65">
        <v>7815.0578372015716</v>
      </c>
      <c r="C110" s="65">
        <v>7882.5607025141426</v>
      </c>
      <c r="D110" s="65">
        <v>7858.4369386790258</v>
      </c>
      <c r="E110" s="65">
        <v>7800.0627138506225</v>
      </c>
      <c r="F110" s="65">
        <v>8074.4992496272953</v>
      </c>
      <c r="G110" s="65">
        <v>8263.5048491351426</v>
      </c>
      <c r="H110" s="65">
        <v>8579.9834892360122</v>
      </c>
      <c r="I110" s="65">
        <v>8270.4222497861574</v>
      </c>
      <c r="J110" s="65">
        <v>8387.09357932274</v>
      </c>
      <c r="K110" s="65">
        <v>8527.5880832242965</v>
      </c>
      <c r="L110" s="65">
        <v>8696.4352585031011</v>
      </c>
      <c r="M110" s="65">
        <v>8786.8950694519026</v>
      </c>
      <c r="N110" s="65">
        <v>8942.5403032739523</v>
      </c>
      <c r="O110" s="65">
        <v>9067.6228628926492</v>
      </c>
      <c r="P110" s="65">
        <v>9082.0354190489925</v>
      </c>
      <c r="Q110" s="65">
        <v>9222.5272410113666</v>
      </c>
      <c r="R110" s="65">
        <v>9380.9557840824</v>
      </c>
      <c r="S110" s="65">
        <v>9501.7784835102357</v>
      </c>
      <c r="T110" s="65">
        <v>9507.0755747102266</v>
      </c>
      <c r="U110" s="65">
        <v>9516.0428461146057</v>
      </c>
      <c r="V110" s="65">
        <v>8443.7401408870592</v>
      </c>
      <c r="W110" s="65">
        <v>9537.6907064567094</v>
      </c>
      <c r="DA110" s="109"/>
    </row>
    <row r="111" spans="1:105" ht="12" customHeight="1" x14ac:dyDescent="0.25">
      <c r="A111" s="74" t="s">
        <v>34</v>
      </c>
      <c r="B111" s="68">
        <v>8659.745230367871</v>
      </c>
      <c r="C111" s="68">
        <v>8438.1529313055544</v>
      </c>
      <c r="D111" s="68">
        <v>8354.4893354827473</v>
      </c>
      <c r="E111" s="68">
        <v>8126.4744143328335</v>
      </c>
      <c r="F111" s="68">
        <v>8023.1691979555526</v>
      </c>
      <c r="G111" s="68">
        <v>7966.2527604450106</v>
      </c>
      <c r="H111" s="68">
        <v>8329.0118455038901</v>
      </c>
      <c r="I111" s="68">
        <v>7951.3594259308102</v>
      </c>
      <c r="J111" s="68">
        <v>7703.261443842237</v>
      </c>
      <c r="K111" s="68">
        <v>7640.8796499421614</v>
      </c>
      <c r="L111" s="68">
        <v>7473.0306701730124</v>
      </c>
      <c r="M111" s="68">
        <v>7337.2047377615008</v>
      </c>
      <c r="N111" s="68">
        <v>7571.7455685477898</v>
      </c>
      <c r="O111" s="68">
        <v>7255.8295810655345</v>
      </c>
      <c r="P111" s="68">
        <v>7180.5135233390783</v>
      </c>
      <c r="Q111" s="68">
        <v>6732.6464406584309</v>
      </c>
      <c r="R111" s="68">
        <v>7021.6620449092661</v>
      </c>
      <c r="S111" s="68">
        <v>6737.3845344303736</v>
      </c>
      <c r="T111" s="68">
        <v>7062.6501426823015</v>
      </c>
      <c r="U111" s="68">
        <v>7376.3957764087054</v>
      </c>
      <c r="V111" s="68">
        <v>6902.6934673055866</v>
      </c>
      <c r="W111" s="68">
        <v>8000.3555959466648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10720.485586312494</v>
      </c>
      <c r="C113" s="82">
        <f t="shared" ref="C113:W113" si="70">C81*1000000/C$8</f>
        <v>8854.8485856841235</v>
      </c>
      <c r="D113" s="82">
        <f t="shared" si="70"/>
        <v>9638.0578468748536</v>
      </c>
      <c r="E113" s="82">
        <f t="shared" si="70"/>
        <v>8695.6920374357924</v>
      </c>
      <c r="F113" s="82">
        <f t="shared" si="70"/>
        <v>8925.3191250959862</v>
      </c>
      <c r="G113" s="82">
        <f t="shared" si="70"/>
        <v>8870.7681448295698</v>
      </c>
      <c r="H113" s="82">
        <f t="shared" si="70"/>
        <v>10365.315097173507</v>
      </c>
      <c r="I113" s="82">
        <f t="shared" si="70"/>
        <v>8904.1677214612591</v>
      </c>
      <c r="J113" s="82">
        <f t="shared" si="70"/>
        <v>7493.4297871718336</v>
      </c>
      <c r="K113" s="82">
        <f t="shared" si="70"/>
        <v>7560.701886000621</v>
      </c>
      <c r="L113" s="82">
        <f t="shared" si="70"/>
        <v>7824.1525359440402</v>
      </c>
      <c r="M113" s="82">
        <f t="shared" si="70"/>
        <v>8197.5171759008917</v>
      </c>
      <c r="N113" s="82">
        <f t="shared" si="70"/>
        <v>6709.7109431256476</v>
      </c>
      <c r="O113" s="82">
        <f t="shared" si="70"/>
        <v>7190.6989327528399</v>
      </c>
      <c r="P113" s="82">
        <f t="shared" si="70"/>
        <v>6212.6327170843861</v>
      </c>
      <c r="Q113" s="82">
        <f t="shared" si="70"/>
        <v>5526.0214062253772</v>
      </c>
      <c r="R113" s="82">
        <f t="shared" si="70"/>
        <v>6221.8087120781729</v>
      </c>
      <c r="S113" s="82">
        <f t="shared" si="70"/>
        <v>6466.8293835224085</v>
      </c>
      <c r="T113" s="82">
        <f t="shared" si="70"/>
        <v>6697.0683377372407</v>
      </c>
      <c r="U113" s="82">
        <f t="shared" si="70"/>
        <v>6149.8281904925389</v>
      </c>
      <c r="V113" s="82">
        <f t="shared" si="70"/>
        <v>5083.7024187694897</v>
      </c>
      <c r="W113" s="82">
        <f t="shared" si="70"/>
        <v>5634.0172484072655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10720.485586312494</v>
      </c>
      <c r="C114" s="64">
        <f t="shared" ref="C114:W114" si="72">C82*1000000/C$8</f>
        <v>8854.8485856841235</v>
      </c>
      <c r="D114" s="64">
        <f t="shared" si="72"/>
        <v>9638.0578468748536</v>
      </c>
      <c r="E114" s="64">
        <f t="shared" si="72"/>
        <v>8695.6920374357924</v>
      </c>
      <c r="F114" s="64">
        <f t="shared" si="72"/>
        <v>8925.3191250959862</v>
      </c>
      <c r="G114" s="64">
        <f t="shared" si="72"/>
        <v>8870.7681448295698</v>
      </c>
      <c r="H114" s="64">
        <f t="shared" si="72"/>
        <v>10365.315097173507</v>
      </c>
      <c r="I114" s="64">
        <f t="shared" si="72"/>
        <v>8904.1677214612591</v>
      </c>
      <c r="J114" s="64">
        <f t="shared" si="72"/>
        <v>7493.4297871718336</v>
      </c>
      <c r="K114" s="64">
        <f t="shared" si="72"/>
        <v>7560.701886000621</v>
      </c>
      <c r="L114" s="64">
        <f t="shared" si="72"/>
        <v>7824.1525359440402</v>
      </c>
      <c r="M114" s="64">
        <f t="shared" si="72"/>
        <v>8197.5171759008917</v>
      </c>
      <c r="N114" s="64">
        <f t="shared" si="72"/>
        <v>6709.7109431256476</v>
      </c>
      <c r="O114" s="64">
        <f t="shared" si="72"/>
        <v>7190.6989327528399</v>
      </c>
      <c r="P114" s="64">
        <f t="shared" si="72"/>
        <v>6212.6327170843861</v>
      </c>
      <c r="Q114" s="64">
        <f t="shared" si="72"/>
        <v>5526.0214062253772</v>
      </c>
      <c r="R114" s="64">
        <f t="shared" si="72"/>
        <v>6221.8087120781729</v>
      </c>
      <c r="S114" s="64">
        <f t="shared" si="72"/>
        <v>6466.8293835224085</v>
      </c>
      <c r="T114" s="64">
        <f t="shared" si="72"/>
        <v>6697.0683377372407</v>
      </c>
      <c r="U114" s="64">
        <f t="shared" si="72"/>
        <v>6149.8281904925389</v>
      </c>
      <c r="V114" s="64">
        <f t="shared" si="72"/>
        <v>5083.7024187694897</v>
      </c>
      <c r="W114" s="64">
        <f t="shared" si="72"/>
        <v>5634.0172484072655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9682.0306951140774</v>
      </c>
      <c r="C115" s="65">
        <f t="shared" ref="C115:W115" si="74">C83*1000000/C$8</f>
        <v>7900.0081271991221</v>
      </c>
      <c r="D115" s="65">
        <f t="shared" si="74"/>
        <v>8653.610860208144</v>
      </c>
      <c r="E115" s="65">
        <f t="shared" si="74"/>
        <v>7769.2856760973509</v>
      </c>
      <c r="F115" s="65">
        <f t="shared" si="74"/>
        <v>8049.4171530526382</v>
      </c>
      <c r="G115" s="65">
        <f t="shared" si="74"/>
        <v>8017.101079985674</v>
      </c>
      <c r="H115" s="65">
        <f t="shared" si="74"/>
        <v>9487.1656719767634</v>
      </c>
      <c r="I115" s="65">
        <f t="shared" si="74"/>
        <v>7863.3447507318951</v>
      </c>
      <c r="J115" s="65">
        <f t="shared" si="74"/>
        <v>6418.553125544614</v>
      </c>
      <c r="K115" s="65">
        <f t="shared" si="74"/>
        <v>6522.5185033399302</v>
      </c>
      <c r="L115" s="65">
        <f t="shared" si="74"/>
        <v>6859.6462143018844</v>
      </c>
      <c r="M115" s="65">
        <f t="shared" si="74"/>
        <v>7291.1929070472152</v>
      </c>
      <c r="N115" s="65">
        <f t="shared" si="74"/>
        <v>5895.1919733291561</v>
      </c>
      <c r="O115" s="65">
        <f t="shared" si="74"/>
        <v>6477.5298227949779</v>
      </c>
      <c r="P115" s="65">
        <f t="shared" si="74"/>
        <v>5600.5023910251166</v>
      </c>
      <c r="Q115" s="65">
        <f t="shared" si="74"/>
        <v>4845.0867515699319</v>
      </c>
      <c r="R115" s="65">
        <f t="shared" si="74"/>
        <v>5507.9024208671035</v>
      </c>
      <c r="S115" s="65">
        <f t="shared" si="74"/>
        <v>5788.3584838256847</v>
      </c>
      <c r="T115" s="65">
        <f t="shared" si="74"/>
        <v>6002.8116167059079</v>
      </c>
      <c r="U115" s="65">
        <f t="shared" si="74"/>
        <v>5596.8271595881752</v>
      </c>
      <c r="V115" s="65">
        <f t="shared" si="74"/>
        <v>4591.9640398226502</v>
      </c>
      <c r="W115" s="65">
        <f t="shared" si="74"/>
        <v>5123.0612581396181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</v>
      </c>
      <c r="C116" s="65">
        <f t="shared" ref="C116:W116" si="76">C84*1000000/C$8</f>
        <v>0</v>
      </c>
      <c r="D116" s="65">
        <f t="shared" si="76"/>
        <v>0</v>
      </c>
      <c r="E116" s="65">
        <f t="shared" si="76"/>
        <v>0</v>
      </c>
      <c r="F116" s="65">
        <f t="shared" si="76"/>
        <v>0</v>
      </c>
      <c r="G116" s="65">
        <f t="shared" si="76"/>
        <v>0</v>
      </c>
      <c r="H116" s="65">
        <f t="shared" si="76"/>
        <v>0</v>
      </c>
      <c r="I116" s="65">
        <f t="shared" si="76"/>
        <v>0</v>
      </c>
      <c r="J116" s="65">
        <f t="shared" si="76"/>
        <v>0</v>
      </c>
      <c r="K116" s="65">
        <f t="shared" si="76"/>
        <v>0</v>
      </c>
      <c r="L116" s="65">
        <f t="shared" si="76"/>
        <v>0</v>
      </c>
      <c r="M116" s="65">
        <f t="shared" si="76"/>
        <v>0</v>
      </c>
      <c r="N116" s="65">
        <f t="shared" si="76"/>
        <v>0</v>
      </c>
      <c r="O116" s="65">
        <f t="shared" si="76"/>
        <v>0</v>
      </c>
      <c r="P116" s="65">
        <f t="shared" si="76"/>
        <v>0</v>
      </c>
      <c r="Q116" s="65">
        <f t="shared" si="76"/>
        <v>0</v>
      </c>
      <c r="R116" s="65">
        <f t="shared" si="76"/>
        <v>0</v>
      </c>
      <c r="S116" s="65">
        <f t="shared" si="76"/>
        <v>0</v>
      </c>
      <c r="T116" s="65">
        <f t="shared" si="76"/>
        <v>0</v>
      </c>
      <c r="U116" s="65">
        <f t="shared" si="76"/>
        <v>0</v>
      </c>
      <c r="V116" s="65">
        <f t="shared" si="76"/>
        <v>0</v>
      </c>
      <c r="W116" s="65">
        <f t="shared" si="76"/>
        <v>0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353.04216340661787</v>
      </c>
      <c r="C117" s="65">
        <f t="shared" ref="C117:W117" si="78">C85*1000000/C$8</f>
        <v>251.71807405525195</v>
      </c>
      <c r="D117" s="65">
        <f t="shared" si="78"/>
        <v>241.49283490036456</v>
      </c>
      <c r="E117" s="65">
        <f t="shared" si="78"/>
        <v>209.04258020052876</v>
      </c>
      <c r="F117" s="65">
        <f t="shared" si="78"/>
        <v>243.12437315608892</v>
      </c>
      <c r="G117" s="65">
        <f t="shared" si="78"/>
        <v>217.64741152384252</v>
      </c>
      <c r="H117" s="65">
        <f t="shared" si="78"/>
        <v>236.94590190760772</v>
      </c>
      <c r="I117" s="65">
        <f t="shared" si="78"/>
        <v>284.67882610306924</v>
      </c>
      <c r="J117" s="65">
        <f t="shared" si="78"/>
        <v>300.76828253750898</v>
      </c>
      <c r="K117" s="65">
        <f t="shared" si="78"/>
        <v>284.55276631006706</v>
      </c>
      <c r="L117" s="65">
        <f t="shared" si="78"/>
        <v>279.25658459027079</v>
      </c>
      <c r="M117" s="65">
        <f t="shared" si="78"/>
        <v>271.58166042601704</v>
      </c>
      <c r="N117" s="65">
        <f t="shared" si="78"/>
        <v>262.65865043628691</v>
      </c>
      <c r="O117" s="65">
        <f t="shared" si="78"/>
        <v>262.90111268749831</v>
      </c>
      <c r="P117" s="65">
        <f t="shared" si="78"/>
        <v>235.13633176776054</v>
      </c>
      <c r="Q117" s="65">
        <f t="shared" si="78"/>
        <v>252.20612874207995</v>
      </c>
      <c r="R117" s="65">
        <f t="shared" si="78"/>
        <v>264.0100322206759</v>
      </c>
      <c r="S117" s="65">
        <f t="shared" si="78"/>
        <v>266.14003742999836</v>
      </c>
      <c r="T117" s="65">
        <f t="shared" si="78"/>
        <v>267.81038310066896</v>
      </c>
      <c r="U117" s="65">
        <f t="shared" si="78"/>
        <v>276.61150885817847</v>
      </c>
      <c r="V117" s="65">
        <f t="shared" si="78"/>
        <v>280.79024906056907</v>
      </c>
      <c r="W117" s="65">
        <f t="shared" si="78"/>
        <v>292.70730318102028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685.41272779179735</v>
      </c>
      <c r="C118" s="67">
        <f t="shared" ref="C118:W118" si="80">C86*1000000/C$8</f>
        <v>703.12238442974967</v>
      </c>
      <c r="D118" s="67">
        <f t="shared" si="80"/>
        <v>742.95415176634322</v>
      </c>
      <c r="E118" s="67">
        <f t="shared" si="80"/>
        <v>717.36378113791068</v>
      </c>
      <c r="F118" s="67">
        <f t="shared" si="80"/>
        <v>632.77759888725905</v>
      </c>
      <c r="G118" s="67">
        <f t="shared" si="80"/>
        <v>636.0196533200525</v>
      </c>
      <c r="H118" s="67">
        <f t="shared" si="80"/>
        <v>641.20352328913486</v>
      </c>
      <c r="I118" s="67">
        <f t="shared" si="80"/>
        <v>756.1441446262952</v>
      </c>
      <c r="J118" s="67">
        <f t="shared" si="80"/>
        <v>774.10837908971075</v>
      </c>
      <c r="K118" s="67">
        <f t="shared" si="80"/>
        <v>753.63061635062218</v>
      </c>
      <c r="L118" s="67">
        <f t="shared" si="80"/>
        <v>685.24973705188449</v>
      </c>
      <c r="M118" s="67">
        <f t="shared" si="80"/>
        <v>634.74260842765943</v>
      </c>
      <c r="N118" s="67">
        <f t="shared" si="80"/>
        <v>551.86031936020436</v>
      </c>
      <c r="O118" s="67">
        <f t="shared" si="80"/>
        <v>450.26799727036286</v>
      </c>
      <c r="P118" s="67">
        <f t="shared" si="80"/>
        <v>376.99399429150901</v>
      </c>
      <c r="Q118" s="67">
        <f t="shared" si="80"/>
        <v>428.72852591336419</v>
      </c>
      <c r="R118" s="67">
        <f t="shared" si="80"/>
        <v>449.89625899039373</v>
      </c>
      <c r="S118" s="67">
        <f t="shared" si="80"/>
        <v>412.33086226672555</v>
      </c>
      <c r="T118" s="67">
        <f t="shared" si="80"/>
        <v>426.44633793066407</v>
      </c>
      <c r="U118" s="67">
        <f t="shared" si="80"/>
        <v>276.38952204618522</v>
      </c>
      <c r="V118" s="67">
        <f t="shared" si="80"/>
        <v>210.94812988626961</v>
      </c>
      <c r="W118" s="67">
        <f t="shared" si="80"/>
        <v>218.24868708662871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0.62145012038371694</v>
      </c>
      <c r="C121" s="86">
        <f t="shared" ref="C121:W121" si="84">IF(C107=0,"",C107/C100)</f>
        <v>0.63448605910874667</v>
      </c>
      <c r="D121" s="86">
        <f t="shared" si="84"/>
        <v>0.63534043684116248</v>
      </c>
      <c r="E121" s="86">
        <f t="shared" si="84"/>
        <v>0.64908716289023594</v>
      </c>
      <c r="F121" s="86">
        <f t="shared" si="84"/>
        <v>0.65379155312907355</v>
      </c>
      <c r="G121" s="86">
        <f t="shared" si="84"/>
        <v>0.66011573767528187</v>
      </c>
      <c r="H121" s="86">
        <f t="shared" si="84"/>
        <v>0.66480874203690388</v>
      </c>
      <c r="I121" s="86">
        <f t="shared" si="84"/>
        <v>0.67205649130354084</v>
      </c>
      <c r="J121" s="86">
        <f t="shared" si="84"/>
        <v>0.67365744113442139</v>
      </c>
      <c r="K121" s="86">
        <f t="shared" si="84"/>
        <v>0.68445384420853095</v>
      </c>
      <c r="L121" s="86">
        <f t="shared" si="84"/>
        <v>0.69317025122091336</v>
      </c>
      <c r="M121" s="86">
        <f t="shared" si="84"/>
        <v>0.68769335943883259</v>
      </c>
      <c r="N121" s="86">
        <f t="shared" si="84"/>
        <v>0.70450023456733146</v>
      </c>
      <c r="O121" s="86">
        <f t="shared" si="84"/>
        <v>0.70390188065419546</v>
      </c>
      <c r="P121" s="86">
        <f t="shared" si="84"/>
        <v>0.71419140868586639</v>
      </c>
      <c r="Q121" s="86">
        <f t="shared" si="84"/>
        <v>0.72161179775067907</v>
      </c>
      <c r="R121" s="86">
        <f t="shared" si="84"/>
        <v>0.72310640356803035</v>
      </c>
      <c r="S121" s="86">
        <f t="shared" si="84"/>
        <v>0.7360517061606171</v>
      </c>
      <c r="T121" s="86">
        <f t="shared" si="84"/>
        <v>0.74487700877043561</v>
      </c>
      <c r="U121" s="86">
        <f t="shared" si="84"/>
        <v>0.75403020682238109</v>
      </c>
      <c r="V121" s="86">
        <f t="shared" si="84"/>
        <v>0.76274847020146175</v>
      </c>
      <c r="W121" s="86">
        <f t="shared" si="84"/>
        <v>0.78135768234385194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0.60863135504712484</v>
      </c>
      <c r="C122" s="75">
        <f t="shared" ref="C122:W122" si="86">IF(C108=0,"",C108/C101)</f>
        <v>0.62232271165106745</v>
      </c>
      <c r="D122" s="75">
        <f t="shared" si="86"/>
        <v>0.62189181718290765</v>
      </c>
      <c r="E122" s="75">
        <f t="shared" si="86"/>
        <v>0.63775932738020413</v>
      </c>
      <c r="F122" s="75">
        <f t="shared" si="86"/>
        <v>0.64142716509958608</v>
      </c>
      <c r="G122" s="75">
        <f t="shared" si="86"/>
        <v>0.64727356065230668</v>
      </c>
      <c r="H122" s="75">
        <f t="shared" si="86"/>
        <v>0.65086795273770903</v>
      </c>
      <c r="I122" s="75">
        <f t="shared" si="86"/>
        <v>0.66036194692081296</v>
      </c>
      <c r="J122" s="75">
        <f t="shared" si="86"/>
        <v>0.65993774975967423</v>
      </c>
      <c r="K122" s="75">
        <f t="shared" si="86"/>
        <v>0.67025110202281546</v>
      </c>
      <c r="L122" s="75">
        <f t="shared" si="86"/>
        <v>0.67573518713325553</v>
      </c>
      <c r="M122" s="75">
        <f t="shared" si="86"/>
        <v>0.66910232088932287</v>
      </c>
      <c r="N122" s="75">
        <f t="shared" si="86"/>
        <v>0.68719919536921414</v>
      </c>
      <c r="O122" s="75">
        <f t="shared" si="86"/>
        <v>0.6823056125839122</v>
      </c>
      <c r="P122" s="75">
        <f t="shared" si="86"/>
        <v>0.68972082202331819</v>
      </c>
      <c r="Q122" s="75">
        <f t="shared" si="86"/>
        <v>0.69754300764125954</v>
      </c>
      <c r="R122" s="75">
        <f t="shared" si="86"/>
        <v>0.69938480280820914</v>
      </c>
      <c r="S122" s="75">
        <f t="shared" si="86"/>
        <v>0.71462052169028112</v>
      </c>
      <c r="T122" s="75">
        <f t="shared" si="86"/>
        <v>0.72220198108317135</v>
      </c>
      <c r="U122" s="75">
        <f t="shared" si="86"/>
        <v>0.72625766748196141</v>
      </c>
      <c r="V122" s="75">
        <f t="shared" si="86"/>
        <v>0.73088935051045645</v>
      </c>
      <c r="W122" s="75">
        <f t="shared" si="86"/>
        <v>0.75172244813129907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1.9708012911618447</v>
      </c>
      <c r="C123" s="76">
        <f t="shared" ref="C123:W123" si="88">IF(C109=0,"",C109/C102)</f>
        <v>2.0828026399691768</v>
      </c>
      <c r="D123" s="76">
        <f t="shared" si="88"/>
        <v>2.2056272733642786</v>
      </c>
      <c r="E123" s="76">
        <f t="shared" si="88"/>
        <v>2.3307748341868644</v>
      </c>
      <c r="F123" s="76">
        <f t="shared" si="88"/>
        <v>2.4603674220396607</v>
      </c>
      <c r="G123" s="76">
        <f t="shared" si="88"/>
        <v>2.5935701001871156</v>
      </c>
      <c r="H123" s="76">
        <f t="shared" si="88"/>
        <v>2.7324210596637211</v>
      </c>
      <c r="I123" s="76">
        <f t="shared" si="88"/>
        <v>2.8812775121201479</v>
      </c>
      <c r="J123" s="76">
        <f t="shared" si="88"/>
        <v>3.0339451595303122</v>
      </c>
      <c r="K123" s="76">
        <f t="shared" si="88"/>
        <v>3.0874433401287504</v>
      </c>
      <c r="L123" s="76">
        <f t="shared" si="88"/>
        <v>3.154867823159309</v>
      </c>
      <c r="M123" s="76">
        <f t="shared" si="88"/>
        <v>3.2549647574408151</v>
      </c>
      <c r="N123" s="76">
        <f t="shared" si="88"/>
        <v>3.3593357804362678</v>
      </c>
      <c r="O123" s="76">
        <f t="shared" si="88"/>
        <v>3.47922284260137</v>
      </c>
      <c r="P123" s="76">
        <f t="shared" si="88"/>
        <v>3.6189102135039826</v>
      </c>
      <c r="Q123" s="76">
        <f t="shared" si="88"/>
        <v>3.7664244863585958</v>
      </c>
      <c r="R123" s="76">
        <f t="shared" si="88"/>
        <v>3.921701725769803</v>
      </c>
      <c r="S123" s="76">
        <f t="shared" si="88"/>
        <v>4.0672226876527819</v>
      </c>
      <c r="T123" s="76">
        <f t="shared" si="88"/>
        <v>4.2029677818826094</v>
      </c>
      <c r="U123" s="76">
        <f t="shared" si="88"/>
        <v>4.3182812998365794</v>
      </c>
      <c r="V123" s="76">
        <f t="shared" si="88"/>
        <v>4.4319060320299197</v>
      </c>
      <c r="W123" s="76">
        <f t="shared" si="88"/>
        <v>4.5423130117013502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0.63068327864037954</v>
      </c>
      <c r="C124" s="76">
        <f t="shared" ref="C124:W124" si="90">IF(C110=0,"",C110/C103)</f>
        <v>0.64077257446347191</v>
      </c>
      <c r="D124" s="76">
        <f t="shared" si="90"/>
        <v>0.64324860841917797</v>
      </c>
      <c r="E124" s="76">
        <f t="shared" si="90"/>
        <v>0.65056977519493442</v>
      </c>
      <c r="F124" s="76">
        <f t="shared" si="90"/>
        <v>0.65486753855130941</v>
      </c>
      <c r="G124" s="76">
        <f t="shared" si="90"/>
        <v>0.66202627310118745</v>
      </c>
      <c r="H124" s="76">
        <f t="shared" si="90"/>
        <v>0.66595190682095651</v>
      </c>
      <c r="I124" s="76">
        <f t="shared" si="90"/>
        <v>0.6651768333992012</v>
      </c>
      <c r="J124" s="76">
        <f t="shared" si="90"/>
        <v>0.66916259659988409</v>
      </c>
      <c r="K124" s="76">
        <f t="shared" si="90"/>
        <v>0.67859004201805151</v>
      </c>
      <c r="L124" s="76">
        <f t="shared" si="90"/>
        <v>0.68575370829887117</v>
      </c>
      <c r="M124" s="76">
        <f t="shared" si="90"/>
        <v>0.69062042036951043</v>
      </c>
      <c r="N124" s="76">
        <f t="shared" si="90"/>
        <v>0.6974697187818738</v>
      </c>
      <c r="O124" s="76">
        <f t="shared" si="90"/>
        <v>0.70671805655885078</v>
      </c>
      <c r="P124" s="76">
        <f t="shared" si="90"/>
        <v>0.71119413617329474</v>
      </c>
      <c r="Q124" s="76">
        <f t="shared" si="90"/>
        <v>0.72092710161485707</v>
      </c>
      <c r="R124" s="76">
        <f t="shared" si="90"/>
        <v>0.72807955897286525</v>
      </c>
      <c r="S124" s="76">
        <f t="shared" si="90"/>
        <v>0.7399001305801759</v>
      </c>
      <c r="T124" s="76">
        <f t="shared" si="90"/>
        <v>0.74983815761539963</v>
      </c>
      <c r="U124" s="76">
        <f t="shared" si="90"/>
        <v>0.76097850852426063</v>
      </c>
      <c r="V124" s="76">
        <f t="shared" si="90"/>
        <v>0.77143403559331414</v>
      </c>
      <c r="W124" s="76">
        <f t="shared" si="90"/>
        <v>0.78432889908660763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0.68277955763322784</v>
      </c>
      <c r="C125" s="56">
        <f t="shared" ref="C125:W125" si="92">IF(C111=0,"",C111/C104)</f>
        <v>0.68209702494128377</v>
      </c>
      <c r="D125" s="56">
        <f t="shared" si="92"/>
        <v>0.67976074602710956</v>
      </c>
      <c r="E125" s="56">
        <f t="shared" si="92"/>
        <v>0.6819762995391081</v>
      </c>
      <c r="F125" s="56">
        <f t="shared" si="92"/>
        <v>0.68989508273265177</v>
      </c>
      <c r="G125" s="56">
        <f t="shared" si="92"/>
        <v>0.68827270031276544</v>
      </c>
      <c r="H125" s="56">
        <f t="shared" si="92"/>
        <v>0.69183306437500325</v>
      </c>
      <c r="I125" s="56">
        <f t="shared" si="92"/>
        <v>0.68413408937309672</v>
      </c>
      <c r="J125" s="56">
        <f t="shared" si="92"/>
        <v>0.67992586149343748</v>
      </c>
      <c r="K125" s="56">
        <f t="shared" si="92"/>
        <v>0.68492436525071865</v>
      </c>
      <c r="L125" s="56">
        <f t="shared" si="92"/>
        <v>0.68726754512790678</v>
      </c>
      <c r="M125" s="56">
        <f t="shared" si="92"/>
        <v>0.69091194077203866</v>
      </c>
      <c r="N125" s="56">
        <f t="shared" si="92"/>
        <v>0.70365959899525543</v>
      </c>
      <c r="O125" s="56">
        <f t="shared" si="92"/>
        <v>0.7123908560688943</v>
      </c>
      <c r="P125" s="56">
        <f t="shared" si="92"/>
        <v>0.71966094921027213</v>
      </c>
      <c r="Q125" s="56">
        <f t="shared" si="92"/>
        <v>0.71169160956391397</v>
      </c>
      <c r="R125" s="56">
        <f t="shared" si="92"/>
        <v>0.71492557479577334</v>
      </c>
      <c r="S125" s="56">
        <f t="shared" si="92"/>
        <v>0.72079693845436532</v>
      </c>
      <c r="T125" s="56">
        <f t="shared" si="92"/>
        <v>0.72694840254755089</v>
      </c>
      <c r="U125" s="56">
        <f t="shared" si="92"/>
        <v>0.74981953891106423</v>
      </c>
      <c r="V125" s="56">
        <f t="shared" si="92"/>
        <v>0.76273340373604603</v>
      </c>
      <c r="W125" s="56">
        <f t="shared" si="92"/>
        <v>0.76859338008571165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205.87348714404493</v>
      </c>
      <c r="C129" s="82">
        <f t="shared" ref="C129:W129" si="94">IF(C99=0,0,C99/C$26)</f>
        <v>200.70300083424195</v>
      </c>
      <c r="D129" s="82">
        <f t="shared" si="94"/>
        <v>198.19985874576059</v>
      </c>
      <c r="E129" s="82">
        <f t="shared" si="94"/>
        <v>194.66026158279365</v>
      </c>
      <c r="F129" s="82">
        <f t="shared" si="94"/>
        <v>193.20179434810868</v>
      </c>
      <c r="G129" s="82">
        <f t="shared" si="94"/>
        <v>187.75294747271616</v>
      </c>
      <c r="H129" s="82">
        <f t="shared" si="94"/>
        <v>194.93097912966664</v>
      </c>
      <c r="I129" s="82">
        <f t="shared" si="94"/>
        <v>182.83625808634145</v>
      </c>
      <c r="J129" s="82">
        <f t="shared" si="94"/>
        <v>168.61229581907494</v>
      </c>
      <c r="K129" s="82">
        <f t="shared" si="94"/>
        <v>164.56240115885959</v>
      </c>
      <c r="L129" s="82">
        <f t="shared" si="94"/>
        <v>165.70580571275758</v>
      </c>
      <c r="M129" s="82">
        <f t="shared" si="94"/>
        <v>157.53578370435403</v>
      </c>
      <c r="N129" s="82">
        <f t="shared" si="94"/>
        <v>163.3463385156733</v>
      </c>
      <c r="O129" s="82">
        <f t="shared" si="94"/>
        <v>155.18852666506098</v>
      </c>
      <c r="P129" s="82">
        <f t="shared" si="94"/>
        <v>150.4955901493102</v>
      </c>
      <c r="Q129" s="82">
        <f t="shared" si="94"/>
        <v>146.72195588921238</v>
      </c>
      <c r="R129" s="82">
        <f t="shared" si="94"/>
        <v>152.46638561147344</v>
      </c>
      <c r="S129" s="82">
        <f t="shared" si="94"/>
        <v>159.03327715728778</v>
      </c>
      <c r="T129" s="82">
        <f t="shared" si="94"/>
        <v>161.79360229686515</v>
      </c>
      <c r="U129" s="82">
        <f t="shared" si="94"/>
        <v>154.19879952621747</v>
      </c>
      <c r="V129" s="82">
        <f t="shared" si="94"/>
        <v>141.36131432428513</v>
      </c>
      <c r="W129" s="82">
        <f t="shared" si="94"/>
        <v>158.25283238795228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159.5437241000221</v>
      </c>
      <c r="C130" s="64">
        <f t="shared" ref="C130:W130" si="96">IF(C100=0,0,C100/C$26)</f>
        <v>153.17331194172345</v>
      </c>
      <c r="D130" s="64">
        <f t="shared" si="96"/>
        <v>149.46300129886939</v>
      </c>
      <c r="E130" s="64">
        <f t="shared" si="96"/>
        <v>144.43966903592488</v>
      </c>
      <c r="F130" s="64">
        <f t="shared" si="96"/>
        <v>141.85039996745215</v>
      </c>
      <c r="G130" s="64">
        <f t="shared" si="96"/>
        <v>135.68263383916877</v>
      </c>
      <c r="H130" s="64">
        <f t="shared" si="96"/>
        <v>142.00334890627425</v>
      </c>
      <c r="I130" s="64">
        <f t="shared" si="96"/>
        <v>130.79525362268336</v>
      </c>
      <c r="J130" s="64">
        <f t="shared" si="96"/>
        <v>116.53330573094672</v>
      </c>
      <c r="K130" s="64">
        <f t="shared" si="96"/>
        <v>112.40844006386365</v>
      </c>
      <c r="L130" s="64">
        <f t="shared" si="96"/>
        <v>114.00379614424209</v>
      </c>
      <c r="M130" s="64">
        <f t="shared" si="96"/>
        <v>105.65137636283389</v>
      </c>
      <c r="N130" s="64">
        <f t="shared" si="96"/>
        <v>110.58007162297206</v>
      </c>
      <c r="O130" s="64">
        <f t="shared" si="96"/>
        <v>101.95459999148414</v>
      </c>
      <c r="P130" s="64">
        <f t="shared" si="96"/>
        <v>96.860500625630849</v>
      </c>
      <c r="Q130" s="64">
        <f t="shared" si="96"/>
        <v>92.525912141321328</v>
      </c>
      <c r="R130" s="64">
        <f t="shared" si="96"/>
        <v>97.576928951666687</v>
      </c>
      <c r="S130" s="64">
        <f t="shared" si="96"/>
        <v>102.40288773501719</v>
      </c>
      <c r="T130" s="64">
        <f t="shared" si="96"/>
        <v>105.62050367734172</v>
      </c>
      <c r="U130" s="64">
        <f t="shared" si="96"/>
        <v>97.857539952980517</v>
      </c>
      <c r="V130" s="64">
        <f t="shared" si="96"/>
        <v>87.944928993560268</v>
      </c>
      <c r="W130" s="64">
        <f t="shared" si="96"/>
        <v>103.29005354958279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131.17177562002624</v>
      </c>
      <c r="C131" s="65">
        <f t="shared" ref="C131:W131" si="98">IF(C101=0,0,C101/C$26)</f>
        <v>125.21893348142162</v>
      </c>
      <c r="D131" s="65">
        <f t="shared" si="98"/>
        <v>121.64568679760261</v>
      </c>
      <c r="E131" s="65">
        <f t="shared" si="98"/>
        <v>117.35799423211365</v>
      </c>
      <c r="F131" s="65">
        <f t="shared" si="98"/>
        <v>114.71001462401367</v>
      </c>
      <c r="G131" s="65">
        <f t="shared" si="98"/>
        <v>108.43405204777321</v>
      </c>
      <c r="H131" s="65">
        <f t="shared" si="98"/>
        <v>113.72725914920736</v>
      </c>
      <c r="I131" s="65">
        <f t="shared" si="98"/>
        <v>103.54589378447734</v>
      </c>
      <c r="J131" s="65">
        <f t="shared" si="98"/>
        <v>89.505196884579533</v>
      </c>
      <c r="K131" s="65">
        <f t="shared" si="98"/>
        <v>85.513120779847625</v>
      </c>
      <c r="L131" s="65">
        <f t="shared" si="98"/>
        <v>87.142835821346196</v>
      </c>
      <c r="M131" s="65">
        <f t="shared" si="98"/>
        <v>79.172527493837279</v>
      </c>
      <c r="N131" s="65">
        <f t="shared" si="98"/>
        <v>83.790373947246849</v>
      </c>
      <c r="O131" s="65">
        <f t="shared" si="98"/>
        <v>75.840426833667422</v>
      </c>
      <c r="P131" s="65">
        <f t="shared" si="98"/>
        <v>70.993372714909157</v>
      </c>
      <c r="Q131" s="65">
        <f t="shared" si="98"/>
        <v>67.231839940682065</v>
      </c>
      <c r="R131" s="65">
        <f t="shared" si="98"/>
        <v>71.80977378129198</v>
      </c>
      <c r="S131" s="65">
        <f t="shared" si="98"/>
        <v>77.220448724763088</v>
      </c>
      <c r="T131" s="65">
        <f t="shared" si="98"/>
        <v>80.176452622784865</v>
      </c>
      <c r="U131" s="65">
        <f t="shared" si="98"/>
        <v>72.481858978518673</v>
      </c>
      <c r="V131" s="65">
        <f t="shared" si="98"/>
        <v>65.190459783418845</v>
      </c>
      <c r="W131" s="65">
        <f t="shared" si="98"/>
        <v>77.57310202651324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0.51140329146693031</v>
      </c>
      <c r="C132" s="65">
        <f t="shared" ref="C132:W132" si="100">IF(C102=0,0,C102/C$26)</f>
        <v>0.54043457547322771</v>
      </c>
      <c r="D132" s="65">
        <f t="shared" si="100"/>
        <v>0.58716575125097448</v>
      </c>
      <c r="E132" s="65">
        <f t="shared" si="100"/>
        <v>0.5198387835455055</v>
      </c>
      <c r="F132" s="65">
        <f t="shared" si="100"/>
        <v>0.51869307460496361</v>
      </c>
      <c r="G132" s="65">
        <f t="shared" si="100"/>
        <v>0.51923907929327251</v>
      </c>
      <c r="H132" s="65">
        <f t="shared" si="100"/>
        <v>0.58404864751452712</v>
      </c>
      <c r="I132" s="65">
        <f t="shared" si="100"/>
        <v>0.52054317761040048</v>
      </c>
      <c r="J132" s="65">
        <f t="shared" si="100"/>
        <v>0.51335735881224254</v>
      </c>
      <c r="K132" s="65">
        <f t="shared" si="100"/>
        <v>0.53706615877875852</v>
      </c>
      <c r="L132" s="65">
        <f t="shared" si="100"/>
        <v>0.68861404346317023</v>
      </c>
      <c r="M132" s="65">
        <f t="shared" si="100"/>
        <v>0.54242110824643119</v>
      </c>
      <c r="N132" s="65">
        <f t="shared" si="100"/>
        <v>0.58755731650017062</v>
      </c>
      <c r="O132" s="65">
        <f t="shared" si="100"/>
        <v>0.54107382279595373</v>
      </c>
      <c r="P132" s="65">
        <f t="shared" si="100"/>
        <v>0.59184424300848559</v>
      </c>
      <c r="Q132" s="65">
        <f t="shared" si="100"/>
        <v>0.56890008221082278</v>
      </c>
      <c r="R132" s="65">
        <f t="shared" si="100"/>
        <v>0.53821195904585373</v>
      </c>
      <c r="S132" s="65">
        <f t="shared" si="100"/>
        <v>0.52787579652942684</v>
      </c>
      <c r="T132" s="65">
        <f t="shared" si="100"/>
        <v>0.56148076631066812</v>
      </c>
      <c r="U132" s="65">
        <f t="shared" si="100"/>
        <v>0.55060308512595657</v>
      </c>
      <c r="V132" s="65">
        <f t="shared" si="100"/>
        <v>0.53729802167099394</v>
      </c>
      <c r="W132" s="65">
        <f t="shared" si="100"/>
        <v>0.63983185766731188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13.768238180676382</v>
      </c>
      <c r="C133" s="65">
        <f t="shared" ref="C133:W133" si="102">IF(C103=0,0,C103/C$26)</f>
        <v>13.668501321088536</v>
      </c>
      <c r="D133" s="65">
        <f t="shared" si="102"/>
        <v>13.574217626355498</v>
      </c>
      <c r="E133" s="65">
        <f t="shared" si="102"/>
        <v>13.321762982496447</v>
      </c>
      <c r="F133" s="65">
        <f t="shared" si="102"/>
        <v>13.699970306615342</v>
      </c>
      <c r="G133" s="65">
        <f t="shared" si="102"/>
        <v>13.86904482141486</v>
      </c>
      <c r="H133" s="65">
        <f t="shared" si="102"/>
        <v>14.31532050647477</v>
      </c>
      <c r="I133" s="65">
        <f t="shared" si="102"/>
        <v>13.814909951626388</v>
      </c>
      <c r="J133" s="65">
        <f t="shared" si="102"/>
        <v>13.926350506237739</v>
      </c>
      <c r="K133" s="65">
        <f t="shared" si="102"/>
        <v>13.962919116925631</v>
      </c>
      <c r="L133" s="65">
        <f t="shared" si="102"/>
        <v>14.090635932179223</v>
      </c>
      <c r="M133" s="65">
        <f t="shared" si="102"/>
        <v>14.136878169069666</v>
      </c>
      <c r="N133" s="65">
        <f t="shared" si="102"/>
        <v>14.246003267181328</v>
      </c>
      <c r="O133" s="65">
        <f t="shared" si="102"/>
        <v>14.256231917128289</v>
      </c>
      <c r="P133" s="65">
        <f t="shared" si="102"/>
        <v>14.189023717078438</v>
      </c>
      <c r="Q133" s="65">
        <f t="shared" si="102"/>
        <v>14.213992603494949</v>
      </c>
      <c r="R133" s="65">
        <f t="shared" si="102"/>
        <v>14.316133554471161</v>
      </c>
      <c r="S133" s="65">
        <f t="shared" si="102"/>
        <v>14.26886036642034</v>
      </c>
      <c r="T133" s="65">
        <f t="shared" si="102"/>
        <v>14.08759636723059</v>
      </c>
      <c r="U133" s="65">
        <f t="shared" si="102"/>
        <v>13.894454076806888</v>
      </c>
      <c r="V133" s="65">
        <f t="shared" si="102"/>
        <v>12.161679491699914</v>
      </c>
      <c r="W133" s="65">
        <f t="shared" si="102"/>
        <v>13.511467103439008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14.092307007852533</v>
      </c>
      <c r="C134" s="67">
        <f t="shared" ref="C134:W134" si="104">IF(C104=0,0,C104/C$26)</f>
        <v>13.745442563740067</v>
      </c>
      <c r="D134" s="67">
        <f t="shared" si="104"/>
        <v>13.65593112366032</v>
      </c>
      <c r="E134" s="67">
        <f t="shared" si="104"/>
        <v>13.240073037769218</v>
      </c>
      <c r="F134" s="67">
        <f t="shared" si="104"/>
        <v>12.921721962218182</v>
      </c>
      <c r="G134" s="67">
        <f t="shared" si="104"/>
        <v>12.860297890687448</v>
      </c>
      <c r="H134" s="67">
        <f t="shared" si="104"/>
        <v>13.376720603077622</v>
      </c>
      <c r="I134" s="67">
        <f t="shared" si="104"/>
        <v>12.913906708969231</v>
      </c>
      <c r="J134" s="67">
        <f t="shared" si="104"/>
        <v>12.588400981317198</v>
      </c>
      <c r="K134" s="67">
        <f t="shared" si="104"/>
        <v>12.395334008311664</v>
      </c>
      <c r="L134" s="67">
        <f t="shared" si="104"/>
        <v>12.081710347253505</v>
      </c>
      <c r="M134" s="67">
        <f t="shared" si="104"/>
        <v>11.799549591680499</v>
      </c>
      <c r="N134" s="67">
        <f t="shared" si="104"/>
        <v>11.956137092043697</v>
      </c>
      <c r="O134" s="67">
        <f t="shared" si="104"/>
        <v>11.316867417892468</v>
      </c>
      <c r="P134" s="67">
        <f t="shared" si="104"/>
        <v>11.086259950634769</v>
      </c>
      <c r="Q134" s="67">
        <f t="shared" si="104"/>
        <v>10.511179514933492</v>
      </c>
      <c r="R134" s="67">
        <f t="shared" si="104"/>
        <v>10.912809656857693</v>
      </c>
      <c r="S134" s="67">
        <f t="shared" si="104"/>
        <v>10.385702847304334</v>
      </c>
      <c r="T134" s="67">
        <f t="shared" si="104"/>
        <v>10.794973921015622</v>
      </c>
      <c r="U134" s="67">
        <f t="shared" si="104"/>
        <v>10.930623812528985</v>
      </c>
      <c r="V134" s="67">
        <f t="shared" si="104"/>
        <v>10.055491696770508</v>
      </c>
      <c r="W134" s="67">
        <f t="shared" si="104"/>
        <v>11.565652561963235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46.329763044022869</v>
      </c>
      <c r="C135" s="68">
        <f t="shared" ref="C135:W135" si="106">IF(C105=0,0,C105/C$26)</f>
        <v>47.529688892518479</v>
      </c>
      <c r="D135" s="68">
        <f t="shared" si="106"/>
        <v>48.736857446891243</v>
      </c>
      <c r="E135" s="68">
        <f t="shared" si="106"/>
        <v>50.220592546868801</v>
      </c>
      <c r="F135" s="68">
        <f t="shared" si="106"/>
        <v>51.351394380656522</v>
      </c>
      <c r="G135" s="68">
        <f t="shared" si="106"/>
        <v>52.070313633547428</v>
      </c>
      <c r="H135" s="68">
        <f t="shared" si="106"/>
        <v>52.927630223392349</v>
      </c>
      <c r="I135" s="68">
        <f t="shared" si="106"/>
        <v>52.041004463658098</v>
      </c>
      <c r="J135" s="68">
        <f t="shared" si="106"/>
        <v>52.078990088128215</v>
      </c>
      <c r="K135" s="68">
        <f t="shared" si="106"/>
        <v>52.153961094995964</v>
      </c>
      <c r="L135" s="68">
        <f t="shared" si="106"/>
        <v>51.702009568515479</v>
      </c>
      <c r="M135" s="68">
        <f t="shared" si="106"/>
        <v>51.884407341520138</v>
      </c>
      <c r="N135" s="68">
        <f t="shared" si="106"/>
        <v>52.766266892701239</v>
      </c>
      <c r="O135" s="68">
        <f t="shared" si="106"/>
        <v>53.233926673576853</v>
      </c>
      <c r="P135" s="68">
        <f t="shared" si="106"/>
        <v>53.635089523679369</v>
      </c>
      <c r="Q135" s="68">
        <f t="shared" si="106"/>
        <v>54.196043747891039</v>
      </c>
      <c r="R135" s="68">
        <f t="shared" si="106"/>
        <v>54.889456659806754</v>
      </c>
      <c r="S135" s="68">
        <f t="shared" si="106"/>
        <v>56.630389422270603</v>
      </c>
      <c r="T135" s="68">
        <f t="shared" si="106"/>
        <v>56.173098619523429</v>
      </c>
      <c r="U135" s="68">
        <f t="shared" si="106"/>
        <v>56.341259573236968</v>
      </c>
      <c r="V135" s="68">
        <f t="shared" si="106"/>
        <v>53.416385330724879</v>
      </c>
      <c r="W135" s="68">
        <f t="shared" si="106"/>
        <v>54.962778838369488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99.148466548425247</v>
      </c>
      <c r="C137" s="85">
        <f t="shared" ref="C137:W137" si="108">IF(C107=0,0,C107/C$26)</f>
        <v>97.186331054538854</v>
      </c>
      <c r="D137" s="85">
        <f t="shared" si="108"/>
        <v>94.959888536814915</v>
      </c>
      <c r="E137" s="85">
        <f t="shared" si="108"/>
        <v>93.753934983333139</v>
      </c>
      <c r="F137" s="85">
        <f t="shared" si="108"/>
        <v>92.740593306700816</v>
      </c>
      <c r="G137" s="85">
        <f t="shared" si="108"/>
        <v>89.566241926468052</v>
      </c>
      <c r="H137" s="85">
        <f t="shared" si="108"/>
        <v>94.405067751407742</v>
      </c>
      <c r="I137" s="85">
        <f t="shared" si="108"/>
        <v>87.901799228817325</v>
      </c>
      <c r="J137" s="85">
        <f t="shared" si="108"/>
        <v>78.50352854564477</v>
      </c>
      <c r="K137" s="85">
        <f t="shared" si="108"/>
        <v>76.938388923195731</v>
      </c>
      <c r="L137" s="85">
        <f t="shared" si="108"/>
        <v>79.02404001344209</v>
      </c>
      <c r="M137" s="85">
        <f t="shared" si="108"/>
        <v>72.655749940293703</v>
      </c>
      <c r="N137" s="85">
        <f t="shared" si="108"/>
        <v>77.903686396856116</v>
      </c>
      <c r="O137" s="85">
        <f t="shared" si="108"/>
        <v>71.766034675351904</v>
      </c>
      <c r="P137" s="85">
        <f t="shared" si="108"/>
        <v>69.17693738783754</v>
      </c>
      <c r="Q137" s="85">
        <f t="shared" si="108"/>
        <v>66.767789798820274</v>
      </c>
      <c r="R137" s="85">
        <f t="shared" si="108"/>
        <v>70.558502165452921</v>
      </c>
      <c r="S137" s="85">
        <f t="shared" si="108"/>
        <v>75.373820233133529</v>
      </c>
      <c r="T137" s="85">
        <f t="shared" si="108"/>
        <v>78.674284844005101</v>
      </c>
      <c r="U137" s="85">
        <f t="shared" si="108"/>
        <v>73.787541089875305</v>
      </c>
      <c r="V137" s="85">
        <f t="shared" si="108"/>
        <v>67.079860051814279</v>
      </c>
      <c r="W137" s="85">
        <f t="shared" si="108"/>
        <v>80.706476850674377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79.83525553955397</v>
      </c>
      <c r="C138" s="65">
        <f t="shared" ref="C138:W138" si="110">IF(C108=0,0,C108/C$26)</f>
        <v>77.926586234212934</v>
      </c>
      <c r="D138" s="65">
        <f t="shared" si="110"/>
        <v>75.65045721502392</v>
      </c>
      <c r="E138" s="65">
        <f t="shared" si="110"/>
        <v>74.846155464162692</v>
      </c>
      <c r="F138" s="65">
        <f t="shared" si="110"/>
        <v>73.578119488813144</v>
      </c>
      <c r="G138" s="65">
        <f t="shared" si="110"/>
        <v>70.186494964919703</v>
      </c>
      <c r="H138" s="65">
        <f t="shared" si="110"/>
        <v>74.021428332915477</v>
      </c>
      <c r="I138" s="65">
        <f t="shared" si="110"/>
        <v>68.37776801517316</v>
      </c>
      <c r="J138" s="65">
        <f t="shared" si="110"/>
        <v>59.067858223806027</v>
      </c>
      <c r="K138" s="65">
        <f t="shared" si="110"/>
        <v>57.315263440102989</v>
      </c>
      <c r="L138" s="65">
        <f t="shared" si="110"/>
        <v>58.885480471059942</v>
      </c>
      <c r="M138" s="65">
        <f t="shared" si="110"/>
        <v>52.974521896800248</v>
      </c>
      <c r="N138" s="65">
        <f t="shared" si="110"/>
        <v>57.580677556233603</v>
      </c>
      <c r="O138" s="65">
        <f t="shared" si="110"/>
        <v>51.746348889370815</v>
      </c>
      <c r="P138" s="65">
        <f t="shared" si="110"/>
        <v>48.965607387134959</v>
      </c>
      <c r="Q138" s="65">
        <f t="shared" si="110"/>
        <v>46.897099841479125</v>
      </c>
      <c r="R138" s="65">
        <f t="shared" si="110"/>
        <v>50.222664475730994</v>
      </c>
      <c r="S138" s="65">
        <f t="shared" si="110"/>
        <v>55.183317352847801</v>
      </c>
      <c r="T138" s="65">
        <f t="shared" si="110"/>
        <v>57.903592920396257</v>
      </c>
      <c r="U138" s="65">
        <f t="shared" si="110"/>
        <v>52.640505836495443</v>
      </c>
      <c r="V138" s="65">
        <f t="shared" si="110"/>
        <v>47.647012810581025</v>
      </c>
      <c r="W138" s="65">
        <f t="shared" si="110"/>
        <v>58.313442164509567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1.0078742671274434</v>
      </c>
      <c r="C139" s="65">
        <f t="shared" ref="C139:W139" si="112">IF(C109=0,0,C109/C$26)</f>
        <v>1.1256185605262601</v>
      </c>
      <c r="D139" s="65">
        <f t="shared" si="112"/>
        <v>1.2950687949445752</v>
      </c>
      <c r="E139" s="65">
        <f t="shared" si="112"/>
        <v>1.2116271545221768</v>
      </c>
      <c r="F139" s="65">
        <f t="shared" si="112"/>
        <v>1.2761755427956396</v>
      </c>
      <c r="G139" s="65">
        <f t="shared" si="112"/>
        <v>1.3466829509037184</v>
      </c>
      <c r="H139" s="65">
        <f t="shared" si="112"/>
        <v>1.5958668243368073</v>
      </c>
      <c r="I139" s="65">
        <f t="shared" si="112"/>
        <v>1.499829351736411</v>
      </c>
      <c r="J139" s="65">
        <f t="shared" si="112"/>
        <v>1.5574980738776687</v>
      </c>
      <c r="K139" s="65">
        <f t="shared" si="112"/>
        <v>1.658161335130008</v>
      </c>
      <c r="L139" s="65">
        <f t="shared" si="112"/>
        <v>2.1724862882975815</v>
      </c>
      <c r="M139" s="65">
        <f t="shared" si="112"/>
        <v>1.7655615910341229</v>
      </c>
      <c r="N139" s="65">
        <f t="shared" si="112"/>
        <v>1.9738023163761398</v>
      </c>
      <c r="O139" s="65">
        <f t="shared" si="112"/>
        <v>1.8825164038053279</v>
      </c>
      <c r="P139" s="65">
        <f t="shared" si="112"/>
        <v>2.1418311758269413</v>
      </c>
      <c r="Q139" s="65">
        <f t="shared" si="112"/>
        <v>2.1427191999302613</v>
      </c>
      <c r="R139" s="65">
        <f t="shared" si="112"/>
        <v>2.1107067686200711</v>
      </c>
      <c r="S139" s="65">
        <f t="shared" si="112"/>
        <v>2.1469884159072681</v>
      </c>
      <c r="T139" s="65">
        <f t="shared" si="112"/>
        <v>2.359885570950496</v>
      </c>
      <c r="U139" s="65">
        <f t="shared" si="112"/>
        <v>2.3776590061317466</v>
      </c>
      <c r="V139" s="65">
        <f t="shared" si="112"/>
        <v>2.3812543432414208</v>
      </c>
      <c r="W139" s="65">
        <f t="shared" si="112"/>
        <v>2.9063165723832767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8.6833975968906358</v>
      </c>
      <c r="C140" s="65">
        <f t="shared" ref="C140:W140" si="114">IF(C110=0,0,C110/C$26)</f>
        <v>8.758400780571268</v>
      </c>
      <c r="D140" s="65">
        <f t="shared" si="114"/>
        <v>8.731596598532251</v>
      </c>
      <c r="E140" s="65">
        <f t="shared" si="114"/>
        <v>8.6667363487229121</v>
      </c>
      <c r="F140" s="65">
        <f t="shared" si="114"/>
        <v>8.9716658329192178</v>
      </c>
      <c r="G140" s="65">
        <f t="shared" si="114"/>
        <v>9.1816720545946033</v>
      </c>
      <c r="H140" s="65">
        <f t="shared" si="114"/>
        <v>9.5333149880400132</v>
      </c>
      <c r="I140" s="65">
        <f t="shared" si="114"/>
        <v>9.1893580553179532</v>
      </c>
      <c r="J140" s="65">
        <f t="shared" si="114"/>
        <v>9.3189928659141561</v>
      </c>
      <c r="K140" s="65">
        <f t="shared" si="114"/>
        <v>9.4750978702492183</v>
      </c>
      <c r="L140" s="65">
        <f t="shared" si="114"/>
        <v>9.6627058427812234</v>
      </c>
      <c r="M140" s="65">
        <f t="shared" si="114"/>
        <v>9.7632167438354465</v>
      </c>
      <c r="N140" s="65">
        <f t="shared" si="114"/>
        <v>9.9361558925266156</v>
      </c>
      <c r="O140" s="65">
        <f t="shared" si="114"/>
        <v>10.075136514325164</v>
      </c>
      <c r="P140" s="65">
        <f t="shared" si="114"/>
        <v>10.091150465609992</v>
      </c>
      <c r="Q140" s="65">
        <f t="shared" si="114"/>
        <v>10.247252490012629</v>
      </c>
      <c r="R140" s="65">
        <f t="shared" si="114"/>
        <v>10.423284204536001</v>
      </c>
      <c r="S140" s="65">
        <f t="shared" si="114"/>
        <v>10.557531648344707</v>
      </c>
      <c r="T140" s="65">
        <f t="shared" si="114"/>
        <v>10.563417305233584</v>
      </c>
      <c r="U140" s="65">
        <f t="shared" si="114"/>
        <v>10.573380940127338</v>
      </c>
      <c r="V140" s="65">
        <f t="shared" si="114"/>
        <v>9.3819334898745108</v>
      </c>
      <c r="W140" s="65">
        <f t="shared" si="114"/>
        <v>10.597434118285232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9.6219391448531901</v>
      </c>
      <c r="C141" s="68">
        <f t="shared" ref="C141:W141" si="116">IF(C111=0,0,C111/C$26)</f>
        <v>9.3757254792283931</v>
      </c>
      <c r="D141" s="68">
        <f t="shared" si="116"/>
        <v>9.2827659283141628</v>
      </c>
      <c r="E141" s="68">
        <f t="shared" si="116"/>
        <v>9.0294160159253689</v>
      </c>
      <c r="F141" s="68">
        <f t="shared" si="116"/>
        <v>8.9146324421728362</v>
      </c>
      <c r="G141" s="68">
        <f t="shared" si="116"/>
        <v>8.8513919560500121</v>
      </c>
      <c r="H141" s="68">
        <f t="shared" si="116"/>
        <v>9.2544576061154338</v>
      </c>
      <c r="I141" s="68">
        <f t="shared" si="116"/>
        <v>8.8348438065897898</v>
      </c>
      <c r="J141" s="68">
        <f t="shared" si="116"/>
        <v>8.5591793820469295</v>
      </c>
      <c r="K141" s="68">
        <f t="shared" si="116"/>
        <v>8.4898662777135119</v>
      </c>
      <c r="L141" s="68">
        <f t="shared" si="116"/>
        <v>8.3033674113033467</v>
      </c>
      <c r="M141" s="68">
        <f t="shared" si="116"/>
        <v>8.1524497086238892</v>
      </c>
      <c r="N141" s="68">
        <f t="shared" si="116"/>
        <v>8.4130506317197682</v>
      </c>
      <c r="O141" s="68">
        <f t="shared" si="116"/>
        <v>8.0620328678505935</v>
      </c>
      <c r="P141" s="68">
        <f t="shared" si="116"/>
        <v>7.9783483592656426</v>
      </c>
      <c r="Q141" s="68">
        <f t="shared" si="116"/>
        <v>7.4807182673982568</v>
      </c>
      <c r="R141" s="68">
        <f t="shared" si="116"/>
        <v>7.8018467165658523</v>
      </c>
      <c r="S141" s="68">
        <f t="shared" si="116"/>
        <v>7.485982816033748</v>
      </c>
      <c r="T141" s="68">
        <f t="shared" si="116"/>
        <v>7.8473890474247785</v>
      </c>
      <c r="U141" s="68">
        <f t="shared" si="116"/>
        <v>8.1959953071207821</v>
      </c>
      <c r="V141" s="68">
        <f t="shared" si="116"/>
        <v>7.6696594081173188</v>
      </c>
      <c r="W141" s="68">
        <f t="shared" si="116"/>
        <v>8.8892839954962941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11.911650651458327</v>
      </c>
      <c r="C143" s="82">
        <f t="shared" ref="C143:W143" si="118">IF(C113=0,0,C113/C$26)</f>
        <v>9.8387206507601359</v>
      </c>
      <c r="D143" s="82">
        <f t="shared" si="118"/>
        <v>10.708953163194282</v>
      </c>
      <c r="E143" s="82">
        <f t="shared" si="118"/>
        <v>9.6618800415953228</v>
      </c>
      <c r="F143" s="82">
        <f t="shared" si="118"/>
        <v>9.9170212501066519</v>
      </c>
      <c r="G143" s="82">
        <f t="shared" si="118"/>
        <v>9.8564090498106331</v>
      </c>
      <c r="H143" s="82">
        <f t="shared" si="118"/>
        <v>11.517016774637229</v>
      </c>
      <c r="I143" s="82">
        <f t="shared" si="118"/>
        <v>9.8935196905125107</v>
      </c>
      <c r="J143" s="82">
        <f t="shared" si="118"/>
        <v>8.3260330968575929</v>
      </c>
      <c r="K143" s="82">
        <f t="shared" si="118"/>
        <v>8.4007798733340238</v>
      </c>
      <c r="L143" s="82">
        <f t="shared" si="118"/>
        <v>8.6935028177156006</v>
      </c>
      <c r="M143" s="82">
        <f t="shared" si="118"/>
        <v>9.1083524176676569</v>
      </c>
      <c r="N143" s="82">
        <f t="shared" si="118"/>
        <v>7.4552343812507207</v>
      </c>
      <c r="O143" s="82">
        <f t="shared" si="118"/>
        <v>7.9896654808364875</v>
      </c>
      <c r="P143" s="82">
        <f t="shared" si="118"/>
        <v>6.9029252412048736</v>
      </c>
      <c r="Q143" s="82">
        <f t="shared" si="118"/>
        <v>6.1400237846948631</v>
      </c>
      <c r="R143" s="82">
        <f t="shared" si="118"/>
        <v>6.9131207911979704</v>
      </c>
      <c r="S143" s="82">
        <f t="shared" si="118"/>
        <v>7.1853659816915654</v>
      </c>
      <c r="T143" s="82">
        <f t="shared" si="118"/>
        <v>7.4411870419302666</v>
      </c>
      <c r="U143" s="82">
        <f t="shared" si="118"/>
        <v>6.8331424338805977</v>
      </c>
      <c r="V143" s="82">
        <f t="shared" si="118"/>
        <v>5.6485582430772103</v>
      </c>
      <c r="W143" s="82">
        <f t="shared" si="118"/>
        <v>6.2600191648969616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11.911650651458327</v>
      </c>
      <c r="C144" s="64">
        <f t="shared" ref="C144:W144" si="120">IF(C114=0,0,C114/C$26)</f>
        <v>9.8387206507601359</v>
      </c>
      <c r="D144" s="64">
        <f t="shared" si="120"/>
        <v>10.708953163194282</v>
      </c>
      <c r="E144" s="64">
        <f t="shared" si="120"/>
        <v>9.6618800415953228</v>
      </c>
      <c r="F144" s="64">
        <f t="shared" si="120"/>
        <v>9.9170212501066519</v>
      </c>
      <c r="G144" s="64">
        <f t="shared" si="120"/>
        <v>9.8564090498106331</v>
      </c>
      <c r="H144" s="64">
        <f t="shared" si="120"/>
        <v>11.517016774637229</v>
      </c>
      <c r="I144" s="64">
        <f t="shared" si="120"/>
        <v>9.8935196905125107</v>
      </c>
      <c r="J144" s="64">
        <f t="shared" si="120"/>
        <v>8.3260330968575929</v>
      </c>
      <c r="K144" s="64">
        <f t="shared" si="120"/>
        <v>8.4007798733340238</v>
      </c>
      <c r="L144" s="64">
        <f t="shared" si="120"/>
        <v>8.6935028177156006</v>
      </c>
      <c r="M144" s="64">
        <f t="shared" si="120"/>
        <v>9.1083524176676569</v>
      </c>
      <c r="N144" s="64">
        <f t="shared" si="120"/>
        <v>7.4552343812507207</v>
      </c>
      <c r="O144" s="64">
        <f t="shared" si="120"/>
        <v>7.9896654808364875</v>
      </c>
      <c r="P144" s="64">
        <f t="shared" si="120"/>
        <v>6.9029252412048736</v>
      </c>
      <c r="Q144" s="64">
        <f t="shared" si="120"/>
        <v>6.1400237846948631</v>
      </c>
      <c r="R144" s="64">
        <f t="shared" si="120"/>
        <v>6.9131207911979704</v>
      </c>
      <c r="S144" s="64">
        <f t="shared" si="120"/>
        <v>7.1853659816915654</v>
      </c>
      <c r="T144" s="64">
        <f t="shared" si="120"/>
        <v>7.4411870419302666</v>
      </c>
      <c r="U144" s="64">
        <f t="shared" si="120"/>
        <v>6.8331424338805977</v>
      </c>
      <c r="V144" s="64">
        <f t="shared" si="120"/>
        <v>5.6485582430772103</v>
      </c>
      <c r="W144" s="64">
        <f t="shared" si="120"/>
        <v>6.2600191648969616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10.757811883460086</v>
      </c>
      <c r="C145" s="65">
        <f t="shared" ref="C145:W145" si="122">IF(C115=0,0,C115/C$26)</f>
        <v>8.7777868079990231</v>
      </c>
      <c r="D145" s="65">
        <f t="shared" si="122"/>
        <v>9.615123178009048</v>
      </c>
      <c r="E145" s="65">
        <f t="shared" si="122"/>
        <v>8.6325396401081669</v>
      </c>
      <c r="F145" s="65">
        <f t="shared" si="122"/>
        <v>8.9437968367251539</v>
      </c>
      <c r="G145" s="65">
        <f t="shared" si="122"/>
        <v>8.9078900888729713</v>
      </c>
      <c r="H145" s="65">
        <f t="shared" si="122"/>
        <v>10.541295191085293</v>
      </c>
      <c r="I145" s="65">
        <f t="shared" si="122"/>
        <v>8.7370497230354385</v>
      </c>
      <c r="J145" s="65">
        <f t="shared" si="122"/>
        <v>7.1317256950495711</v>
      </c>
      <c r="K145" s="65">
        <f t="shared" si="122"/>
        <v>7.2472427814888114</v>
      </c>
      <c r="L145" s="65">
        <f t="shared" si="122"/>
        <v>7.6218291270020941</v>
      </c>
      <c r="M145" s="65">
        <f t="shared" si="122"/>
        <v>8.1013254522746827</v>
      </c>
      <c r="N145" s="65">
        <f t="shared" si="122"/>
        <v>6.5502133036990635</v>
      </c>
      <c r="O145" s="65">
        <f t="shared" si="122"/>
        <v>7.1972553586610859</v>
      </c>
      <c r="P145" s="65">
        <f t="shared" si="122"/>
        <v>6.2227804344723516</v>
      </c>
      <c r="Q145" s="65">
        <f t="shared" si="122"/>
        <v>5.3834297239665911</v>
      </c>
      <c r="R145" s="65">
        <f t="shared" si="122"/>
        <v>6.1198915787412265</v>
      </c>
      <c r="S145" s="65">
        <f t="shared" si="122"/>
        <v>6.4315094264729833</v>
      </c>
      <c r="T145" s="65">
        <f t="shared" si="122"/>
        <v>6.6697906852287856</v>
      </c>
      <c r="U145" s="65">
        <f t="shared" si="122"/>
        <v>6.2186968439868604</v>
      </c>
      <c r="V145" s="65">
        <f t="shared" si="122"/>
        <v>5.1021822664696117</v>
      </c>
      <c r="W145" s="65">
        <f t="shared" si="122"/>
        <v>5.6922902868217982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0</v>
      </c>
      <c r="C146" s="65">
        <f t="shared" ref="C146:W146" si="124">IF(C116=0,0,C116/C$26)</f>
        <v>0</v>
      </c>
      <c r="D146" s="65">
        <f t="shared" si="124"/>
        <v>0</v>
      </c>
      <c r="E146" s="65">
        <f t="shared" si="124"/>
        <v>0</v>
      </c>
      <c r="F146" s="65">
        <f t="shared" si="124"/>
        <v>0</v>
      </c>
      <c r="G146" s="65">
        <f t="shared" si="124"/>
        <v>0</v>
      </c>
      <c r="H146" s="65">
        <f t="shared" si="124"/>
        <v>0</v>
      </c>
      <c r="I146" s="65">
        <f t="shared" si="124"/>
        <v>0</v>
      </c>
      <c r="J146" s="65">
        <f t="shared" si="124"/>
        <v>0</v>
      </c>
      <c r="K146" s="65">
        <f t="shared" si="124"/>
        <v>0</v>
      </c>
      <c r="L146" s="65">
        <f t="shared" si="124"/>
        <v>0</v>
      </c>
      <c r="M146" s="65">
        <f t="shared" si="124"/>
        <v>0</v>
      </c>
      <c r="N146" s="65">
        <f t="shared" si="124"/>
        <v>0</v>
      </c>
      <c r="O146" s="65">
        <f t="shared" si="124"/>
        <v>0</v>
      </c>
      <c r="P146" s="65">
        <f t="shared" si="124"/>
        <v>0</v>
      </c>
      <c r="Q146" s="65">
        <f t="shared" si="124"/>
        <v>0</v>
      </c>
      <c r="R146" s="65">
        <f t="shared" si="124"/>
        <v>0</v>
      </c>
      <c r="S146" s="65">
        <f t="shared" si="124"/>
        <v>0</v>
      </c>
      <c r="T146" s="65">
        <f t="shared" si="124"/>
        <v>0</v>
      </c>
      <c r="U146" s="65">
        <f t="shared" si="124"/>
        <v>0</v>
      </c>
      <c r="V146" s="65">
        <f t="shared" si="124"/>
        <v>0</v>
      </c>
      <c r="W146" s="65">
        <f t="shared" si="124"/>
        <v>0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0.39226907045179765</v>
      </c>
      <c r="C147" s="65">
        <f t="shared" ref="C147:W147" si="126">IF(C117=0,0,C117/C$26)</f>
        <v>0.2796867489502799</v>
      </c>
      <c r="D147" s="65">
        <f t="shared" si="126"/>
        <v>0.26832537211151619</v>
      </c>
      <c r="E147" s="65">
        <f t="shared" si="126"/>
        <v>0.23226953355614305</v>
      </c>
      <c r="F147" s="65">
        <f t="shared" si="126"/>
        <v>0.27013819239565434</v>
      </c>
      <c r="G147" s="65">
        <f t="shared" si="126"/>
        <v>0.24183045724871391</v>
      </c>
      <c r="H147" s="65">
        <f t="shared" si="126"/>
        <v>0.26327322434178635</v>
      </c>
      <c r="I147" s="65">
        <f t="shared" si="126"/>
        <v>0.31630980678118803</v>
      </c>
      <c r="J147" s="65">
        <f t="shared" si="126"/>
        <v>0.33418698059723217</v>
      </c>
      <c r="K147" s="65">
        <f t="shared" si="126"/>
        <v>0.31616974034451895</v>
      </c>
      <c r="L147" s="65">
        <f t="shared" si="126"/>
        <v>0.31028509398918974</v>
      </c>
      <c r="M147" s="65">
        <f t="shared" si="126"/>
        <v>0.30175740047335226</v>
      </c>
      <c r="N147" s="65">
        <f t="shared" si="126"/>
        <v>0.2918429449292077</v>
      </c>
      <c r="O147" s="65">
        <f t="shared" si="126"/>
        <v>0.29211234743055364</v>
      </c>
      <c r="P147" s="65">
        <f t="shared" si="126"/>
        <v>0.26126259085306724</v>
      </c>
      <c r="Q147" s="65">
        <f t="shared" si="126"/>
        <v>0.28022903193564441</v>
      </c>
      <c r="R147" s="65">
        <f t="shared" si="126"/>
        <v>0.29334448024519549</v>
      </c>
      <c r="S147" s="65">
        <f t="shared" si="126"/>
        <v>0.2957111526999982</v>
      </c>
      <c r="T147" s="65">
        <f t="shared" si="126"/>
        <v>0.29756709233407658</v>
      </c>
      <c r="U147" s="65">
        <f t="shared" si="126"/>
        <v>0.30734612095353159</v>
      </c>
      <c r="V147" s="65">
        <f t="shared" si="126"/>
        <v>0.3119891656228545</v>
      </c>
      <c r="W147" s="65">
        <f t="shared" si="126"/>
        <v>0.32523033686780028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0.76156969754644155</v>
      </c>
      <c r="C148" s="67">
        <f t="shared" ref="C148:W148" si="128">IF(C118=0,0,C118/C$26)</f>
        <v>0.7812470938108329</v>
      </c>
      <c r="D148" s="67">
        <f t="shared" si="128"/>
        <v>0.8255046130737147</v>
      </c>
      <c r="E148" s="67">
        <f t="shared" si="128"/>
        <v>0.79707086793101178</v>
      </c>
      <c r="F148" s="67">
        <f t="shared" si="128"/>
        <v>0.70308622098584339</v>
      </c>
      <c r="G148" s="67">
        <f t="shared" si="128"/>
        <v>0.7066885036889472</v>
      </c>
      <c r="H148" s="67">
        <f t="shared" si="128"/>
        <v>0.71244835921014982</v>
      </c>
      <c r="I148" s="67">
        <f t="shared" si="128"/>
        <v>0.84016016069588351</v>
      </c>
      <c r="J148" s="67">
        <f t="shared" si="128"/>
        <v>0.86012042121078969</v>
      </c>
      <c r="K148" s="67">
        <f t="shared" si="128"/>
        <v>0.8373673515006913</v>
      </c>
      <c r="L148" s="67">
        <f t="shared" si="128"/>
        <v>0.76138859672431614</v>
      </c>
      <c r="M148" s="67">
        <f t="shared" si="128"/>
        <v>0.70526956491962156</v>
      </c>
      <c r="N148" s="67">
        <f t="shared" si="128"/>
        <v>0.61317813262244936</v>
      </c>
      <c r="O148" s="67">
        <f t="shared" si="128"/>
        <v>0.5002977747448476</v>
      </c>
      <c r="P148" s="67">
        <f t="shared" si="128"/>
        <v>0.41888221587945446</v>
      </c>
      <c r="Q148" s="67">
        <f t="shared" si="128"/>
        <v>0.47636502879262688</v>
      </c>
      <c r="R148" s="67">
        <f t="shared" si="128"/>
        <v>0.49988473221154867</v>
      </c>
      <c r="S148" s="67">
        <f t="shared" si="128"/>
        <v>0.45814540251858393</v>
      </c>
      <c r="T148" s="67">
        <f t="shared" si="128"/>
        <v>0.47382926436740447</v>
      </c>
      <c r="U148" s="67">
        <f t="shared" si="128"/>
        <v>0.30709946894020579</v>
      </c>
      <c r="V148" s="67">
        <f t="shared" si="128"/>
        <v>0.23438681098474401</v>
      </c>
      <c r="W148" s="67">
        <f t="shared" si="128"/>
        <v>0.24249854120736522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6871.0987973049541</v>
      </c>
      <c r="C153" s="82">
        <f t="shared" ref="C153:W153" si="132">IF(C99=0,0,C99/C$23)</f>
        <v>7112.123500723239</v>
      </c>
      <c r="D153" s="82">
        <f t="shared" si="132"/>
        <v>7303.8907746086388</v>
      </c>
      <c r="E153" s="82">
        <f t="shared" si="132"/>
        <v>7616.2941618641935</v>
      </c>
      <c r="F153" s="82">
        <f t="shared" si="132"/>
        <v>7845.1571210632765</v>
      </c>
      <c r="G153" s="82">
        <f t="shared" si="132"/>
        <v>7906.2380604718019</v>
      </c>
      <c r="H153" s="82">
        <f t="shared" si="132"/>
        <v>8762.2260204223876</v>
      </c>
      <c r="I153" s="82">
        <f t="shared" si="132"/>
        <v>8321.5461839347718</v>
      </c>
      <c r="J153" s="82">
        <f t="shared" si="132"/>
        <v>7851.5581475552581</v>
      </c>
      <c r="K153" s="82">
        <f t="shared" si="132"/>
        <v>7974.5727125327403</v>
      </c>
      <c r="L153" s="82">
        <f t="shared" si="132"/>
        <v>8252.6275724364696</v>
      </c>
      <c r="M153" s="82">
        <f t="shared" si="132"/>
        <v>7904.4550565189866</v>
      </c>
      <c r="N153" s="82">
        <f t="shared" si="132"/>
        <v>8186.7479569717361</v>
      </c>
      <c r="O153" s="82">
        <f t="shared" si="132"/>
        <v>7774.3884339994183</v>
      </c>
      <c r="P153" s="82">
        <f t="shared" si="132"/>
        <v>7538.7837018049977</v>
      </c>
      <c r="Q153" s="82">
        <f t="shared" si="132"/>
        <v>7319.8071842425052</v>
      </c>
      <c r="R153" s="82">
        <f t="shared" si="132"/>
        <v>7348.2712286650121</v>
      </c>
      <c r="S153" s="82">
        <f t="shared" si="132"/>
        <v>7776.8483807538942</v>
      </c>
      <c r="T153" s="82">
        <f t="shared" si="132"/>
        <v>7841.5089066388491</v>
      </c>
      <c r="U153" s="82">
        <f t="shared" si="132"/>
        <v>7385.9670389470148</v>
      </c>
      <c r="V153" s="82">
        <f t="shared" si="132"/>
        <v>6810.7571369215266</v>
      </c>
      <c r="W153" s="82">
        <f t="shared" si="132"/>
        <v>7606.7848584365302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5324.8269409950826</v>
      </c>
      <c r="C154" s="64">
        <f t="shared" ref="C154:W154" si="134">IF(C100=0,0,C100/C$23)</f>
        <v>5427.8586120595883</v>
      </c>
      <c r="D154" s="64">
        <f t="shared" si="134"/>
        <v>5507.882009807342</v>
      </c>
      <c r="E154" s="64">
        <f t="shared" si="134"/>
        <v>5651.3589320952096</v>
      </c>
      <c r="F154" s="64">
        <f t="shared" si="134"/>
        <v>5759.9810560000897</v>
      </c>
      <c r="G154" s="64">
        <f t="shared" si="134"/>
        <v>5713.5678467054877</v>
      </c>
      <c r="H154" s="64">
        <f t="shared" si="134"/>
        <v>6383.1077252528394</v>
      </c>
      <c r="I154" s="64">
        <f t="shared" si="134"/>
        <v>5952.9699144610213</v>
      </c>
      <c r="J154" s="64">
        <f t="shared" si="134"/>
        <v>5426.4608736194732</v>
      </c>
      <c r="K154" s="64">
        <f t="shared" si="134"/>
        <v>5447.2301842892675</v>
      </c>
      <c r="L154" s="64">
        <f t="shared" si="134"/>
        <v>5677.7182149747996</v>
      </c>
      <c r="M154" s="64">
        <f t="shared" si="134"/>
        <v>5301.1229352605278</v>
      </c>
      <c r="N154" s="64">
        <f t="shared" si="134"/>
        <v>5542.157746953666</v>
      </c>
      <c r="O154" s="64">
        <f t="shared" si="134"/>
        <v>5107.5596888522077</v>
      </c>
      <c r="P154" s="64">
        <f t="shared" si="134"/>
        <v>4852.0382739502184</v>
      </c>
      <c r="Q154" s="64">
        <f t="shared" si="134"/>
        <v>4616.022409979545</v>
      </c>
      <c r="R154" s="64">
        <f t="shared" si="134"/>
        <v>4702.8185046912067</v>
      </c>
      <c r="S154" s="64">
        <f t="shared" si="134"/>
        <v>5007.5792054449093</v>
      </c>
      <c r="T154" s="64">
        <f t="shared" si="134"/>
        <v>5119.0165034455367</v>
      </c>
      <c r="U154" s="64">
        <f t="shared" si="134"/>
        <v>4687.2775068671408</v>
      </c>
      <c r="V154" s="64">
        <f t="shared" si="134"/>
        <v>4237.16740086964</v>
      </c>
      <c r="W154" s="64">
        <f t="shared" si="134"/>
        <v>4964.8730042438101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4377.9033532010981</v>
      </c>
      <c r="C155" s="65">
        <f t="shared" ref="C155:W155" si="136">IF(C101=0,0,C101/C$23)</f>
        <v>4437.2655906835753</v>
      </c>
      <c r="D155" s="65">
        <f t="shared" si="136"/>
        <v>4482.7822542075646</v>
      </c>
      <c r="E155" s="65">
        <f t="shared" si="136"/>
        <v>4591.7589910253482</v>
      </c>
      <c r="F155" s="65">
        <f t="shared" si="136"/>
        <v>4657.9178579645677</v>
      </c>
      <c r="G155" s="65">
        <f t="shared" si="136"/>
        <v>4566.1356633342157</v>
      </c>
      <c r="H155" s="65">
        <f t="shared" si="136"/>
        <v>5112.0861024641836</v>
      </c>
      <c r="I155" s="65">
        <f t="shared" si="136"/>
        <v>4712.7519798476005</v>
      </c>
      <c r="J155" s="65">
        <f t="shared" si="136"/>
        <v>4167.8766927041388</v>
      </c>
      <c r="K155" s="65">
        <f t="shared" si="136"/>
        <v>4143.9028279381419</v>
      </c>
      <c r="L155" s="65">
        <f t="shared" si="136"/>
        <v>4339.9648343412191</v>
      </c>
      <c r="M155" s="65">
        <f t="shared" si="136"/>
        <v>3972.5303710077269</v>
      </c>
      <c r="N155" s="65">
        <f t="shared" si="136"/>
        <v>4199.486067211119</v>
      </c>
      <c r="O155" s="65">
        <f t="shared" si="136"/>
        <v>3799.3333004429383</v>
      </c>
      <c r="P155" s="65">
        <f t="shared" si="136"/>
        <v>3556.2748425275231</v>
      </c>
      <c r="Q155" s="65">
        <f t="shared" si="136"/>
        <v>3354.1272131026012</v>
      </c>
      <c r="R155" s="65">
        <f t="shared" si="136"/>
        <v>3460.9444730898244</v>
      </c>
      <c r="S155" s="65">
        <f t="shared" si="136"/>
        <v>3776.1387576282068</v>
      </c>
      <c r="T155" s="65">
        <f t="shared" si="136"/>
        <v>3885.8419518387641</v>
      </c>
      <c r="U155" s="65">
        <f t="shared" si="136"/>
        <v>3471.8079711504024</v>
      </c>
      <c r="V155" s="65">
        <f t="shared" si="136"/>
        <v>3140.8620622370609</v>
      </c>
      <c r="W155" s="65">
        <f t="shared" si="136"/>
        <v>3728.7288259755392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17.06826162845157</v>
      </c>
      <c r="C156" s="65">
        <f t="shared" ref="C156:W156" si="138">IF(C102=0,0,C102/C$23)</f>
        <v>19.150871829768707</v>
      </c>
      <c r="D156" s="65">
        <f t="shared" si="138"/>
        <v>21.637727397320226</v>
      </c>
      <c r="E156" s="65">
        <f t="shared" si="138"/>
        <v>20.339257021619979</v>
      </c>
      <c r="F156" s="65">
        <f t="shared" si="138"/>
        <v>21.062064571467946</v>
      </c>
      <c r="G156" s="65">
        <f t="shared" si="138"/>
        <v>21.865050996279933</v>
      </c>
      <c r="H156" s="65">
        <f t="shared" si="138"/>
        <v>26.253221931646515</v>
      </c>
      <c r="I156" s="65">
        <f t="shared" si="138"/>
        <v>23.691822062840085</v>
      </c>
      <c r="J156" s="65">
        <f t="shared" si="138"/>
        <v>23.904870837620887</v>
      </c>
      <c r="K156" s="65">
        <f t="shared" si="138"/>
        <v>26.025830350442025</v>
      </c>
      <c r="L156" s="65">
        <f t="shared" si="138"/>
        <v>34.294967622933463</v>
      </c>
      <c r="M156" s="65">
        <f t="shared" si="138"/>
        <v>27.216313468738814</v>
      </c>
      <c r="N156" s="65">
        <f t="shared" si="138"/>
        <v>29.447759308054671</v>
      </c>
      <c r="O156" s="65">
        <f t="shared" si="138"/>
        <v>27.105857374131286</v>
      </c>
      <c r="P156" s="65">
        <f t="shared" si="138"/>
        <v>29.647285536890781</v>
      </c>
      <c r="Q156" s="65">
        <f t="shared" si="138"/>
        <v>28.381838857350623</v>
      </c>
      <c r="R156" s="65">
        <f t="shared" si="138"/>
        <v>25.939668194524721</v>
      </c>
      <c r="S156" s="65">
        <f t="shared" si="138"/>
        <v>25.813528507111705</v>
      </c>
      <c r="T156" s="65">
        <f t="shared" si="138"/>
        <v>27.212796843802138</v>
      </c>
      <c r="U156" s="65">
        <f t="shared" si="138"/>
        <v>26.373332676895519</v>
      </c>
      <c r="V156" s="65">
        <f t="shared" si="138"/>
        <v>25.886900905256169</v>
      </c>
      <c r="W156" s="65">
        <f t="shared" si="138"/>
        <v>30.754983739675254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459.51970851915553</v>
      </c>
      <c r="C157" s="65">
        <f t="shared" ref="C157:W157" si="140">IF(C103=0,0,C103/C$23)</f>
        <v>484.35782754273129</v>
      </c>
      <c r="D157" s="65">
        <f t="shared" si="140"/>
        <v>500.22539633009978</v>
      </c>
      <c r="E157" s="65">
        <f t="shared" si="140"/>
        <v>521.22844593102434</v>
      </c>
      <c r="F157" s="65">
        <f t="shared" si="140"/>
        <v>556.30135305909971</v>
      </c>
      <c r="G157" s="65">
        <f t="shared" si="140"/>
        <v>584.02262923405704</v>
      </c>
      <c r="H157" s="65">
        <f t="shared" si="140"/>
        <v>643.47942226813313</v>
      </c>
      <c r="I157" s="65">
        <f t="shared" si="140"/>
        <v>628.76703118191369</v>
      </c>
      <c r="J157" s="65">
        <f t="shared" si="140"/>
        <v>648.49096711362893</v>
      </c>
      <c r="K157" s="65">
        <f t="shared" si="140"/>
        <v>676.63277269299977</v>
      </c>
      <c r="L157" s="65">
        <f t="shared" si="140"/>
        <v>701.75435378914813</v>
      </c>
      <c r="M157" s="65">
        <f t="shared" si="140"/>
        <v>709.3265764723343</v>
      </c>
      <c r="N157" s="65">
        <f t="shared" si="140"/>
        <v>713.99481128509501</v>
      </c>
      <c r="O157" s="65">
        <f t="shared" si="140"/>
        <v>714.18607361447732</v>
      </c>
      <c r="P157" s="65">
        <f t="shared" si="140"/>
        <v>710.77152916381181</v>
      </c>
      <c r="Q157" s="65">
        <f t="shared" si="140"/>
        <v>709.12144365355948</v>
      </c>
      <c r="R157" s="65">
        <f t="shared" si="140"/>
        <v>689.98049558360981</v>
      </c>
      <c r="S157" s="65">
        <f t="shared" si="140"/>
        <v>697.75813980146188</v>
      </c>
      <c r="T157" s="65">
        <f t="shared" si="140"/>
        <v>682.77120243655122</v>
      </c>
      <c r="U157" s="65">
        <f t="shared" si="140"/>
        <v>665.53034232935204</v>
      </c>
      <c r="V157" s="65">
        <f t="shared" si="140"/>
        <v>585.94705199920134</v>
      </c>
      <c r="W157" s="65">
        <f t="shared" si="140"/>
        <v>649.45961362475839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470.33561764637648</v>
      </c>
      <c r="C158" s="67">
        <f t="shared" ref="C158:W158" si="142">IF(C104=0,0,C104/C$23)</f>
        <v>487.08432200351285</v>
      </c>
      <c r="D158" s="67">
        <f t="shared" si="142"/>
        <v>503.23663187235758</v>
      </c>
      <c r="E158" s="67">
        <f t="shared" si="142"/>
        <v>518.03223811721546</v>
      </c>
      <c r="F158" s="67">
        <f t="shared" si="142"/>
        <v>524.69978040495403</v>
      </c>
      <c r="G158" s="67">
        <f t="shared" si="142"/>
        <v>541.54450314093606</v>
      </c>
      <c r="H158" s="67">
        <f t="shared" si="142"/>
        <v>601.28897858887717</v>
      </c>
      <c r="I158" s="67">
        <f t="shared" si="142"/>
        <v>587.7590813686669</v>
      </c>
      <c r="J158" s="67">
        <f t="shared" si="142"/>
        <v>586.188342964085</v>
      </c>
      <c r="K158" s="67">
        <f t="shared" si="142"/>
        <v>600.66875330768471</v>
      </c>
      <c r="L158" s="67">
        <f t="shared" si="142"/>
        <v>601.70405922149894</v>
      </c>
      <c r="M158" s="67">
        <f t="shared" si="142"/>
        <v>592.04967431172702</v>
      </c>
      <c r="N158" s="67">
        <f t="shared" si="142"/>
        <v>599.22910914939689</v>
      </c>
      <c r="O158" s="67">
        <f t="shared" si="142"/>
        <v>566.93445742066046</v>
      </c>
      <c r="P158" s="67">
        <f t="shared" si="142"/>
        <v>555.34461672199336</v>
      </c>
      <c r="Q158" s="67">
        <f t="shared" si="142"/>
        <v>524.39191436603357</v>
      </c>
      <c r="R158" s="67">
        <f t="shared" si="142"/>
        <v>525.95386782324692</v>
      </c>
      <c r="S158" s="67">
        <f t="shared" si="142"/>
        <v>507.86877950812942</v>
      </c>
      <c r="T158" s="67">
        <f t="shared" si="142"/>
        <v>523.19055232642063</v>
      </c>
      <c r="U158" s="67">
        <f t="shared" si="142"/>
        <v>523.5658607104906</v>
      </c>
      <c r="V158" s="67">
        <f t="shared" si="142"/>
        <v>484.47138572812088</v>
      </c>
      <c r="W158" s="67">
        <f t="shared" si="142"/>
        <v>555.92958090383786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1546.2718563098726</v>
      </c>
      <c r="C159" s="68">
        <f t="shared" ref="C159:W159" si="144">IF(C105=0,0,C105/C$23)</f>
        <v>1684.26488866365</v>
      </c>
      <c r="D159" s="68">
        <f t="shared" si="144"/>
        <v>1796.0087648012982</v>
      </c>
      <c r="E159" s="68">
        <f t="shared" si="144"/>
        <v>1964.9352297689845</v>
      </c>
      <c r="F159" s="68">
        <f t="shared" si="144"/>
        <v>2085.1760650631868</v>
      </c>
      <c r="G159" s="68">
        <f t="shared" si="144"/>
        <v>2192.670213766316</v>
      </c>
      <c r="H159" s="68">
        <f t="shared" si="144"/>
        <v>2379.1182951695459</v>
      </c>
      <c r="I159" s="68">
        <f t="shared" si="144"/>
        <v>2368.5762694737505</v>
      </c>
      <c r="J159" s="68">
        <f t="shared" si="144"/>
        <v>2425.097273935784</v>
      </c>
      <c r="K159" s="68">
        <f t="shared" si="144"/>
        <v>2527.3425282434741</v>
      </c>
      <c r="L159" s="68">
        <f t="shared" si="144"/>
        <v>2574.9093574616709</v>
      </c>
      <c r="M159" s="68">
        <f t="shared" si="144"/>
        <v>2603.3321212584583</v>
      </c>
      <c r="N159" s="68">
        <f t="shared" si="144"/>
        <v>2644.5902100180701</v>
      </c>
      <c r="O159" s="68">
        <f t="shared" si="144"/>
        <v>2666.8287451472106</v>
      </c>
      <c r="P159" s="68">
        <f t="shared" si="144"/>
        <v>2686.7454278547793</v>
      </c>
      <c r="Q159" s="68">
        <f t="shared" si="144"/>
        <v>2703.7847742629592</v>
      </c>
      <c r="R159" s="68">
        <f t="shared" si="144"/>
        <v>2645.4527239738059</v>
      </c>
      <c r="S159" s="68">
        <f t="shared" si="144"/>
        <v>2769.2691753089853</v>
      </c>
      <c r="T159" s="68">
        <f t="shared" si="144"/>
        <v>2722.4924031933124</v>
      </c>
      <c r="U159" s="68">
        <f t="shared" si="144"/>
        <v>2698.6895320798744</v>
      </c>
      <c r="V159" s="68">
        <f t="shared" si="144"/>
        <v>2573.5897360518866</v>
      </c>
      <c r="W159" s="68">
        <f t="shared" si="144"/>
        <v>2641.9118541927201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3309.114343503853</v>
      </c>
      <c r="C161" s="85">
        <f t="shared" ref="C161:W161" si="146">IF(C107=0,0,C107/C$23)</f>
        <v>3443.90062016516</v>
      </c>
      <c r="D161" s="85">
        <f t="shared" si="146"/>
        <v>3499.3801621805765</v>
      </c>
      <c r="E161" s="85">
        <f t="shared" si="146"/>
        <v>3668.2245357080733</v>
      </c>
      <c r="F161" s="85">
        <f t="shared" si="146"/>
        <v>3765.8269605963396</v>
      </c>
      <c r="G161" s="85">
        <f t="shared" si="146"/>
        <v>3771.6160538857644</v>
      </c>
      <c r="H161" s="85">
        <f t="shared" si="146"/>
        <v>4243.5458171113833</v>
      </c>
      <c r="I161" s="85">
        <f t="shared" si="146"/>
        <v>4000.7320735482135</v>
      </c>
      <c r="J161" s="85">
        <f t="shared" si="146"/>
        <v>3655.5757465385514</v>
      </c>
      <c r="K161" s="85">
        <f t="shared" si="146"/>
        <v>3728.3776399255339</v>
      </c>
      <c r="L161" s="85">
        <f t="shared" si="146"/>
        <v>3935.6253614356374</v>
      </c>
      <c r="M161" s="85">
        <f t="shared" si="146"/>
        <v>3645.5470401475573</v>
      </c>
      <c r="N161" s="85">
        <f t="shared" si="146"/>
        <v>3904.4514327380107</v>
      </c>
      <c r="O161" s="85">
        <f t="shared" si="146"/>
        <v>3595.2208705366261</v>
      </c>
      <c r="P161" s="85">
        <f t="shared" si="146"/>
        <v>3465.2840498702462</v>
      </c>
      <c r="Q161" s="85">
        <f t="shared" si="146"/>
        <v>3330.9762297227621</v>
      </c>
      <c r="R161" s="85">
        <f t="shared" si="146"/>
        <v>3400.6381755604402</v>
      </c>
      <c r="S161" s="85">
        <f t="shared" si="146"/>
        <v>3685.837217902153</v>
      </c>
      <c r="T161" s="85">
        <f t="shared" si="146"/>
        <v>3813.0377009330064</v>
      </c>
      <c r="U161" s="85">
        <f t="shared" si="146"/>
        <v>3534.3488279369244</v>
      </c>
      <c r="V161" s="85">
        <f t="shared" si="146"/>
        <v>3231.8929530008218</v>
      </c>
      <c r="W161" s="85">
        <f t="shared" si="146"/>
        <v>3879.3416637275013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2664.5292501241356</v>
      </c>
      <c r="C162" s="65">
        <f t="shared" ref="C162:W162" si="148">IF(C108=0,0,C108/C$23)</f>
        <v>2761.4111547101779</v>
      </c>
      <c r="D162" s="65">
        <f t="shared" si="148"/>
        <v>2787.8056021044335</v>
      </c>
      <c r="E162" s="65">
        <f t="shared" si="148"/>
        <v>2928.4371256083309</v>
      </c>
      <c r="F162" s="65">
        <f t="shared" si="148"/>
        <v>2987.7150469009493</v>
      </c>
      <c r="G162" s="65">
        <f t="shared" si="148"/>
        <v>2955.5388892278197</v>
      </c>
      <c r="H162" s="65">
        <f t="shared" si="148"/>
        <v>3327.2930157297578</v>
      </c>
      <c r="I162" s="65">
        <f t="shared" si="148"/>
        <v>3112.1220727670775</v>
      </c>
      <c r="J162" s="65">
        <f t="shared" si="148"/>
        <v>2750.5391658589624</v>
      </c>
      <c r="K162" s="65">
        <f t="shared" si="148"/>
        <v>2777.4554371010013</v>
      </c>
      <c r="L162" s="65">
        <f t="shared" si="148"/>
        <v>2932.6669494853122</v>
      </c>
      <c r="M162" s="65">
        <f t="shared" si="148"/>
        <v>2658.0292910445928</v>
      </c>
      <c r="N162" s="65">
        <f t="shared" si="148"/>
        <v>2885.8834463517064</v>
      </c>
      <c r="O162" s="65">
        <f t="shared" si="148"/>
        <v>2592.3064349691758</v>
      </c>
      <c r="P162" s="65">
        <f t="shared" si="148"/>
        <v>2452.8368077289297</v>
      </c>
      <c r="Q162" s="65">
        <f t="shared" si="148"/>
        <v>2339.6479842389845</v>
      </c>
      <c r="R162" s="65">
        <f t="shared" si="148"/>
        <v>2420.5319678420883</v>
      </c>
      <c r="S162" s="65">
        <f t="shared" si="148"/>
        <v>2698.5062489511593</v>
      </c>
      <c r="T162" s="65">
        <f t="shared" si="148"/>
        <v>2806.3627557940531</v>
      </c>
      <c r="U162" s="65">
        <f t="shared" si="148"/>
        <v>2521.4271590729722</v>
      </c>
      <c r="V162" s="65">
        <f t="shared" si="148"/>
        <v>2295.6226327113782</v>
      </c>
      <c r="W162" s="65">
        <f t="shared" si="148"/>
        <v>2802.9691614800768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33.638152055240518</v>
      </c>
      <c r="C163" s="65">
        <f t="shared" ref="C163:W163" si="150">IF(C109=0,0,C109/C$23)</f>
        <v>39.887486404753602</v>
      </c>
      <c r="D163" s="65">
        <f t="shared" si="150"/>
        <v>47.724761681150959</v>
      </c>
      <c r="E163" s="65">
        <f t="shared" si="150"/>
        <v>47.406228412050325</v>
      </c>
      <c r="F163" s="65">
        <f t="shared" si="150"/>
        <v>51.820417512535457</v>
      </c>
      <c r="G163" s="65">
        <f t="shared" si="150"/>
        <v>56.708542503018137</v>
      </c>
      <c r="H163" s="65">
        <f t="shared" si="150"/>
        <v>71.734856490056401</v>
      </c>
      <c r="I163" s="65">
        <f t="shared" si="150"/>
        <v>68.262714130813109</v>
      </c>
      <c r="J163" s="65">
        <f t="shared" si="150"/>
        <v>72.526067166997194</v>
      </c>
      <c r="K163" s="65">
        <f t="shared" si="150"/>
        <v>80.35327658679293</v>
      </c>
      <c r="L163" s="65">
        <f t="shared" si="150"/>
        <v>108.19608984988309</v>
      </c>
      <c r="M163" s="65">
        <f t="shared" si="150"/>
        <v>88.588141168206619</v>
      </c>
      <c r="N163" s="65">
        <f t="shared" si="150"/>
        <v>98.924911497223206</v>
      </c>
      <c r="O163" s="65">
        <f t="shared" si="150"/>
        <v>94.30731814437236</v>
      </c>
      <c r="P163" s="65">
        <f t="shared" si="150"/>
        <v>107.29086443212296</v>
      </c>
      <c r="Q163" s="65">
        <f t="shared" si="150"/>
        <v>106.89805284020926</v>
      </c>
      <c r="R163" s="65">
        <f t="shared" si="150"/>
        <v>101.72764152436366</v>
      </c>
      <c r="S163" s="65">
        <f t="shared" si="150"/>
        <v>104.98936879249656</v>
      </c>
      <c r="T163" s="65">
        <f t="shared" si="150"/>
        <v>114.37450838941713</v>
      </c>
      <c r="U163" s="65">
        <f t="shared" si="150"/>
        <v>113.88746931300692</v>
      </c>
      <c r="V163" s="65">
        <f t="shared" si="150"/>
        <v>114.72831227256562</v>
      </c>
      <c r="W163" s="65">
        <f t="shared" si="150"/>
        <v>139.69876281539035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289.81139636873252</v>
      </c>
      <c r="C164" s="65">
        <f t="shared" ref="C164:W164" si="152">IF(C110=0,0,C110/C$23)</f>
        <v>310.36321211609027</v>
      </c>
      <c r="D164" s="65">
        <f t="shared" si="152"/>
        <v>321.76929008526844</v>
      </c>
      <c r="E164" s="65">
        <f t="shared" si="152"/>
        <v>339.09547289455151</v>
      </c>
      <c r="F164" s="65">
        <f t="shared" si="152"/>
        <v>364.30369777057564</v>
      </c>
      <c r="G164" s="65">
        <f t="shared" si="152"/>
        <v>386.63832463857938</v>
      </c>
      <c r="H164" s="65">
        <f t="shared" si="152"/>
        <v>428.52634825951077</v>
      </c>
      <c r="I164" s="65">
        <f t="shared" si="152"/>
        <v>418.24126274740212</v>
      </c>
      <c r="J164" s="65">
        <f t="shared" si="152"/>
        <v>433.94589942532599</v>
      </c>
      <c r="K164" s="65">
        <f t="shared" si="152"/>
        <v>459.15626165253337</v>
      </c>
      <c r="L164" s="65">
        <f t="shared" si="152"/>
        <v>481.23065042578634</v>
      </c>
      <c r="M164" s="65">
        <f t="shared" si="152"/>
        <v>489.87541842258918</v>
      </c>
      <c r="N164" s="65">
        <f t="shared" si="152"/>
        <v>497.98976023873223</v>
      </c>
      <c r="O164" s="65">
        <f t="shared" si="152"/>
        <v>504.72819396621975</v>
      </c>
      <c r="P164" s="65">
        <f t="shared" si="152"/>
        <v>505.49654370022887</v>
      </c>
      <c r="Q164" s="65">
        <f t="shared" si="152"/>
        <v>511.2248670661038</v>
      </c>
      <c r="R164" s="65">
        <f t="shared" si="152"/>
        <v>502.36069492439367</v>
      </c>
      <c r="S164" s="65">
        <f t="shared" si="152"/>
        <v>516.27133875248228</v>
      </c>
      <c r="T164" s="65">
        <f t="shared" si="152"/>
        <v>511.96790050787467</v>
      </c>
      <c r="U164" s="65">
        <f t="shared" si="152"/>
        <v>506.45428728343097</v>
      </c>
      <c r="V164" s="65">
        <f t="shared" si="152"/>
        <v>452.01949896774937</v>
      </c>
      <c r="W164" s="65">
        <f t="shared" si="152"/>
        <v>509.38994375552033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321.13554495574391</v>
      </c>
      <c r="C165" s="68">
        <f t="shared" ref="C165:W165" si="154">IF(C111=0,0,C111/C$23)</f>
        <v>332.23876693413843</v>
      </c>
      <c r="D165" s="68">
        <f t="shared" si="154"/>
        <v>342.08050830972365</v>
      </c>
      <c r="E165" s="68">
        <f t="shared" si="154"/>
        <v>353.28570879314071</v>
      </c>
      <c r="F165" s="68">
        <f t="shared" si="154"/>
        <v>361.98779841227997</v>
      </c>
      <c r="G165" s="68">
        <f t="shared" si="154"/>
        <v>372.73029751634692</v>
      </c>
      <c r="H165" s="68">
        <f t="shared" si="154"/>
        <v>415.99159663205864</v>
      </c>
      <c r="I165" s="68">
        <f t="shared" si="154"/>
        <v>402.10602390292081</v>
      </c>
      <c r="J165" s="68">
        <f t="shared" si="154"/>
        <v>398.56461408726602</v>
      </c>
      <c r="K165" s="68">
        <f t="shared" si="154"/>
        <v>411.41266458520641</v>
      </c>
      <c r="L165" s="68">
        <f t="shared" si="154"/>
        <v>413.53167167465625</v>
      </c>
      <c r="M165" s="68">
        <f t="shared" si="154"/>
        <v>409.05418951216865</v>
      </c>
      <c r="N165" s="68">
        <f t="shared" si="154"/>
        <v>421.65331465034876</v>
      </c>
      <c r="O165" s="68">
        <f t="shared" si="154"/>
        <v>403.8789234568585</v>
      </c>
      <c r="P165" s="68">
        <f t="shared" si="154"/>
        <v>399.65983400896448</v>
      </c>
      <c r="Q165" s="68">
        <f t="shared" si="154"/>
        <v>373.20532557746458</v>
      </c>
      <c r="R165" s="68">
        <f t="shared" si="154"/>
        <v>376.01787126959493</v>
      </c>
      <c r="S165" s="68">
        <f t="shared" si="154"/>
        <v>366.07026140601477</v>
      </c>
      <c r="T165" s="68">
        <f t="shared" si="154"/>
        <v>380.3325362416623</v>
      </c>
      <c r="U165" s="68">
        <f t="shared" si="154"/>
        <v>392.57991226751454</v>
      </c>
      <c r="V165" s="68">
        <f t="shared" si="154"/>
        <v>369.52250904912853</v>
      </c>
      <c r="W165" s="68">
        <f t="shared" si="154"/>
        <v>427.28379567651388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397.5554579686418</v>
      </c>
      <c r="C167" s="82">
        <f t="shared" ref="C167:W167" si="156">IF(C113=0,0,C113/C$23)</f>
        <v>348.64549142996123</v>
      </c>
      <c r="D167" s="82">
        <f t="shared" si="156"/>
        <v>394.63713399868271</v>
      </c>
      <c r="E167" s="82">
        <f t="shared" si="156"/>
        <v>378.03155073916315</v>
      </c>
      <c r="F167" s="82">
        <f t="shared" si="156"/>
        <v>402.6908245988123</v>
      </c>
      <c r="G167" s="82">
        <f t="shared" si="156"/>
        <v>415.05136094076886</v>
      </c>
      <c r="H167" s="82">
        <f t="shared" si="156"/>
        <v>517.69454250388662</v>
      </c>
      <c r="I167" s="82">
        <f t="shared" si="156"/>
        <v>450.29023175145704</v>
      </c>
      <c r="J167" s="82">
        <f t="shared" si="156"/>
        <v>387.70798227309029</v>
      </c>
      <c r="K167" s="82">
        <f t="shared" si="156"/>
        <v>407.09560306678259</v>
      </c>
      <c r="L167" s="82">
        <f t="shared" si="156"/>
        <v>432.96154136505533</v>
      </c>
      <c r="M167" s="82">
        <f t="shared" si="156"/>
        <v>457.01719718172313</v>
      </c>
      <c r="N167" s="82">
        <f t="shared" si="156"/>
        <v>373.64856411270875</v>
      </c>
      <c r="O167" s="82">
        <f t="shared" si="156"/>
        <v>400.25357699155251</v>
      </c>
      <c r="P167" s="82">
        <f t="shared" si="156"/>
        <v>345.78860584249588</v>
      </c>
      <c r="Q167" s="82">
        <f t="shared" si="156"/>
        <v>306.31945940364727</v>
      </c>
      <c r="R167" s="82">
        <f t="shared" si="156"/>
        <v>333.18482894778595</v>
      </c>
      <c r="S167" s="82">
        <f t="shared" si="156"/>
        <v>351.36986924174352</v>
      </c>
      <c r="T167" s="82">
        <f t="shared" si="156"/>
        <v>360.6454991848114</v>
      </c>
      <c r="U167" s="82">
        <f t="shared" si="156"/>
        <v>327.30063362452626</v>
      </c>
      <c r="V167" s="82">
        <f t="shared" si="156"/>
        <v>272.14629795463014</v>
      </c>
      <c r="W167" s="82">
        <f t="shared" si="156"/>
        <v>300.90215940227233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397.5554579686418</v>
      </c>
      <c r="C168" s="64">
        <f t="shared" ref="C168:W168" si="158">IF(C114=0,0,C114/C$23)</f>
        <v>348.64549142996123</v>
      </c>
      <c r="D168" s="64">
        <f t="shared" si="158"/>
        <v>394.63713399868271</v>
      </c>
      <c r="E168" s="64">
        <f t="shared" si="158"/>
        <v>378.03155073916315</v>
      </c>
      <c r="F168" s="64">
        <f t="shared" si="158"/>
        <v>402.6908245988123</v>
      </c>
      <c r="G168" s="64">
        <f t="shared" si="158"/>
        <v>415.05136094076886</v>
      </c>
      <c r="H168" s="64">
        <f t="shared" si="158"/>
        <v>517.69454250388662</v>
      </c>
      <c r="I168" s="64">
        <f t="shared" si="158"/>
        <v>450.29023175145704</v>
      </c>
      <c r="J168" s="64">
        <f t="shared" si="158"/>
        <v>387.70798227309029</v>
      </c>
      <c r="K168" s="64">
        <f t="shared" si="158"/>
        <v>407.09560306678259</v>
      </c>
      <c r="L168" s="64">
        <f t="shared" si="158"/>
        <v>432.96154136505533</v>
      </c>
      <c r="M168" s="64">
        <f t="shared" si="158"/>
        <v>457.01719718172313</v>
      </c>
      <c r="N168" s="64">
        <f t="shared" si="158"/>
        <v>373.64856411270875</v>
      </c>
      <c r="O168" s="64">
        <f t="shared" si="158"/>
        <v>400.25357699155251</v>
      </c>
      <c r="P168" s="64">
        <f t="shared" si="158"/>
        <v>345.78860584249588</v>
      </c>
      <c r="Q168" s="64">
        <f t="shared" si="158"/>
        <v>306.31945940364727</v>
      </c>
      <c r="R168" s="64">
        <f t="shared" si="158"/>
        <v>333.18482894778595</v>
      </c>
      <c r="S168" s="64">
        <f t="shared" si="158"/>
        <v>351.36986924174352</v>
      </c>
      <c r="T168" s="64">
        <f t="shared" si="158"/>
        <v>360.6454991848114</v>
      </c>
      <c r="U168" s="64">
        <f t="shared" si="158"/>
        <v>327.30063362452626</v>
      </c>
      <c r="V168" s="64">
        <f t="shared" si="158"/>
        <v>272.14629795463014</v>
      </c>
      <c r="W168" s="64">
        <f t="shared" si="158"/>
        <v>300.90215940227233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359.04569024158428</v>
      </c>
      <c r="C169" s="65">
        <f t="shared" ref="C169:W169" si="160">IF(C115=0,0,C115/C$23)</f>
        <v>311.05017653954934</v>
      </c>
      <c r="D169" s="65">
        <f t="shared" si="160"/>
        <v>354.32825190188549</v>
      </c>
      <c r="E169" s="65">
        <f t="shared" si="160"/>
        <v>337.75748952773739</v>
      </c>
      <c r="F169" s="65">
        <f t="shared" si="160"/>
        <v>363.17204858125803</v>
      </c>
      <c r="G169" s="65">
        <f t="shared" si="160"/>
        <v>375.1094222868669</v>
      </c>
      <c r="H169" s="65">
        <f t="shared" si="160"/>
        <v>473.83546435089869</v>
      </c>
      <c r="I169" s="65">
        <f t="shared" si="160"/>
        <v>397.65505782359531</v>
      </c>
      <c r="J169" s="65">
        <f t="shared" si="160"/>
        <v>332.0941614316182</v>
      </c>
      <c r="K169" s="65">
        <f t="shared" si="160"/>
        <v>351.19604550841291</v>
      </c>
      <c r="L169" s="65">
        <f t="shared" si="160"/>
        <v>379.58909728806344</v>
      </c>
      <c r="M169" s="65">
        <f t="shared" si="160"/>
        <v>406.48899843552636</v>
      </c>
      <c r="N169" s="65">
        <f t="shared" si="160"/>
        <v>328.289852524867</v>
      </c>
      <c r="O169" s="65">
        <f t="shared" si="160"/>
        <v>360.55667270866985</v>
      </c>
      <c r="P169" s="65">
        <f t="shared" si="160"/>
        <v>311.71807541183432</v>
      </c>
      <c r="Q169" s="65">
        <f t="shared" si="160"/>
        <v>268.57376137426866</v>
      </c>
      <c r="R169" s="65">
        <f t="shared" si="160"/>
        <v>294.95434702053637</v>
      </c>
      <c r="S169" s="65">
        <f t="shared" si="160"/>
        <v>314.50570951639213</v>
      </c>
      <c r="T169" s="65">
        <f t="shared" si="160"/>
        <v>323.2589071579855</v>
      </c>
      <c r="U169" s="65">
        <f t="shared" si="160"/>
        <v>297.86930933325067</v>
      </c>
      <c r="V169" s="65">
        <f t="shared" si="160"/>
        <v>245.82202317046887</v>
      </c>
      <c r="W169" s="65">
        <f t="shared" si="160"/>
        <v>273.61297052473986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0</v>
      </c>
      <c r="C170" s="65">
        <f t="shared" ref="C170:W170" si="162">IF(C116=0,0,C116/C$23)</f>
        <v>0</v>
      </c>
      <c r="D170" s="65">
        <f t="shared" si="162"/>
        <v>0</v>
      </c>
      <c r="E170" s="65">
        <f t="shared" si="162"/>
        <v>0</v>
      </c>
      <c r="F170" s="65">
        <f t="shared" si="162"/>
        <v>0</v>
      </c>
      <c r="G170" s="65">
        <f t="shared" si="162"/>
        <v>0</v>
      </c>
      <c r="H170" s="65">
        <f t="shared" si="162"/>
        <v>0</v>
      </c>
      <c r="I170" s="65">
        <f t="shared" si="162"/>
        <v>0</v>
      </c>
      <c r="J170" s="65">
        <f t="shared" si="162"/>
        <v>0</v>
      </c>
      <c r="K170" s="65">
        <f t="shared" si="162"/>
        <v>0</v>
      </c>
      <c r="L170" s="65">
        <f t="shared" si="162"/>
        <v>0</v>
      </c>
      <c r="M170" s="65">
        <f t="shared" si="162"/>
        <v>0</v>
      </c>
      <c r="N170" s="65">
        <f t="shared" si="162"/>
        <v>0</v>
      </c>
      <c r="O170" s="65">
        <f t="shared" si="162"/>
        <v>0</v>
      </c>
      <c r="P170" s="65">
        <f t="shared" si="162"/>
        <v>0</v>
      </c>
      <c r="Q170" s="65">
        <f t="shared" si="162"/>
        <v>0</v>
      </c>
      <c r="R170" s="65">
        <f t="shared" si="162"/>
        <v>0</v>
      </c>
      <c r="S170" s="65">
        <f t="shared" si="162"/>
        <v>0</v>
      </c>
      <c r="T170" s="65">
        <f t="shared" si="162"/>
        <v>0</v>
      </c>
      <c r="U170" s="65">
        <f t="shared" si="162"/>
        <v>0</v>
      </c>
      <c r="V170" s="65">
        <f t="shared" si="162"/>
        <v>0</v>
      </c>
      <c r="W170" s="65">
        <f t="shared" si="162"/>
        <v>0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13.092115821185979</v>
      </c>
      <c r="C171" s="65">
        <f t="shared" ref="C171:W171" si="164">IF(C117=0,0,C117/C$23)</f>
        <v>9.9109963068912652</v>
      </c>
      <c r="D171" s="65">
        <f t="shared" si="164"/>
        <v>9.8880958965398484</v>
      </c>
      <c r="E171" s="65">
        <f t="shared" si="164"/>
        <v>9.087797776590163</v>
      </c>
      <c r="F171" s="65">
        <f t="shared" si="164"/>
        <v>10.969238515070113</v>
      </c>
      <c r="G171" s="65">
        <f t="shared" si="164"/>
        <v>10.183430891591856</v>
      </c>
      <c r="H171" s="65">
        <f t="shared" si="164"/>
        <v>11.834237467578692</v>
      </c>
      <c r="I171" s="65">
        <f t="shared" si="164"/>
        <v>14.396415093543059</v>
      </c>
      <c r="J171" s="65">
        <f t="shared" si="164"/>
        <v>15.561667656376525</v>
      </c>
      <c r="K171" s="65">
        <f t="shared" si="164"/>
        <v>15.321352666980223</v>
      </c>
      <c r="L171" s="65">
        <f t="shared" si="164"/>
        <v>15.453093577240216</v>
      </c>
      <c r="M171" s="65">
        <f t="shared" si="164"/>
        <v>15.140863579857827</v>
      </c>
      <c r="N171" s="65">
        <f t="shared" si="164"/>
        <v>14.626863723220554</v>
      </c>
      <c r="O171" s="65">
        <f t="shared" si="164"/>
        <v>14.633780628602395</v>
      </c>
      <c r="P171" s="65">
        <f t="shared" si="164"/>
        <v>13.087441033058592</v>
      </c>
      <c r="Q171" s="65">
        <f t="shared" si="164"/>
        <v>13.980337630890775</v>
      </c>
      <c r="R171" s="65">
        <f t="shared" si="164"/>
        <v>14.138033085971246</v>
      </c>
      <c r="S171" s="65">
        <f t="shared" si="164"/>
        <v>14.460500595553901</v>
      </c>
      <c r="T171" s="65">
        <f t="shared" si="164"/>
        <v>14.421923807462546</v>
      </c>
      <c r="U171" s="65">
        <f t="shared" si="164"/>
        <v>14.721569337023563</v>
      </c>
      <c r="V171" s="65">
        <f t="shared" si="164"/>
        <v>15.031569609868891</v>
      </c>
      <c r="W171" s="65">
        <f t="shared" si="164"/>
        <v>15.632941064368191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25.41765190587153</v>
      </c>
      <c r="C172" s="67">
        <f t="shared" ref="C172:W172" si="166">IF(C118=0,0,C118/C$23)</f>
        <v>27.684318583520611</v>
      </c>
      <c r="D172" s="67">
        <f t="shared" si="166"/>
        <v>30.42078620025729</v>
      </c>
      <c r="E172" s="67">
        <f t="shared" si="166"/>
        <v>31.186263434835496</v>
      </c>
      <c r="F172" s="67">
        <f t="shared" si="166"/>
        <v>28.549537502484142</v>
      </c>
      <c r="G172" s="67">
        <f t="shared" si="166"/>
        <v>29.758507762310085</v>
      </c>
      <c r="H172" s="67">
        <f t="shared" si="166"/>
        <v>32.024840685409259</v>
      </c>
      <c r="I172" s="67">
        <f t="shared" si="166"/>
        <v>38.238758834318652</v>
      </c>
      <c r="J172" s="67">
        <f t="shared" si="166"/>
        <v>40.052153185095555</v>
      </c>
      <c r="K172" s="67">
        <f t="shared" si="166"/>
        <v>40.578204891389419</v>
      </c>
      <c r="L172" s="67">
        <f t="shared" si="166"/>
        <v>37.919350499751651</v>
      </c>
      <c r="M172" s="67">
        <f t="shared" si="166"/>
        <v>35.387335166338914</v>
      </c>
      <c r="N172" s="67">
        <f t="shared" si="166"/>
        <v>30.731847864621169</v>
      </c>
      <c r="O172" s="67">
        <f t="shared" si="166"/>
        <v>25.063123654280233</v>
      </c>
      <c r="P172" s="67">
        <f t="shared" si="166"/>
        <v>20.983089397602974</v>
      </c>
      <c r="Q172" s="67">
        <f t="shared" si="166"/>
        <v>23.765360398487772</v>
      </c>
      <c r="R172" s="67">
        <f t="shared" si="166"/>
        <v>24.092448841278323</v>
      </c>
      <c r="S172" s="67">
        <f t="shared" si="166"/>
        <v>22.403659129797525</v>
      </c>
      <c r="T172" s="67">
        <f t="shared" si="166"/>
        <v>22.964668219363375</v>
      </c>
      <c r="U172" s="67">
        <f t="shared" si="166"/>
        <v>14.709754954252025</v>
      </c>
      <c r="V172" s="67">
        <f t="shared" si="166"/>
        <v>11.292705174292349</v>
      </c>
      <c r="W172" s="67">
        <f t="shared" si="166"/>
        <v>11.656247813164349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29446.325808510654</v>
      </c>
      <c r="C3" s="125">
        <f t="shared" si="0"/>
        <v>30758.893472254338</v>
      </c>
      <c r="D3" s="125">
        <f t="shared" si="0"/>
        <v>32329.095806478595</v>
      </c>
      <c r="E3" s="125">
        <f t="shared" si="0"/>
        <v>34700.491059361302</v>
      </c>
      <c r="F3" s="125">
        <f t="shared" si="0"/>
        <v>36690.251730184289</v>
      </c>
      <c r="G3" s="125">
        <f t="shared" si="0"/>
        <v>38912.257563759347</v>
      </c>
      <c r="H3" s="125">
        <f t="shared" si="0"/>
        <v>40476.339330041803</v>
      </c>
      <c r="I3" s="125">
        <f t="shared" si="0"/>
        <v>44681.765518081265</v>
      </c>
      <c r="J3" s="125">
        <f t="shared" si="0"/>
        <v>46652.673526676437</v>
      </c>
      <c r="K3" s="125">
        <f t="shared" si="0"/>
        <v>46561.275402728039</v>
      </c>
      <c r="L3" s="125">
        <f t="shared" si="0"/>
        <v>46983.490545106783</v>
      </c>
      <c r="M3" s="125">
        <f t="shared" si="0"/>
        <v>47951.164097780769</v>
      </c>
      <c r="N3" s="125">
        <f t="shared" si="0"/>
        <v>48420.480293396191</v>
      </c>
      <c r="O3" s="125">
        <f t="shared" si="0"/>
        <v>49023.235936405297</v>
      </c>
      <c r="P3" s="125">
        <f t="shared" si="0"/>
        <v>49862.069214575837</v>
      </c>
      <c r="Q3" s="125">
        <f t="shared" si="0"/>
        <v>50249.833059129327</v>
      </c>
      <c r="R3" s="125">
        <f t="shared" si="0"/>
        <v>50613.841674154537</v>
      </c>
      <c r="S3" s="125">
        <f t="shared" si="0"/>
        <v>51033.921541971729</v>
      </c>
      <c r="T3" s="125">
        <f t="shared" si="0"/>
        <v>51394.555670353773</v>
      </c>
      <c r="U3" s="125">
        <f t="shared" si="0"/>
        <v>51662.788167510436</v>
      </c>
      <c r="V3" s="125">
        <f t="shared" si="0"/>
        <v>51822.172222222245</v>
      </c>
      <c r="W3" s="125">
        <f t="shared" si="0"/>
        <v>51895.583090494751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29446.325808510654</v>
      </c>
      <c r="C4" s="140">
        <f t="shared" si="1"/>
        <v>30758.893472254338</v>
      </c>
      <c r="D4" s="140">
        <f t="shared" si="1"/>
        <v>32329.095806478595</v>
      </c>
      <c r="E4" s="140">
        <f t="shared" si="1"/>
        <v>34700.491059361302</v>
      </c>
      <c r="F4" s="140">
        <f t="shared" si="1"/>
        <v>36690.251730184289</v>
      </c>
      <c r="G4" s="140">
        <f t="shared" si="1"/>
        <v>38912.257563759347</v>
      </c>
      <c r="H4" s="140">
        <f t="shared" si="1"/>
        <v>40476.339330041803</v>
      </c>
      <c r="I4" s="140">
        <f t="shared" si="1"/>
        <v>44681.765518081265</v>
      </c>
      <c r="J4" s="140">
        <f t="shared" si="1"/>
        <v>46652.673526676437</v>
      </c>
      <c r="K4" s="140">
        <f t="shared" si="1"/>
        <v>46561.275402728039</v>
      </c>
      <c r="L4" s="140">
        <f t="shared" si="1"/>
        <v>46983.490545106783</v>
      </c>
      <c r="M4" s="140">
        <f t="shared" si="1"/>
        <v>47951.164097780769</v>
      </c>
      <c r="N4" s="140">
        <f t="shared" si="1"/>
        <v>48420.480293396191</v>
      </c>
      <c r="O4" s="140">
        <f t="shared" si="1"/>
        <v>49023.235936405297</v>
      </c>
      <c r="P4" s="140">
        <f t="shared" si="1"/>
        <v>49862.069214575837</v>
      </c>
      <c r="Q4" s="140">
        <f t="shared" si="1"/>
        <v>50249.833059129327</v>
      </c>
      <c r="R4" s="140">
        <f t="shared" ref="R4:W4" si="2">SUM(R5:R14)</f>
        <v>50613.841674154537</v>
      </c>
      <c r="S4" s="140">
        <f t="shared" si="2"/>
        <v>51033.921541971729</v>
      </c>
      <c r="T4" s="140">
        <f t="shared" si="2"/>
        <v>51394.555670353773</v>
      </c>
      <c r="U4" s="140">
        <f t="shared" si="2"/>
        <v>51662.788167510436</v>
      </c>
      <c r="V4" s="140">
        <f t="shared" si="2"/>
        <v>51822.172222222245</v>
      </c>
      <c r="W4" s="140">
        <f t="shared" si="2"/>
        <v>51895.583090494751</v>
      </c>
      <c r="DA4" s="170" t="s">
        <v>245</v>
      </c>
    </row>
    <row r="5" spans="1:105" ht="12" customHeight="1" x14ac:dyDescent="0.25">
      <c r="A5" s="132" t="s">
        <v>29</v>
      </c>
      <c r="B5" s="141">
        <v>3411.8175563247582</v>
      </c>
      <c r="C5" s="141">
        <v>3371.4869233401082</v>
      </c>
      <c r="D5" s="141">
        <v>3673.2784267523771</v>
      </c>
      <c r="E5" s="141">
        <v>3954.6030904280979</v>
      </c>
      <c r="F5" s="141">
        <v>4461.350922462454</v>
      </c>
      <c r="G5" s="141">
        <v>5111.8977817018349</v>
      </c>
      <c r="H5" s="141">
        <v>5459.8526085549092</v>
      </c>
      <c r="I5" s="141">
        <v>5655.4710065529443</v>
      </c>
      <c r="J5" s="141">
        <v>5836.7351867524749</v>
      </c>
      <c r="K5" s="141">
        <v>6213.3288826961161</v>
      </c>
      <c r="L5" s="141">
        <v>6592.0186157108756</v>
      </c>
      <c r="M5" s="141">
        <v>6711.9468788289505</v>
      </c>
      <c r="N5" s="141">
        <v>6758.8187756535981</v>
      </c>
      <c r="O5" s="141">
        <v>6738.9287966814427</v>
      </c>
      <c r="P5" s="141">
        <v>6458.847983423947</v>
      </c>
      <c r="Q5" s="141">
        <v>6065.2725859384427</v>
      </c>
      <c r="R5" s="141">
        <v>5980.2117510423923</v>
      </c>
      <c r="S5" s="141">
        <v>5851.5692237537141</v>
      </c>
      <c r="T5" s="141">
        <v>5660.9555759339282</v>
      </c>
      <c r="U5" s="141">
        <v>5196.9273446817469</v>
      </c>
      <c r="V5" s="141">
        <v>4433.7507542604963</v>
      </c>
      <c r="W5" s="141">
        <v>4085.9443868621106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1134.8489656195518</v>
      </c>
      <c r="C7" s="141">
        <v>1027.8253263750319</v>
      </c>
      <c r="D7" s="141">
        <v>923.23566377777456</v>
      </c>
      <c r="E7" s="141">
        <v>752.9966402499374</v>
      </c>
      <c r="F7" s="141">
        <v>649.51367192520274</v>
      </c>
      <c r="G7" s="141">
        <v>522.53869138155187</v>
      </c>
      <c r="H7" s="141">
        <v>490.1785388915464</v>
      </c>
      <c r="I7" s="141">
        <v>485.52208954740416</v>
      </c>
      <c r="J7" s="141">
        <v>466.57638416615202</v>
      </c>
      <c r="K7" s="141">
        <v>433.19601011893627</v>
      </c>
      <c r="L7" s="141">
        <v>420.90557925912918</v>
      </c>
      <c r="M7" s="141">
        <v>426.39517875786169</v>
      </c>
      <c r="N7" s="141">
        <v>414.48033620270053</v>
      </c>
      <c r="O7" s="141">
        <v>417.98658509024682</v>
      </c>
      <c r="P7" s="141">
        <v>405.9043039858887</v>
      </c>
      <c r="Q7" s="141">
        <v>335.2312511631286</v>
      </c>
      <c r="R7" s="141">
        <v>281.39705641166449</v>
      </c>
      <c r="S7" s="141">
        <v>247.52694769768857</v>
      </c>
      <c r="T7" s="141">
        <v>243.94104859370657</v>
      </c>
      <c r="U7" s="141">
        <v>279.47112020878956</v>
      </c>
      <c r="V7" s="141">
        <v>331.66607279924108</v>
      </c>
      <c r="W7" s="141">
        <v>345.78283027179538</v>
      </c>
      <c r="DA7" s="171" t="s">
        <v>248</v>
      </c>
    </row>
    <row r="8" spans="1:105" ht="12" customHeight="1" x14ac:dyDescent="0.25">
      <c r="A8" s="132" t="s">
        <v>73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249</v>
      </c>
    </row>
    <row r="9" spans="1:105" ht="12" customHeight="1" x14ac:dyDescent="0.25">
      <c r="A9" s="132" t="s">
        <v>78</v>
      </c>
      <c r="B9" s="141">
        <v>1695.7839994788965</v>
      </c>
      <c r="C9" s="141">
        <v>1922.3390812038519</v>
      </c>
      <c r="D9" s="141">
        <v>2354.4070918977545</v>
      </c>
      <c r="E9" s="141">
        <v>2804.2260935803242</v>
      </c>
      <c r="F9" s="141">
        <v>3400.9810958643238</v>
      </c>
      <c r="G9" s="141">
        <v>3895.0966187469949</v>
      </c>
      <c r="H9" s="141">
        <v>4475.8514064215451</v>
      </c>
      <c r="I9" s="141">
        <v>5266.4235042187502</v>
      </c>
      <c r="J9" s="141">
        <v>5763.4659314763194</v>
      </c>
      <c r="K9" s="141">
        <v>5955.4304834712329</v>
      </c>
      <c r="L9" s="141">
        <v>6177.4577142636226</v>
      </c>
      <c r="M9" s="141">
        <v>6419.010294098739</v>
      </c>
      <c r="N9" s="141">
        <v>6769.2196913853641</v>
      </c>
      <c r="O9" s="141">
        <v>7358.2203443748667</v>
      </c>
      <c r="P9" s="141">
        <v>7777.8132101288265</v>
      </c>
      <c r="Q9" s="141">
        <v>8441.7793806896971</v>
      </c>
      <c r="R9" s="141">
        <v>8772.0384043207541</v>
      </c>
      <c r="S9" s="141">
        <v>9126.8071448429419</v>
      </c>
      <c r="T9" s="141">
        <v>9643.8367568375816</v>
      </c>
      <c r="U9" s="141">
        <v>10355.163778419979</v>
      </c>
      <c r="V9" s="141">
        <v>10561.066040794514</v>
      </c>
      <c r="W9" s="141">
        <v>10683.998862126857</v>
      </c>
      <c r="DA9" s="171" t="s">
        <v>250</v>
      </c>
    </row>
    <row r="10" spans="1:105" ht="12" customHeight="1" x14ac:dyDescent="0.25">
      <c r="A10" s="132" t="s">
        <v>128</v>
      </c>
      <c r="B10" s="141">
        <v>2660.8537766770578</v>
      </c>
      <c r="C10" s="141">
        <v>2695.6318460621505</v>
      </c>
      <c r="D10" s="141">
        <v>2599.9022754725556</v>
      </c>
      <c r="E10" s="141">
        <v>2448.8577805621717</v>
      </c>
      <c r="F10" s="141">
        <v>2330.2147902896118</v>
      </c>
      <c r="G10" s="141">
        <v>2288.3424102995573</v>
      </c>
      <c r="H10" s="141">
        <v>2311.4933555021303</v>
      </c>
      <c r="I10" s="141">
        <v>2445.1876133187757</v>
      </c>
      <c r="J10" s="141">
        <v>2667.6170037788547</v>
      </c>
      <c r="K10" s="141">
        <v>2873.1016162865731</v>
      </c>
      <c r="L10" s="141">
        <v>3056.046818841241</v>
      </c>
      <c r="M10" s="141">
        <v>3384.1559917650366</v>
      </c>
      <c r="N10" s="141">
        <v>3634.674330805532</v>
      </c>
      <c r="O10" s="141">
        <v>3972.1879435823407</v>
      </c>
      <c r="P10" s="141">
        <v>4113.338573355607</v>
      </c>
      <c r="Q10" s="141">
        <v>4101.5379637187416</v>
      </c>
      <c r="R10" s="141">
        <v>3890.1055898397935</v>
      </c>
      <c r="S10" s="141">
        <v>3544.7936131664806</v>
      </c>
      <c r="T10" s="141">
        <v>3446.6217323014207</v>
      </c>
      <c r="U10" s="141">
        <v>3477.4335788608655</v>
      </c>
      <c r="V10" s="141">
        <v>3500.0345336177197</v>
      </c>
      <c r="W10" s="141">
        <v>3508.7326931899379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252</v>
      </c>
    </row>
    <row r="12" spans="1:105" ht="12" customHeight="1" x14ac:dyDescent="0.25">
      <c r="A12" s="132" t="s">
        <v>169</v>
      </c>
      <c r="B12" s="141">
        <v>18109.776520928837</v>
      </c>
      <c r="C12" s="141">
        <v>19216.465323558208</v>
      </c>
      <c r="D12" s="141">
        <v>19873.084281028849</v>
      </c>
      <c r="E12" s="141">
        <v>21310.901518100763</v>
      </c>
      <c r="F12" s="141">
        <v>22124.54762769126</v>
      </c>
      <c r="G12" s="141">
        <v>23192.169908002408</v>
      </c>
      <c r="H12" s="141">
        <v>23589.508974135719</v>
      </c>
      <c r="I12" s="141">
        <v>26666.887762497077</v>
      </c>
      <c r="J12" s="141">
        <v>27882.119956374027</v>
      </c>
      <c r="K12" s="141">
        <v>27601.762762594517</v>
      </c>
      <c r="L12" s="141">
        <v>28051.924065357634</v>
      </c>
      <c r="M12" s="141">
        <v>28529.591024451955</v>
      </c>
      <c r="N12" s="141">
        <v>28278.239979537593</v>
      </c>
      <c r="O12" s="141">
        <v>27999.573468381099</v>
      </c>
      <c r="P12" s="141">
        <v>28588.681454033911</v>
      </c>
      <c r="Q12" s="141">
        <v>28767.124568687846</v>
      </c>
      <c r="R12" s="141">
        <v>29095.729588044764</v>
      </c>
      <c r="S12" s="141">
        <v>29611.121148594426</v>
      </c>
      <c r="T12" s="141">
        <v>29225.515690583525</v>
      </c>
      <c r="U12" s="141">
        <v>28832.504753016558</v>
      </c>
      <c r="V12" s="141">
        <v>29297.412105340747</v>
      </c>
      <c r="W12" s="141">
        <v>29399.126014289435</v>
      </c>
      <c r="DA12" s="171" t="s">
        <v>253</v>
      </c>
    </row>
    <row r="13" spans="1:105" ht="12" customHeight="1" x14ac:dyDescent="0.25">
      <c r="A13" s="132" t="s">
        <v>77</v>
      </c>
      <c r="B13" s="141">
        <v>1.5999374535361803</v>
      </c>
      <c r="C13" s="141">
        <v>2.2518791186342222</v>
      </c>
      <c r="D13" s="141">
        <v>4.2121853528469444</v>
      </c>
      <c r="E13" s="141">
        <v>6.9390972025371331</v>
      </c>
      <c r="F13" s="141">
        <v>10.06620702123033</v>
      </c>
      <c r="G13" s="141">
        <v>13.99453765829902</v>
      </c>
      <c r="H13" s="141">
        <v>19.826998438477709</v>
      </c>
      <c r="I13" s="141">
        <v>28.491861059406386</v>
      </c>
      <c r="J13" s="141">
        <v>40.965418856604025</v>
      </c>
      <c r="K13" s="141">
        <v>55.644421580226052</v>
      </c>
      <c r="L13" s="141">
        <v>77.855666839818952</v>
      </c>
      <c r="M13" s="141">
        <v>122.19357502448541</v>
      </c>
      <c r="N13" s="141">
        <v>190.94620416257678</v>
      </c>
      <c r="O13" s="141">
        <v>286.77031119280406</v>
      </c>
      <c r="P13" s="141">
        <v>396.64878559893492</v>
      </c>
      <c r="Q13" s="141">
        <v>466.59336320181711</v>
      </c>
      <c r="R13" s="141">
        <v>492.82093718963665</v>
      </c>
      <c r="S13" s="141">
        <v>494.64691658677219</v>
      </c>
      <c r="T13" s="141">
        <v>506.64659214680108</v>
      </c>
      <c r="U13" s="141">
        <v>578.0183289596788</v>
      </c>
      <c r="V13" s="141">
        <v>678.2490431124296</v>
      </c>
      <c r="W13" s="141">
        <v>858.92991134524414</v>
      </c>
      <c r="DA13" s="171" t="s">
        <v>254</v>
      </c>
    </row>
    <row r="14" spans="1:105" ht="12" customHeight="1" x14ac:dyDescent="0.25">
      <c r="A14" s="60" t="s">
        <v>76</v>
      </c>
      <c r="B14" s="142">
        <v>2431.6450520280164</v>
      </c>
      <c r="C14" s="142">
        <v>2522.8930925963555</v>
      </c>
      <c r="D14" s="142">
        <v>2900.9758821964397</v>
      </c>
      <c r="E14" s="142">
        <v>3421.9668392374751</v>
      </c>
      <c r="F14" s="142">
        <v>3713.5774149302124</v>
      </c>
      <c r="G14" s="142">
        <v>3888.2176159686996</v>
      </c>
      <c r="H14" s="142">
        <v>4129.6274480974735</v>
      </c>
      <c r="I14" s="142">
        <v>4133.7816808869075</v>
      </c>
      <c r="J14" s="142">
        <v>3995.1936452720033</v>
      </c>
      <c r="K14" s="142">
        <v>3428.8112259804388</v>
      </c>
      <c r="L14" s="142">
        <v>2607.2820848344654</v>
      </c>
      <c r="M14" s="142">
        <v>2357.8711548537385</v>
      </c>
      <c r="N14" s="142">
        <v>2374.1009756488284</v>
      </c>
      <c r="O14" s="142">
        <v>2249.5684871024932</v>
      </c>
      <c r="P14" s="142">
        <v>2120.8349040487196</v>
      </c>
      <c r="Q14" s="142">
        <v>2072.2939457296534</v>
      </c>
      <c r="R14" s="142">
        <v>2101.5383473055363</v>
      </c>
      <c r="S14" s="142">
        <v>2157.4565473297039</v>
      </c>
      <c r="T14" s="142">
        <v>2667.0382739568076</v>
      </c>
      <c r="U14" s="142">
        <v>2943.2692633628249</v>
      </c>
      <c r="V14" s="142">
        <v>3019.9936722970938</v>
      </c>
      <c r="W14" s="142">
        <v>3013.0683924093728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27013.080819029103</v>
      </c>
      <c r="C15" s="144">
        <f t="shared" si="3"/>
        <v>28233.74850053935</v>
      </c>
      <c r="D15" s="144">
        <f t="shared" si="3"/>
        <v>29423.907738929309</v>
      </c>
      <c r="E15" s="144">
        <f t="shared" si="3"/>
        <v>31271.585122921293</v>
      </c>
      <c r="F15" s="144">
        <f t="shared" si="3"/>
        <v>32966.608108232853</v>
      </c>
      <c r="G15" s="144">
        <f t="shared" si="3"/>
        <v>35010.045410132348</v>
      </c>
      <c r="H15" s="144">
        <f t="shared" si="3"/>
        <v>36326.884883505852</v>
      </c>
      <c r="I15" s="144">
        <f t="shared" si="3"/>
        <v>40519.491976134952</v>
      </c>
      <c r="J15" s="144">
        <f t="shared" si="3"/>
        <v>42616.514462547828</v>
      </c>
      <c r="K15" s="144">
        <f t="shared" si="3"/>
        <v>43076.819755167373</v>
      </c>
      <c r="L15" s="144">
        <f t="shared" si="3"/>
        <v>44298.352793432503</v>
      </c>
      <c r="M15" s="144">
        <f t="shared" si="3"/>
        <v>45471.099367902541</v>
      </c>
      <c r="N15" s="144">
        <f t="shared" si="3"/>
        <v>45855.43311358479</v>
      </c>
      <c r="O15" s="144">
        <f t="shared" si="3"/>
        <v>46486.897138109998</v>
      </c>
      <c r="P15" s="144">
        <f t="shared" si="3"/>
        <v>47344.585524928181</v>
      </c>
      <c r="Q15" s="144">
        <f t="shared" si="3"/>
        <v>47710.945750197854</v>
      </c>
      <c r="R15" s="144">
        <f t="shared" ref="R15:W15" si="4">SUM(R5:R12)</f>
        <v>48019.482389659366</v>
      </c>
      <c r="S15" s="144">
        <f t="shared" si="4"/>
        <v>48381.81807805525</v>
      </c>
      <c r="T15" s="144">
        <f t="shared" si="4"/>
        <v>48220.87080425016</v>
      </c>
      <c r="U15" s="144">
        <f t="shared" si="4"/>
        <v>48141.500575187936</v>
      </c>
      <c r="V15" s="144">
        <f t="shared" si="4"/>
        <v>48123.929506812718</v>
      </c>
      <c r="W15" s="144">
        <f t="shared" si="4"/>
        <v>48023.584786740132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1427.3960223217759</v>
      </c>
      <c r="C16" s="140">
        <f t="shared" si="5"/>
        <v>1586.9907147705781</v>
      </c>
      <c r="D16" s="140">
        <f t="shared" si="5"/>
        <v>1785.6244518700926</v>
      </c>
      <c r="E16" s="140">
        <f t="shared" si="5"/>
        <v>1999.39256363087</v>
      </c>
      <c r="F16" s="140">
        <f t="shared" si="5"/>
        <v>2239.1140180463963</v>
      </c>
      <c r="G16" s="140">
        <f t="shared" si="5"/>
        <v>2500.6159237061343</v>
      </c>
      <c r="H16" s="140">
        <f t="shared" si="5"/>
        <v>2790.9834586788902</v>
      </c>
      <c r="I16" s="140">
        <f t="shared" si="5"/>
        <v>3138.4858105230264</v>
      </c>
      <c r="J16" s="140">
        <f t="shared" si="5"/>
        <v>3453.3558785685946</v>
      </c>
      <c r="K16" s="140">
        <f t="shared" si="5"/>
        <v>3661.2453915373171</v>
      </c>
      <c r="L16" s="140">
        <f t="shared" si="5"/>
        <v>3806.2275101213222</v>
      </c>
      <c r="M16" s="140">
        <f t="shared" si="5"/>
        <v>3975.5391113483101</v>
      </c>
      <c r="N16" s="140">
        <f t="shared" si="5"/>
        <v>4095.9493091807449</v>
      </c>
      <c r="O16" s="140">
        <f t="shared" si="5"/>
        <v>4250.2511724466995</v>
      </c>
      <c r="P16" s="140">
        <f t="shared" si="5"/>
        <v>4451.9627911056914</v>
      </c>
      <c r="Q16" s="140">
        <f t="shared" si="5"/>
        <v>4625.0073750315587</v>
      </c>
      <c r="R16" s="140">
        <f t="shared" ref="R16:W16" si="6">SUM(R17:R18)</f>
        <v>4835.1258105274219</v>
      </c>
      <c r="S16" s="140">
        <f t="shared" si="6"/>
        <v>4982.5219846756572</v>
      </c>
      <c r="T16" s="140">
        <f t="shared" si="6"/>
        <v>5177.2592057544834</v>
      </c>
      <c r="U16" s="140">
        <f t="shared" si="6"/>
        <v>5378.5128863885857</v>
      </c>
      <c r="V16" s="140">
        <f t="shared" si="6"/>
        <v>5580.3325700021405</v>
      </c>
      <c r="W16" s="140">
        <f t="shared" si="6"/>
        <v>5776.5763151653391</v>
      </c>
      <c r="DA16" s="170" t="s">
        <v>256</v>
      </c>
    </row>
    <row r="17" spans="1:105" ht="12.95" customHeight="1" x14ac:dyDescent="0.25">
      <c r="A17" s="132" t="s">
        <v>73</v>
      </c>
      <c r="B17" s="141">
        <v>0</v>
      </c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257</v>
      </c>
    </row>
    <row r="18" spans="1:105" ht="12" customHeight="1" x14ac:dyDescent="0.25">
      <c r="A18" s="132" t="s">
        <v>72</v>
      </c>
      <c r="B18" s="141">
        <v>1427.3960223217759</v>
      </c>
      <c r="C18" s="141">
        <v>1586.9907147705781</v>
      </c>
      <c r="D18" s="141">
        <v>1785.6244518700926</v>
      </c>
      <c r="E18" s="141">
        <v>1999.39256363087</v>
      </c>
      <c r="F18" s="141">
        <v>2239.1140180463963</v>
      </c>
      <c r="G18" s="141">
        <v>2500.6159237061343</v>
      </c>
      <c r="H18" s="141">
        <v>2790.9834586788902</v>
      </c>
      <c r="I18" s="141">
        <v>3138.4858105230264</v>
      </c>
      <c r="J18" s="141">
        <v>3453.3558785685946</v>
      </c>
      <c r="K18" s="141">
        <v>3661.2453915373171</v>
      </c>
      <c r="L18" s="141">
        <v>3806.2275101213222</v>
      </c>
      <c r="M18" s="141">
        <v>3975.5391113483101</v>
      </c>
      <c r="N18" s="141">
        <v>4095.9493091807449</v>
      </c>
      <c r="O18" s="141">
        <v>4250.2511724466995</v>
      </c>
      <c r="P18" s="141">
        <v>4451.9627911056914</v>
      </c>
      <c r="Q18" s="141">
        <v>4625.0073750315587</v>
      </c>
      <c r="R18" s="141">
        <v>4835.1258105274219</v>
      </c>
      <c r="S18" s="141">
        <v>4982.5219846756572</v>
      </c>
      <c r="T18" s="141">
        <v>5177.2592057544834</v>
      </c>
      <c r="U18" s="141">
        <v>5378.5128863885857</v>
      </c>
      <c r="V18" s="141">
        <v>5580.3325700021405</v>
      </c>
      <c r="W18" s="141">
        <v>5776.5763151653391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29446.325808510654</v>
      </c>
      <c r="C19" s="140">
        <f t="shared" si="7"/>
        <v>30758.893472254334</v>
      </c>
      <c r="D19" s="140">
        <f t="shared" si="7"/>
        <v>32329.095806478595</v>
      </c>
      <c r="E19" s="140">
        <f t="shared" si="7"/>
        <v>34700.491059361309</v>
      </c>
      <c r="F19" s="140">
        <f t="shared" si="7"/>
        <v>36690.251730184304</v>
      </c>
      <c r="G19" s="140">
        <f t="shared" si="7"/>
        <v>38912.25756375934</v>
      </c>
      <c r="H19" s="140">
        <f t="shared" si="7"/>
        <v>40476.339330041796</v>
      </c>
      <c r="I19" s="140">
        <f t="shared" si="7"/>
        <v>44681.765518081265</v>
      </c>
      <c r="J19" s="140">
        <f t="shared" si="7"/>
        <v>46652.67352667643</v>
      </c>
      <c r="K19" s="140">
        <f t="shared" si="7"/>
        <v>46561.275402728039</v>
      </c>
      <c r="L19" s="140">
        <f t="shared" si="7"/>
        <v>46983.49054510679</v>
      </c>
      <c r="M19" s="140">
        <f t="shared" si="7"/>
        <v>47951.164097780762</v>
      </c>
      <c r="N19" s="140">
        <f t="shared" si="7"/>
        <v>48420.480293396191</v>
      </c>
      <c r="O19" s="140">
        <f t="shared" si="7"/>
        <v>49023.23593640529</v>
      </c>
      <c r="P19" s="140">
        <f t="shared" si="7"/>
        <v>49862.069214575822</v>
      </c>
      <c r="Q19" s="140">
        <f t="shared" si="7"/>
        <v>50249.833059129342</v>
      </c>
      <c r="R19" s="140">
        <f t="shared" ref="R19:W19" si="8">SUM(R20:R26)</f>
        <v>50613.841674154501</v>
      </c>
      <c r="S19" s="140">
        <f t="shared" si="8"/>
        <v>51033.921541971751</v>
      </c>
      <c r="T19" s="140">
        <f t="shared" si="8"/>
        <v>51394.55567035381</v>
      </c>
      <c r="U19" s="140">
        <f t="shared" si="8"/>
        <v>51662.788167510465</v>
      </c>
      <c r="V19" s="140">
        <f t="shared" si="8"/>
        <v>51822.172222222231</v>
      </c>
      <c r="W19" s="140">
        <f t="shared" si="8"/>
        <v>51895.583090494802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0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261</v>
      </c>
    </row>
    <row r="22" spans="1:105" ht="12" customHeight="1" x14ac:dyDescent="0.25">
      <c r="A22" s="132" t="s">
        <v>168</v>
      </c>
      <c r="B22" s="141">
        <v>1281.3196951878019</v>
      </c>
      <c r="C22" s="141">
        <v>1007.5475536757141</v>
      </c>
      <c r="D22" s="141">
        <v>849.9299133542163</v>
      </c>
      <c r="E22" s="141">
        <v>713.75623908936677</v>
      </c>
      <c r="F22" s="141">
        <v>683.48239419279457</v>
      </c>
      <c r="G22" s="141">
        <v>619.51738008679752</v>
      </c>
      <c r="H22" s="141">
        <v>588.72149216620289</v>
      </c>
      <c r="I22" s="141">
        <v>540.85143170209676</v>
      </c>
      <c r="J22" s="141">
        <v>496.56370274372324</v>
      </c>
      <c r="K22" s="141">
        <v>416.27495445776469</v>
      </c>
      <c r="L22" s="141">
        <v>351.33306665804645</v>
      </c>
      <c r="M22" s="141">
        <v>295.704950830028</v>
      </c>
      <c r="N22" s="141">
        <v>261.08725653662623</v>
      </c>
      <c r="O22" s="141">
        <v>250.88964052301216</v>
      </c>
      <c r="P22" s="141">
        <v>248.59569898508065</v>
      </c>
      <c r="Q22" s="141">
        <v>251.36216799400978</v>
      </c>
      <c r="R22" s="141">
        <v>246.7275422994189</v>
      </c>
      <c r="S22" s="141">
        <v>247.7861814855998</v>
      </c>
      <c r="T22" s="141">
        <v>244.83236272846341</v>
      </c>
      <c r="U22" s="141">
        <v>278.4279630177586</v>
      </c>
      <c r="V22" s="141">
        <v>334.36372519678332</v>
      </c>
      <c r="W22" s="141">
        <v>365.91126857510028</v>
      </c>
      <c r="DA22" s="171" t="s">
        <v>262</v>
      </c>
    </row>
    <row r="23" spans="1:105" ht="12" customHeight="1" x14ac:dyDescent="0.25">
      <c r="A23" s="132" t="s">
        <v>153</v>
      </c>
      <c r="B23" s="141">
        <v>1159.5486802688861</v>
      </c>
      <c r="C23" s="141">
        <v>1218.8167501935952</v>
      </c>
      <c r="D23" s="141">
        <v>1353.9885024628559</v>
      </c>
      <c r="E23" s="141">
        <v>1496.1277135555661</v>
      </c>
      <c r="F23" s="141">
        <v>1700.1454355123537</v>
      </c>
      <c r="G23" s="141">
        <v>1982.0383698064413</v>
      </c>
      <c r="H23" s="141">
        <v>2438.0229760108823</v>
      </c>
      <c r="I23" s="141">
        <v>3085.7681766803876</v>
      </c>
      <c r="J23" s="141">
        <v>3534.8245521440203</v>
      </c>
      <c r="K23" s="141">
        <v>3743.1862594925828</v>
      </c>
      <c r="L23" s="141">
        <v>3793.3400635324688</v>
      </c>
      <c r="M23" s="141">
        <v>3821.2316423818766</v>
      </c>
      <c r="N23" s="141">
        <v>3816.5618282659975</v>
      </c>
      <c r="O23" s="141">
        <v>3835.178963923599</v>
      </c>
      <c r="P23" s="141">
        <v>3861.4770019772809</v>
      </c>
      <c r="Q23" s="141">
        <v>4023.9200624914747</v>
      </c>
      <c r="R23" s="141">
        <v>4237.5533999185564</v>
      </c>
      <c r="S23" s="141">
        <v>4450.1657724160577</v>
      </c>
      <c r="T23" s="141">
        <v>4770.1047933887839</v>
      </c>
      <c r="U23" s="141">
        <v>5098.8289884547376</v>
      </c>
      <c r="V23" s="141">
        <v>5571.9465664837535</v>
      </c>
      <c r="W23" s="141">
        <v>5674.7209108361258</v>
      </c>
      <c r="DA23" s="171" t="s">
        <v>263</v>
      </c>
    </row>
    <row r="24" spans="1:105" ht="12" customHeight="1" x14ac:dyDescent="0.25">
      <c r="A24" s="132" t="s">
        <v>128</v>
      </c>
      <c r="B24" s="141">
        <v>1124.9775637472283</v>
      </c>
      <c r="C24" s="141">
        <v>1164.807841406473</v>
      </c>
      <c r="D24" s="141">
        <v>1194.1610405993977</v>
      </c>
      <c r="E24" s="141">
        <v>1237.6034679156423</v>
      </c>
      <c r="F24" s="141">
        <v>1297.4074337311281</v>
      </c>
      <c r="G24" s="141">
        <v>1360.176967638198</v>
      </c>
      <c r="H24" s="141">
        <v>1423.2961273891162</v>
      </c>
      <c r="I24" s="141">
        <v>1475.188496175565</v>
      </c>
      <c r="J24" s="141">
        <v>1519.7249771667744</v>
      </c>
      <c r="K24" s="141">
        <v>1555.2832097333048</v>
      </c>
      <c r="L24" s="141">
        <v>1594.9906000856595</v>
      </c>
      <c r="M24" s="141">
        <v>1644.5296605111373</v>
      </c>
      <c r="N24" s="141">
        <v>1689.002658335876</v>
      </c>
      <c r="O24" s="141">
        <v>1731.0177775248849</v>
      </c>
      <c r="P24" s="141">
        <v>1745.2338392571344</v>
      </c>
      <c r="Q24" s="141">
        <v>1703.4676761458111</v>
      </c>
      <c r="R24" s="141">
        <v>1606.9231006158086</v>
      </c>
      <c r="S24" s="141">
        <v>1474.836226708027</v>
      </c>
      <c r="T24" s="141">
        <v>1431.7580446502361</v>
      </c>
      <c r="U24" s="141">
        <v>1411.7418050096801</v>
      </c>
      <c r="V24" s="141">
        <v>1430.7060226212793</v>
      </c>
      <c r="W24" s="141">
        <v>1464.649071434882</v>
      </c>
      <c r="DA24" s="171" t="s">
        <v>264</v>
      </c>
    </row>
    <row r="25" spans="1:105" ht="12" customHeight="1" x14ac:dyDescent="0.25">
      <c r="A25" s="132" t="s">
        <v>169</v>
      </c>
      <c r="B25" s="141">
        <v>16032.852600467517</v>
      </c>
      <c r="C25" s="141">
        <v>16876.760334805494</v>
      </c>
      <c r="D25" s="141">
        <v>17626.457045056362</v>
      </c>
      <c r="E25" s="141">
        <v>19308.12648878582</v>
      </c>
      <c r="F25" s="141">
        <v>20659.641102469468</v>
      </c>
      <c r="G25" s="141">
        <v>22011.676633182564</v>
      </c>
      <c r="H25" s="141">
        <v>22667.929800006365</v>
      </c>
      <c r="I25" s="141">
        <v>24991.2037010637</v>
      </c>
      <c r="J25" s="141">
        <v>26299.059026100287</v>
      </c>
      <c r="K25" s="141">
        <v>26552.138664665399</v>
      </c>
      <c r="L25" s="141">
        <v>27491.442222860111</v>
      </c>
      <c r="M25" s="141">
        <v>28679.016201799415</v>
      </c>
      <c r="N25" s="141">
        <v>29272.44017183721</v>
      </c>
      <c r="O25" s="141">
        <v>30319.789753513935</v>
      </c>
      <c r="P25" s="141">
        <v>31661.237435886698</v>
      </c>
      <c r="Q25" s="141">
        <v>32899.41343055194</v>
      </c>
      <c r="R25" s="141">
        <v>33556.848307770219</v>
      </c>
      <c r="S25" s="141">
        <v>33923.925420909123</v>
      </c>
      <c r="T25" s="141">
        <v>33482.785085680349</v>
      </c>
      <c r="U25" s="141">
        <v>32795.300703919944</v>
      </c>
      <c r="V25" s="141">
        <v>31896.564795560222</v>
      </c>
      <c r="W25" s="141">
        <v>31527.309131521604</v>
      </c>
      <c r="DA25" s="171" t="s">
        <v>265</v>
      </c>
    </row>
    <row r="26" spans="1:105" ht="12" customHeight="1" x14ac:dyDescent="0.25">
      <c r="A26" s="132" t="s">
        <v>24</v>
      </c>
      <c r="B26" s="142">
        <v>9847.6272688392201</v>
      </c>
      <c r="C26" s="142">
        <v>10490.960992173061</v>
      </c>
      <c r="D26" s="142">
        <v>11304.559305005767</v>
      </c>
      <c r="E26" s="142">
        <v>11944.877150014918</v>
      </c>
      <c r="F26" s="142">
        <v>12349.57536427856</v>
      </c>
      <c r="G26" s="142">
        <v>12938.848213045343</v>
      </c>
      <c r="H26" s="142">
        <v>13358.368934469228</v>
      </c>
      <c r="I26" s="142">
        <v>14588.753712459516</v>
      </c>
      <c r="J26" s="142">
        <v>14802.501268521621</v>
      </c>
      <c r="K26" s="142">
        <v>14294.392314378989</v>
      </c>
      <c r="L26" s="142">
        <v>13752.384591970504</v>
      </c>
      <c r="M26" s="142">
        <v>13510.681642258307</v>
      </c>
      <c r="N26" s="142">
        <v>13381.388378420483</v>
      </c>
      <c r="O26" s="142">
        <v>12886.359800919863</v>
      </c>
      <c r="P26" s="142">
        <v>12345.525238469629</v>
      </c>
      <c r="Q26" s="142">
        <v>11371.669721946108</v>
      </c>
      <c r="R26" s="142">
        <v>10965.789323550496</v>
      </c>
      <c r="S26" s="142">
        <v>10937.20794045294</v>
      </c>
      <c r="T26" s="142">
        <v>11465.075383905978</v>
      </c>
      <c r="U26" s="142">
        <v>12078.488707108345</v>
      </c>
      <c r="V26" s="142">
        <v>12588.591112360187</v>
      </c>
      <c r="W26" s="142">
        <v>12862.992708127089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29446.325808510654</v>
      </c>
      <c r="C29" s="140">
        <f t="shared" si="9"/>
        <v>30758.893472254342</v>
      </c>
      <c r="D29" s="140">
        <f t="shared" si="9"/>
        <v>32329.095806478595</v>
      </c>
      <c r="E29" s="140">
        <f t="shared" si="9"/>
        <v>34700.491059361317</v>
      </c>
      <c r="F29" s="140">
        <f t="shared" si="9"/>
        <v>36690.251730184304</v>
      </c>
      <c r="G29" s="140">
        <f t="shared" si="9"/>
        <v>38912.25756375934</v>
      </c>
      <c r="H29" s="140">
        <f t="shared" si="9"/>
        <v>40476.339330041781</v>
      </c>
      <c r="I29" s="140">
        <f t="shared" si="9"/>
        <v>44681.765518081273</v>
      </c>
      <c r="J29" s="140">
        <f t="shared" si="9"/>
        <v>46652.673526676437</v>
      </c>
      <c r="K29" s="140">
        <f t="shared" si="9"/>
        <v>46561.275402728053</v>
      </c>
      <c r="L29" s="140">
        <f t="shared" si="9"/>
        <v>46983.490545106804</v>
      </c>
      <c r="M29" s="140">
        <f t="shared" si="9"/>
        <v>47951.164097780769</v>
      </c>
      <c r="N29" s="140">
        <f t="shared" si="9"/>
        <v>48420.480293396184</v>
      </c>
      <c r="O29" s="140">
        <f t="shared" si="9"/>
        <v>49023.235936405305</v>
      </c>
      <c r="P29" s="140">
        <f t="shared" si="9"/>
        <v>49862.069214575829</v>
      </c>
      <c r="Q29" s="140">
        <f t="shared" si="9"/>
        <v>50249.833059129342</v>
      </c>
      <c r="R29" s="140">
        <f t="shared" ref="R29:W29" si="10">SUM(R30:R33)</f>
        <v>50613.841674154559</v>
      </c>
      <c r="S29" s="140">
        <f t="shared" si="10"/>
        <v>51033.921541971758</v>
      </c>
      <c r="T29" s="140">
        <f t="shared" si="10"/>
        <v>51394.555670353759</v>
      </c>
      <c r="U29" s="140">
        <f t="shared" si="10"/>
        <v>51662.788167510436</v>
      </c>
      <c r="V29" s="140">
        <f t="shared" si="10"/>
        <v>51822.172222222209</v>
      </c>
      <c r="W29" s="140">
        <f t="shared" si="10"/>
        <v>51895.583090494751</v>
      </c>
      <c r="DA29" s="170" t="s">
        <v>268</v>
      </c>
    </row>
    <row r="30" spans="1:105" ht="12" customHeight="1" x14ac:dyDescent="0.25">
      <c r="A30" s="132" t="s">
        <v>52</v>
      </c>
      <c r="B30" s="141">
        <v>0</v>
      </c>
      <c r="C30" s="141">
        <v>0</v>
      </c>
      <c r="D30" s="141">
        <v>0</v>
      </c>
      <c r="E30" s="141">
        <v>0</v>
      </c>
      <c r="F30" s="141">
        <v>0</v>
      </c>
      <c r="G30" s="141">
        <v>0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</v>
      </c>
      <c r="W30" s="141">
        <v>0</v>
      </c>
      <c r="DA30" s="171" t="s">
        <v>269</v>
      </c>
    </row>
    <row r="31" spans="1:105" ht="12" customHeight="1" x14ac:dyDescent="0.25">
      <c r="A31" s="132" t="s">
        <v>153</v>
      </c>
      <c r="B31" s="141">
        <v>6661.0197839825669</v>
      </c>
      <c r="C31" s="141">
        <v>7197.5736000010711</v>
      </c>
      <c r="D31" s="141">
        <v>7879.2837422993389</v>
      </c>
      <c r="E31" s="141">
        <v>8327.6158571520482</v>
      </c>
      <c r="F31" s="141">
        <v>8441.3456530691528</v>
      </c>
      <c r="G31" s="141">
        <v>8975.4591198281905</v>
      </c>
      <c r="H31" s="141">
        <v>9846.8604688612559</v>
      </c>
      <c r="I31" s="141">
        <v>11464.668533236034</v>
      </c>
      <c r="J31" s="141">
        <v>12538.424986217844</v>
      </c>
      <c r="K31" s="141">
        <v>12880.972177185851</v>
      </c>
      <c r="L31" s="141">
        <v>12429.752994138385</v>
      </c>
      <c r="M31" s="141">
        <v>11613.242244964464</v>
      </c>
      <c r="N31" s="141">
        <v>10370.606642948322</v>
      </c>
      <c r="O31" s="141">
        <v>9414.7548800052809</v>
      </c>
      <c r="P31" s="141">
        <v>8976.6771425335028</v>
      </c>
      <c r="Q31" s="141">
        <v>9354.3933935222103</v>
      </c>
      <c r="R31" s="141">
        <v>9603.6749633629806</v>
      </c>
      <c r="S31" s="141">
        <v>9274.5793882436355</v>
      </c>
      <c r="T31" s="141">
        <v>8364.5846350186348</v>
      </c>
      <c r="U31" s="141">
        <v>6624.2325985921279</v>
      </c>
      <c r="V31" s="141">
        <v>5002.82787091108</v>
      </c>
      <c r="W31" s="141">
        <v>4545.7950167418667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372.19072752844704</v>
      </c>
      <c r="H32" s="141">
        <v>547.38919993955335</v>
      </c>
      <c r="I32" s="141">
        <v>687.8910548293893</v>
      </c>
      <c r="J32" s="141">
        <v>919.88572609438211</v>
      </c>
      <c r="K32" s="141">
        <v>951.70083215373154</v>
      </c>
      <c r="L32" s="141">
        <v>1100.9292745300131</v>
      </c>
      <c r="M32" s="141">
        <v>1047.2983634110956</v>
      </c>
      <c r="N32" s="141">
        <v>1052.0751443837464</v>
      </c>
      <c r="O32" s="141">
        <v>1007.4365713902727</v>
      </c>
      <c r="P32" s="141">
        <v>1095.3124514153103</v>
      </c>
      <c r="Q32" s="141">
        <v>1222.477470341842</v>
      </c>
      <c r="R32" s="141">
        <v>1422.1500269927121</v>
      </c>
      <c r="S32" s="141">
        <v>1677.2603640824389</v>
      </c>
      <c r="T32" s="141">
        <v>1901.417923667263</v>
      </c>
      <c r="U32" s="141">
        <v>2268.888463788358</v>
      </c>
      <c r="V32" s="141">
        <v>2619.3429797435629</v>
      </c>
      <c r="W32" s="141">
        <v>2954.7337643429673</v>
      </c>
      <c r="DA32" s="171" t="s">
        <v>271</v>
      </c>
    </row>
    <row r="33" spans="1:105" ht="12" customHeight="1" x14ac:dyDescent="0.25">
      <c r="A33" s="62" t="s">
        <v>24</v>
      </c>
      <c r="B33" s="153">
        <v>22785.306024528087</v>
      </c>
      <c r="C33" s="153">
        <v>23561.319872253269</v>
      </c>
      <c r="D33" s="153">
        <v>24449.812064179256</v>
      </c>
      <c r="E33" s="153">
        <v>26372.875202209267</v>
      </c>
      <c r="F33" s="153">
        <v>28248.906077115149</v>
      </c>
      <c r="G33" s="153">
        <v>29564.607716402705</v>
      </c>
      <c r="H33" s="153">
        <v>30082.089661240971</v>
      </c>
      <c r="I33" s="153">
        <v>32529.205930015847</v>
      </c>
      <c r="J33" s="153">
        <v>33194.362814364213</v>
      </c>
      <c r="K33" s="153">
        <v>32728.602393388472</v>
      </c>
      <c r="L33" s="153">
        <v>33452.808276438402</v>
      </c>
      <c r="M33" s="153">
        <v>35290.62348940521</v>
      </c>
      <c r="N33" s="153">
        <v>36997.798506064115</v>
      </c>
      <c r="O33" s="153">
        <v>38601.044485009748</v>
      </c>
      <c r="P33" s="153">
        <v>39790.079620627017</v>
      </c>
      <c r="Q33" s="153">
        <v>39672.962195265289</v>
      </c>
      <c r="R33" s="153">
        <v>39588.016683798865</v>
      </c>
      <c r="S33" s="153">
        <v>40082.081789645687</v>
      </c>
      <c r="T33" s="153">
        <v>41128.553111667861</v>
      </c>
      <c r="U33" s="153">
        <v>42769.667105129949</v>
      </c>
      <c r="V33" s="153">
        <v>44200.001371567567</v>
      </c>
      <c r="W33" s="153">
        <v>44395.054309409919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363.55793916570468</v>
      </c>
      <c r="C3" s="126">
        <f t="shared" si="0"/>
        <v>364.5999506730069</v>
      </c>
      <c r="D3" s="126">
        <f t="shared" si="0"/>
        <v>373.92977813099617</v>
      </c>
      <c r="E3" s="126">
        <f t="shared" si="0"/>
        <v>387.86884777286298</v>
      </c>
      <c r="F3" s="126">
        <f t="shared" si="0"/>
        <v>402.7578843121093</v>
      </c>
      <c r="G3" s="126">
        <f t="shared" si="0"/>
        <v>408.57659805598348</v>
      </c>
      <c r="H3" s="126">
        <f t="shared" si="0"/>
        <v>444.79777839203859</v>
      </c>
      <c r="I3" s="126">
        <f t="shared" si="0"/>
        <v>452.25679861754406</v>
      </c>
      <c r="J3" s="126">
        <f t="shared" si="0"/>
        <v>420.71635774077441</v>
      </c>
      <c r="K3" s="126">
        <f t="shared" si="0"/>
        <v>405.02943266243727</v>
      </c>
      <c r="L3" s="126">
        <f t="shared" si="0"/>
        <v>414.5027214466341</v>
      </c>
      <c r="M3" s="126">
        <f t="shared" si="0"/>
        <v>392.04607365585383</v>
      </c>
      <c r="N3" s="126">
        <f t="shared" si="0"/>
        <v>414.35134660156592</v>
      </c>
      <c r="O3" s="126">
        <f t="shared" si="0"/>
        <v>386.786755732237</v>
      </c>
      <c r="P3" s="126">
        <f t="shared" si="0"/>
        <v>373.74879516064516</v>
      </c>
      <c r="Q3" s="126">
        <f t="shared" si="0"/>
        <v>359.79969689342721</v>
      </c>
      <c r="R3" s="126">
        <f t="shared" ref="R3:W3" si="1">SUM(R4,R16,R19,R29)</f>
        <v>382.18993204719635</v>
      </c>
      <c r="S3" s="126">
        <f t="shared" si="1"/>
        <v>404.42122480706672</v>
      </c>
      <c r="T3" s="126">
        <f t="shared" si="1"/>
        <v>420.07626574018497</v>
      </c>
      <c r="U3" s="126">
        <f t="shared" si="1"/>
        <v>391.23250399536295</v>
      </c>
      <c r="V3" s="126">
        <f t="shared" si="1"/>
        <v>352.68680401873138</v>
      </c>
      <c r="W3" s="126">
        <f t="shared" si="1"/>
        <v>414.81236464003655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298.9057745149899</v>
      </c>
      <c r="C4" s="131">
        <f t="shared" si="2"/>
        <v>298.05986690437794</v>
      </c>
      <c r="D4" s="131">
        <f t="shared" si="2"/>
        <v>304.33581742322656</v>
      </c>
      <c r="E4" s="131">
        <f t="shared" si="2"/>
        <v>315.14548810287482</v>
      </c>
      <c r="F4" s="131">
        <f t="shared" si="2"/>
        <v>325.69779718618787</v>
      </c>
      <c r="G4" s="131">
        <f t="shared" si="2"/>
        <v>326.52385088293505</v>
      </c>
      <c r="H4" s="131">
        <f t="shared" si="2"/>
        <v>356.22844532751725</v>
      </c>
      <c r="I4" s="131">
        <f t="shared" si="2"/>
        <v>358.03542663751927</v>
      </c>
      <c r="J4" s="131">
        <f t="shared" si="2"/>
        <v>323.13766605997142</v>
      </c>
      <c r="K4" s="131">
        <f t="shared" si="2"/>
        <v>308.12037579187523</v>
      </c>
      <c r="L4" s="131">
        <f t="shared" si="2"/>
        <v>316.83982309522037</v>
      </c>
      <c r="M4" s="131">
        <f t="shared" si="2"/>
        <v>293.78962786790595</v>
      </c>
      <c r="N4" s="131">
        <f t="shared" si="2"/>
        <v>313.96845532588713</v>
      </c>
      <c r="O4" s="131">
        <f t="shared" si="2"/>
        <v>287.71700983371494</v>
      </c>
      <c r="P4" s="131">
        <f t="shared" si="2"/>
        <v>273.9371296369975</v>
      </c>
      <c r="Q4" s="131">
        <f t="shared" si="2"/>
        <v>261.44022871450045</v>
      </c>
      <c r="R4" s="131">
        <f t="shared" ref="R4:W4" si="3">SUM(R5:R15)</f>
        <v>281.264975816066</v>
      </c>
      <c r="S4" s="131">
        <f t="shared" si="3"/>
        <v>304.96784948322181</v>
      </c>
      <c r="T4" s="131">
        <f t="shared" si="3"/>
        <v>318.87960808219077</v>
      </c>
      <c r="U4" s="131">
        <f t="shared" si="3"/>
        <v>289.78103471669124</v>
      </c>
      <c r="V4" s="131">
        <f t="shared" si="3"/>
        <v>261.43423136095998</v>
      </c>
      <c r="W4" s="131">
        <f t="shared" si="3"/>
        <v>311.53320942595968</v>
      </c>
      <c r="DA4" s="156" t="s">
        <v>213</v>
      </c>
    </row>
    <row r="5" spans="1:105" ht="12" customHeight="1" x14ac:dyDescent="0.25">
      <c r="A5" s="132" t="s">
        <v>29</v>
      </c>
      <c r="B5" s="133">
        <v>44.818400687876178</v>
      </c>
      <c r="C5" s="133">
        <v>37.033877901977633</v>
      </c>
      <c r="D5" s="133">
        <v>43.384006878761816</v>
      </c>
      <c r="E5" s="133">
        <v>43.92631126397248</v>
      </c>
      <c r="F5" s="133">
        <v>43.252364574376621</v>
      </c>
      <c r="G5" s="133">
        <v>50.701977644024069</v>
      </c>
      <c r="H5" s="133">
        <v>68.093293207222672</v>
      </c>
      <c r="I5" s="133">
        <v>51.945915735167667</v>
      </c>
      <c r="J5" s="133">
        <v>39.482717110920028</v>
      </c>
      <c r="K5" s="133">
        <v>48.6331900257954</v>
      </c>
      <c r="L5" s="133">
        <v>49.106964746345689</v>
      </c>
      <c r="M5" s="133">
        <v>58.618142734307817</v>
      </c>
      <c r="N5" s="133">
        <v>40.986930352536575</v>
      </c>
      <c r="O5" s="133">
        <v>47.942132416165087</v>
      </c>
      <c r="P5" s="133">
        <v>41.944625967325848</v>
      </c>
      <c r="Q5" s="133">
        <v>31.328460877042176</v>
      </c>
      <c r="R5" s="133">
        <v>38.243508168529644</v>
      </c>
      <c r="S5" s="133">
        <v>39.788822012037855</v>
      </c>
      <c r="T5" s="133">
        <v>41.18701633705934</v>
      </c>
      <c r="U5" s="133">
        <v>34.636113499570065</v>
      </c>
      <c r="V5" s="133">
        <v>22.883748925193515</v>
      </c>
      <c r="W5" s="133">
        <v>27.925365434221845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17.770030755932222</v>
      </c>
      <c r="C7" s="133">
        <v>12.821287144516551</v>
      </c>
      <c r="D7" s="133">
        <v>13.981719203534015</v>
      </c>
      <c r="E7" s="133">
        <v>8.9980399789862169</v>
      </c>
      <c r="F7" s="133">
        <v>9.0489469590706619</v>
      </c>
      <c r="G7" s="133">
        <v>6.2286777998208338</v>
      </c>
      <c r="H7" s="133">
        <v>5.1797117806264295</v>
      </c>
      <c r="I7" s="133">
        <v>5.2098493467269975</v>
      </c>
      <c r="J7" s="133">
        <v>8.3304365683411135</v>
      </c>
      <c r="K7" s="133">
        <v>2.4159735160835147</v>
      </c>
      <c r="L7" s="133">
        <v>3.4993713344914772</v>
      </c>
      <c r="M7" s="133">
        <v>4.6169812955462701</v>
      </c>
      <c r="N7" s="133">
        <v>2.7370072176400124</v>
      </c>
      <c r="O7" s="133">
        <v>2.7328707903451903</v>
      </c>
      <c r="P7" s="133">
        <v>3.7556308822081665</v>
      </c>
      <c r="Q7" s="133">
        <v>1.6873405714638468</v>
      </c>
      <c r="R7" s="133">
        <v>1.6912515183371564</v>
      </c>
      <c r="S7" s="133">
        <v>1.9715200596666367</v>
      </c>
      <c r="T7" s="133">
        <v>1.4777364409597351</v>
      </c>
      <c r="U7" s="133">
        <v>1.9086737379351253</v>
      </c>
      <c r="V7" s="133">
        <v>2.1666842109559492</v>
      </c>
      <c r="W7" s="133">
        <v>2.5117831472138117</v>
      </c>
      <c r="DA7" s="157" t="s">
        <v>276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277</v>
      </c>
    </row>
    <row r="9" spans="1:105" ht="12" customHeight="1" x14ac:dyDescent="0.25">
      <c r="A9" s="132" t="s">
        <v>78</v>
      </c>
      <c r="B9" s="133">
        <v>20.919893118607316</v>
      </c>
      <c r="C9" s="133">
        <v>23.056154137429029</v>
      </c>
      <c r="D9" s="133">
        <v>27.018289108835194</v>
      </c>
      <c r="E9" s="133">
        <v>28.184288856755611</v>
      </c>
      <c r="F9" s="133">
        <v>39.908319211725107</v>
      </c>
      <c r="G9" s="133">
        <v>38.012473997241344</v>
      </c>
      <c r="H9" s="133">
        <v>40.355173845806647</v>
      </c>
      <c r="I9" s="133">
        <v>53.815055150223664</v>
      </c>
      <c r="J9" s="133">
        <v>48.947551133457331</v>
      </c>
      <c r="K9" s="133">
        <v>43.213033195156925</v>
      </c>
      <c r="L9" s="133">
        <v>49.028722611233199</v>
      </c>
      <c r="M9" s="133">
        <v>43.598412829444896</v>
      </c>
      <c r="N9" s="133">
        <v>48.332745367052595</v>
      </c>
      <c r="O9" s="133">
        <v>50.402535196714297</v>
      </c>
      <c r="P9" s="133">
        <v>44.799244553392164</v>
      </c>
      <c r="Q9" s="133">
        <v>50.92480694129884</v>
      </c>
      <c r="R9" s="133">
        <v>54.621522683675408</v>
      </c>
      <c r="S9" s="133">
        <v>58.421961234141357</v>
      </c>
      <c r="T9" s="133">
        <v>62.15611690598508</v>
      </c>
      <c r="U9" s="133">
        <v>64.834333618479988</v>
      </c>
      <c r="V9" s="133">
        <v>63.005599151696821</v>
      </c>
      <c r="W9" s="133">
        <v>66.713612944917216</v>
      </c>
      <c r="DA9" s="157" t="s">
        <v>278</v>
      </c>
    </row>
    <row r="10" spans="1:105" ht="12" customHeight="1" x14ac:dyDescent="0.25">
      <c r="A10" s="132" t="s">
        <v>128</v>
      </c>
      <c r="B10" s="133">
        <v>38.641719690455702</v>
      </c>
      <c r="C10" s="133">
        <v>37.91750382104928</v>
      </c>
      <c r="D10" s="133">
        <v>37.137213467673448</v>
      </c>
      <c r="E10" s="133">
        <v>31.618265910096966</v>
      </c>
      <c r="F10" s="133">
        <v>29.021639528737513</v>
      </c>
      <c r="G10" s="133">
        <v>28.511517902936301</v>
      </c>
      <c r="H10" s="133">
        <v>27.849901159292191</v>
      </c>
      <c r="I10" s="133">
        <v>26.329297301759258</v>
      </c>
      <c r="J10" s="133">
        <v>27.100286510398693</v>
      </c>
      <c r="K10" s="133">
        <v>26.55705627267449</v>
      </c>
      <c r="L10" s="133">
        <v>26.44235776278456</v>
      </c>
      <c r="M10" s="133">
        <v>28.901724982010453</v>
      </c>
      <c r="N10" s="133">
        <v>30.599250322782382</v>
      </c>
      <c r="O10" s="133">
        <v>32.377820892427017</v>
      </c>
      <c r="P10" s="133">
        <v>30.886973666430318</v>
      </c>
      <c r="Q10" s="133">
        <v>30.043670653453201</v>
      </c>
      <c r="R10" s="133">
        <v>31.105562529220048</v>
      </c>
      <c r="S10" s="133">
        <v>27.27151065151941</v>
      </c>
      <c r="T10" s="133">
        <v>28.078125895903153</v>
      </c>
      <c r="U10" s="133">
        <v>27.069868990643823</v>
      </c>
      <c r="V10" s="133">
        <v>29.225865987481949</v>
      </c>
      <c r="W10" s="133">
        <v>28.25194071842359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280</v>
      </c>
    </row>
    <row r="12" spans="1:105" ht="12" customHeight="1" x14ac:dyDescent="0.25">
      <c r="A12" s="132" t="s">
        <v>169</v>
      </c>
      <c r="B12" s="133">
        <v>152.9152638563271</v>
      </c>
      <c r="C12" s="133">
        <v>161.79131171538074</v>
      </c>
      <c r="D12" s="133">
        <v>158.70175546784219</v>
      </c>
      <c r="E12" s="133">
        <v>168.6784757398344</v>
      </c>
      <c r="F12" s="133">
        <v>170.08784106172132</v>
      </c>
      <c r="G12" s="133">
        <v>169.3974681160941</v>
      </c>
      <c r="H12" s="133">
        <v>181.17214026469503</v>
      </c>
      <c r="I12" s="133">
        <v>188.08692159547962</v>
      </c>
      <c r="J12" s="133">
        <v>154.85961641894812</v>
      </c>
      <c r="K12" s="133">
        <v>166.12242304354038</v>
      </c>
      <c r="L12" s="133">
        <v>177.55217885419452</v>
      </c>
      <c r="M12" s="133">
        <v>142.29499375095165</v>
      </c>
      <c r="N12" s="133">
        <v>170.45011179605015</v>
      </c>
      <c r="O12" s="133">
        <v>140.34199024816297</v>
      </c>
      <c r="P12" s="133">
        <v>138.13289318840683</v>
      </c>
      <c r="Q12" s="133">
        <v>140.2371570740365</v>
      </c>
      <c r="R12" s="133">
        <v>138.94426404751823</v>
      </c>
      <c r="S12" s="133">
        <v>166.40738289973157</v>
      </c>
      <c r="T12" s="133">
        <v>167.04545137093865</v>
      </c>
      <c r="U12" s="133">
        <v>141.66972064922837</v>
      </c>
      <c r="V12" s="133">
        <v>129.26766987240643</v>
      </c>
      <c r="W12" s="133">
        <v>165.78637444440017</v>
      </c>
      <c r="DA12" s="157" t="s">
        <v>281</v>
      </c>
    </row>
    <row r="13" spans="1:105" ht="12" customHeight="1" x14ac:dyDescent="0.25">
      <c r="A13" s="132" t="s">
        <v>77</v>
      </c>
      <c r="B13" s="133">
        <v>6.3935650817677128E-3</v>
      </c>
      <c r="C13" s="133">
        <v>1.0398373835523601E-2</v>
      </c>
      <c r="D13" s="133">
        <v>1.4587030868300203E-2</v>
      </c>
      <c r="E13" s="133">
        <v>2.8252861810016339E-2</v>
      </c>
      <c r="F13" s="133">
        <v>3.7211191524268966E-2</v>
      </c>
      <c r="G13" s="133">
        <v>5.0660654628824631E-2</v>
      </c>
      <c r="H13" s="133">
        <v>6.0958135674794009E-2</v>
      </c>
      <c r="I13" s="133">
        <v>7.1450736689597033E-2</v>
      </c>
      <c r="J13" s="133">
        <v>0.11726193895188811</v>
      </c>
      <c r="K13" s="133">
        <v>0.12385847477319409</v>
      </c>
      <c r="L13" s="133">
        <v>0.13029502640115617</v>
      </c>
      <c r="M13" s="133">
        <v>0.22304154176826141</v>
      </c>
      <c r="N13" s="133">
        <v>0.32371738701587721</v>
      </c>
      <c r="O13" s="133">
        <v>0.42513805897304346</v>
      </c>
      <c r="P13" s="133">
        <v>0.65543528308317156</v>
      </c>
      <c r="Q13" s="133">
        <v>0.70464007106332338</v>
      </c>
      <c r="R13" s="133">
        <v>0.74345666776665864</v>
      </c>
      <c r="S13" s="133">
        <v>0.76532214789371678</v>
      </c>
      <c r="T13" s="133">
        <v>0.79771111564766439</v>
      </c>
      <c r="U13" s="133">
        <v>0.79227414957185771</v>
      </c>
      <c r="V13" s="133">
        <v>0.75950932961854078</v>
      </c>
      <c r="W13" s="133">
        <v>1.5225516072274761</v>
      </c>
      <c r="DA13" s="157" t="s">
        <v>282</v>
      </c>
    </row>
    <row r="14" spans="1:105" ht="12" customHeight="1" x14ac:dyDescent="0.25">
      <c r="A14" s="60" t="s">
        <v>76</v>
      </c>
      <c r="B14" s="65">
        <v>22.553870764356226</v>
      </c>
      <c r="C14" s="65">
        <v>24.1932656023208</v>
      </c>
      <c r="D14" s="65">
        <v>22.807620568580571</v>
      </c>
      <c r="E14" s="65">
        <v>32.444371978552937</v>
      </c>
      <c r="F14" s="65">
        <v>32.975208977893807</v>
      </c>
      <c r="G14" s="65">
        <v>32.269092888766842</v>
      </c>
      <c r="H14" s="65">
        <v>32.033813806122893</v>
      </c>
      <c r="I14" s="65">
        <v>31.028648143482492</v>
      </c>
      <c r="J14" s="65">
        <v>42.946562673465074</v>
      </c>
      <c r="K14" s="65">
        <v>19.727560535693435</v>
      </c>
      <c r="L14" s="65">
        <v>9.6509275344487495</v>
      </c>
      <c r="M14" s="65">
        <v>14.20473020895383</v>
      </c>
      <c r="N14" s="65">
        <v>19.166420818046923</v>
      </c>
      <c r="O14" s="65">
        <v>12.149558022834299</v>
      </c>
      <c r="P14" s="65">
        <v>12.509762584938489</v>
      </c>
      <c r="Q14" s="65">
        <v>5.2674508214690903</v>
      </c>
      <c r="R14" s="65">
        <v>14.59309658635444</v>
      </c>
      <c r="S14" s="65">
        <v>8.8907346969989494</v>
      </c>
      <c r="T14" s="65">
        <v>16.628424344206238</v>
      </c>
      <c r="U14" s="65">
        <v>17.433296305278827</v>
      </c>
      <c r="V14" s="65">
        <v>12.783264908995609</v>
      </c>
      <c r="W14" s="65">
        <v>17.287841464187231</v>
      </c>
      <c r="DA14" s="109" t="s">
        <v>283</v>
      </c>
    </row>
    <row r="15" spans="1:105" ht="12" customHeight="1" x14ac:dyDescent="0.25">
      <c r="A15" s="134" t="s">
        <v>80</v>
      </c>
      <c r="B15" s="135">
        <v>1.2802020763532884</v>
      </c>
      <c r="C15" s="135">
        <v>1.2360682078683773</v>
      </c>
      <c r="D15" s="135">
        <v>1.2906256971310466</v>
      </c>
      <c r="E15" s="135">
        <v>1.2674815128661572</v>
      </c>
      <c r="F15" s="135">
        <v>1.3662656811385876</v>
      </c>
      <c r="G15" s="135">
        <v>1.3519818794226723</v>
      </c>
      <c r="H15" s="135">
        <v>1.4834531280765071</v>
      </c>
      <c r="I15" s="135">
        <v>1.5482886279899599</v>
      </c>
      <c r="J15" s="135">
        <v>1.3532337054891652</v>
      </c>
      <c r="K15" s="135">
        <v>1.3272807281578383</v>
      </c>
      <c r="L15" s="135">
        <v>1.4290052253210104</v>
      </c>
      <c r="M15" s="135">
        <v>1.3316005249227478</v>
      </c>
      <c r="N15" s="135">
        <v>1.3722720647626536</v>
      </c>
      <c r="O15" s="135">
        <v>1.344964208093</v>
      </c>
      <c r="P15" s="135">
        <v>1.252563511212553</v>
      </c>
      <c r="Q15" s="135">
        <v>1.2467017046734603</v>
      </c>
      <c r="R15" s="135">
        <v>1.3223136146644032</v>
      </c>
      <c r="S15" s="135">
        <v>1.4505957812323249</v>
      </c>
      <c r="T15" s="135">
        <v>1.5090256714909391</v>
      </c>
      <c r="U15" s="135">
        <v>1.4367537659831686</v>
      </c>
      <c r="V15" s="135">
        <v>1.3418889746112197</v>
      </c>
      <c r="W15" s="135">
        <v>1.5337396653683519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1.165352807056919</v>
      </c>
      <c r="C16" s="131">
        <f t="shared" si="4"/>
        <v>1.2864017697449364</v>
      </c>
      <c r="D16" s="131">
        <f t="shared" si="4"/>
        <v>1.4689840106473053</v>
      </c>
      <c r="E16" s="131">
        <f t="shared" si="4"/>
        <v>1.3959410967031012</v>
      </c>
      <c r="F16" s="131">
        <f t="shared" si="4"/>
        <v>1.4727327197045095</v>
      </c>
      <c r="G16" s="131">
        <f t="shared" si="4"/>
        <v>1.5635673526712102</v>
      </c>
      <c r="H16" s="131">
        <f t="shared" si="4"/>
        <v>1.8294184108207201</v>
      </c>
      <c r="I16" s="131">
        <f t="shared" si="4"/>
        <v>1.7999062238712262</v>
      </c>
      <c r="J16" s="131">
        <f t="shared" si="4"/>
        <v>1.8533571742791057</v>
      </c>
      <c r="K16" s="131">
        <f t="shared" si="4"/>
        <v>1.9351536367622304</v>
      </c>
      <c r="L16" s="131">
        <f t="shared" si="4"/>
        <v>2.5037095666596443</v>
      </c>
      <c r="M16" s="131">
        <f t="shared" si="4"/>
        <v>2.0127903021893601</v>
      </c>
      <c r="N16" s="131">
        <f t="shared" si="4"/>
        <v>2.2016188063932534</v>
      </c>
      <c r="O16" s="131">
        <f t="shared" si="4"/>
        <v>2.0526801983271628</v>
      </c>
      <c r="P16" s="131">
        <f t="shared" si="4"/>
        <v>2.2837077169581774</v>
      </c>
      <c r="Q16" s="131">
        <f t="shared" si="4"/>
        <v>2.2122459795852891</v>
      </c>
      <c r="R16" s="131">
        <f t="shared" ref="R16:W16" si="5">SUM(R17:R18)</f>
        <v>2.1080720029282061</v>
      </c>
      <c r="S16" s="131">
        <f t="shared" si="5"/>
        <v>2.0847476169896599</v>
      </c>
      <c r="T16" s="131">
        <f t="shared" si="5"/>
        <v>2.2331340543239793</v>
      </c>
      <c r="U16" s="131">
        <f t="shared" si="5"/>
        <v>2.2013002146273446</v>
      </c>
      <c r="V16" s="131">
        <f t="shared" si="5"/>
        <v>2.1547339253933089</v>
      </c>
      <c r="W16" s="131">
        <f t="shared" si="5"/>
        <v>2.5695617025079667</v>
      </c>
      <c r="DA16" s="156" t="s">
        <v>214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285</v>
      </c>
    </row>
    <row r="18" spans="1:105" ht="12" customHeight="1" x14ac:dyDescent="0.25">
      <c r="A18" s="132" t="s">
        <v>72</v>
      </c>
      <c r="B18" s="133">
        <v>1.165352807056919</v>
      </c>
      <c r="C18" s="133">
        <v>1.2864017697449364</v>
      </c>
      <c r="D18" s="133">
        <v>1.4689840106473053</v>
      </c>
      <c r="E18" s="133">
        <v>1.3959410967031012</v>
      </c>
      <c r="F18" s="133">
        <v>1.4727327197045095</v>
      </c>
      <c r="G18" s="133">
        <v>1.5635673526712102</v>
      </c>
      <c r="H18" s="133">
        <v>1.8294184108207201</v>
      </c>
      <c r="I18" s="133">
        <v>1.7999062238712262</v>
      </c>
      <c r="J18" s="133">
        <v>1.8533571742791057</v>
      </c>
      <c r="K18" s="133">
        <v>1.9351536367622304</v>
      </c>
      <c r="L18" s="133">
        <v>2.5037095666596443</v>
      </c>
      <c r="M18" s="133">
        <v>2.0127903021893601</v>
      </c>
      <c r="N18" s="133">
        <v>2.2016188063932534</v>
      </c>
      <c r="O18" s="133">
        <v>2.0526801983271628</v>
      </c>
      <c r="P18" s="133">
        <v>2.2837077169581774</v>
      </c>
      <c r="Q18" s="133">
        <v>2.2122459795852891</v>
      </c>
      <c r="R18" s="133">
        <v>2.1080720029282061</v>
      </c>
      <c r="S18" s="133">
        <v>2.0847476169896599</v>
      </c>
      <c r="T18" s="133">
        <v>2.2331340543239793</v>
      </c>
      <c r="U18" s="133">
        <v>2.2013002146273446</v>
      </c>
      <c r="V18" s="133">
        <v>2.1547339253933089</v>
      </c>
      <c r="W18" s="133">
        <v>2.5695617025079667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31.374172360243804</v>
      </c>
      <c r="C19" s="131">
        <f t="shared" si="6"/>
        <v>32.535268998680742</v>
      </c>
      <c r="D19" s="131">
        <f t="shared" si="6"/>
        <v>33.960272048701093</v>
      </c>
      <c r="E19" s="131">
        <f t="shared" si="6"/>
        <v>35.773391706117252</v>
      </c>
      <c r="F19" s="131">
        <f t="shared" si="6"/>
        <v>38.898523071469512</v>
      </c>
      <c r="G19" s="131">
        <f t="shared" si="6"/>
        <v>41.763392934548236</v>
      </c>
      <c r="H19" s="131">
        <f t="shared" si="6"/>
        <v>44.839947841319052</v>
      </c>
      <c r="I19" s="131">
        <f t="shared" si="6"/>
        <v>47.76845317289596</v>
      </c>
      <c r="J19" s="131">
        <f t="shared" si="6"/>
        <v>50.277844817456312</v>
      </c>
      <c r="K19" s="131">
        <f t="shared" si="6"/>
        <v>50.311108356515177</v>
      </c>
      <c r="L19" s="131">
        <f t="shared" si="6"/>
        <v>51.231688227401229</v>
      </c>
      <c r="M19" s="131">
        <f t="shared" si="6"/>
        <v>52.458451283220526</v>
      </c>
      <c r="N19" s="131">
        <f t="shared" si="6"/>
        <v>53.380781462802247</v>
      </c>
      <c r="O19" s="131">
        <f t="shared" si="6"/>
        <v>54.084089316744844</v>
      </c>
      <c r="P19" s="131">
        <f t="shared" si="6"/>
        <v>54.750186964866785</v>
      </c>
      <c r="Q19" s="131">
        <f t="shared" si="6"/>
        <v>55.273059319551855</v>
      </c>
      <c r="R19" s="131">
        <f t="shared" ref="R19:W19" si="7">SUM(R20:R27)</f>
        <v>56.073522390442726</v>
      </c>
      <c r="S19" s="131">
        <f t="shared" si="7"/>
        <v>56.352219294060291</v>
      </c>
      <c r="T19" s="131">
        <f t="shared" si="7"/>
        <v>56.029508184126882</v>
      </c>
      <c r="U19" s="131">
        <f t="shared" si="7"/>
        <v>55.549751840580271</v>
      </c>
      <c r="V19" s="131">
        <f t="shared" si="7"/>
        <v>48.772156854454593</v>
      </c>
      <c r="W19" s="131">
        <f t="shared" si="7"/>
        <v>54.261987735761416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288</v>
      </c>
    </row>
    <row r="22" spans="1:105" ht="12" customHeight="1" x14ac:dyDescent="0.25">
      <c r="A22" s="132" t="s">
        <v>168</v>
      </c>
      <c r="B22" s="133">
        <v>2.1217147298803298</v>
      </c>
      <c r="C22" s="133">
        <v>1.2393319440475066</v>
      </c>
      <c r="D22" s="133">
        <v>1.1634226709285795</v>
      </c>
      <c r="E22" s="133">
        <v>0.91330997802152103</v>
      </c>
      <c r="F22" s="133">
        <v>1.0941312868450719</v>
      </c>
      <c r="G22" s="133">
        <v>0.8849077547793367</v>
      </c>
      <c r="H22" s="133">
        <v>0.91203370518612414</v>
      </c>
      <c r="I22" s="133">
        <v>0.82084712790756975</v>
      </c>
      <c r="J22" s="133">
        <v>0.82743101549379661</v>
      </c>
      <c r="K22" s="133">
        <v>0.59829991469894483</v>
      </c>
      <c r="L22" s="133">
        <v>0.53665618055581532</v>
      </c>
      <c r="M22" s="133">
        <v>0.44776505011151474</v>
      </c>
      <c r="N22" s="133">
        <v>0.34914927419145964</v>
      </c>
      <c r="O22" s="133">
        <v>0.35328570148628091</v>
      </c>
      <c r="P22" s="133">
        <v>0.35924444023379282</v>
      </c>
      <c r="Q22" s="133">
        <v>0.36003690059118393</v>
      </c>
      <c r="R22" s="133">
        <v>0.35612595371787431</v>
      </c>
      <c r="S22" s="133">
        <v>0.40001906329123016</v>
      </c>
      <c r="T22" s="133">
        <v>0.28933148681326537</v>
      </c>
      <c r="U22" s="133">
        <v>0.36647673497974964</v>
      </c>
      <c r="V22" s="133">
        <v>0.41766660589701626</v>
      </c>
      <c r="W22" s="133">
        <v>0.48348770403296182</v>
      </c>
      <c r="DA22" s="157" t="s">
        <v>289</v>
      </c>
    </row>
    <row r="23" spans="1:105" ht="12" customHeight="1" x14ac:dyDescent="0.25">
      <c r="A23" s="132" t="s">
        <v>153</v>
      </c>
      <c r="B23" s="133">
        <v>1.5921387984178323</v>
      </c>
      <c r="C23" s="133">
        <v>1.6569257277715597</v>
      </c>
      <c r="D23" s="133">
        <v>1.8299009075685169</v>
      </c>
      <c r="E23" s="133">
        <v>1.9065624712417755</v>
      </c>
      <c r="F23" s="133">
        <v>2.3716618983443678</v>
      </c>
      <c r="G23" s="133">
        <v>2.4659589033190383</v>
      </c>
      <c r="H23" s="133">
        <v>2.9148998511564006</v>
      </c>
      <c r="I23" s="133">
        <v>4.3644940876234415</v>
      </c>
      <c r="J23" s="133">
        <v>4.9410778628660559</v>
      </c>
      <c r="K23" s="133">
        <v>4.9360991019832063</v>
      </c>
      <c r="L23" s="133">
        <v>4.9923724753602921</v>
      </c>
      <c r="M23" s="133">
        <v>5.1071841548843162</v>
      </c>
      <c r="N23" s="133">
        <v>5.1012818192927103</v>
      </c>
      <c r="O23" s="133">
        <v>5.187510939869191</v>
      </c>
      <c r="P23" s="133">
        <v>4.8915233955202018</v>
      </c>
      <c r="Q23" s="133">
        <v>5.2850760340191529</v>
      </c>
      <c r="R23" s="133">
        <v>5.6375301131576547</v>
      </c>
      <c r="S23" s="133">
        <v>5.6273903525287983</v>
      </c>
      <c r="T23" s="133">
        <v>5.8502592878611415</v>
      </c>
      <c r="U23" s="133">
        <v>5.9695574152737647</v>
      </c>
      <c r="V23" s="133">
        <v>6.0308610736284951</v>
      </c>
      <c r="W23" s="133">
        <v>6.3007517461688538</v>
      </c>
      <c r="DA23" s="157" t="s">
        <v>290</v>
      </c>
    </row>
    <row r="24" spans="1:105" ht="12" customHeight="1" x14ac:dyDescent="0.25">
      <c r="A24" s="132" t="s">
        <v>128</v>
      </c>
      <c r="B24" s="133">
        <v>2.0337747205503023</v>
      </c>
      <c r="C24" s="133">
        <v>1.754809162613671</v>
      </c>
      <c r="D24" s="133">
        <v>1.7946867902801182</v>
      </c>
      <c r="E24" s="133">
        <v>1.8678905817345162</v>
      </c>
      <c r="F24" s="133">
        <v>1.9327886741859668</v>
      </c>
      <c r="G24" s="133">
        <v>2.0129876860576763</v>
      </c>
      <c r="H24" s="133">
        <v>2.149153010957165</v>
      </c>
      <c r="I24" s="133">
        <v>2.069498914921732</v>
      </c>
      <c r="J24" s="133">
        <v>2.1105475394723205</v>
      </c>
      <c r="K24" s="133">
        <v>2.1044226611174359</v>
      </c>
      <c r="L24" s="133">
        <v>2.123592366192224</v>
      </c>
      <c r="M24" s="133">
        <v>2.1721357230626261</v>
      </c>
      <c r="N24" s="133">
        <v>2.1703971406742144</v>
      </c>
      <c r="O24" s="133">
        <v>2.2070458315626742</v>
      </c>
      <c r="P24" s="133">
        <v>2.2409713034750816</v>
      </c>
      <c r="Q24" s="133">
        <v>2.2483327859277078</v>
      </c>
      <c r="R24" s="133">
        <v>2.1179112455005411</v>
      </c>
      <c r="S24" s="133">
        <v>1.7960731833902384</v>
      </c>
      <c r="T24" s="133">
        <v>1.8014957721965787</v>
      </c>
      <c r="U24" s="133">
        <v>1.663321035151496</v>
      </c>
      <c r="V24" s="133">
        <v>1.7285622154415108</v>
      </c>
      <c r="W24" s="133">
        <v>1.6754883443450783</v>
      </c>
      <c r="DA24" s="157" t="s">
        <v>291</v>
      </c>
    </row>
    <row r="25" spans="1:105" ht="12" customHeight="1" x14ac:dyDescent="0.25">
      <c r="A25" s="132" t="s">
        <v>169</v>
      </c>
      <c r="B25" s="133">
        <v>15.065045687954891</v>
      </c>
      <c r="C25" s="133">
        <v>15.933881749795551</v>
      </c>
      <c r="D25" s="133">
        <v>16.228941006792308</v>
      </c>
      <c r="E25" s="133">
        <v>17.621352291119983</v>
      </c>
      <c r="F25" s="133">
        <v>19.484127983850453</v>
      </c>
      <c r="G25" s="133">
        <v>21.46426877126612</v>
      </c>
      <c r="H25" s="133">
        <v>23.160533853963525</v>
      </c>
      <c r="I25" s="133">
        <v>22.814024234270935</v>
      </c>
      <c r="J25" s="133">
        <v>24.059816083201515</v>
      </c>
      <c r="K25" s="133">
        <v>26.148514187757922</v>
      </c>
      <c r="L25" s="133">
        <v>27.783676691807283</v>
      </c>
      <c r="M25" s="133">
        <v>28.33647658438802</v>
      </c>
      <c r="N25" s="133">
        <v>29.129509872049528</v>
      </c>
      <c r="O25" s="133">
        <v>30.791113793109641</v>
      </c>
      <c r="P25" s="133">
        <v>31.447674309443617</v>
      </c>
      <c r="Q25" s="133">
        <v>34.072559177038364</v>
      </c>
      <c r="R25" s="133">
        <v>34.768375677331413</v>
      </c>
      <c r="S25" s="133">
        <v>35.751774451945209</v>
      </c>
      <c r="T25" s="133">
        <v>34.564350864658955</v>
      </c>
      <c r="U25" s="133">
        <v>33.452119419559224</v>
      </c>
      <c r="V25" s="133">
        <v>28.561736834386409</v>
      </c>
      <c r="W25" s="133">
        <v>31.715259261532733</v>
      </c>
      <c r="DA25" s="157" t="s">
        <v>292</v>
      </c>
    </row>
    <row r="26" spans="1:105" ht="12" customHeight="1" x14ac:dyDescent="0.25">
      <c r="A26" s="132" t="s">
        <v>24</v>
      </c>
      <c r="B26" s="65">
        <v>10.561498423440446</v>
      </c>
      <c r="C26" s="65">
        <v>11.950320414452454</v>
      </c>
      <c r="D26" s="65">
        <v>12.94332067313157</v>
      </c>
      <c r="E26" s="65">
        <v>13.464276383999454</v>
      </c>
      <c r="F26" s="65">
        <v>14.015813228243649</v>
      </c>
      <c r="G26" s="65">
        <v>14.935269819126059</v>
      </c>
      <c r="H26" s="65">
        <v>15.703327420055833</v>
      </c>
      <c r="I26" s="65">
        <v>17.69958880817228</v>
      </c>
      <c r="J26" s="65">
        <v>18.338972316422627</v>
      </c>
      <c r="K26" s="65">
        <v>16.523772490957668</v>
      </c>
      <c r="L26" s="65">
        <v>15.795390513485616</v>
      </c>
      <c r="M26" s="65">
        <v>16.394889770774046</v>
      </c>
      <c r="N26" s="65">
        <v>16.630443356594334</v>
      </c>
      <c r="O26" s="65">
        <v>15.545133050717055</v>
      </c>
      <c r="P26" s="65">
        <v>15.810773516194088</v>
      </c>
      <c r="Q26" s="65">
        <v>13.307054421975442</v>
      </c>
      <c r="R26" s="65">
        <v>13.193579400735238</v>
      </c>
      <c r="S26" s="65">
        <v>12.776962242904816</v>
      </c>
      <c r="T26" s="65">
        <v>13.524070772596939</v>
      </c>
      <c r="U26" s="65">
        <v>14.098277235616035</v>
      </c>
      <c r="V26" s="65">
        <v>12.033330125101161</v>
      </c>
      <c r="W26" s="65">
        <v>14.087000679681784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32.112639483414036</v>
      </c>
      <c r="C29" s="131">
        <f t="shared" si="8"/>
        <v>32.718413000203284</v>
      </c>
      <c r="D29" s="131">
        <f t="shared" si="8"/>
        <v>34.164704648421207</v>
      </c>
      <c r="E29" s="131">
        <f t="shared" si="8"/>
        <v>35.554026867167792</v>
      </c>
      <c r="F29" s="131">
        <f t="shared" si="8"/>
        <v>36.688831334747427</v>
      </c>
      <c r="G29" s="131">
        <f t="shared" si="8"/>
        <v>38.725786885828967</v>
      </c>
      <c r="H29" s="131">
        <f t="shared" si="8"/>
        <v>41.899966812381592</v>
      </c>
      <c r="I29" s="131">
        <f t="shared" si="8"/>
        <v>44.653012583257599</v>
      </c>
      <c r="J29" s="131">
        <f t="shared" si="8"/>
        <v>45.447489689067595</v>
      </c>
      <c r="K29" s="131">
        <f t="shared" si="8"/>
        <v>44.662794877284632</v>
      </c>
      <c r="L29" s="131">
        <f t="shared" si="8"/>
        <v>43.927500557352857</v>
      </c>
      <c r="M29" s="131">
        <f t="shared" si="8"/>
        <v>43.78520420253794</v>
      </c>
      <c r="N29" s="131">
        <f t="shared" si="8"/>
        <v>44.800491006483291</v>
      </c>
      <c r="O29" s="131">
        <f t="shared" si="8"/>
        <v>42.932976383450054</v>
      </c>
      <c r="P29" s="131">
        <f t="shared" si="8"/>
        <v>42.777770841822679</v>
      </c>
      <c r="Q29" s="131">
        <f t="shared" si="8"/>
        <v>40.874162879789608</v>
      </c>
      <c r="R29" s="131">
        <f t="shared" ref="R29:W29" si="9">SUM(R30:R33)</f>
        <v>42.743361837759394</v>
      </c>
      <c r="S29" s="131">
        <f t="shared" si="9"/>
        <v>41.016408412794988</v>
      </c>
      <c r="T29" s="131">
        <f t="shared" si="9"/>
        <v>42.93401541954335</v>
      </c>
      <c r="U29" s="131">
        <f t="shared" si="9"/>
        <v>43.700417223464093</v>
      </c>
      <c r="V29" s="131">
        <f t="shared" si="9"/>
        <v>40.325681877923486</v>
      </c>
      <c r="W29" s="131">
        <f t="shared" si="9"/>
        <v>46.447605775807496</v>
      </c>
      <c r="DA29" s="156" t="s">
        <v>216</v>
      </c>
    </row>
    <row r="30" spans="1:105" ht="12" customHeight="1" x14ac:dyDescent="0.25">
      <c r="A30" s="132" t="s">
        <v>52</v>
      </c>
      <c r="B30" s="133">
        <v>0</v>
      </c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295</v>
      </c>
    </row>
    <row r="31" spans="1:105" ht="12" customHeight="1" x14ac:dyDescent="0.25">
      <c r="A31" s="132" t="s">
        <v>153</v>
      </c>
      <c r="B31" s="133">
        <v>8.5928692007736416</v>
      </c>
      <c r="C31" s="133">
        <v>9.2078143738363742</v>
      </c>
      <c r="D31" s="133">
        <v>10.441921763475902</v>
      </c>
      <c r="E31" s="133">
        <v>10.844918233481554</v>
      </c>
      <c r="F31" s="133">
        <v>9.9436646336966472</v>
      </c>
      <c r="G31" s="133">
        <v>10.651317744323535</v>
      </c>
      <c r="H31" s="133">
        <v>11.177217790569189</v>
      </c>
      <c r="I31" s="133">
        <v>14.527501493021338</v>
      </c>
      <c r="J31" s="133">
        <v>15.562961717348154</v>
      </c>
      <c r="K31" s="133">
        <v>15.238141993487558</v>
      </c>
      <c r="L31" s="133">
        <v>14.052335695865668</v>
      </c>
      <c r="M31" s="133">
        <v>13.375228467089546</v>
      </c>
      <c r="N31" s="133">
        <v>11.715929821393308</v>
      </c>
      <c r="O31" s="133">
        <v>9.7103837860304658</v>
      </c>
      <c r="P31" s="133">
        <v>8.66641175874026</v>
      </c>
      <c r="Q31" s="133">
        <v>9.8525417882245865</v>
      </c>
      <c r="R31" s="133">
        <v>10.472761476597741</v>
      </c>
      <c r="S31" s="133">
        <v>9.5805710272593156</v>
      </c>
      <c r="T31" s="133">
        <v>9.9500296531013497</v>
      </c>
      <c r="U31" s="133">
        <v>6.4713454236839505</v>
      </c>
      <c r="V31" s="133">
        <v>4.9668071865405112</v>
      </c>
      <c r="W31" s="133">
        <v>5.2051537955863356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0.65081685296646596</v>
      </c>
      <c r="H32" s="133">
        <v>0.65081685296646596</v>
      </c>
      <c r="I32" s="133">
        <v>0.65081685296646596</v>
      </c>
      <c r="J32" s="133">
        <v>1.4712811693895105</v>
      </c>
      <c r="K32" s="133">
        <v>0.73568357695614783</v>
      </c>
      <c r="L32" s="133">
        <v>1.4712811693895105</v>
      </c>
      <c r="M32" s="133">
        <v>1.4712811693895103</v>
      </c>
      <c r="N32" s="133">
        <v>0.73568357695614783</v>
      </c>
      <c r="O32" s="133">
        <v>0.73568357695614806</v>
      </c>
      <c r="P32" s="133">
        <v>0.73568357695614761</v>
      </c>
      <c r="Q32" s="133">
        <v>1.4712811693895094</v>
      </c>
      <c r="R32" s="133">
        <v>1.4712811693895107</v>
      </c>
      <c r="S32" s="133">
        <v>1.6920034393809111</v>
      </c>
      <c r="T32" s="133">
        <v>1.9126397248495264</v>
      </c>
      <c r="U32" s="133">
        <v>2.5747205503009458</v>
      </c>
      <c r="V32" s="133">
        <v>2.574720550300944</v>
      </c>
      <c r="W32" s="133">
        <v>3.8253654342218426</v>
      </c>
      <c r="DA32" s="157" t="s">
        <v>297</v>
      </c>
    </row>
    <row r="33" spans="1:105" ht="12" customHeight="1" x14ac:dyDescent="0.25">
      <c r="A33" s="62" t="s">
        <v>24</v>
      </c>
      <c r="B33" s="68">
        <v>23.519770282640394</v>
      </c>
      <c r="C33" s="68">
        <v>23.510598626366914</v>
      </c>
      <c r="D33" s="68">
        <v>23.722782884945303</v>
      </c>
      <c r="E33" s="68">
        <v>24.709108633686242</v>
      </c>
      <c r="F33" s="68">
        <v>26.745166701050778</v>
      </c>
      <c r="G33" s="68">
        <v>27.423652288538968</v>
      </c>
      <c r="H33" s="68">
        <v>30.071932168845937</v>
      </c>
      <c r="I33" s="68">
        <v>29.474694237269794</v>
      </c>
      <c r="J33" s="68">
        <v>28.413246802329933</v>
      </c>
      <c r="K33" s="68">
        <v>28.688969306840924</v>
      </c>
      <c r="L33" s="68">
        <v>28.403883692097683</v>
      </c>
      <c r="M33" s="68">
        <v>28.938694566058885</v>
      </c>
      <c r="N33" s="68">
        <v>32.348877608133833</v>
      </c>
      <c r="O33" s="68">
        <v>32.486909020463436</v>
      </c>
      <c r="P33" s="68">
        <v>33.375675506126271</v>
      </c>
      <c r="Q33" s="68">
        <v>29.550339922175514</v>
      </c>
      <c r="R33" s="68">
        <v>30.799319191772142</v>
      </c>
      <c r="S33" s="68">
        <v>29.743833946154759</v>
      </c>
      <c r="T33" s="68">
        <v>31.071346041592474</v>
      </c>
      <c r="U33" s="68">
        <v>34.654351249479198</v>
      </c>
      <c r="V33" s="68">
        <v>32.784154141082034</v>
      </c>
      <c r="W33" s="68">
        <v>37.417086545999318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225.93312506098314</v>
      </c>
      <c r="C3" s="126">
        <f t="shared" si="0"/>
        <v>231.33358585375964</v>
      </c>
      <c r="D3" s="126">
        <f t="shared" si="0"/>
        <v>237.57270858566608</v>
      </c>
      <c r="E3" s="126">
        <f t="shared" si="0"/>
        <v>251.76068997439245</v>
      </c>
      <c r="F3" s="126">
        <f t="shared" si="0"/>
        <v>263.31970271939372</v>
      </c>
      <c r="G3" s="126">
        <f t="shared" si="0"/>
        <v>269.70784242258259</v>
      </c>
      <c r="H3" s="126">
        <f t="shared" si="0"/>
        <v>295.70545151362069</v>
      </c>
      <c r="I3" s="126">
        <f t="shared" si="0"/>
        <v>303.94211724707867</v>
      </c>
      <c r="J3" s="126">
        <f t="shared" si="0"/>
        <v>283.41870499904394</v>
      </c>
      <c r="K3" s="126">
        <f t="shared" si="0"/>
        <v>277.22395220340542</v>
      </c>
      <c r="L3" s="126">
        <f t="shared" si="0"/>
        <v>287.32095555691546</v>
      </c>
      <c r="M3" s="126">
        <f t="shared" si="0"/>
        <v>269.6074814471981</v>
      </c>
      <c r="N3" s="126">
        <f t="shared" si="0"/>
        <v>291.91062087409279</v>
      </c>
      <c r="O3" s="126">
        <f t="shared" si="0"/>
        <v>272.25992477205659</v>
      </c>
      <c r="P3" s="126">
        <f t="shared" si="0"/>
        <v>266.92817851042656</v>
      </c>
      <c r="Q3" s="126">
        <f t="shared" si="0"/>
        <v>259.63570610541541</v>
      </c>
      <c r="R3" s="126">
        <f t="shared" ref="R3:W3" si="1">SUM(R4,R16,R19,R29)</f>
        <v>276.36398724255821</v>
      </c>
      <c r="S3" s="126">
        <f t="shared" si="1"/>
        <v>297.67493252680788</v>
      </c>
      <c r="T3" s="126">
        <f t="shared" si="1"/>
        <v>312.90515228000362</v>
      </c>
      <c r="U3" s="126">
        <f t="shared" si="1"/>
        <v>295.00112590326148</v>
      </c>
      <c r="V3" s="126">
        <f t="shared" si="1"/>
        <v>269.01132022553014</v>
      </c>
      <c r="W3" s="126">
        <f t="shared" si="1"/>
        <v>324.11682784271176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181.92342657446858</v>
      </c>
      <c r="C4" s="131">
        <f t="shared" si="2"/>
        <v>185.48942460628874</v>
      </c>
      <c r="D4" s="131">
        <f t="shared" si="2"/>
        <v>189.26395453117598</v>
      </c>
      <c r="E4" s="131">
        <f t="shared" si="2"/>
        <v>200.98697451939552</v>
      </c>
      <c r="F4" s="131">
        <f t="shared" si="2"/>
        <v>208.91141472831643</v>
      </c>
      <c r="G4" s="131">
        <f t="shared" si="2"/>
        <v>211.35025559890019</v>
      </c>
      <c r="H4" s="131">
        <f t="shared" si="2"/>
        <v>231.85767891725806</v>
      </c>
      <c r="I4" s="131">
        <f t="shared" si="2"/>
        <v>236.4329714009761</v>
      </c>
      <c r="J4" s="131">
        <f t="shared" si="2"/>
        <v>213.2507442022106</v>
      </c>
      <c r="K4" s="131">
        <f t="shared" si="2"/>
        <v>206.51802143018836</v>
      </c>
      <c r="L4" s="131">
        <f t="shared" si="2"/>
        <v>214.0998171505162</v>
      </c>
      <c r="M4" s="131">
        <f t="shared" si="2"/>
        <v>196.57532185962631</v>
      </c>
      <c r="N4" s="131">
        <f t="shared" si="2"/>
        <v>215.75886987126464</v>
      </c>
      <c r="O4" s="131">
        <f t="shared" si="2"/>
        <v>196.31093064540437</v>
      </c>
      <c r="P4" s="131">
        <f t="shared" si="2"/>
        <v>188.94014223593828</v>
      </c>
      <c r="Q4" s="131">
        <f t="shared" si="2"/>
        <v>182.36580345593137</v>
      </c>
      <c r="R4" s="131">
        <f t="shared" ref="R4:W4" si="3">SUM(R5:R15)</f>
        <v>196.71244964797518</v>
      </c>
      <c r="S4" s="131">
        <f t="shared" si="3"/>
        <v>217.93628369646302</v>
      </c>
      <c r="T4" s="131">
        <f t="shared" si="3"/>
        <v>230.29548468398343</v>
      </c>
      <c r="U4" s="131">
        <f t="shared" si="3"/>
        <v>210.45569835385339</v>
      </c>
      <c r="V4" s="131">
        <f t="shared" si="3"/>
        <v>191.07949556061243</v>
      </c>
      <c r="W4" s="131">
        <f t="shared" si="3"/>
        <v>234.18650686388307</v>
      </c>
      <c r="DA4" s="156" t="s">
        <v>301</v>
      </c>
    </row>
    <row r="5" spans="1:105" ht="12" customHeight="1" x14ac:dyDescent="0.25">
      <c r="A5" s="132" t="s">
        <v>29</v>
      </c>
      <c r="B5" s="133">
        <v>21.939276065563714</v>
      </c>
      <c r="C5" s="133">
        <v>18.28731733697477</v>
      </c>
      <c r="D5" s="133">
        <v>21.889429901893021</v>
      </c>
      <c r="E5" s="133">
        <v>22.60595656358295</v>
      </c>
      <c r="F5" s="133">
        <v>22.808449318872089</v>
      </c>
      <c r="G5" s="133">
        <v>27.396864837956961</v>
      </c>
      <c r="H5" s="133">
        <v>37.419471320464929</v>
      </c>
      <c r="I5" s="133">
        <v>28.951088300677178</v>
      </c>
      <c r="J5" s="133">
        <v>22.324562846068737</v>
      </c>
      <c r="K5" s="133">
        <v>27.996337950869275</v>
      </c>
      <c r="L5" s="133">
        <v>28.773066242729673</v>
      </c>
      <c r="M5" s="133">
        <v>34.859300254609799</v>
      </c>
      <c r="N5" s="133">
        <v>24.750156760466812</v>
      </c>
      <c r="O5" s="133">
        <v>29.347368074251396</v>
      </c>
      <c r="P5" s="133">
        <v>25.730388677468888</v>
      </c>
      <c r="Q5" s="133">
        <v>19.266533980909937</v>
      </c>
      <c r="R5" s="133">
        <v>23.725611932502801</v>
      </c>
      <c r="S5" s="133">
        <v>24.984478106643508</v>
      </c>
      <c r="T5" s="133">
        <v>26.233125517995038</v>
      </c>
      <c r="U5" s="133">
        <v>22.29520761789481</v>
      </c>
      <c r="V5" s="133">
        <v>14.85292534863486</v>
      </c>
      <c r="W5" s="133">
        <v>18.341916739129438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7.5291031711205472</v>
      </c>
      <c r="C7" s="133">
        <v>5.4323368948250605</v>
      </c>
      <c r="D7" s="133">
        <v>5.9240081144993217</v>
      </c>
      <c r="E7" s="133">
        <v>3.8124397346379575</v>
      </c>
      <c r="F7" s="133">
        <v>3.8340088534791286</v>
      </c>
      <c r="G7" s="133">
        <v>2.6390701523610836</v>
      </c>
      <c r="H7" s="133">
        <v>2.1946267245477835</v>
      </c>
      <c r="I7" s="133">
        <v>2.2073959114790944</v>
      </c>
      <c r="J7" s="133">
        <v>3.5907580974732549</v>
      </c>
      <c r="K7" s="133">
        <v>1.0725438795031212</v>
      </c>
      <c r="L7" s="133">
        <v>1.625184937747072</v>
      </c>
      <c r="M7" s="133">
        <v>2.2756730450039093</v>
      </c>
      <c r="N7" s="133">
        <v>1.4416942778824779</v>
      </c>
      <c r="O7" s="133">
        <v>1.5432691829994591</v>
      </c>
      <c r="P7" s="133">
        <v>2.1214131022313261</v>
      </c>
      <c r="Q7" s="133">
        <v>0.95318299733645151</v>
      </c>
      <c r="R7" s="133">
        <v>0.95539230121153773</v>
      </c>
      <c r="S7" s="133">
        <v>1.1137167158564054</v>
      </c>
      <c r="T7" s="133">
        <v>0.83477708880390211</v>
      </c>
      <c r="U7" s="133">
        <v>1.1048661016347852</v>
      </c>
      <c r="V7" s="133">
        <v>1.2900111845396725</v>
      </c>
      <c r="W7" s="133">
        <v>1.5094907198330014</v>
      </c>
      <c r="DA7" s="157" t="s">
        <v>304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305</v>
      </c>
    </row>
    <row r="9" spans="1:105" ht="12" customHeight="1" x14ac:dyDescent="0.25">
      <c r="A9" s="132" t="s">
        <v>78</v>
      </c>
      <c r="B9" s="133">
        <v>9.7430768425061665</v>
      </c>
      <c r="C9" s="133">
        <v>11.061608308718309</v>
      </c>
      <c r="D9" s="133">
        <v>13.443070718826542</v>
      </c>
      <c r="E9" s="133">
        <v>14.432864750768962</v>
      </c>
      <c r="F9" s="133">
        <v>20.999175320136963</v>
      </c>
      <c r="G9" s="133">
        <v>20.399360528563214</v>
      </c>
      <c r="H9" s="133">
        <v>22.064461813100891</v>
      </c>
      <c r="I9" s="133">
        <v>29.980406186220275</v>
      </c>
      <c r="J9" s="133">
        <v>27.632252893877713</v>
      </c>
      <c r="K9" s="133">
        <v>24.635967739812447</v>
      </c>
      <c r="L9" s="133">
        <v>28.25181076617233</v>
      </c>
      <c r="M9" s="133">
        <v>25.418991562146875</v>
      </c>
      <c r="N9" s="133">
        <v>28.589309421198738</v>
      </c>
      <c r="O9" s="133">
        <v>30.339195269159234</v>
      </c>
      <c r="P9" s="133">
        <v>27.274964427878988</v>
      </c>
      <c r="Q9" s="133">
        <v>31.528021830886054</v>
      </c>
      <c r="R9" s="133">
        <v>34.298436061407735</v>
      </c>
      <c r="S9" s="133">
        <v>37.292248222924535</v>
      </c>
      <c r="T9" s="133">
        <v>40.389876329834671</v>
      </c>
      <c r="U9" s="133">
        <v>42.884526964362415</v>
      </c>
      <c r="V9" s="133">
        <v>42.221952244850563</v>
      </c>
      <c r="W9" s="133">
        <v>45.217921984499654</v>
      </c>
      <c r="DA9" s="157" t="s">
        <v>306</v>
      </c>
    </row>
    <row r="10" spans="1:105" ht="12" customHeight="1" x14ac:dyDescent="0.25">
      <c r="A10" s="132" t="s">
        <v>128</v>
      </c>
      <c r="B10" s="133">
        <v>16.162493463299867</v>
      </c>
      <c r="C10" s="133">
        <v>16.112822243296602</v>
      </c>
      <c r="D10" s="133">
        <v>15.912176323391842</v>
      </c>
      <c r="E10" s="133">
        <v>13.624266155897285</v>
      </c>
      <c r="F10" s="133">
        <v>12.611215691807743</v>
      </c>
      <c r="G10" s="133">
        <v>12.562876797628793</v>
      </c>
      <c r="H10" s="133">
        <v>12.494432408050823</v>
      </c>
      <c r="I10" s="133">
        <v>12.078794134457723</v>
      </c>
      <c r="J10" s="133">
        <v>12.727718653154954</v>
      </c>
      <c r="K10" s="133">
        <v>12.732310576468041</v>
      </c>
      <c r="L10" s="133">
        <v>12.906256307346576</v>
      </c>
      <c r="M10" s="133">
        <v>14.353480853384406</v>
      </c>
      <c r="N10" s="133">
        <v>15.418488223778098</v>
      </c>
      <c r="O10" s="133">
        <v>16.487488777499866</v>
      </c>
      <c r="P10" s="133">
        <v>15.731003385593999</v>
      </c>
      <c r="Q10" s="133">
        <v>15.303605603505645</v>
      </c>
      <c r="R10" s="133">
        <v>15.846015847746658</v>
      </c>
      <c r="S10" s="133">
        <v>13.894517744805899</v>
      </c>
      <c r="T10" s="133">
        <v>14.306653703400189</v>
      </c>
      <c r="U10" s="133">
        <v>13.797999619181168</v>
      </c>
      <c r="V10" s="133">
        <v>14.90387800729982</v>
      </c>
      <c r="W10" s="133">
        <v>14.414967556253742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308</v>
      </c>
    </row>
    <row r="12" spans="1:105" ht="12" customHeight="1" x14ac:dyDescent="0.25">
      <c r="A12" s="132" t="s">
        <v>169</v>
      </c>
      <c r="B12" s="133">
        <v>110.74815615842367</v>
      </c>
      <c r="C12" s="133">
        <v>117.68662271659895</v>
      </c>
      <c r="D12" s="133">
        <v>115.8626030592403</v>
      </c>
      <c r="E12" s="133">
        <v>123.73954280622635</v>
      </c>
      <c r="F12" s="133">
        <v>125.26345507014078</v>
      </c>
      <c r="G12" s="133">
        <v>125.29162592625006</v>
      </c>
      <c r="H12" s="133">
        <v>134.48559671414012</v>
      </c>
      <c r="I12" s="133">
        <v>140.51181542428034</v>
      </c>
      <c r="J12" s="133">
        <v>116.19571531075648</v>
      </c>
      <c r="K12" s="133">
        <v>125.06136286234035</v>
      </c>
      <c r="L12" s="133">
        <v>134.25466705695919</v>
      </c>
      <c r="M12" s="133">
        <v>108.12599065252805</v>
      </c>
      <c r="N12" s="133">
        <v>130.17660935286716</v>
      </c>
      <c r="O12" s="133">
        <v>107.75091592988885</v>
      </c>
      <c r="P12" s="133">
        <v>106.43887968739216</v>
      </c>
      <c r="Q12" s="133">
        <v>108.532373156107</v>
      </c>
      <c r="R12" s="133">
        <v>108.18844883710676</v>
      </c>
      <c r="S12" s="133">
        <v>130.63470326969849</v>
      </c>
      <c r="T12" s="133">
        <v>132.02976188781528</v>
      </c>
      <c r="U12" s="133">
        <v>112.81246598386741</v>
      </c>
      <c r="V12" s="133">
        <v>103.87288362889336</v>
      </c>
      <c r="W12" s="133">
        <v>134.37308772745962</v>
      </c>
      <c r="DA12" s="157" t="s">
        <v>309</v>
      </c>
    </row>
    <row r="13" spans="1:105" ht="12" customHeight="1" x14ac:dyDescent="0.25">
      <c r="A13" s="132" t="s">
        <v>77</v>
      </c>
      <c r="B13" s="133">
        <v>8.0506713115169864E-3</v>
      </c>
      <c r="C13" s="133">
        <v>1.3228545102608177E-2</v>
      </c>
      <c r="D13" s="133">
        <v>1.9419681783303586E-2</v>
      </c>
      <c r="E13" s="133">
        <v>3.946090007857346E-2</v>
      </c>
      <c r="F13" s="133">
        <v>5.4304598794576601E-2</v>
      </c>
      <c r="G13" s="133">
        <v>7.7332630941393865E-2</v>
      </c>
      <c r="H13" s="133">
        <v>9.7972884379322209E-2</v>
      </c>
      <c r="I13" s="133">
        <v>0.12128587475309763</v>
      </c>
      <c r="J13" s="133">
        <v>0.21060142556124309</v>
      </c>
      <c r="K13" s="133">
        <v>0.23404905312005497</v>
      </c>
      <c r="L13" s="133">
        <v>0.2601778382605307</v>
      </c>
      <c r="M13" s="133">
        <v>0.47731781056993083</v>
      </c>
      <c r="N13" s="133">
        <v>0.74031829248557168</v>
      </c>
      <c r="O13" s="133">
        <v>1.0319979324545523</v>
      </c>
      <c r="P13" s="133">
        <v>1.6691565030615294</v>
      </c>
      <c r="Q13" s="133">
        <v>1.8460128997524312</v>
      </c>
      <c r="R13" s="133">
        <v>1.9738347881538987</v>
      </c>
      <c r="S13" s="133">
        <v>2.0471255738047929</v>
      </c>
      <c r="T13" s="133">
        <v>2.159104064916797</v>
      </c>
      <c r="U13" s="133">
        <v>2.2014744935099468</v>
      </c>
      <c r="V13" s="133">
        <v>2.1687096735566311</v>
      </c>
      <c r="W13" s="133">
        <v>4.4842025100649598</v>
      </c>
      <c r="DA13" s="157" t="s">
        <v>310</v>
      </c>
    </row>
    <row r="14" spans="1:105" ht="12" customHeight="1" x14ac:dyDescent="0.25">
      <c r="A14" s="60" t="s">
        <v>76</v>
      </c>
      <c r="B14" s="65">
        <v>14.513068125889847</v>
      </c>
      <c r="C14" s="65">
        <v>15.659420352904041</v>
      </c>
      <c r="D14" s="65">
        <v>14.922621034410623</v>
      </c>
      <c r="E14" s="65">
        <v>21.464962095337249</v>
      </c>
      <c r="F14" s="65">
        <v>21.974540193946545</v>
      </c>
      <c r="G14" s="65">
        <v>21.631142845776001</v>
      </c>
      <c r="H14" s="65">
        <v>21.617663924497673</v>
      </c>
      <c r="I14" s="65">
        <v>21.033896941118428</v>
      </c>
      <c r="J14" s="65">
        <v>29.215901269829025</v>
      </c>
      <c r="K14" s="65">
        <v>13.45816863991722</v>
      </c>
      <c r="L14" s="65">
        <v>6.5996487759798192</v>
      </c>
      <c r="M14" s="65">
        <v>9.7329671564606119</v>
      </c>
      <c r="N14" s="65">
        <v>13.27002147782312</v>
      </c>
      <c r="O14" s="65">
        <v>8.4657312710580541</v>
      </c>
      <c r="P14" s="65">
        <v>8.7217729410988678</v>
      </c>
      <c r="Q14" s="65">
        <v>3.6893712827603795</v>
      </c>
      <c r="R14" s="65">
        <v>10.402396265181356</v>
      </c>
      <c r="S14" s="65">
        <v>6.5188982814970595</v>
      </c>
      <c r="T14" s="65">
        <v>12.833160419726624</v>
      </c>
      <c r="U14" s="65">
        <v>13.922403807419688</v>
      </c>
      <c r="V14" s="65">
        <v>10.427246498226323</v>
      </c>
      <c r="W14" s="65">
        <v>14.311179961274279</v>
      </c>
      <c r="DA14" s="109" t="s">
        <v>311</v>
      </c>
    </row>
    <row r="15" spans="1:105" ht="12" customHeight="1" x14ac:dyDescent="0.25">
      <c r="A15" s="134" t="s">
        <v>80</v>
      </c>
      <c r="B15" s="135">
        <v>1.2802020763532884</v>
      </c>
      <c r="C15" s="135">
        <v>1.2360682078683773</v>
      </c>
      <c r="D15" s="135">
        <v>1.2906256971310466</v>
      </c>
      <c r="E15" s="135">
        <v>1.2674815128661572</v>
      </c>
      <c r="F15" s="135">
        <v>1.3662656811385876</v>
      </c>
      <c r="G15" s="135">
        <v>1.3519818794226723</v>
      </c>
      <c r="H15" s="135">
        <v>1.4834531280765071</v>
      </c>
      <c r="I15" s="135">
        <v>1.5482886279899599</v>
      </c>
      <c r="J15" s="135">
        <v>1.3532337054891652</v>
      </c>
      <c r="K15" s="135">
        <v>1.3272807281578383</v>
      </c>
      <c r="L15" s="135">
        <v>1.4290052253210104</v>
      </c>
      <c r="M15" s="135">
        <v>1.3316005249227478</v>
      </c>
      <c r="N15" s="135">
        <v>1.3722720647626536</v>
      </c>
      <c r="O15" s="135">
        <v>1.344964208093</v>
      </c>
      <c r="P15" s="135">
        <v>1.252563511212553</v>
      </c>
      <c r="Q15" s="135">
        <v>1.2467017046734603</v>
      </c>
      <c r="R15" s="135">
        <v>1.3223136146644032</v>
      </c>
      <c r="S15" s="135">
        <v>1.4505957812323249</v>
      </c>
      <c r="T15" s="135">
        <v>1.5090256714909391</v>
      </c>
      <c r="U15" s="135">
        <v>1.4367537659831686</v>
      </c>
      <c r="V15" s="135">
        <v>1.3418889746112197</v>
      </c>
      <c r="W15" s="135">
        <v>1.5337396653683519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2.2966788168068559</v>
      </c>
      <c r="C16" s="131">
        <f t="shared" si="4"/>
        <v>2.6793210020857745</v>
      </c>
      <c r="D16" s="131">
        <f t="shared" si="4"/>
        <v>3.2400311980197385</v>
      </c>
      <c r="E16" s="131">
        <f t="shared" si="4"/>
        <v>3.2536243782027996</v>
      </c>
      <c r="F16" s="131">
        <f t="shared" si="4"/>
        <v>3.6234636049328417</v>
      </c>
      <c r="G16" s="131">
        <f t="shared" si="4"/>
        <v>4.0552215355167736</v>
      </c>
      <c r="H16" s="131">
        <f t="shared" si="4"/>
        <v>4.9987413926630726</v>
      </c>
      <c r="I16" s="131">
        <f t="shared" si="4"/>
        <v>5.1860293267652562</v>
      </c>
      <c r="J16" s="131">
        <f t="shared" si="4"/>
        <v>5.6229840277848702</v>
      </c>
      <c r="K16" s="131">
        <f t="shared" si="4"/>
        <v>5.9746772079474795</v>
      </c>
      <c r="L16" s="131">
        <f t="shared" si="4"/>
        <v>7.8988727503906446</v>
      </c>
      <c r="M16" s="131">
        <f t="shared" si="4"/>
        <v>6.5515614977450136</v>
      </c>
      <c r="N16" s="131">
        <f t="shared" si="4"/>
        <v>7.3959768311982419</v>
      </c>
      <c r="O16" s="131">
        <f t="shared" si="4"/>
        <v>7.1417318345753769</v>
      </c>
      <c r="P16" s="131">
        <f t="shared" si="4"/>
        <v>8.2645331815578125</v>
      </c>
      <c r="Q16" s="131">
        <f t="shared" si="4"/>
        <v>8.3322574273583925</v>
      </c>
      <c r="R16" s="131">
        <f t="shared" ref="R16:W16" si="5">SUM(R17:R18)</f>
        <v>8.2672296119305546</v>
      </c>
      <c r="S16" s="131">
        <f t="shared" si="5"/>
        <v>8.4791328058504138</v>
      </c>
      <c r="T16" s="131">
        <f t="shared" si="5"/>
        <v>9.3857904829485719</v>
      </c>
      <c r="U16" s="131">
        <f t="shared" si="5"/>
        <v>9.5058335521515094</v>
      </c>
      <c r="V16" s="131">
        <f t="shared" si="5"/>
        <v>9.5495782813701151</v>
      </c>
      <c r="W16" s="131">
        <f t="shared" si="5"/>
        <v>11.671753555671405</v>
      </c>
      <c r="DA16" s="156" t="s">
        <v>313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314</v>
      </c>
    </row>
    <row r="18" spans="1:105" ht="12" customHeight="1" x14ac:dyDescent="0.25">
      <c r="A18" s="132" t="s">
        <v>72</v>
      </c>
      <c r="B18" s="133">
        <v>2.2966788168068559</v>
      </c>
      <c r="C18" s="133">
        <v>2.6793210020857745</v>
      </c>
      <c r="D18" s="133">
        <v>3.2400311980197385</v>
      </c>
      <c r="E18" s="133">
        <v>3.2536243782027996</v>
      </c>
      <c r="F18" s="133">
        <v>3.6234636049328417</v>
      </c>
      <c r="G18" s="133">
        <v>4.0552215355167736</v>
      </c>
      <c r="H18" s="133">
        <v>4.9987413926630726</v>
      </c>
      <c r="I18" s="133">
        <v>5.1860293267652562</v>
      </c>
      <c r="J18" s="133">
        <v>5.6229840277848702</v>
      </c>
      <c r="K18" s="133">
        <v>5.9746772079474795</v>
      </c>
      <c r="L18" s="133">
        <v>7.8988727503906446</v>
      </c>
      <c r="M18" s="133">
        <v>6.5515614977450136</v>
      </c>
      <c r="N18" s="133">
        <v>7.3959768311982419</v>
      </c>
      <c r="O18" s="133">
        <v>7.1417318345753769</v>
      </c>
      <c r="P18" s="133">
        <v>8.2645331815578125</v>
      </c>
      <c r="Q18" s="133">
        <v>8.3322574273583925</v>
      </c>
      <c r="R18" s="133">
        <v>8.2672296119305546</v>
      </c>
      <c r="S18" s="133">
        <v>8.4791328058504138</v>
      </c>
      <c r="T18" s="133">
        <v>9.3857904829485719</v>
      </c>
      <c r="U18" s="133">
        <v>9.5058335521515094</v>
      </c>
      <c r="V18" s="133">
        <v>9.5495782813701151</v>
      </c>
      <c r="W18" s="133">
        <v>11.671753555671405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19.787165888786941</v>
      </c>
      <c r="C19" s="131">
        <f t="shared" si="6"/>
        <v>20.847708077146248</v>
      </c>
      <c r="D19" s="131">
        <f t="shared" si="6"/>
        <v>21.844897736863683</v>
      </c>
      <c r="E19" s="131">
        <f t="shared" si="6"/>
        <v>23.273087400209036</v>
      </c>
      <c r="F19" s="131">
        <f t="shared" si="6"/>
        <v>25.473380057094559</v>
      </c>
      <c r="G19" s="131">
        <f t="shared" si="6"/>
        <v>27.648463376519427</v>
      </c>
      <c r="H19" s="131">
        <f t="shared" si="6"/>
        <v>29.861248766678663</v>
      </c>
      <c r="I19" s="131">
        <f t="shared" si="6"/>
        <v>31.77446841792495</v>
      </c>
      <c r="J19" s="131">
        <f t="shared" si="6"/>
        <v>33.644053189495082</v>
      </c>
      <c r="K19" s="131">
        <f t="shared" si="6"/>
        <v>34.140617133622371</v>
      </c>
      <c r="L19" s="131">
        <f t="shared" si="6"/>
        <v>35.132320184352004</v>
      </c>
      <c r="M19" s="131">
        <f t="shared" si="6"/>
        <v>36.228877677151232</v>
      </c>
      <c r="N19" s="131">
        <f t="shared" si="6"/>
        <v>37.231478635217343</v>
      </c>
      <c r="O19" s="131">
        <f t="shared" si="6"/>
        <v>38.222202492685227</v>
      </c>
      <c r="P19" s="131">
        <f t="shared" si="6"/>
        <v>38.938011923804815</v>
      </c>
      <c r="Q19" s="131">
        <f t="shared" si="6"/>
        <v>39.847846452630598</v>
      </c>
      <c r="R19" s="131">
        <f t="shared" ref="R19:W19" si="7">SUM(R20:R27)</f>
        <v>40.825985452088602</v>
      </c>
      <c r="S19" s="131">
        <f t="shared" si="7"/>
        <v>41.695014414157924</v>
      </c>
      <c r="T19" s="131">
        <f t="shared" si="7"/>
        <v>42.013063188882683</v>
      </c>
      <c r="U19" s="131">
        <f t="shared" si="7"/>
        <v>42.272167304537604</v>
      </c>
      <c r="V19" s="131">
        <f t="shared" si="7"/>
        <v>37.624501786822023</v>
      </c>
      <c r="W19" s="131">
        <f t="shared" si="7"/>
        <v>42.55924510304078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318</v>
      </c>
    </row>
    <row r="22" spans="1:105" ht="12" customHeight="1" x14ac:dyDescent="0.25">
      <c r="A22" s="132" t="s">
        <v>168</v>
      </c>
      <c r="B22" s="133">
        <v>1.001409699687446</v>
      </c>
      <c r="C22" s="133">
        <v>0.58494151566345209</v>
      </c>
      <c r="D22" s="133">
        <v>0.54911375742292534</v>
      </c>
      <c r="E22" s="133">
        <v>0.43106524073745994</v>
      </c>
      <c r="F22" s="133">
        <v>0.51640951912510924</v>
      </c>
      <c r="G22" s="133">
        <v>0.41765992217749698</v>
      </c>
      <c r="H22" s="133">
        <v>0.43046286381146948</v>
      </c>
      <c r="I22" s="133">
        <v>0.38742450352578034</v>
      </c>
      <c r="J22" s="133">
        <v>0.39147807927194461</v>
      </c>
      <c r="K22" s="133">
        <v>0.2843505222097496</v>
      </c>
      <c r="L22" s="133">
        <v>0.25785775488384854</v>
      </c>
      <c r="M22" s="133">
        <v>0.21983022953935677</v>
      </c>
      <c r="N22" s="133">
        <v>0.17949254257366476</v>
      </c>
      <c r="O22" s="133">
        <v>0.19404523540828231</v>
      </c>
      <c r="P22" s="133">
        <v>0.19737046515418927</v>
      </c>
      <c r="Q22" s="133">
        <v>0.19843747570122763</v>
      </c>
      <c r="R22" s="133">
        <v>0.19639547116757186</v>
      </c>
      <c r="S22" s="133">
        <v>0.22179855442917915</v>
      </c>
      <c r="T22" s="133">
        <v>0.16129765011077196</v>
      </c>
      <c r="U22" s="133">
        <v>0.21297522362357127</v>
      </c>
      <c r="V22" s="133">
        <v>0.25576272296938607</v>
      </c>
      <c r="W22" s="133">
        <v>0.30576012905214017</v>
      </c>
      <c r="DA22" s="157" t="s">
        <v>319</v>
      </c>
    </row>
    <row r="23" spans="1:105" ht="12" customHeight="1" x14ac:dyDescent="0.25">
      <c r="A23" s="132" t="s">
        <v>153</v>
      </c>
      <c r="B23" s="133">
        <v>0.76770938076419237</v>
      </c>
      <c r="C23" s="133">
        <v>0.80866669676103609</v>
      </c>
      <c r="D23" s="133">
        <v>0.90866676540062308</v>
      </c>
      <c r="E23" s="133">
        <v>0.96251502861664473</v>
      </c>
      <c r="F23" s="133">
        <v>1.2194730878282656</v>
      </c>
      <c r="G23" s="133">
        <v>1.292703628760407</v>
      </c>
      <c r="H23" s="133">
        <v>1.5612678819320103</v>
      </c>
      <c r="I23" s="133">
        <v>2.3873336680459323</v>
      </c>
      <c r="J23" s="133">
        <v>2.7409234634733526</v>
      </c>
      <c r="K23" s="133">
        <v>2.7649843264574798</v>
      </c>
      <c r="L23" s="133">
        <v>2.81815290828033</v>
      </c>
      <c r="M23" s="133">
        <v>2.9081497406176808</v>
      </c>
      <c r="N23" s="133">
        <v>2.9343107148021157</v>
      </c>
      <c r="O23" s="133">
        <v>3.0215967933207044</v>
      </c>
      <c r="P23" s="133">
        <v>2.8776389008303869</v>
      </c>
      <c r="Q23" s="133">
        <v>3.1731333732882838</v>
      </c>
      <c r="R23" s="133">
        <v>3.4749812425219146</v>
      </c>
      <c r="S23" s="133">
        <v>3.5744687918851854</v>
      </c>
      <c r="T23" s="133">
        <v>3.8495549770332311</v>
      </c>
      <c r="U23" s="133">
        <v>4.0668893919011726</v>
      </c>
      <c r="V23" s="133">
        <v>4.2629226183934836</v>
      </c>
      <c r="W23" s="133">
        <v>4.5742642116788765</v>
      </c>
      <c r="DA23" s="157" t="s">
        <v>320</v>
      </c>
    </row>
    <row r="24" spans="1:105" ht="12" customHeight="1" x14ac:dyDescent="0.25">
      <c r="A24" s="132" t="s">
        <v>128</v>
      </c>
      <c r="B24" s="133">
        <v>0.86303187397237935</v>
      </c>
      <c r="C24" s="133">
        <v>0.76216562797045628</v>
      </c>
      <c r="D24" s="133">
        <v>0.79712075406280103</v>
      </c>
      <c r="E24" s="133">
        <v>0.85109075276556456</v>
      </c>
      <c r="F24" s="133">
        <v>0.90607942802792729</v>
      </c>
      <c r="G24" s="133">
        <v>0.97139001318000362</v>
      </c>
      <c r="H24" s="133">
        <v>1.0677300859502346</v>
      </c>
      <c r="I24" s="133">
        <v>1.0574220121013975</v>
      </c>
      <c r="J24" s="133">
        <v>1.1091021837726445</v>
      </c>
      <c r="K24" s="133">
        <v>1.1377525067126533</v>
      </c>
      <c r="L24" s="133">
        <v>1.1833089664759038</v>
      </c>
      <c r="M24" s="133">
        <v>1.2502025941108001</v>
      </c>
      <c r="N24" s="133">
        <v>1.291728107998076</v>
      </c>
      <c r="O24" s="133">
        <v>1.3529471772738944</v>
      </c>
      <c r="P24" s="133">
        <v>1.3847224429468092</v>
      </c>
      <c r="Q24" s="133">
        <v>1.3993354885396965</v>
      </c>
      <c r="R24" s="133">
        <v>1.3273910981023913</v>
      </c>
      <c r="S24" s="133">
        <v>1.1352901467849319</v>
      </c>
      <c r="T24" s="133">
        <v>1.1571406687457615</v>
      </c>
      <c r="U24" s="133">
        <v>1.0889786029180395</v>
      </c>
      <c r="V24" s="133">
        <v>1.1573924213480562</v>
      </c>
      <c r="W24" s="133">
        <v>1.1472006498755185</v>
      </c>
      <c r="DA24" s="157" t="s">
        <v>321</v>
      </c>
    </row>
    <row r="25" spans="1:105" ht="12" customHeight="1" x14ac:dyDescent="0.25">
      <c r="A25" s="132" t="s">
        <v>169</v>
      </c>
      <c r="B25" s="133">
        <v>10.873649673652737</v>
      </c>
      <c r="C25" s="133">
        <v>11.548888980818051</v>
      </c>
      <c r="D25" s="133">
        <v>11.810922738930561</v>
      </c>
      <c r="E25" s="133">
        <v>12.896287914718675</v>
      </c>
      <c r="F25" s="133">
        <v>14.328975832731246</v>
      </c>
      <c r="G25" s="133">
        <v>15.860597028608467</v>
      </c>
      <c r="H25" s="133">
        <v>17.18134620726445</v>
      </c>
      <c r="I25" s="133">
        <v>17.024068796404823</v>
      </c>
      <c r="J25" s="133">
        <v>18.037228623463058</v>
      </c>
      <c r="K25" s="133">
        <v>19.677770187330228</v>
      </c>
      <c r="L25" s="133">
        <v>21.010064129897717</v>
      </c>
      <c r="M25" s="133">
        <v>21.548028812317025</v>
      </c>
      <c r="N25" s="133">
        <v>22.278753455576876</v>
      </c>
      <c r="O25" s="133">
        <v>23.70649211456973</v>
      </c>
      <c r="P25" s="133">
        <v>24.327822065077008</v>
      </c>
      <c r="Q25" s="133">
        <v>26.516582661735875</v>
      </c>
      <c r="R25" s="133">
        <v>27.231209537364524</v>
      </c>
      <c r="S25" s="133">
        <v>28.213758442400767</v>
      </c>
      <c r="T25" s="133">
        <v>27.461619287956818</v>
      </c>
      <c r="U25" s="133">
        <v>26.767614241926594</v>
      </c>
      <c r="V25" s="133">
        <v>23.012590254704619</v>
      </c>
      <c r="W25" s="133">
        <v>25.764659207399035</v>
      </c>
      <c r="DA25" s="157" t="s">
        <v>322</v>
      </c>
    </row>
    <row r="26" spans="1:105" ht="12" customHeight="1" x14ac:dyDescent="0.25">
      <c r="A26" s="132" t="s">
        <v>24</v>
      </c>
      <c r="B26" s="65">
        <v>6.2813652607101842</v>
      </c>
      <c r="C26" s="65">
        <v>7.1430452559332522</v>
      </c>
      <c r="D26" s="65">
        <v>7.779073721046772</v>
      </c>
      <c r="E26" s="65">
        <v>8.132128463370691</v>
      </c>
      <c r="F26" s="65">
        <v>8.5024421893820143</v>
      </c>
      <c r="G26" s="65">
        <v>9.1061127837930513</v>
      </c>
      <c r="H26" s="65">
        <v>9.6204417277204968</v>
      </c>
      <c r="I26" s="65">
        <v>10.918219437847016</v>
      </c>
      <c r="J26" s="65">
        <v>11.365320839514084</v>
      </c>
      <c r="K26" s="65">
        <v>10.275759590912262</v>
      </c>
      <c r="L26" s="65">
        <v>9.8629364248142064</v>
      </c>
      <c r="M26" s="65">
        <v>10.302666300566365</v>
      </c>
      <c r="N26" s="65">
        <v>10.547193814266606</v>
      </c>
      <c r="O26" s="65">
        <v>9.9471211721126132</v>
      </c>
      <c r="P26" s="65">
        <v>10.150458049796422</v>
      </c>
      <c r="Q26" s="65">
        <v>8.5603574533655138</v>
      </c>
      <c r="R26" s="65">
        <v>8.5960081029321991</v>
      </c>
      <c r="S26" s="65">
        <v>8.5496984786578558</v>
      </c>
      <c r="T26" s="65">
        <v>9.3834506050360993</v>
      </c>
      <c r="U26" s="65">
        <v>10.135709844168222</v>
      </c>
      <c r="V26" s="65">
        <v>8.9358337694064769</v>
      </c>
      <c r="W26" s="65">
        <v>10.767360905035211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21.925853780920765</v>
      </c>
      <c r="C29" s="131">
        <f t="shared" si="8"/>
        <v>22.317132168238885</v>
      </c>
      <c r="D29" s="131">
        <f t="shared" si="8"/>
        <v>23.223825119606655</v>
      </c>
      <c r="E29" s="131">
        <f t="shared" si="8"/>
        <v>24.247003676585123</v>
      </c>
      <c r="F29" s="131">
        <f t="shared" si="8"/>
        <v>25.311444329049881</v>
      </c>
      <c r="G29" s="131">
        <f t="shared" si="8"/>
        <v>26.65390191164618</v>
      </c>
      <c r="H29" s="131">
        <f t="shared" si="8"/>
        <v>28.98778243702089</v>
      </c>
      <c r="I29" s="131">
        <f t="shared" si="8"/>
        <v>30.548648101412365</v>
      </c>
      <c r="J29" s="131">
        <f t="shared" si="8"/>
        <v>30.9009235795534</v>
      </c>
      <c r="K29" s="131">
        <f t="shared" si="8"/>
        <v>30.590636431647233</v>
      </c>
      <c r="L29" s="131">
        <f t="shared" si="8"/>
        <v>30.189945471656653</v>
      </c>
      <c r="M29" s="131">
        <f t="shared" si="8"/>
        <v>30.251720412675517</v>
      </c>
      <c r="N29" s="131">
        <f t="shared" si="8"/>
        <v>31.524295536412566</v>
      </c>
      <c r="O29" s="131">
        <f t="shared" si="8"/>
        <v>30.585059799391622</v>
      </c>
      <c r="P29" s="131">
        <f t="shared" si="8"/>
        <v>30.785491169125613</v>
      </c>
      <c r="Q29" s="131">
        <f t="shared" si="8"/>
        <v>29.089798769495058</v>
      </c>
      <c r="R29" s="131">
        <f t="shared" ref="R29:W29" si="9">SUM(R30:R33)</f>
        <v>30.558322530563881</v>
      </c>
      <c r="S29" s="131">
        <f t="shared" si="9"/>
        <v>29.56450161033651</v>
      </c>
      <c r="T29" s="131">
        <f t="shared" si="9"/>
        <v>31.210813924188948</v>
      </c>
      <c r="U29" s="131">
        <f t="shared" si="9"/>
        <v>32.767426692718971</v>
      </c>
      <c r="V29" s="131">
        <f t="shared" si="9"/>
        <v>30.757744596725558</v>
      </c>
      <c r="W29" s="131">
        <f t="shared" si="9"/>
        <v>35.699322320116494</v>
      </c>
      <c r="DA29" s="156" t="s">
        <v>325</v>
      </c>
    </row>
    <row r="30" spans="1:105" ht="12" customHeight="1" x14ac:dyDescent="0.25">
      <c r="A30" s="132" t="s">
        <v>52</v>
      </c>
      <c r="B30" s="133">
        <v>0</v>
      </c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326</v>
      </c>
    </row>
    <row r="31" spans="1:105" ht="12" customHeight="1" x14ac:dyDescent="0.25">
      <c r="A31" s="132" t="s">
        <v>153</v>
      </c>
      <c r="B31" s="133">
        <v>4.7967348390523457</v>
      </c>
      <c r="C31" s="133">
        <v>5.1507353101575672</v>
      </c>
      <c r="D31" s="133">
        <v>5.8547210436255526</v>
      </c>
      <c r="E31" s="133">
        <v>6.0930763923427014</v>
      </c>
      <c r="F31" s="133">
        <v>5.5963260308537306</v>
      </c>
      <c r="G31" s="133">
        <v>6.009028295716714</v>
      </c>
      <c r="H31" s="133">
        <v>6.3233697049924142</v>
      </c>
      <c r="I31" s="133">
        <v>8.2459215676805719</v>
      </c>
      <c r="J31" s="133">
        <v>8.8568347061390398</v>
      </c>
      <c r="K31" s="133">
        <v>8.691114137884254</v>
      </c>
      <c r="L31" s="133">
        <v>8.025376367865503</v>
      </c>
      <c r="M31" s="133">
        <v>7.6414999432421533</v>
      </c>
      <c r="N31" s="133">
        <v>6.6970177062117955</v>
      </c>
      <c r="O31" s="133">
        <v>5.555199884983657</v>
      </c>
      <c r="P31" s="133">
        <v>4.9647721914381933</v>
      </c>
      <c r="Q31" s="133">
        <v>5.6532254513981597</v>
      </c>
      <c r="R31" s="133">
        <v>6.0226101108437433</v>
      </c>
      <c r="S31" s="133">
        <v>5.525879529917205</v>
      </c>
      <c r="T31" s="133">
        <v>5.7554554067962371</v>
      </c>
      <c r="U31" s="133">
        <v>3.7492378849790984</v>
      </c>
      <c r="V31" s="133">
        <v>2.8808735582997529</v>
      </c>
      <c r="W31" s="133">
        <v>3.0211009536939857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0.36864707650519229</v>
      </c>
      <c r="H32" s="133">
        <v>0.36872304265880279</v>
      </c>
      <c r="I32" s="133">
        <v>0.36880467877843248</v>
      </c>
      <c r="J32" s="133">
        <v>0.83406079938844135</v>
      </c>
      <c r="K32" s="133">
        <v>0.41708870847373597</v>
      </c>
      <c r="L32" s="133">
        <v>0.83441314573635461</v>
      </c>
      <c r="M32" s="133">
        <v>0.83443300637410034</v>
      </c>
      <c r="N32" s="133">
        <v>0.41728069621627095</v>
      </c>
      <c r="O32" s="133">
        <v>0.4173203382884858</v>
      </c>
      <c r="P32" s="133">
        <v>0.41747780599345841</v>
      </c>
      <c r="Q32" s="133">
        <v>0.83525434695335354</v>
      </c>
      <c r="R32" s="133">
        <v>0.83601344569962033</v>
      </c>
      <c r="S32" s="133">
        <v>0.96303270151569342</v>
      </c>
      <c r="T32" s="133">
        <v>1.0903532681159991</v>
      </c>
      <c r="U32" s="133">
        <v>1.471129924040514</v>
      </c>
      <c r="V32" s="133">
        <v>1.4743693518537588</v>
      </c>
      <c r="W32" s="133">
        <v>2.1947902509586901</v>
      </c>
      <c r="DA32" s="157" t="s">
        <v>328</v>
      </c>
    </row>
    <row r="33" spans="1:105" ht="12" customHeight="1" x14ac:dyDescent="0.25">
      <c r="A33" s="62" t="s">
        <v>24</v>
      </c>
      <c r="B33" s="68">
        <v>17.12911894186842</v>
      </c>
      <c r="C33" s="68">
        <v>17.166396858081317</v>
      </c>
      <c r="D33" s="68">
        <v>17.369104075981102</v>
      </c>
      <c r="E33" s="68">
        <v>18.153927284242421</v>
      </c>
      <c r="F33" s="68">
        <v>19.715118298196149</v>
      </c>
      <c r="G33" s="68">
        <v>20.276226539424272</v>
      </c>
      <c r="H33" s="68">
        <v>22.295689689369674</v>
      </c>
      <c r="I33" s="68">
        <v>21.933921854953361</v>
      </c>
      <c r="J33" s="68">
        <v>21.210028074025917</v>
      </c>
      <c r="K33" s="68">
        <v>21.482433585289243</v>
      </c>
      <c r="L33" s="68">
        <v>21.330155958054796</v>
      </c>
      <c r="M33" s="68">
        <v>21.775787463059263</v>
      </c>
      <c r="N33" s="68">
        <v>24.409997133984501</v>
      </c>
      <c r="O33" s="68">
        <v>24.612539576119481</v>
      </c>
      <c r="P33" s="68">
        <v>25.403241171693963</v>
      </c>
      <c r="Q33" s="68">
        <v>22.601318971143545</v>
      </c>
      <c r="R33" s="68">
        <v>23.699698974020517</v>
      </c>
      <c r="S33" s="68">
        <v>23.075589378903612</v>
      </c>
      <c r="T33" s="68">
        <v>24.365005249276713</v>
      </c>
      <c r="U33" s="68">
        <v>27.547058883699357</v>
      </c>
      <c r="V33" s="68">
        <v>26.402501686572048</v>
      </c>
      <c r="W33" s="68">
        <v>30.483431115463816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0.62145012038371672</v>
      </c>
      <c r="C3" s="127">
        <f>IF(SER_hh_tes!C3=0,"",SER_hh_tes!C3/SER_hh_fec!C3)</f>
        <v>0.63448605910874689</v>
      </c>
      <c r="D3" s="127">
        <f>IF(SER_hh_tes!D3=0,"",SER_hh_tes!D3/SER_hh_fec!D3)</f>
        <v>0.63534043684116248</v>
      </c>
      <c r="E3" s="127">
        <f>IF(SER_hh_tes!E3=0,"",SER_hh_tes!E3/SER_hh_fec!E3)</f>
        <v>0.64908716289023594</v>
      </c>
      <c r="F3" s="127">
        <f>IF(SER_hh_tes!F3=0,"",SER_hh_tes!F3/SER_hh_fec!F3)</f>
        <v>0.65379155312907367</v>
      </c>
      <c r="G3" s="127">
        <f>IF(SER_hh_tes!G3=0,"",SER_hh_tes!G3/SER_hh_fec!G3)</f>
        <v>0.66011573767528164</v>
      </c>
      <c r="H3" s="127">
        <f>IF(SER_hh_tes!H3=0,"",SER_hh_tes!H3/SER_hh_fec!H3)</f>
        <v>0.66480874203690377</v>
      </c>
      <c r="I3" s="127">
        <f>IF(SER_hh_tes!I3=0,"",SER_hh_tes!I3/SER_hh_fec!I3)</f>
        <v>0.67205649130354073</v>
      </c>
      <c r="J3" s="127">
        <f>IF(SER_hh_tes!J3=0,"",SER_hh_tes!J3/SER_hh_fec!J3)</f>
        <v>0.6736574411344215</v>
      </c>
      <c r="K3" s="127">
        <f>IF(SER_hh_tes!K3=0,"",SER_hh_tes!K3/SER_hh_fec!K3)</f>
        <v>0.68445384420853073</v>
      </c>
      <c r="L3" s="127">
        <f>IF(SER_hh_tes!L3=0,"",SER_hh_tes!L3/SER_hh_fec!L3)</f>
        <v>0.69317025122091291</v>
      </c>
      <c r="M3" s="127">
        <f>IF(SER_hh_tes!M3=0,"",SER_hh_tes!M3/SER_hh_fec!M3)</f>
        <v>0.68769335943883247</v>
      </c>
      <c r="N3" s="127">
        <f>IF(SER_hh_tes!N3=0,"",SER_hh_tes!N3/SER_hh_fec!N3)</f>
        <v>0.70450023456733135</v>
      </c>
      <c r="O3" s="127">
        <f>IF(SER_hh_tes!O3=0,"",SER_hh_tes!O3/SER_hh_fec!O3)</f>
        <v>0.70390188065419557</v>
      </c>
      <c r="P3" s="127">
        <f>IF(SER_hh_tes!P3=0,"",SER_hh_tes!P3/SER_hh_fec!P3)</f>
        <v>0.71419140868586661</v>
      </c>
      <c r="Q3" s="127">
        <f>IF(SER_hh_tes!Q3=0,"",SER_hh_tes!Q3/SER_hh_fec!Q3)</f>
        <v>0.72161179775067896</v>
      </c>
      <c r="R3" s="127">
        <f>IF(SER_hh_tes!R3=0,"",SER_hh_tes!R3/SER_hh_fec!R3)</f>
        <v>0.72310640356803069</v>
      </c>
      <c r="S3" s="127">
        <f>IF(SER_hh_tes!S3=0,"",SER_hh_tes!S3/SER_hh_fec!S3)</f>
        <v>0.73605170616061688</v>
      </c>
      <c r="T3" s="127">
        <f>IF(SER_hh_tes!T3=0,"",SER_hh_tes!T3/SER_hh_fec!T3)</f>
        <v>0.74487700877043561</v>
      </c>
      <c r="U3" s="127">
        <f>IF(SER_hh_tes!U3=0,"",SER_hh_tes!U3/SER_hh_fec!U3)</f>
        <v>0.75403020682238087</v>
      </c>
      <c r="V3" s="127">
        <f>IF(SER_hh_tes!V3=0,"",SER_hh_tes!V3/SER_hh_fec!V3)</f>
        <v>0.76274847020146186</v>
      </c>
      <c r="W3" s="127">
        <f>IF(SER_hh_tes!W3=0,"",SER_hh_tes!W3/SER_hh_fec!W3)</f>
        <v>0.78135768234385194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0.60863135504712462</v>
      </c>
      <c r="C4" s="136">
        <f>IF(SER_hh_tes!C4=0,"",SER_hh_tes!C4/SER_hh_fec!C4)</f>
        <v>0.62232271165106745</v>
      </c>
      <c r="D4" s="136">
        <f>IF(SER_hh_tes!D4=0,"",SER_hh_tes!D4/SER_hh_fec!D4)</f>
        <v>0.62189181718290765</v>
      </c>
      <c r="E4" s="136">
        <f>IF(SER_hh_tes!E4=0,"",SER_hh_tes!E4/SER_hh_fec!E4)</f>
        <v>0.63775932738020391</v>
      </c>
      <c r="F4" s="136">
        <f>IF(SER_hh_tes!F4=0,"",SER_hh_tes!F4/SER_hh_fec!F4)</f>
        <v>0.64142716509958608</v>
      </c>
      <c r="G4" s="136">
        <f>IF(SER_hh_tes!G4=0,"",SER_hh_tes!G4/SER_hh_fec!G4)</f>
        <v>0.64727356065230668</v>
      </c>
      <c r="H4" s="136">
        <f>IF(SER_hh_tes!H4=0,"",SER_hh_tes!H4/SER_hh_fec!H4)</f>
        <v>0.65086795273770903</v>
      </c>
      <c r="I4" s="136">
        <f>IF(SER_hh_tes!I4=0,"",SER_hh_tes!I4/SER_hh_fec!I4)</f>
        <v>0.66036194692081296</v>
      </c>
      <c r="J4" s="136">
        <f>IF(SER_hh_tes!J4=0,"",SER_hh_tes!J4/SER_hh_fec!J4)</f>
        <v>0.65993774975967423</v>
      </c>
      <c r="K4" s="136">
        <f>IF(SER_hh_tes!K4=0,"",SER_hh_tes!K4/SER_hh_fec!K4)</f>
        <v>0.67025110202281535</v>
      </c>
      <c r="L4" s="136">
        <f>IF(SER_hh_tes!L4=0,"",SER_hh_tes!L4/SER_hh_fec!L4)</f>
        <v>0.6757351871332552</v>
      </c>
      <c r="M4" s="136">
        <f>IF(SER_hh_tes!M4=0,"",SER_hh_tes!M4/SER_hh_fec!M4)</f>
        <v>0.66910232088932275</v>
      </c>
      <c r="N4" s="136">
        <f>IF(SER_hh_tes!N4=0,"",SER_hh_tes!N4/SER_hh_fec!N4)</f>
        <v>0.68719919536921392</v>
      </c>
      <c r="O4" s="136">
        <f>IF(SER_hh_tes!O4=0,"",SER_hh_tes!O4/SER_hh_fec!O4)</f>
        <v>0.6823056125839122</v>
      </c>
      <c r="P4" s="136">
        <f>IF(SER_hh_tes!P4=0,"",SER_hh_tes!P4/SER_hh_fec!P4)</f>
        <v>0.68972082202331852</v>
      </c>
      <c r="Q4" s="136">
        <f>IF(SER_hh_tes!Q4=0,"",SER_hh_tes!Q4/SER_hh_fec!Q4)</f>
        <v>0.69754300764125932</v>
      </c>
      <c r="R4" s="136">
        <f>IF(SER_hh_tes!R4=0,"",SER_hh_tes!R4/SER_hh_fec!R4)</f>
        <v>0.69938480280820969</v>
      </c>
      <c r="S4" s="136">
        <f>IF(SER_hh_tes!S4=0,"",SER_hh_tes!S4/SER_hh_fec!S4)</f>
        <v>0.7146205216902809</v>
      </c>
      <c r="T4" s="136">
        <f>IF(SER_hh_tes!T4=0,"",SER_hh_tes!T4/SER_hh_fec!T4)</f>
        <v>0.72220198108317135</v>
      </c>
      <c r="U4" s="136">
        <f>IF(SER_hh_tes!U4=0,"",SER_hh_tes!U4/SER_hh_fec!U4)</f>
        <v>0.72625766748196119</v>
      </c>
      <c r="V4" s="136">
        <f>IF(SER_hh_tes!V4=0,"",SER_hh_tes!V4/SER_hh_fec!V4)</f>
        <v>0.73088935051045634</v>
      </c>
      <c r="W4" s="136">
        <f>IF(SER_hh_tes!W4=0,"",SER_hh_tes!W4/SER_hh_fec!W4)</f>
        <v>0.75172244813129896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0.48951492531723706</v>
      </c>
      <c r="C5" s="137">
        <f>IF(SER_hh_tes!C5=0,"",SER_hh_tes!C5/SER_hh_fec!C5)</f>
        <v>0.49379968755576137</v>
      </c>
      <c r="D5" s="137">
        <f>IF(SER_hh_tes!D5=0,"",SER_hh_tes!D5/SER_hh_fec!D5)</f>
        <v>0.50455067377856144</v>
      </c>
      <c r="E5" s="137">
        <f>IF(SER_hh_tes!E5=0,"",SER_hh_tes!E5/SER_hh_fec!E5)</f>
        <v>0.51463361964845711</v>
      </c>
      <c r="F5" s="137">
        <f>IF(SER_hh_tes!F5=0,"",SER_hh_tes!F5/SER_hh_fec!F5)</f>
        <v>0.52733415949203788</v>
      </c>
      <c r="G5" s="137">
        <f>IF(SER_hh_tes!G5=0,"",SER_hh_tes!G5/SER_hh_fec!G5)</f>
        <v>0.54035101017772746</v>
      </c>
      <c r="H5" s="137">
        <f>IF(SER_hh_tes!H5=0,"",SER_hh_tes!H5/SER_hh_fec!H5)</f>
        <v>0.5495324070549702</v>
      </c>
      <c r="I5" s="137">
        <f>IF(SER_hh_tes!I5=0,"",SER_hh_tes!I5/SER_hh_fec!I5)</f>
        <v>0.55733136842319897</v>
      </c>
      <c r="J5" s="137">
        <f>IF(SER_hh_tes!J5=0,"",SER_hh_tes!J5/SER_hh_fec!J5)</f>
        <v>0.56542620365644158</v>
      </c>
      <c r="K5" s="137">
        <f>IF(SER_hh_tes!K5=0,"",SER_hh_tes!K5/SER_hh_fec!K5)</f>
        <v>0.5756632031750295</v>
      </c>
      <c r="L5" s="137">
        <f>IF(SER_hh_tes!L5=0,"",SER_hh_tes!L5/SER_hh_fec!L5)</f>
        <v>0.5859263831790954</v>
      </c>
      <c r="M5" s="137">
        <f>IF(SER_hh_tes!M5=0,"",SER_hh_tes!M5/SER_hh_fec!M5)</f>
        <v>0.59468448894078441</v>
      </c>
      <c r="N5" s="137">
        <f>IF(SER_hh_tes!N5=0,"",SER_hh_tes!N5/SER_hh_fec!N5)</f>
        <v>0.60385485196344035</v>
      </c>
      <c r="O5" s="137">
        <f>IF(SER_hh_tes!O5=0,"",SER_hh_tes!O5/SER_hh_fec!O5)</f>
        <v>0.61214148381009592</v>
      </c>
      <c r="P5" s="137">
        <f>IF(SER_hh_tes!P5=0,"",SER_hh_tes!P5/SER_hh_fec!P5)</f>
        <v>0.6134370752885584</v>
      </c>
      <c r="Q5" s="137">
        <f>IF(SER_hh_tes!Q5=0,"",SER_hh_tes!Q5/SER_hh_fec!Q5)</f>
        <v>0.61498501495260671</v>
      </c>
      <c r="R5" s="137">
        <f>IF(SER_hh_tes!R5=0,"",SER_hh_tes!R5/SER_hh_fec!R5)</f>
        <v>0.6203827281731038</v>
      </c>
      <c r="S5" s="137">
        <f>IF(SER_hh_tes!S5=0,"",SER_hh_tes!S5/SER_hh_fec!S5)</f>
        <v>0.62792706200461557</v>
      </c>
      <c r="T5" s="137">
        <f>IF(SER_hh_tes!T5=0,"",SER_hh_tes!T5/SER_hh_fec!T5)</f>
        <v>0.63692706709592217</v>
      </c>
      <c r="U5" s="137">
        <f>IF(SER_hh_tes!U5=0,"",SER_hh_tes!U5/SER_hh_fec!U5)</f>
        <v>0.64369830691805419</v>
      </c>
      <c r="V5" s="137">
        <f>IF(SER_hh_tes!V5=0,"",SER_hh_tes!V5/SER_hh_fec!V5)</f>
        <v>0.64905996815420208</v>
      </c>
      <c r="W5" s="137">
        <f>IF(SER_hh_tes!W5=0,"",SER_hh_tes!W5/SER_hh_fec!W5)</f>
        <v>0.65681921987140313</v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0.42369668767214058</v>
      </c>
      <c r="C7" s="137">
        <f>IF(SER_hh_tes!C7=0,"",SER_hh_tes!C7/SER_hh_fec!C7)</f>
        <v>0.42369668767214058</v>
      </c>
      <c r="D7" s="137">
        <f>IF(SER_hh_tes!D7=0,"",SER_hh_tes!D7/SER_hh_fec!D7)</f>
        <v>0.42369668767214058</v>
      </c>
      <c r="E7" s="137">
        <f>IF(SER_hh_tes!E7=0,"",SER_hh_tes!E7/SER_hh_fec!E7)</f>
        <v>0.42369668767214058</v>
      </c>
      <c r="F7" s="137">
        <f>IF(SER_hh_tes!F7=0,"",SER_hh_tes!F7/SER_hh_fec!F7)</f>
        <v>0.42369668767214058</v>
      </c>
      <c r="G7" s="137">
        <f>IF(SER_hh_tes!G7=0,"",SER_hh_tes!G7/SER_hh_fec!G7)</f>
        <v>0.42369668767214058</v>
      </c>
      <c r="H7" s="137">
        <f>IF(SER_hh_tes!H7=0,"",SER_hh_tes!H7/SER_hh_fec!H7)</f>
        <v>0.42369668767214058</v>
      </c>
      <c r="I7" s="137">
        <f>IF(SER_hh_tes!I7=0,"",SER_hh_tes!I7/SER_hh_fec!I7)</f>
        <v>0.42369668767214058</v>
      </c>
      <c r="J7" s="137">
        <f>IF(SER_hh_tes!J7=0,"",SER_hh_tes!J7/SER_hh_fec!J7)</f>
        <v>0.43104080656703236</v>
      </c>
      <c r="K7" s="137">
        <f>IF(SER_hh_tes!K7=0,"",SER_hh_tes!K7/SER_hh_fec!K7)</f>
        <v>0.44393859136411407</v>
      </c>
      <c r="L7" s="137">
        <f>IF(SER_hh_tes!L7=0,"",SER_hh_tes!L7/SER_hh_fec!L7)</f>
        <v>0.46442197252074169</v>
      </c>
      <c r="M7" s="137">
        <f>IF(SER_hh_tes!M7=0,"",SER_hh_tes!M7/SER_hh_fec!M7)</f>
        <v>0.49289197840136739</v>
      </c>
      <c r="N7" s="137">
        <f>IF(SER_hh_tes!N7=0,"",SER_hh_tes!N7/SER_hh_fec!N7)</f>
        <v>0.5267411311854634</v>
      </c>
      <c r="O7" s="137">
        <f>IF(SER_hh_tes!O7=0,"",SER_hh_tes!O7/SER_hh_fec!O7)</f>
        <v>0.564706238015932</v>
      </c>
      <c r="P7" s="137">
        <f>IF(SER_hh_tes!P7=0,"",SER_hh_tes!P7/SER_hh_fec!P7)</f>
        <v>0.56486198158643763</v>
      </c>
      <c r="Q7" s="137">
        <f>IF(SER_hh_tes!Q7=0,"",SER_hh_tes!Q7/SER_hh_fec!Q7)</f>
        <v>0.56490255343621631</v>
      </c>
      <c r="R7" s="137">
        <f>IF(SER_hh_tes!R7=0,"",SER_hh_tes!R7/SER_hh_fec!R7)</f>
        <v>0.56490255343621643</v>
      </c>
      <c r="S7" s="137">
        <f>IF(SER_hh_tes!S7=0,"",SER_hh_tes!S7/SER_hh_fec!S7)</f>
        <v>0.56490255343621676</v>
      </c>
      <c r="T7" s="137">
        <f>IF(SER_hh_tes!T7=0,"",SER_hh_tes!T7/SER_hh_fec!T7)</f>
        <v>0.5649025534362172</v>
      </c>
      <c r="U7" s="137">
        <f>IF(SER_hh_tes!U7=0,"",SER_hh_tes!U7/SER_hh_fec!U7)</f>
        <v>0.57886587931474898</v>
      </c>
      <c r="V7" s="137">
        <f>IF(SER_hh_tes!V7=0,"",SER_hh_tes!V7/SER_hh_fec!V7)</f>
        <v>0.59538495643096723</v>
      </c>
      <c r="W7" s="137">
        <f>IF(SER_hh_tes!W7=0,"",SER_hh_tes!W7/SER_hh_fec!W7)</f>
        <v>0.60096379001005706</v>
      </c>
      <c r="DA7" s="164" t="s">
        <v>333</v>
      </c>
    </row>
    <row r="8" spans="1:105" ht="12" customHeight="1" x14ac:dyDescent="0.25">
      <c r="A8" s="132" t="s">
        <v>73</v>
      </c>
      <c r="B8" s="137" t="str">
        <f>IF(SER_hh_tes!B8=0,"",SER_hh_tes!B8/SER_hh_fec!B8)</f>
        <v/>
      </c>
      <c r="C8" s="137" t="str">
        <f>IF(SER_hh_tes!C8=0,"",SER_hh_tes!C8/SER_hh_fec!C8)</f>
        <v/>
      </c>
      <c r="D8" s="137" t="str">
        <f>IF(SER_hh_tes!D8=0,"",SER_hh_tes!D8/SER_hh_fec!D8)</f>
        <v/>
      </c>
      <c r="E8" s="137" t="str">
        <f>IF(SER_hh_tes!E8=0,"",SER_hh_tes!E8/SER_hh_fec!E8)</f>
        <v/>
      </c>
      <c r="F8" s="137" t="str">
        <f>IF(SER_hh_tes!F8=0,"",SER_hh_tes!F8/SER_hh_fec!F8)</f>
        <v/>
      </c>
      <c r="G8" s="137" t="str">
        <f>IF(SER_hh_tes!G8=0,"",SER_hh_tes!G8/SER_hh_fec!G8)</f>
        <v/>
      </c>
      <c r="H8" s="137" t="str">
        <f>IF(SER_hh_tes!H8=0,"",SER_hh_tes!H8/SER_hh_fec!H8)</f>
        <v/>
      </c>
      <c r="I8" s="137" t="str">
        <f>IF(SER_hh_tes!I8=0,"",SER_hh_tes!I8/SER_hh_fec!I8)</f>
        <v/>
      </c>
      <c r="J8" s="137" t="str">
        <f>IF(SER_hh_tes!J8=0,"",SER_hh_tes!J8/SER_hh_fec!J8)</f>
        <v/>
      </c>
      <c r="K8" s="137" t="str">
        <f>IF(SER_hh_tes!K8=0,"",SER_hh_tes!K8/SER_hh_fec!K8)</f>
        <v/>
      </c>
      <c r="L8" s="137" t="str">
        <f>IF(SER_hh_tes!L8=0,"",SER_hh_tes!L8/SER_hh_fec!L8)</f>
        <v/>
      </c>
      <c r="M8" s="137" t="str">
        <f>IF(SER_hh_tes!M8=0,"",SER_hh_tes!M8/SER_hh_fec!M8)</f>
        <v/>
      </c>
      <c r="N8" s="137" t="str">
        <f>IF(SER_hh_tes!N8=0,"",SER_hh_tes!N8/SER_hh_fec!N8)</f>
        <v/>
      </c>
      <c r="O8" s="137" t="str">
        <f>IF(SER_hh_tes!O8=0,"",SER_hh_tes!O8/SER_hh_fec!O8)</f>
        <v/>
      </c>
      <c r="P8" s="137" t="str">
        <f>IF(SER_hh_tes!P8=0,"",SER_hh_tes!P8/SER_hh_fec!P8)</f>
        <v/>
      </c>
      <c r="Q8" s="137" t="str">
        <f>IF(SER_hh_tes!Q8=0,"",SER_hh_tes!Q8/SER_hh_fec!Q8)</f>
        <v/>
      </c>
      <c r="R8" s="137" t="str">
        <f>IF(SER_hh_tes!R8=0,"",SER_hh_tes!R8/SER_hh_fec!R8)</f>
        <v/>
      </c>
      <c r="S8" s="137" t="str">
        <f>IF(SER_hh_tes!S8=0,"",SER_hh_tes!S8/SER_hh_fec!S8)</f>
        <v/>
      </c>
      <c r="T8" s="137" t="str">
        <f>IF(SER_hh_tes!T8=0,"",SER_hh_tes!T8/SER_hh_fec!T8)</f>
        <v/>
      </c>
      <c r="U8" s="137" t="str">
        <f>IF(SER_hh_tes!U8=0,"",SER_hh_tes!U8/SER_hh_fec!U8)</f>
        <v/>
      </c>
      <c r="V8" s="137" t="str">
        <f>IF(SER_hh_tes!V8=0,"",SER_hh_tes!V8/SER_hh_fec!V8)</f>
        <v/>
      </c>
      <c r="W8" s="137" t="str">
        <f>IF(SER_hh_tes!W8=0,"",SER_hh_tes!W8/SER_hh_fec!W8)</f>
        <v/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0.46573263005058724</v>
      </c>
      <c r="C9" s="137">
        <f>IF(SER_hh_tes!C9=0,"",SER_hh_tes!C9/SER_hh_fec!C9)</f>
        <v>0.4797681453196504</v>
      </c>
      <c r="D9" s="137">
        <f>IF(SER_hh_tes!D9=0,"",SER_hh_tes!D9/SER_hh_fec!D9)</f>
        <v>0.49755447743841602</v>
      </c>
      <c r="E9" s="137">
        <f>IF(SER_hh_tes!E9=0,"",SER_hh_tes!E9/SER_hh_fec!E9)</f>
        <v>0.51208901612252278</v>
      </c>
      <c r="F9" s="137">
        <f>IF(SER_hh_tes!F9=0,"",SER_hh_tes!F9/SER_hh_fec!F9)</f>
        <v>0.52618541033337685</v>
      </c>
      <c r="G9" s="137">
        <f>IF(SER_hh_tes!G9=0,"",SER_hh_tes!G9/SER_hh_fec!G9)</f>
        <v>0.53664911497324919</v>
      </c>
      <c r="H9" s="137">
        <f>IF(SER_hh_tes!H9=0,"",SER_hh_tes!H9/SER_hh_fec!H9)</f>
        <v>0.54675670330171644</v>
      </c>
      <c r="I9" s="137">
        <f>IF(SER_hh_tes!I9=0,"",SER_hh_tes!I9/SER_hh_fec!I9)</f>
        <v>0.55710072399871302</v>
      </c>
      <c r="J9" s="137">
        <f>IF(SER_hh_tes!J9=0,"",SER_hh_tes!J9/SER_hh_fec!J9)</f>
        <v>0.56452779054333768</v>
      </c>
      <c r="K9" s="137">
        <f>IF(SER_hh_tes!K9=0,"",SER_hh_tes!K9/SER_hh_fec!K9)</f>
        <v>0.5701050335567166</v>
      </c>
      <c r="L9" s="137">
        <f>IF(SER_hh_tes!L9=0,"",SER_hh_tes!L9/SER_hh_fec!L9)</f>
        <v>0.57622979473055713</v>
      </c>
      <c r="M9" s="137">
        <f>IF(SER_hh_tes!M9=0,"",SER_hh_tes!M9/SER_hh_fec!M9)</f>
        <v>0.58302561750550119</v>
      </c>
      <c r="N9" s="137">
        <f>IF(SER_hh_tes!N9=0,"",SER_hh_tes!N9/SER_hh_fec!N9)</f>
        <v>0.59151014915629974</v>
      </c>
      <c r="O9" s="137">
        <f>IF(SER_hh_tes!O9=0,"",SER_hh_tes!O9/SER_hh_fec!O9)</f>
        <v>0.60193788171070062</v>
      </c>
      <c r="P9" s="137">
        <f>IF(SER_hh_tes!P9=0,"",SER_hh_tes!P9/SER_hh_fec!P9)</f>
        <v>0.60882643669074432</v>
      </c>
      <c r="Q9" s="137">
        <f>IF(SER_hh_tes!Q9=0,"",SER_hh_tes!Q9/SER_hh_fec!Q9)</f>
        <v>0.61910930496464112</v>
      </c>
      <c r="R9" s="137">
        <f>IF(SER_hh_tes!R9=0,"",SER_hh_tes!R9/SER_hh_fec!R9)</f>
        <v>0.62792896236227447</v>
      </c>
      <c r="S9" s="137">
        <f>IF(SER_hh_tes!S9=0,"",SER_hh_tes!S9/SER_hh_fec!S9)</f>
        <v>0.63832585272969622</v>
      </c>
      <c r="T9" s="137">
        <f>IF(SER_hh_tes!T9=0,"",SER_hh_tes!T9/SER_hh_fec!T9)</f>
        <v>0.64981337864022015</v>
      </c>
      <c r="U9" s="137">
        <f>IF(SER_hh_tes!U9=0,"",SER_hh_tes!U9/SER_hh_fec!U9)</f>
        <v>0.66144779426157108</v>
      </c>
      <c r="V9" s="137">
        <f>IF(SER_hh_tes!V9=0,"",SER_hh_tes!V9/SER_hh_fec!V9)</f>
        <v>0.67013016007028114</v>
      </c>
      <c r="W9" s="137">
        <f>IF(SER_hh_tes!W9=0,"",SER_hh_tes!W9/SER_hh_fec!W9)</f>
        <v>0.67779153291899064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0.41826537723402402</v>
      </c>
      <c r="C10" s="137">
        <f>IF(SER_hh_tes!C10=0,"",SER_hh_tes!C10/SER_hh_fec!C10)</f>
        <v>0.42494417141330471</v>
      </c>
      <c r="D10" s="137">
        <f>IF(SER_hh_tes!D10=0,"",SER_hh_tes!D10/SER_hh_fec!D10)</f>
        <v>0.42846985106307978</v>
      </c>
      <c r="E10" s="137">
        <f>IF(SER_hh_tes!E10=0,"",SER_hh_tes!E10/SER_hh_fec!E10)</f>
        <v>0.43089858863975572</v>
      </c>
      <c r="F10" s="137">
        <f>IF(SER_hh_tes!F10=0,"",SER_hh_tes!F10/SER_hh_fec!F10)</f>
        <v>0.43454525301094699</v>
      </c>
      <c r="G10" s="137">
        <f>IF(SER_hh_tes!G10=0,"",SER_hh_tes!G10/SER_hh_fec!G10)</f>
        <v>0.44062462196497038</v>
      </c>
      <c r="H10" s="137">
        <f>IF(SER_hh_tes!H10=0,"",SER_hh_tes!H10/SER_hh_fec!H10)</f>
        <v>0.44863471279796713</v>
      </c>
      <c r="I10" s="137">
        <f>IF(SER_hh_tes!I10=0,"",SER_hh_tes!I10/SER_hh_fec!I10)</f>
        <v>0.45875869743210534</v>
      </c>
      <c r="J10" s="137">
        <f>IF(SER_hh_tes!J10=0,"",SER_hh_tes!J10/SER_hh_fec!J10)</f>
        <v>0.46965254955039609</v>
      </c>
      <c r="K10" s="137">
        <f>IF(SER_hh_tes!K10=0,"",SER_hh_tes!K10/SER_hh_fec!K10)</f>
        <v>0.47943230024213085</v>
      </c>
      <c r="L10" s="137">
        <f>IF(SER_hh_tes!L10=0,"",SER_hh_tes!L10/SER_hh_fec!L10)</f>
        <v>0.48809022338813779</v>
      </c>
      <c r="M10" s="137">
        <f>IF(SER_hh_tes!M10=0,"",SER_hh_tes!M10/SER_hh_fec!M10)</f>
        <v>0.49663059427485956</v>
      </c>
      <c r="N10" s="137">
        <f>IF(SER_hh_tes!N10=0,"",SER_hh_tes!N10/SER_hh_fec!N10)</f>
        <v>0.5038845089710714</v>
      </c>
      <c r="O10" s="137">
        <f>IF(SER_hh_tes!O10=0,"",SER_hh_tes!O10/SER_hh_fec!O10)</f>
        <v>0.50922169321642619</v>
      </c>
      <c r="P10" s="137">
        <f>IF(SER_hh_tes!P10=0,"",SER_hh_tes!P10/SER_hh_fec!P10)</f>
        <v>0.50930866699612365</v>
      </c>
      <c r="Q10" s="137">
        <f>IF(SER_hh_tes!Q10=0,"",SER_hh_tes!Q10/SER_hh_fec!Q10)</f>
        <v>0.50937869010844905</v>
      </c>
      <c r="R10" s="137">
        <f>IF(SER_hh_tes!R10=0,"",SER_hh_tes!R10/SER_hh_fec!R10)</f>
        <v>0.50942707860888781</v>
      </c>
      <c r="S10" s="137">
        <f>IF(SER_hh_tes!S10=0,"",SER_hh_tes!S10/SER_hh_fec!S10)</f>
        <v>0.50948837863632523</v>
      </c>
      <c r="T10" s="137">
        <f>IF(SER_hh_tes!T10=0,"",SER_hh_tes!T10/SER_hh_fec!T10)</f>
        <v>0.50953022137021109</v>
      </c>
      <c r="U10" s="137">
        <f>IF(SER_hh_tes!U10=0,"",SER_hh_tes!U10/SER_hh_fec!U10)</f>
        <v>0.50971800506127973</v>
      </c>
      <c r="V10" s="137">
        <f>IF(SER_hh_tes!V10=0,"",SER_hh_tes!V10/SER_hh_fec!V10)</f>
        <v>0.50995505192843438</v>
      </c>
      <c r="W10" s="137">
        <f>IF(SER_hh_tes!W10=0,"",SER_hh_tes!W10/SER_hh_fec!W10)</f>
        <v>0.51022928654432176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 t="str">
        <f>IF(SER_hh_tes!G11=0,"",SER_hh_tes!G11/SER_hh_fec!G11)</f>
        <v/>
      </c>
      <c r="H11" s="137" t="str">
        <f>IF(SER_hh_tes!H11=0,"",SER_hh_tes!H11/SER_hh_fec!H11)</f>
        <v/>
      </c>
      <c r="I11" s="137" t="str">
        <f>IF(SER_hh_tes!I11=0,"",SER_hh_tes!I11/SER_hh_fec!I11)</f>
        <v/>
      </c>
      <c r="J11" s="137" t="str">
        <f>IF(SER_hh_tes!J11=0,"",SER_hh_tes!J11/SER_hh_fec!J11)</f>
        <v/>
      </c>
      <c r="K11" s="137" t="str">
        <f>IF(SER_hh_tes!K11=0,"",SER_hh_tes!K11/SER_hh_fec!K11)</f>
        <v/>
      </c>
      <c r="L11" s="137" t="str">
        <f>IF(SER_hh_tes!L11=0,"",SER_hh_tes!L11/SER_hh_fec!L11)</f>
        <v/>
      </c>
      <c r="M11" s="137" t="str">
        <f>IF(SER_hh_tes!M11=0,"",SER_hh_tes!M11/SER_hh_fec!M11)</f>
        <v/>
      </c>
      <c r="N11" s="137" t="str">
        <f>IF(SER_hh_tes!N11=0,"",SER_hh_tes!N11/SER_hh_fec!N11)</f>
        <v/>
      </c>
      <c r="O11" s="137" t="str">
        <f>IF(SER_hh_tes!O11=0,"",SER_hh_tes!O11/SER_hh_fec!O11)</f>
        <v/>
      </c>
      <c r="P11" s="137" t="str">
        <f>IF(SER_hh_tes!P11=0,"",SER_hh_tes!P11/SER_hh_fec!P11)</f>
        <v/>
      </c>
      <c r="Q11" s="137" t="str">
        <f>IF(SER_hh_tes!Q11=0,"",SER_hh_tes!Q11/SER_hh_fec!Q11)</f>
        <v/>
      </c>
      <c r="R11" s="137" t="str">
        <f>IF(SER_hh_tes!R11=0,"",SER_hh_tes!R11/SER_hh_fec!R11)</f>
        <v/>
      </c>
      <c r="S11" s="137" t="str">
        <f>IF(SER_hh_tes!S11=0,"",SER_hh_tes!S11/SER_hh_fec!S11)</f>
        <v/>
      </c>
      <c r="T11" s="137" t="str">
        <f>IF(SER_hh_tes!T11=0,"",SER_hh_tes!T11/SER_hh_fec!T11)</f>
        <v/>
      </c>
      <c r="U11" s="137" t="str">
        <f>IF(SER_hh_tes!U11=0,"",SER_hh_tes!U11/SER_hh_fec!U11)</f>
        <v/>
      </c>
      <c r="V11" s="137" t="str">
        <f>IF(SER_hh_tes!V11=0,"",SER_hh_tes!V11/SER_hh_fec!V11)</f>
        <v/>
      </c>
      <c r="W11" s="137" t="str">
        <f>IF(SER_hh_tes!W11=0,"",SER_hh_tes!W11/SER_hh_fec!W11)</f>
        <v/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0.72424526738205863</v>
      </c>
      <c r="C12" s="137">
        <f>IF(SER_hh_tes!C12=0,"",SER_hh_tes!C12/SER_hh_fec!C12)</f>
        <v>0.72739766720990762</v>
      </c>
      <c r="D12" s="137">
        <f>IF(SER_hh_tes!D12=0,"",SER_hh_tes!D12/SER_hh_fec!D12)</f>
        <v>0.73006503751445639</v>
      </c>
      <c r="E12" s="137">
        <f>IF(SER_hh_tes!E12=0,"",SER_hh_tes!E12/SER_hh_fec!E12)</f>
        <v>0.73358229177431766</v>
      </c>
      <c r="F12" s="137">
        <f>IF(SER_hh_tes!F12=0,"",SER_hh_tes!F12/SER_hh_fec!F12)</f>
        <v>0.7364633138278549</v>
      </c>
      <c r="G12" s="137">
        <f>IF(SER_hh_tes!G12=0,"",SER_hh_tes!G12/SER_hh_fec!G12)</f>
        <v>0.73963104242138533</v>
      </c>
      <c r="H12" s="137">
        <f>IF(SER_hh_tes!H12=0,"",SER_hh_tes!H12/SER_hh_fec!H12)</f>
        <v>0.74230837322810661</v>
      </c>
      <c r="I12" s="137">
        <f>IF(SER_hh_tes!I12=0,"",SER_hh_tes!I12/SER_hh_fec!I12)</f>
        <v>0.74705787213892771</v>
      </c>
      <c r="J12" s="137">
        <f>IF(SER_hh_tes!J12=0,"",SER_hh_tes!J12/SER_hh_fec!J12)</f>
        <v>0.75032934988297662</v>
      </c>
      <c r="K12" s="137">
        <f>IF(SER_hh_tes!K12=0,"",SER_hh_tes!K12/SER_hh_fec!K12)</f>
        <v>0.75282650331654499</v>
      </c>
      <c r="L12" s="137">
        <f>IF(SER_hh_tes!L12=0,"",SER_hh_tes!L12/SER_hh_fec!L12)</f>
        <v>0.756142041868204</v>
      </c>
      <c r="M12" s="137">
        <f>IF(SER_hh_tes!M12=0,"",SER_hh_tes!M12/SER_hh_fec!M12)</f>
        <v>0.75987206438037402</v>
      </c>
      <c r="N12" s="137">
        <f>IF(SER_hh_tes!N12=0,"",SER_hh_tes!N12/SER_hh_fec!N12)</f>
        <v>0.76372263990432743</v>
      </c>
      <c r="O12" s="137">
        <f>IF(SER_hh_tes!O12=0,"",SER_hh_tes!O12/SER_hh_fec!O12)</f>
        <v>0.76777389104540839</v>
      </c>
      <c r="P12" s="137">
        <f>IF(SER_hh_tes!P12=0,"",SER_hh_tes!P12/SER_hh_fec!P12)</f>
        <v>0.77055419046507978</v>
      </c>
      <c r="Q12" s="137">
        <f>IF(SER_hh_tes!Q12=0,"",SER_hh_tes!Q12/SER_hh_fec!Q12)</f>
        <v>0.77392023213083716</v>
      </c>
      <c r="R12" s="137">
        <f>IF(SER_hh_tes!R12=0,"",SER_hh_tes!R12/SER_hh_fec!R12)</f>
        <v>0.77864638442438228</v>
      </c>
      <c r="S12" s="137">
        <f>IF(SER_hh_tes!S12=0,"",SER_hh_tes!S12/SER_hh_fec!S12)</f>
        <v>0.78502949204130057</v>
      </c>
      <c r="T12" s="137">
        <f>IF(SER_hh_tes!T12=0,"",SER_hh_tes!T12/SER_hh_fec!T12)</f>
        <v>0.79038226305625026</v>
      </c>
      <c r="U12" s="137">
        <f>IF(SER_hh_tes!U12=0,"",SER_hh_tes!U12/SER_hh_fec!U12)</f>
        <v>0.7963061229095596</v>
      </c>
      <c r="V12" s="137">
        <f>IF(SER_hh_tes!V12=0,"",SER_hh_tes!V12/SER_hh_fec!V12)</f>
        <v>0.80354882029993291</v>
      </c>
      <c r="W12" s="137">
        <f>IF(SER_hh_tes!W12=0,"",SER_hh_tes!W12/SER_hh_fec!W12)</f>
        <v>0.81051949038504589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1.2591834459423554</v>
      </c>
      <c r="C13" s="137">
        <f>IF(SER_hh_tes!C13=0,"",SER_hh_tes!C13/SER_hh_fec!C13)</f>
        <v>1.2721744103309656</v>
      </c>
      <c r="D13" s="137">
        <f>IF(SER_hh_tes!D13=0,"",SER_hh_tes!D13/SER_hh_fec!D13)</f>
        <v>1.3312977780492297</v>
      </c>
      <c r="E13" s="137">
        <f>IF(SER_hh_tes!E13=0,"",SER_hh_tes!E13/SER_hh_fec!E13)</f>
        <v>1.3967045301082948</v>
      </c>
      <c r="F13" s="137">
        <f>IF(SER_hh_tes!F13=0,"",SER_hh_tes!F13/SER_hh_fec!F13)</f>
        <v>1.4593619975635392</v>
      </c>
      <c r="G13" s="137">
        <f>IF(SER_hh_tes!G13=0,"",SER_hh_tes!G13/SER_hh_fec!G13)</f>
        <v>1.5264830568808629</v>
      </c>
      <c r="H13" s="137">
        <f>IF(SER_hh_tes!H13=0,"",SER_hh_tes!H13/SER_hh_fec!H13)</f>
        <v>1.6072158916079462</v>
      </c>
      <c r="I13" s="137">
        <f>IF(SER_hh_tes!I13=0,"",SER_hh_tes!I13/SER_hh_fec!I13)</f>
        <v>1.6974754967187959</v>
      </c>
      <c r="J13" s="137">
        <f>IF(SER_hh_tes!J13=0,"",SER_hh_tes!J13/SER_hh_fec!J13)</f>
        <v>1.7959913288458553</v>
      </c>
      <c r="K13" s="137">
        <f>IF(SER_hh_tes!K13=0,"",SER_hh_tes!K13/SER_hh_fec!K13)</f>
        <v>1.8896490817333134</v>
      </c>
      <c r="L13" s="137">
        <f>IF(SER_hh_tes!L13=0,"",SER_hh_tes!L13/SER_hh_fec!L13)</f>
        <v>1.9968362987201638</v>
      </c>
      <c r="M13" s="137">
        <f>IF(SER_hh_tes!M13=0,"",SER_hh_tes!M13/SER_hh_fec!M13)</f>
        <v>2.1400399530319811</v>
      </c>
      <c r="N13" s="137">
        <f>IF(SER_hh_tes!N13=0,"",SER_hh_tes!N13/SER_hh_fec!N13)</f>
        <v>2.2869278023959265</v>
      </c>
      <c r="O13" s="137">
        <f>IF(SER_hh_tes!O13=0,"",SER_hh_tes!O13/SER_hh_fec!O13)</f>
        <v>2.4274418878127015</v>
      </c>
      <c r="P13" s="137">
        <f>IF(SER_hh_tes!P13=0,"",SER_hh_tes!P13/SER_hh_fec!P13)</f>
        <v>2.5466381596208967</v>
      </c>
      <c r="Q13" s="137">
        <f>IF(SER_hh_tes!Q13=0,"",SER_hh_tes!Q13/SER_hh_fec!Q13)</f>
        <v>2.619795517684286</v>
      </c>
      <c r="R13" s="137">
        <f>IF(SER_hh_tes!R13=0,"",SER_hh_tes!R13/SER_hh_fec!R13)</f>
        <v>2.6549426129747302</v>
      </c>
      <c r="S13" s="137">
        <f>IF(SER_hh_tes!S13=0,"",SER_hh_tes!S13/SER_hh_fec!S13)</f>
        <v>2.6748547385421872</v>
      </c>
      <c r="T13" s="137">
        <f>IF(SER_hh_tes!T13=0,"",SER_hh_tes!T13/SER_hh_fec!T13)</f>
        <v>2.7066240178486329</v>
      </c>
      <c r="U13" s="137">
        <f>IF(SER_hh_tes!U13=0,"",SER_hh_tes!U13/SER_hh_fec!U13)</f>
        <v>2.7786776770384547</v>
      </c>
      <c r="V13" s="137">
        <f>IF(SER_hh_tes!V13=0,"",SER_hh_tes!V13/SER_hh_fec!V13)</f>
        <v>2.8554088659396104</v>
      </c>
      <c r="W13" s="137">
        <f>IF(SER_hh_tes!W13=0,"",SER_hh_tes!W13/SER_hh_fec!W13)</f>
        <v>2.9451891737387919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0.64348458309099055</v>
      </c>
      <c r="C14" s="138">
        <f>IF(SER_hh_tes!C14=0,"",SER_hh_tes!C14/SER_hh_fec!C14)</f>
        <v>0.64726360675352035</v>
      </c>
      <c r="D14" s="138">
        <f>IF(SER_hh_tes!D14=0,"",SER_hh_tes!D14/SER_hh_fec!D14)</f>
        <v>0.65428223823434684</v>
      </c>
      <c r="E14" s="138">
        <f>IF(SER_hh_tes!E14=0,"",SER_hh_tes!E14/SER_hh_fec!E14)</f>
        <v>0.66159277515146453</v>
      </c>
      <c r="F14" s="138">
        <f>IF(SER_hh_tes!F14=0,"",SER_hh_tes!F14/SER_hh_fec!F14)</f>
        <v>0.66639578262196975</v>
      </c>
      <c r="G14" s="138">
        <f>IF(SER_hh_tes!G14=0,"",SER_hh_tes!G14/SER_hh_fec!G14)</f>
        <v>0.67033625396101526</v>
      </c>
      <c r="H14" s="138">
        <f>IF(SER_hh_tes!H14=0,"",SER_hh_tes!H14/SER_hh_fec!H14)</f>
        <v>0.67483890789068979</v>
      </c>
      <c r="I14" s="138">
        <f>IF(SER_hh_tes!I14=0,"",SER_hh_tes!I14/SER_hh_fec!I14)</f>
        <v>0.67788634696083461</v>
      </c>
      <c r="J14" s="138">
        <f>IF(SER_hh_tes!J14=0,"",SER_hh_tes!J14/SER_hh_fec!J14)</f>
        <v>0.68028497395625886</v>
      </c>
      <c r="K14" s="138">
        <f>IF(SER_hh_tes!K14=0,"",SER_hh_tes!K14/SER_hh_fec!K14)</f>
        <v>0.68220136065820758</v>
      </c>
      <c r="L14" s="138">
        <f>IF(SER_hh_tes!L14=0,"",SER_hh_tes!L14/SER_hh_fec!L14)</f>
        <v>0.68383569894422425</v>
      </c>
      <c r="M14" s="138">
        <f>IF(SER_hh_tes!M14=0,"",SER_hh_tes!M14/SER_hh_fec!M14)</f>
        <v>0.685191975721265</v>
      </c>
      <c r="N14" s="138">
        <f>IF(SER_hh_tes!N14=0,"",SER_hh_tes!N14/SER_hh_fec!N14)</f>
        <v>0.69235782746292363</v>
      </c>
      <c r="O14" s="138">
        <f>IF(SER_hh_tes!O14=0,"",SER_hh_tes!O14/SER_hh_fec!O14)</f>
        <v>0.69679335290611122</v>
      </c>
      <c r="P14" s="138">
        <f>IF(SER_hh_tes!P14=0,"",SER_hh_tes!P14/SER_hh_fec!P14)</f>
        <v>0.69719731944391283</v>
      </c>
      <c r="Q14" s="138">
        <f>IF(SER_hh_tes!Q14=0,"",SER_hh_tes!Q14/SER_hh_fec!Q14)</f>
        <v>0.70040925066129334</v>
      </c>
      <c r="R14" s="138">
        <f>IF(SER_hh_tes!R14=0,"",SER_hh_tes!R14/SER_hh_fec!R14)</f>
        <v>0.71282994692903767</v>
      </c>
      <c r="S14" s="138">
        <f>IF(SER_hh_tes!S14=0,"",SER_hh_tes!S14/SER_hh_fec!S14)</f>
        <v>0.73322380024425893</v>
      </c>
      <c r="T14" s="138">
        <f>IF(SER_hh_tes!T14=0,"",SER_hh_tes!T14/SER_hh_fec!T14)</f>
        <v>0.77176045992583908</v>
      </c>
      <c r="U14" s="138">
        <f>IF(SER_hh_tes!U14=0,"",SER_hh_tes!U14/SER_hh_fec!U14)</f>
        <v>0.79860994522326589</v>
      </c>
      <c r="V14" s="138">
        <f>IF(SER_hh_tes!V14=0,"",SER_hh_tes!V14/SER_hh_fec!V14)</f>
        <v>0.81569509608524571</v>
      </c>
      <c r="W14" s="138">
        <f>IF(SER_hh_tes!W14=0,"",SER_hh_tes!W14/SER_hh_fec!W14)</f>
        <v>0.82781763072739423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1.9708012911618447</v>
      </c>
      <c r="C16" s="136">
        <f>IF(SER_hh_tes!C16=0,"",SER_hh_tes!C16/SER_hh_fec!C16)</f>
        <v>2.0828026399691768</v>
      </c>
      <c r="D16" s="136">
        <f>IF(SER_hh_tes!D16=0,"",SER_hh_tes!D16/SER_hh_fec!D16)</f>
        <v>2.2056272733642786</v>
      </c>
      <c r="E16" s="136">
        <f>IF(SER_hh_tes!E16=0,"",SER_hh_tes!E16/SER_hh_fec!E16)</f>
        <v>2.3307748341868639</v>
      </c>
      <c r="F16" s="136">
        <f>IF(SER_hh_tes!F16=0,"",SER_hh_tes!F16/SER_hh_fec!F16)</f>
        <v>2.4603674220396603</v>
      </c>
      <c r="G16" s="136">
        <f>IF(SER_hh_tes!G16=0,"",SER_hh_tes!G16/SER_hh_fec!G16)</f>
        <v>2.5935701001871156</v>
      </c>
      <c r="H16" s="136">
        <f>IF(SER_hh_tes!H16=0,"",SER_hh_tes!H16/SER_hh_fec!H16)</f>
        <v>2.7324210596637211</v>
      </c>
      <c r="I16" s="136">
        <f>IF(SER_hh_tes!I16=0,"",SER_hh_tes!I16/SER_hh_fec!I16)</f>
        <v>2.8812775121201475</v>
      </c>
      <c r="J16" s="136">
        <f>IF(SER_hh_tes!J16=0,"",SER_hh_tes!J16/SER_hh_fec!J16)</f>
        <v>3.0339451595303122</v>
      </c>
      <c r="K16" s="136">
        <f>IF(SER_hh_tes!K16=0,"",SER_hh_tes!K16/SER_hh_fec!K16)</f>
        <v>3.0874433401287504</v>
      </c>
      <c r="L16" s="136">
        <f>IF(SER_hh_tes!L16=0,"",SER_hh_tes!L16/SER_hh_fec!L16)</f>
        <v>3.1548678231593072</v>
      </c>
      <c r="M16" s="136">
        <f>IF(SER_hh_tes!M16=0,"",SER_hh_tes!M16/SER_hh_fec!M16)</f>
        <v>3.2549647574408143</v>
      </c>
      <c r="N16" s="136">
        <f>IF(SER_hh_tes!N16=0,"",SER_hh_tes!N16/SER_hh_fec!N16)</f>
        <v>3.3593357804362669</v>
      </c>
      <c r="O16" s="136">
        <f>IF(SER_hh_tes!O16=0,"",SER_hh_tes!O16/SER_hh_fec!O16)</f>
        <v>3.4792228426013709</v>
      </c>
      <c r="P16" s="136">
        <f>IF(SER_hh_tes!P16=0,"",SER_hh_tes!P16/SER_hh_fec!P16)</f>
        <v>3.6189102135039835</v>
      </c>
      <c r="Q16" s="136">
        <f>IF(SER_hh_tes!Q16=0,"",SER_hh_tes!Q16/SER_hh_fec!Q16)</f>
        <v>3.7664244863585963</v>
      </c>
      <c r="R16" s="136">
        <f>IF(SER_hh_tes!R16=0,"",SER_hh_tes!R16/SER_hh_fec!R16)</f>
        <v>3.9217017257698048</v>
      </c>
      <c r="S16" s="136">
        <f>IF(SER_hh_tes!S16=0,"",SER_hh_tes!S16/SER_hh_fec!S16)</f>
        <v>4.0672226876527802</v>
      </c>
      <c r="T16" s="136">
        <f>IF(SER_hh_tes!T16=0,"",SER_hh_tes!T16/SER_hh_fec!T16)</f>
        <v>4.2029677818826086</v>
      </c>
      <c r="U16" s="136">
        <f>IF(SER_hh_tes!U16=0,"",SER_hh_tes!U16/SER_hh_fec!U16)</f>
        <v>4.3182812998365785</v>
      </c>
      <c r="V16" s="136">
        <f>IF(SER_hh_tes!V16=0,"",SER_hh_tes!V16/SER_hh_fec!V16)</f>
        <v>4.4319060320299206</v>
      </c>
      <c r="W16" s="136">
        <f>IF(SER_hh_tes!W16=0,"",SER_hh_tes!W16/SER_hh_fec!W16)</f>
        <v>4.5423130117013475</v>
      </c>
      <c r="DA16" s="163" t="s">
        <v>240</v>
      </c>
    </row>
    <row r="17" spans="1:105" ht="12.95" customHeight="1" x14ac:dyDescent="0.25">
      <c r="A17" s="132" t="s">
        <v>73</v>
      </c>
      <c r="B17" s="137" t="str">
        <f>IF(SER_hh_tes!B17=0,"",SER_hh_tes!B17/SER_hh_fec!B17)</f>
        <v/>
      </c>
      <c r="C17" s="137" t="str">
        <f>IF(SER_hh_tes!C17=0,"",SER_hh_tes!C17/SER_hh_fec!C17)</f>
        <v/>
      </c>
      <c r="D17" s="137" t="str">
        <f>IF(SER_hh_tes!D17=0,"",SER_hh_tes!D17/SER_hh_fec!D17)</f>
        <v/>
      </c>
      <c r="E17" s="137" t="str">
        <f>IF(SER_hh_tes!E17=0,"",SER_hh_tes!E17/SER_hh_fec!E17)</f>
        <v/>
      </c>
      <c r="F17" s="137" t="str">
        <f>IF(SER_hh_tes!F17=0,"",SER_hh_tes!F17/SER_hh_fec!F17)</f>
        <v/>
      </c>
      <c r="G17" s="137" t="str">
        <f>IF(SER_hh_tes!G17=0,"",SER_hh_tes!G17/SER_hh_fec!G17)</f>
        <v/>
      </c>
      <c r="H17" s="137" t="str">
        <f>IF(SER_hh_tes!H17=0,"",SER_hh_tes!H17/SER_hh_fec!H17)</f>
        <v/>
      </c>
      <c r="I17" s="137" t="str">
        <f>IF(SER_hh_tes!I17=0,"",SER_hh_tes!I17/SER_hh_fec!I17)</f>
        <v/>
      </c>
      <c r="J17" s="137" t="str">
        <f>IF(SER_hh_tes!J17=0,"",SER_hh_tes!J17/SER_hh_fec!J17)</f>
        <v/>
      </c>
      <c r="K17" s="137" t="str">
        <f>IF(SER_hh_tes!K17=0,"",SER_hh_tes!K17/SER_hh_fec!K17)</f>
        <v/>
      </c>
      <c r="L17" s="137" t="str">
        <f>IF(SER_hh_tes!L17=0,"",SER_hh_tes!L17/SER_hh_fec!L17)</f>
        <v/>
      </c>
      <c r="M17" s="137" t="str">
        <f>IF(SER_hh_tes!M17=0,"",SER_hh_tes!M17/SER_hh_fec!M17)</f>
        <v/>
      </c>
      <c r="N17" s="137" t="str">
        <f>IF(SER_hh_tes!N17=0,"",SER_hh_tes!N17/SER_hh_fec!N17)</f>
        <v/>
      </c>
      <c r="O17" s="137" t="str">
        <f>IF(SER_hh_tes!O17=0,"",SER_hh_tes!O17/SER_hh_fec!O17)</f>
        <v/>
      </c>
      <c r="P17" s="137" t="str">
        <f>IF(SER_hh_tes!P17=0,"",SER_hh_tes!P17/SER_hh_fec!P17)</f>
        <v/>
      </c>
      <c r="Q17" s="137" t="str">
        <f>IF(SER_hh_tes!Q17=0,"",SER_hh_tes!Q17/SER_hh_fec!Q17)</f>
        <v/>
      </c>
      <c r="R17" s="137" t="str">
        <f>IF(SER_hh_tes!R17=0,"",SER_hh_tes!R17/SER_hh_fec!R17)</f>
        <v/>
      </c>
      <c r="S17" s="137" t="str">
        <f>IF(SER_hh_tes!S17=0,"",SER_hh_tes!S17/SER_hh_fec!S17)</f>
        <v/>
      </c>
      <c r="T17" s="137" t="str">
        <f>IF(SER_hh_tes!T17=0,"",SER_hh_tes!T17/SER_hh_fec!T17)</f>
        <v/>
      </c>
      <c r="U17" s="137" t="str">
        <f>IF(SER_hh_tes!U17=0,"",SER_hh_tes!U17/SER_hh_fec!U17)</f>
        <v/>
      </c>
      <c r="V17" s="137" t="str">
        <f>IF(SER_hh_tes!V17=0,"",SER_hh_tes!V17/SER_hh_fec!V17)</f>
        <v/>
      </c>
      <c r="W17" s="137" t="str">
        <f>IF(SER_hh_tes!W17=0,"",SER_hh_tes!W17/SER_hh_fec!W17)</f>
        <v/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1.9708012911618447</v>
      </c>
      <c r="C18" s="137">
        <f>IF(SER_hh_tes!C18=0,"",SER_hh_tes!C18/SER_hh_fec!C18)</f>
        <v>2.0828026399691768</v>
      </c>
      <c r="D18" s="137">
        <f>IF(SER_hh_tes!D18=0,"",SER_hh_tes!D18/SER_hh_fec!D18)</f>
        <v>2.2056272733642786</v>
      </c>
      <c r="E18" s="137">
        <f>IF(SER_hh_tes!E18=0,"",SER_hh_tes!E18/SER_hh_fec!E18)</f>
        <v>2.3307748341868639</v>
      </c>
      <c r="F18" s="137">
        <f>IF(SER_hh_tes!F18=0,"",SER_hh_tes!F18/SER_hh_fec!F18)</f>
        <v>2.4603674220396603</v>
      </c>
      <c r="G18" s="137">
        <f>IF(SER_hh_tes!G18=0,"",SER_hh_tes!G18/SER_hh_fec!G18)</f>
        <v>2.5935701001871156</v>
      </c>
      <c r="H18" s="137">
        <f>IF(SER_hh_tes!H18=0,"",SER_hh_tes!H18/SER_hh_fec!H18)</f>
        <v>2.7324210596637211</v>
      </c>
      <c r="I18" s="137">
        <f>IF(SER_hh_tes!I18=0,"",SER_hh_tes!I18/SER_hh_fec!I18)</f>
        <v>2.8812775121201475</v>
      </c>
      <c r="J18" s="137">
        <f>IF(SER_hh_tes!J18=0,"",SER_hh_tes!J18/SER_hh_fec!J18)</f>
        <v>3.0339451595303122</v>
      </c>
      <c r="K18" s="137">
        <f>IF(SER_hh_tes!K18=0,"",SER_hh_tes!K18/SER_hh_fec!K18)</f>
        <v>3.0874433401287504</v>
      </c>
      <c r="L18" s="137">
        <f>IF(SER_hh_tes!L18=0,"",SER_hh_tes!L18/SER_hh_fec!L18)</f>
        <v>3.1548678231593072</v>
      </c>
      <c r="M18" s="137">
        <f>IF(SER_hh_tes!M18=0,"",SER_hh_tes!M18/SER_hh_fec!M18)</f>
        <v>3.2549647574408143</v>
      </c>
      <c r="N18" s="137">
        <f>IF(SER_hh_tes!N18=0,"",SER_hh_tes!N18/SER_hh_fec!N18)</f>
        <v>3.3593357804362669</v>
      </c>
      <c r="O18" s="137">
        <f>IF(SER_hh_tes!O18=0,"",SER_hh_tes!O18/SER_hh_fec!O18)</f>
        <v>3.4792228426013709</v>
      </c>
      <c r="P18" s="137">
        <f>IF(SER_hh_tes!P18=0,"",SER_hh_tes!P18/SER_hh_fec!P18)</f>
        <v>3.6189102135039835</v>
      </c>
      <c r="Q18" s="137">
        <f>IF(SER_hh_tes!Q18=0,"",SER_hh_tes!Q18/SER_hh_fec!Q18)</f>
        <v>3.7664244863585963</v>
      </c>
      <c r="R18" s="137">
        <f>IF(SER_hh_tes!R18=0,"",SER_hh_tes!R18/SER_hh_fec!R18)</f>
        <v>3.9217017257698048</v>
      </c>
      <c r="S18" s="137">
        <f>IF(SER_hh_tes!S18=0,"",SER_hh_tes!S18/SER_hh_fec!S18)</f>
        <v>4.0672226876527802</v>
      </c>
      <c r="T18" s="137">
        <f>IF(SER_hh_tes!T18=0,"",SER_hh_tes!T18/SER_hh_fec!T18)</f>
        <v>4.2029677818826086</v>
      </c>
      <c r="U18" s="137">
        <f>IF(SER_hh_tes!U18=0,"",SER_hh_tes!U18/SER_hh_fec!U18)</f>
        <v>4.3182812998365785</v>
      </c>
      <c r="V18" s="137">
        <f>IF(SER_hh_tes!V18=0,"",SER_hh_tes!V18/SER_hh_fec!V18)</f>
        <v>4.4319060320299206</v>
      </c>
      <c r="W18" s="137">
        <f>IF(SER_hh_tes!W18=0,"",SER_hh_tes!W18/SER_hh_fec!W18)</f>
        <v>4.5423130117013475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0.63068327864037965</v>
      </c>
      <c r="C19" s="136">
        <f>IF(SER_hh_tes!C19=0,"",SER_hh_tes!C19/SER_hh_fec!C19)</f>
        <v>0.64077257446347202</v>
      </c>
      <c r="D19" s="136">
        <f>IF(SER_hh_tes!D19=0,"",SER_hh_tes!D19/SER_hh_fec!D19)</f>
        <v>0.64324860841917797</v>
      </c>
      <c r="E19" s="136">
        <f>IF(SER_hh_tes!E19=0,"",SER_hh_tes!E19/SER_hh_fec!E19)</f>
        <v>0.65056977519493453</v>
      </c>
      <c r="F19" s="136">
        <f>IF(SER_hh_tes!F19=0,"",SER_hh_tes!F19/SER_hh_fec!F19)</f>
        <v>0.65486753855130941</v>
      </c>
      <c r="G19" s="136">
        <f>IF(SER_hh_tes!G19=0,"",SER_hh_tes!G19/SER_hh_fec!G19)</f>
        <v>0.66202627310118733</v>
      </c>
      <c r="H19" s="136">
        <f>IF(SER_hh_tes!H19=0,"",SER_hh_tes!H19/SER_hh_fec!H19)</f>
        <v>0.66595190682095673</v>
      </c>
      <c r="I19" s="136">
        <f>IF(SER_hh_tes!I19=0,"",SER_hh_tes!I19/SER_hh_fec!I19)</f>
        <v>0.66517683339920097</v>
      </c>
      <c r="J19" s="136">
        <f>IF(SER_hh_tes!J19=0,"",SER_hh_tes!J19/SER_hh_fec!J19)</f>
        <v>0.66916259659988386</v>
      </c>
      <c r="K19" s="136">
        <f>IF(SER_hh_tes!K19=0,"",SER_hh_tes!K19/SER_hh_fec!K19)</f>
        <v>0.6785900420180514</v>
      </c>
      <c r="L19" s="136">
        <f>IF(SER_hh_tes!L19=0,"",SER_hh_tes!L19/SER_hh_fec!L19)</f>
        <v>0.68575370829887095</v>
      </c>
      <c r="M19" s="136">
        <f>IF(SER_hh_tes!M19=0,"",SER_hh_tes!M19/SER_hh_fec!M19)</f>
        <v>0.69062042036951021</v>
      </c>
      <c r="N19" s="136">
        <f>IF(SER_hh_tes!N19=0,"",SER_hh_tes!N19/SER_hh_fec!N19)</f>
        <v>0.6974697187818738</v>
      </c>
      <c r="O19" s="136">
        <f>IF(SER_hh_tes!O19=0,"",SER_hh_tes!O19/SER_hh_fec!O19)</f>
        <v>0.70671805655885089</v>
      </c>
      <c r="P19" s="136">
        <f>IF(SER_hh_tes!P19=0,"",SER_hh_tes!P19/SER_hh_fec!P19)</f>
        <v>0.71119413617329474</v>
      </c>
      <c r="Q19" s="136">
        <f>IF(SER_hh_tes!Q19=0,"",SER_hh_tes!Q19/SER_hh_fec!Q19)</f>
        <v>0.7209271016148574</v>
      </c>
      <c r="R19" s="136">
        <f>IF(SER_hh_tes!R19=0,"",SER_hh_tes!R19/SER_hh_fec!R19)</f>
        <v>0.7280795589728648</v>
      </c>
      <c r="S19" s="136">
        <f>IF(SER_hh_tes!S19=0,"",SER_hh_tes!S19/SER_hh_fec!S19)</f>
        <v>0.73990013058017601</v>
      </c>
      <c r="T19" s="136">
        <f>IF(SER_hh_tes!T19=0,"",SER_hh_tes!T19/SER_hh_fec!T19)</f>
        <v>0.74983815761540007</v>
      </c>
      <c r="U19" s="136">
        <f>IF(SER_hh_tes!U19=0,"",SER_hh_tes!U19/SER_hh_fec!U19)</f>
        <v>0.76097850852426108</v>
      </c>
      <c r="V19" s="136">
        <f>IF(SER_hh_tes!V19=0,"",SER_hh_tes!V19/SER_hh_fec!V19)</f>
        <v>0.77143403559331414</v>
      </c>
      <c r="W19" s="136">
        <f>IF(SER_hh_tes!W19=0,"",SER_hh_tes!W19/SER_hh_fec!W19)</f>
        <v>0.78432889908660808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 t="str">
        <f>IF(SER_hh_tes!B21=0,"",SER_hh_tes!B21/SER_hh_fec!B21)</f>
        <v/>
      </c>
      <c r="C21" s="137" t="str">
        <f>IF(SER_hh_tes!C21=0,"",SER_hh_tes!C21/SER_hh_fec!C21)</f>
        <v/>
      </c>
      <c r="D21" s="137" t="str">
        <f>IF(SER_hh_tes!D21=0,"",SER_hh_tes!D21/SER_hh_fec!D21)</f>
        <v/>
      </c>
      <c r="E21" s="137" t="str">
        <f>IF(SER_hh_tes!E21=0,"",SER_hh_tes!E21/SER_hh_fec!E21)</f>
        <v/>
      </c>
      <c r="F21" s="137" t="str">
        <f>IF(SER_hh_tes!F21=0,"",SER_hh_tes!F21/SER_hh_fec!F21)</f>
        <v/>
      </c>
      <c r="G21" s="137" t="str">
        <f>IF(SER_hh_tes!G21=0,"",SER_hh_tes!G21/SER_hh_fec!G21)</f>
        <v/>
      </c>
      <c r="H21" s="137" t="str">
        <f>IF(SER_hh_tes!H21=0,"",SER_hh_tes!H21/SER_hh_fec!H21)</f>
        <v/>
      </c>
      <c r="I21" s="137" t="str">
        <f>IF(SER_hh_tes!I21=0,"",SER_hh_tes!I21/SER_hh_fec!I21)</f>
        <v/>
      </c>
      <c r="J21" s="137" t="str">
        <f>IF(SER_hh_tes!J21=0,"",SER_hh_tes!J21/SER_hh_fec!J21)</f>
        <v/>
      </c>
      <c r="K21" s="137" t="str">
        <f>IF(SER_hh_tes!K21=0,"",SER_hh_tes!K21/SER_hh_fec!K21)</f>
        <v/>
      </c>
      <c r="L21" s="137" t="str">
        <f>IF(SER_hh_tes!L21=0,"",SER_hh_tes!L21/SER_hh_fec!L21)</f>
        <v/>
      </c>
      <c r="M21" s="137" t="str">
        <f>IF(SER_hh_tes!M21=0,"",SER_hh_tes!M21/SER_hh_fec!M21)</f>
        <v/>
      </c>
      <c r="N21" s="137" t="str">
        <f>IF(SER_hh_tes!N21=0,"",SER_hh_tes!N21/SER_hh_fec!N21)</f>
        <v/>
      </c>
      <c r="O21" s="137" t="str">
        <f>IF(SER_hh_tes!O21=0,"",SER_hh_tes!O21/SER_hh_fec!O21)</f>
        <v/>
      </c>
      <c r="P21" s="137" t="str">
        <f>IF(SER_hh_tes!P21=0,"",SER_hh_tes!P21/SER_hh_fec!P21)</f>
        <v/>
      </c>
      <c r="Q21" s="137" t="str">
        <f>IF(SER_hh_tes!Q21=0,"",SER_hh_tes!Q21/SER_hh_fec!Q21)</f>
        <v/>
      </c>
      <c r="R21" s="137" t="str">
        <f>IF(SER_hh_tes!R21=0,"",SER_hh_tes!R21/SER_hh_fec!R21)</f>
        <v/>
      </c>
      <c r="S21" s="137" t="str">
        <f>IF(SER_hh_tes!S21=0,"",SER_hh_tes!S21/SER_hh_fec!S21)</f>
        <v/>
      </c>
      <c r="T21" s="137" t="str">
        <f>IF(SER_hh_tes!T21=0,"",SER_hh_tes!T21/SER_hh_fec!T21)</f>
        <v/>
      </c>
      <c r="U21" s="137" t="str">
        <f>IF(SER_hh_tes!U21=0,"",SER_hh_tes!U21/SER_hh_fec!U21)</f>
        <v/>
      </c>
      <c r="V21" s="137" t="str">
        <f>IF(SER_hh_tes!V21=0,"",SER_hh_tes!V21/SER_hh_fec!V21)</f>
        <v/>
      </c>
      <c r="W21" s="137" t="str">
        <f>IF(SER_hh_tes!W21=0,"",SER_hh_tes!W21/SER_hh_fec!W21)</f>
        <v/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0.47198131095782514</v>
      </c>
      <c r="C22" s="137">
        <f>IF(SER_hh_tes!C22=0,"",SER_hh_tes!C22/SER_hh_fec!C22)</f>
        <v>0.47198131095782508</v>
      </c>
      <c r="D22" s="137">
        <f>IF(SER_hh_tes!D22=0,"",SER_hh_tes!D22/SER_hh_fec!D22)</f>
        <v>0.47198131095782514</v>
      </c>
      <c r="E22" s="137">
        <f>IF(SER_hh_tes!E22=0,"",SER_hh_tes!E22/SER_hh_fec!E22)</f>
        <v>0.47198131095782514</v>
      </c>
      <c r="F22" s="137">
        <f>IF(SER_hh_tes!F22=0,"",SER_hh_tes!F22/SER_hh_fec!F22)</f>
        <v>0.47198131095782514</v>
      </c>
      <c r="G22" s="137">
        <f>IF(SER_hh_tes!G22=0,"",SER_hh_tes!G22/SER_hh_fec!G22)</f>
        <v>0.47198131095782514</v>
      </c>
      <c r="H22" s="137">
        <f>IF(SER_hh_tes!H22=0,"",SER_hh_tes!H22/SER_hh_fec!H22)</f>
        <v>0.47198131095782514</v>
      </c>
      <c r="I22" s="137">
        <f>IF(SER_hh_tes!I22=0,"",SER_hh_tes!I22/SER_hh_fec!I22)</f>
        <v>0.47198131095782514</v>
      </c>
      <c r="J22" s="137">
        <f>IF(SER_hh_tes!J22=0,"",SER_hh_tes!J22/SER_hh_fec!J22)</f>
        <v>0.47312473419710671</v>
      </c>
      <c r="K22" s="137">
        <f>IF(SER_hh_tes!K22=0,"",SER_hh_tes!K22/SER_hh_fec!K22)</f>
        <v>0.47526418644540563</v>
      </c>
      <c r="L22" s="137">
        <f>IF(SER_hh_tes!L22=0,"",SER_hh_tes!L22/SER_hh_fec!L22)</f>
        <v>0.4804896770531647</v>
      </c>
      <c r="M22" s="137">
        <f>IF(SER_hh_tes!M22=0,"",SER_hh_tes!M22/SER_hh_fec!M22)</f>
        <v>0.49094995128496211</v>
      </c>
      <c r="N22" s="137">
        <f>IF(SER_hh_tes!N22=0,"",SER_hh_tes!N22/SER_hh_fec!N22)</f>
        <v>0.51408539510592866</v>
      </c>
      <c r="O22" s="137">
        <f>IF(SER_hh_tes!O22=0,"",SER_hh_tes!O22/SER_hh_fec!O22)</f>
        <v>0.54925867249064886</v>
      </c>
      <c r="P22" s="137">
        <f>IF(SER_hh_tes!P22=0,"",SER_hh_tes!P22/SER_hh_fec!P22)</f>
        <v>0.5494043694197257</v>
      </c>
      <c r="Q22" s="137">
        <f>IF(SER_hh_tes!Q22=0,"",SER_hh_tes!Q22/SER_hh_fec!Q22)</f>
        <v>0.55115871560773755</v>
      </c>
      <c r="R22" s="137">
        <f>IF(SER_hh_tes!R22=0,"",SER_hh_tes!R22/SER_hh_fec!R22)</f>
        <v>0.55147755763725614</v>
      </c>
      <c r="S22" s="137">
        <f>IF(SER_hh_tes!S22=0,"",SER_hh_tes!S22/SER_hh_fec!S22)</f>
        <v>0.55446996101708479</v>
      </c>
      <c r="T22" s="137">
        <f>IF(SER_hh_tes!T22=0,"",SER_hh_tes!T22/SER_hh_fec!T22)</f>
        <v>0.5574839153779122</v>
      </c>
      <c r="U22" s="137">
        <f>IF(SER_hh_tes!U22=0,"",SER_hh_tes!U22/SER_hh_fec!U22)</f>
        <v>0.58114254820388422</v>
      </c>
      <c r="V22" s="137">
        <f>IF(SER_hh_tes!V22=0,"",SER_hh_tes!V22/SER_hh_fec!V22)</f>
        <v>0.61236095813810232</v>
      </c>
      <c r="W22" s="137">
        <f>IF(SER_hh_tes!W22=0,"",SER_hh_tes!W22/SER_hh_fec!W22)</f>
        <v>0.63240518114871225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0.48218747104655307</v>
      </c>
      <c r="C23" s="137">
        <f>IF(SER_hh_tes!C23=0,"",SER_hh_tes!C23/SER_hh_fec!C23)</f>
        <v>0.48805247163892607</v>
      </c>
      <c r="D23" s="137">
        <f>IF(SER_hh_tes!D23=0,"",SER_hh_tes!D23/SER_hh_fec!D23)</f>
        <v>0.49656610455918904</v>
      </c>
      <c r="E23" s="137">
        <f>IF(SER_hh_tes!E23=0,"",SER_hh_tes!E23/SER_hh_fec!E23)</f>
        <v>0.50484316309328325</v>
      </c>
      <c r="F23" s="137">
        <f>IF(SER_hh_tes!F23=0,"",SER_hh_tes!F23/SER_hh_fec!F23)</f>
        <v>0.5141850483323811</v>
      </c>
      <c r="G23" s="137">
        <f>IF(SER_hh_tes!G23=0,"",SER_hh_tes!G23/SER_hh_fec!G23)</f>
        <v>0.52421945354421862</v>
      </c>
      <c r="H23" s="137">
        <f>IF(SER_hh_tes!H23=0,"",SER_hh_tes!H23/SER_hh_fec!H23)</f>
        <v>0.5356163030138491</v>
      </c>
      <c r="I23" s="137">
        <f>IF(SER_hh_tes!I23=0,"",SER_hh_tes!I23/SER_hh_fec!I23)</f>
        <v>0.54698978166009737</v>
      </c>
      <c r="J23" s="137">
        <f>IF(SER_hh_tes!J23=0,"",SER_hh_tes!J23/SER_hh_fec!J23)</f>
        <v>0.5547217711488337</v>
      </c>
      <c r="K23" s="137">
        <f>IF(SER_hh_tes!K23=0,"",SER_hh_tes!K23/SER_hh_fec!K23)</f>
        <v>0.56015575646497362</v>
      </c>
      <c r="L23" s="137">
        <f>IF(SER_hh_tes!L23=0,"",SER_hh_tes!L23/SER_hh_fec!L23)</f>
        <v>0.56449171655144748</v>
      </c>
      <c r="M23" s="137">
        <f>IF(SER_hh_tes!M23=0,"",SER_hh_tes!M23/SER_hh_fec!M23)</f>
        <v>0.56942331672854152</v>
      </c>
      <c r="N23" s="137">
        <f>IF(SER_hh_tes!N23=0,"",SER_hh_tes!N23/SER_hh_fec!N23)</f>
        <v>0.57521047037721906</v>
      </c>
      <c r="O23" s="137">
        <f>IF(SER_hh_tes!O23=0,"",SER_hh_tes!O23/SER_hh_fec!O23)</f>
        <v>0.58247526190217491</v>
      </c>
      <c r="P23" s="137">
        <f>IF(SER_hh_tes!P23=0,"",SER_hh_tes!P23/SER_hh_fec!P23)</f>
        <v>0.58829094090929046</v>
      </c>
      <c r="Q23" s="137">
        <f>IF(SER_hh_tes!Q23=0,"",SER_hh_tes!Q23/SER_hh_fec!Q23)</f>
        <v>0.60039502797374222</v>
      </c>
      <c r="R23" s="137">
        <f>IF(SER_hh_tes!R23=0,"",SER_hh_tes!R23/SER_hh_fec!R23)</f>
        <v>0.61640136243556698</v>
      </c>
      <c r="S23" s="137">
        <f>IF(SER_hh_tes!S23=0,"",SER_hh_tes!S23/SER_hh_fec!S23)</f>
        <v>0.63519119306854466</v>
      </c>
      <c r="T23" s="137">
        <f>IF(SER_hh_tes!T23=0,"",SER_hh_tes!T23/SER_hh_fec!T23)</f>
        <v>0.6580144208344364</v>
      </c>
      <c r="U23" s="137">
        <f>IF(SER_hh_tes!U23=0,"",SER_hh_tes!U23/SER_hh_fec!U23)</f>
        <v>0.6812715095922508</v>
      </c>
      <c r="V23" s="137">
        <f>IF(SER_hh_tes!V23=0,"",SER_hh_tes!V23/SER_hh_fec!V23)</f>
        <v>0.70685140419404102</v>
      </c>
      <c r="W23" s="137">
        <f>IF(SER_hh_tes!W23=0,"",SER_hh_tes!W23/SER_hh_fec!W23)</f>
        <v>0.72598705614139436</v>
      </c>
      <c r="DA23" s="164" t="s">
        <v>347</v>
      </c>
    </row>
    <row r="24" spans="1:105" ht="12" customHeight="1" x14ac:dyDescent="0.25">
      <c r="A24" s="132" t="s">
        <v>128</v>
      </c>
      <c r="B24" s="137">
        <f>IF(SER_hh_tes!B24=0,"",SER_hh_tes!B24/SER_hh_fec!B24)</f>
        <v>0.42434978921306421</v>
      </c>
      <c r="C24" s="137">
        <f>IF(SER_hh_tes!C24=0,"",SER_hh_tes!C24/SER_hh_fec!C24)</f>
        <v>0.43432963777967826</v>
      </c>
      <c r="D24" s="137">
        <f>IF(SER_hh_tes!D24=0,"",SER_hh_tes!D24/SER_hh_fec!D24)</f>
        <v>0.44415591532736742</v>
      </c>
      <c r="E24" s="137">
        <f>IF(SER_hh_tes!E24=0,"",SER_hh_tes!E24/SER_hh_fec!E24)</f>
        <v>0.4556427239839953</v>
      </c>
      <c r="F24" s="137">
        <f>IF(SER_hh_tes!F24=0,"",SER_hh_tes!F24/SER_hh_fec!F24)</f>
        <v>0.46879384183557526</v>
      </c>
      <c r="G24" s="137">
        <f>IF(SER_hh_tes!G24=0,"",SER_hh_tes!G24/SER_hh_fec!G24)</f>
        <v>0.48256132906725158</v>
      </c>
      <c r="H24" s="137">
        <f>IF(SER_hh_tes!H24=0,"",SER_hh_tes!H24/SER_hh_fec!H24)</f>
        <v>0.49681436384778449</v>
      </c>
      <c r="I24" s="137">
        <f>IF(SER_hh_tes!I24=0,"",SER_hh_tes!I24/SER_hh_fec!I24)</f>
        <v>0.51095557696457594</v>
      </c>
      <c r="J24" s="137">
        <f>IF(SER_hh_tes!J24=0,"",SER_hh_tes!J24/SER_hh_fec!J24)</f>
        <v>0.52550447835443803</v>
      </c>
      <c r="K24" s="137">
        <f>IF(SER_hh_tes!K24=0,"",SER_hh_tes!K24/SER_hh_fec!K24)</f>
        <v>0.54064828693134936</v>
      </c>
      <c r="L24" s="137">
        <f>IF(SER_hh_tes!L24=0,"",SER_hh_tes!L24/SER_hh_fec!L24)</f>
        <v>0.55722038999305412</v>
      </c>
      <c r="M24" s="137">
        <f>IF(SER_hh_tes!M24=0,"",SER_hh_tes!M24/SER_hh_fec!M24)</f>
        <v>0.57556375544897509</v>
      </c>
      <c r="N24" s="137">
        <f>IF(SER_hh_tes!N24=0,"",SER_hh_tes!N24/SER_hh_fec!N24)</f>
        <v>0.59515748698268756</v>
      </c>
      <c r="O24" s="137">
        <f>IF(SER_hh_tes!O24=0,"",SER_hh_tes!O24/SER_hh_fec!O24)</f>
        <v>0.61301272403389795</v>
      </c>
      <c r="P24" s="137">
        <f>IF(SER_hh_tes!P24=0,"",SER_hh_tes!P24/SER_hh_fec!P24)</f>
        <v>0.61791172461669441</v>
      </c>
      <c r="Q24" s="137">
        <f>IF(SER_hh_tes!Q24=0,"",SER_hh_tes!Q24/SER_hh_fec!Q24)</f>
        <v>0.62238806341219732</v>
      </c>
      <c r="R24" s="137">
        <f>IF(SER_hh_tes!R24=0,"",SER_hh_tes!R24/SER_hh_fec!R24)</f>
        <v>0.6267453845964539</v>
      </c>
      <c r="S24" s="137">
        <f>IF(SER_hh_tes!S24=0,"",SER_hh_tes!S24/SER_hh_fec!S24)</f>
        <v>0.63209570594555442</v>
      </c>
      <c r="T24" s="137">
        <f>IF(SER_hh_tes!T24=0,"",SER_hh_tes!T24/SER_hh_fec!T24)</f>
        <v>0.6423221672814976</v>
      </c>
      <c r="U24" s="137">
        <f>IF(SER_hh_tes!U24=0,"",SER_hh_tes!U24/SER_hh_fec!U24)</f>
        <v>0.65470139552395845</v>
      </c>
      <c r="V24" s="137">
        <f>IF(SER_hh_tes!V24=0,"",SER_hh_tes!V24/SER_hh_fec!V24)</f>
        <v>0.66956943233451049</v>
      </c>
      <c r="W24" s="137">
        <f>IF(SER_hh_tes!W24=0,"",SER_hh_tes!W24/SER_hh_fec!W24)</f>
        <v>0.68469628794937454</v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0.72178006617973001</v>
      </c>
      <c r="C25" s="137">
        <f>IF(SER_hh_tes!C25=0,"",SER_hh_tes!C25/SER_hh_fec!C25)</f>
        <v>0.72480072101490489</v>
      </c>
      <c r="D25" s="137">
        <f>IF(SER_hh_tes!D25=0,"",SER_hh_tes!D25/SER_hh_fec!D25)</f>
        <v>0.72776915844276768</v>
      </c>
      <c r="E25" s="137">
        <f>IF(SER_hh_tes!E25=0,"",SER_hh_tes!E25/SER_hh_fec!E25)</f>
        <v>0.73185574532878306</v>
      </c>
      <c r="F25" s="137">
        <f>IF(SER_hh_tes!F25=0,"",SER_hh_tes!F25/SER_hh_fec!F25)</f>
        <v>0.73541786651206109</v>
      </c>
      <c r="G25" s="137">
        <f>IF(SER_hh_tes!G25=0,"",SER_hh_tes!G25/SER_hh_fec!G25)</f>
        <v>0.73893022854059676</v>
      </c>
      <c r="H25" s="137">
        <f>IF(SER_hh_tes!H25=0,"",SER_hh_tes!H25/SER_hh_fec!H25)</f>
        <v>0.74183722687912745</v>
      </c>
      <c r="I25" s="137">
        <f>IF(SER_hh_tes!I25=0,"",SER_hh_tes!I25/SER_hh_fec!I25)</f>
        <v>0.74621069135323725</v>
      </c>
      <c r="J25" s="137">
        <f>IF(SER_hh_tes!J25=0,"",SER_hh_tes!J25/SER_hh_fec!J25)</f>
        <v>0.74968273078598435</v>
      </c>
      <c r="K25" s="137">
        <f>IF(SER_hh_tes!K25=0,"",SER_hh_tes!K25/SER_hh_fec!K25)</f>
        <v>0.75253875023395655</v>
      </c>
      <c r="L25" s="137">
        <f>IF(SER_hh_tes!L25=0,"",SER_hh_tes!L25/SER_hh_fec!L25)</f>
        <v>0.75620172099443783</v>
      </c>
      <c r="M25" s="137">
        <f>IF(SER_hh_tes!M25=0,"",SER_hh_tes!M25/SER_hh_fec!M25)</f>
        <v>0.76043430269622547</v>
      </c>
      <c r="N25" s="137">
        <f>IF(SER_hh_tes!N25=0,"",SER_hh_tes!N25/SER_hh_fec!N25)</f>
        <v>0.76481731252724849</v>
      </c>
      <c r="O25" s="137">
        <f>IF(SER_hh_tes!O25=0,"",SER_hh_tes!O25/SER_hh_fec!O25)</f>
        <v>0.76991343261752065</v>
      </c>
      <c r="P25" s="137">
        <f>IF(SER_hh_tes!P25=0,"",SER_hh_tes!P25/SER_hh_fec!P25)</f>
        <v>0.77359685888668261</v>
      </c>
      <c r="Q25" s="137">
        <f>IF(SER_hh_tes!Q25=0,"",SER_hh_tes!Q25/SER_hh_fec!Q25)</f>
        <v>0.77823865603865494</v>
      </c>
      <c r="R25" s="137">
        <f>IF(SER_hh_tes!R25=0,"",SER_hh_tes!R25/SER_hh_fec!R25)</f>
        <v>0.78321776634273321</v>
      </c>
      <c r="S25" s="137">
        <f>IF(SER_hh_tes!S25=0,"",SER_hh_tes!S25/SER_hh_fec!S25)</f>
        <v>0.78915687053025951</v>
      </c>
      <c r="T25" s="137">
        <f>IF(SER_hh_tes!T25=0,"",SER_hh_tes!T25/SER_hh_fec!T25)</f>
        <v>0.79450701665094847</v>
      </c>
      <c r="U25" s="137">
        <f>IF(SER_hh_tes!U25=0,"",SER_hh_tes!U25/SER_hh_fec!U25)</f>
        <v>0.8001769306812816</v>
      </c>
      <c r="V25" s="137">
        <f>IF(SER_hh_tes!V25=0,"",SER_hh_tes!V25/SER_hh_fec!V25)</f>
        <v>0.80571396579072918</v>
      </c>
      <c r="W25" s="137">
        <f>IF(SER_hh_tes!W25=0,"",SER_hh_tes!W25/SER_hh_fec!W25)</f>
        <v>0.81237422639167423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0.59474186416287012</v>
      </c>
      <c r="C26" s="138">
        <f>IF(SER_hh_tes!C26=0,"",SER_hh_tes!C26/SER_hh_fec!C26)</f>
        <v>0.59772834603619585</v>
      </c>
      <c r="D26" s="138">
        <f>IF(SER_hh_tes!D26=0,"",SER_hh_tes!D26/SER_hh_fec!D26)</f>
        <v>0.60101066159899641</v>
      </c>
      <c r="E26" s="138">
        <f>IF(SER_hh_tes!E26=0,"",SER_hh_tes!E26/SER_hh_fec!E26)</f>
        <v>0.60397812934341355</v>
      </c>
      <c r="F26" s="138">
        <f>IF(SER_hh_tes!F26=0,"",SER_hh_tes!F26/SER_hh_fec!F26)</f>
        <v>0.60663209839643906</v>
      </c>
      <c r="G26" s="138">
        <f>IF(SER_hh_tes!G26=0,"",SER_hh_tes!G26/SER_hh_fec!G26)</f>
        <v>0.60970527443245737</v>
      </c>
      <c r="H26" s="138">
        <f>IF(SER_hh_tes!H26=0,"",SER_hh_tes!H26/SER_hh_fec!H26)</f>
        <v>0.61263714819023307</v>
      </c>
      <c r="I26" s="138">
        <f>IF(SER_hh_tes!I26=0,"",SER_hh_tes!I26/SER_hh_fec!I26)</f>
        <v>0.61686288626128083</v>
      </c>
      <c r="J26" s="138">
        <f>IF(SER_hh_tes!J26=0,"",SER_hh_tes!J26/SER_hh_fec!J26)</f>
        <v>0.61973597230071564</v>
      </c>
      <c r="K26" s="138">
        <f>IF(SER_hh_tes!K26=0,"",SER_hh_tes!K26/SER_hh_fec!K26)</f>
        <v>0.62187733440020931</v>
      </c>
      <c r="L26" s="138">
        <f>IF(SER_hh_tes!L26=0,"",SER_hh_tes!L26/SER_hh_fec!L26)</f>
        <v>0.62441865026341303</v>
      </c>
      <c r="M26" s="138">
        <f>IF(SER_hh_tes!M26=0,"",SER_hh_tes!M26/SER_hh_fec!M26)</f>
        <v>0.62840717105229726</v>
      </c>
      <c r="N26" s="138">
        <f>IF(SER_hh_tes!N26=0,"",SER_hh_tes!N26/SER_hh_fec!N26)</f>
        <v>0.63421002002838445</v>
      </c>
      <c r="O26" s="138">
        <f>IF(SER_hh_tes!O26=0,"",SER_hh_tes!O26/SER_hh_fec!O26)</f>
        <v>0.6398865252332967</v>
      </c>
      <c r="P26" s="138">
        <f>IF(SER_hh_tes!P26=0,"",SER_hh_tes!P26/SER_hh_fec!P26)</f>
        <v>0.64199629698065541</v>
      </c>
      <c r="Q26" s="138">
        <f>IF(SER_hh_tes!Q26=0,"",SER_hh_tes!Q26/SER_hh_fec!Q26)</f>
        <v>0.6432946903131942</v>
      </c>
      <c r="R26" s="138">
        <f>IF(SER_hh_tes!R26=0,"",SER_hh_tes!R26/SER_hh_fec!R26)</f>
        <v>0.65152964497664445</v>
      </c>
      <c r="S26" s="138">
        <f>IF(SER_hh_tes!S26=0,"",SER_hh_tes!S26/SER_hh_fec!S26)</f>
        <v>0.66914954557415207</v>
      </c>
      <c r="T26" s="138">
        <f>IF(SER_hh_tes!T26=0,"",SER_hh_tes!T26/SER_hh_fec!T26)</f>
        <v>0.69383329641022395</v>
      </c>
      <c r="U26" s="138">
        <f>IF(SER_hh_tes!U26=0,"",SER_hh_tes!U26/SER_hh_fec!U26)</f>
        <v>0.71893251031854422</v>
      </c>
      <c r="V26" s="138">
        <f>IF(SER_hh_tes!V26=0,"",SER_hh_tes!V26/SER_hh_fec!V26)</f>
        <v>0.74259026192313959</v>
      </c>
      <c r="W26" s="138">
        <f>IF(SER_hh_tes!W26=0,"",SER_hh_tes!W26/SER_hh_fec!W26)</f>
        <v>0.76434729790035327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 t="str">
        <f>IF(SER_hh_tes!D27=0,"",SER_hh_tes!D27/SER_hh_fec!D27)</f>
        <v/>
      </c>
      <c r="E27" s="154" t="str">
        <f>IF(SER_hh_tes!E27=0,"",SER_hh_tes!E27/SER_hh_fec!E27)</f>
        <v/>
      </c>
      <c r="F27" s="154" t="str">
        <f>IF(SER_hh_tes!F27=0,"",SER_hh_tes!F27/SER_hh_fec!F27)</f>
        <v/>
      </c>
      <c r="G27" s="154" t="str">
        <f>IF(SER_hh_tes!G27=0,"",SER_hh_tes!G27/SER_hh_fec!G27)</f>
        <v/>
      </c>
      <c r="H27" s="154" t="str">
        <f>IF(SER_hh_tes!H27=0,"",SER_hh_tes!H27/SER_hh_fec!H27)</f>
        <v/>
      </c>
      <c r="I27" s="154" t="str">
        <f>IF(SER_hh_tes!I27=0,"",SER_hh_tes!I27/SER_hh_fec!I27)</f>
        <v/>
      </c>
      <c r="J27" s="154" t="str">
        <f>IF(SER_hh_tes!J27=0,"",SER_hh_tes!J27/SER_hh_fec!J27)</f>
        <v/>
      </c>
      <c r="K27" s="154" t="str">
        <f>IF(SER_hh_tes!K27=0,"",SER_hh_tes!K27/SER_hh_fec!K27)</f>
        <v/>
      </c>
      <c r="L27" s="154" t="str">
        <f>IF(SER_hh_tes!L27=0,"",SER_hh_tes!L27/SER_hh_fec!L27)</f>
        <v/>
      </c>
      <c r="M27" s="154" t="str">
        <f>IF(SER_hh_tes!M27=0,"",SER_hh_tes!M27/SER_hh_fec!M27)</f>
        <v/>
      </c>
      <c r="N27" s="154" t="str">
        <f>IF(SER_hh_tes!N27=0,"",SER_hh_tes!N27/SER_hh_fec!N27)</f>
        <v/>
      </c>
      <c r="O27" s="154" t="str">
        <f>IF(SER_hh_tes!O27=0,"",SER_hh_tes!O27/SER_hh_fec!O27)</f>
        <v/>
      </c>
      <c r="P27" s="154" t="str">
        <f>IF(SER_hh_tes!P27=0,"",SER_hh_tes!P27/SER_hh_fec!P27)</f>
        <v/>
      </c>
      <c r="Q27" s="154" t="str">
        <f>IF(SER_hh_tes!Q27=0,"",SER_hh_tes!Q27/SER_hh_fec!Q27)</f>
        <v/>
      </c>
      <c r="R27" s="154" t="str">
        <f>IF(SER_hh_tes!R27=0,"",SER_hh_tes!R27/SER_hh_fec!R27)</f>
        <v/>
      </c>
      <c r="S27" s="154" t="str">
        <f>IF(SER_hh_tes!S27=0,"",SER_hh_tes!S27/SER_hh_fec!S27)</f>
        <v/>
      </c>
      <c r="T27" s="154" t="str">
        <f>IF(SER_hh_tes!T27=0,"",SER_hh_tes!T27/SER_hh_fec!T27)</f>
        <v/>
      </c>
      <c r="U27" s="154" t="str">
        <f>IF(SER_hh_tes!U27=0,"",SER_hh_tes!U27/SER_hh_fec!U27)</f>
        <v/>
      </c>
      <c r="V27" s="154" t="str">
        <f>IF(SER_hh_tes!V27=0,"",SER_hh_tes!V27/SER_hh_fec!V27)</f>
        <v/>
      </c>
      <c r="W27" s="154" t="str">
        <f>IF(SER_hh_tes!W27=0,"",SER_hh_tes!W27/SER_hh_fec!W27)</f>
        <v/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0.68277955763322795</v>
      </c>
      <c r="C29" s="136">
        <f>IF(SER_hh_tes!C29=0,"",SER_hh_tes!C29/SER_hh_fec!C29)</f>
        <v>0.68209702494128388</v>
      </c>
      <c r="D29" s="136">
        <f>IF(SER_hh_tes!D29=0,"",SER_hh_tes!D29/SER_hh_fec!D29)</f>
        <v>0.67976074602710945</v>
      </c>
      <c r="E29" s="136">
        <f>IF(SER_hh_tes!E29=0,"",SER_hh_tes!E29/SER_hh_fec!E29)</f>
        <v>0.68197629953910821</v>
      </c>
      <c r="F29" s="136">
        <f>IF(SER_hh_tes!F29=0,"",SER_hh_tes!F29/SER_hh_fec!F29)</f>
        <v>0.68989508273265177</v>
      </c>
      <c r="G29" s="136">
        <f>IF(SER_hh_tes!G29=0,"",SER_hh_tes!G29/SER_hh_fec!G29)</f>
        <v>0.68827270031276533</v>
      </c>
      <c r="H29" s="136">
        <f>IF(SER_hh_tes!H29=0,"",SER_hh_tes!H29/SER_hh_fec!H29)</f>
        <v>0.69183306437500314</v>
      </c>
      <c r="I29" s="136">
        <f>IF(SER_hh_tes!I29=0,"",SER_hh_tes!I29/SER_hh_fec!I29)</f>
        <v>0.68413408937309672</v>
      </c>
      <c r="J29" s="136">
        <f>IF(SER_hh_tes!J29=0,"",SER_hh_tes!J29/SER_hh_fec!J29)</f>
        <v>0.67992586149343748</v>
      </c>
      <c r="K29" s="136">
        <f>IF(SER_hh_tes!K29=0,"",SER_hh_tes!K29/SER_hh_fec!K29)</f>
        <v>0.68492436525071887</v>
      </c>
      <c r="L29" s="136">
        <f>IF(SER_hh_tes!L29=0,"",SER_hh_tes!L29/SER_hh_fec!L29)</f>
        <v>0.68726754512790678</v>
      </c>
      <c r="M29" s="136">
        <f>IF(SER_hh_tes!M29=0,"",SER_hh_tes!M29/SER_hh_fec!M29)</f>
        <v>0.69091194077203877</v>
      </c>
      <c r="N29" s="136">
        <f>IF(SER_hh_tes!N29=0,"",SER_hh_tes!N29/SER_hh_fec!N29)</f>
        <v>0.7036595989952551</v>
      </c>
      <c r="O29" s="136">
        <f>IF(SER_hh_tes!O29=0,"",SER_hh_tes!O29/SER_hh_fec!O29)</f>
        <v>0.71239085606889474</v>
      </c>
      <c r="P29" s="136">
        <f>IF(SER_hh_tes!P29=0,"",SER_hh_tes!P29/SER_hh_fec!P29)</f>
        <v>0.71966094921027213</v>
      </c>
      <c r="Q29" s="136">
        <f>IF(SER_hh_tes!Q29=0,"",SER_hh_tes!Q29/SER_hh_fec!Q29)</f>
        <v>0.71169160956391408</v>
      </c>
      <c r="R29" s="136">
        <f>IF(SER_hh_tes!R29=0,"",SER_hh_tes!R29/SER_hh_fec!R29)</f>
        <v>0.7149255747957739</v>
      </c>
      <c r="S29" s="136">
        <f>IF(SER_hh_tes!S29=0,"",SER_hh_tes!S29/SER_hh_fec!S29)</f>
        <v>0.72079693845436554</v>
      </c>
      <c r="T29" s="136">
        <f>IF(SER_hh_tes!T29=0,"",SER_hh_tes!T29/SER_hh_fec!T29)</f>
        <v>0.72694840254755066</v>
      </c>
      <c r="U29" s="136">
        <f>IF(SER_hh_tes!U29=0,"",SER_hh_tes!U29/SER_hh_fec!U29)</f>
        <v>0.74981953891106412</v>
      </c>
      <c r="V29" s="136">
        <f>IF(SER_hh_tes!V29=0,"",SER_hh_tes!V29/SER_hh_fec!V29)</f>
        <v>0.76273340373604581</v>
      </c>
      <c r="W29" s="136">
        <f>IF(SER_hh_tes!W29=0,"",SER_hh_tes!W29/SER_hh_fec!W29)</f>
        <v>0.76859338008571143</v>
      </c>
      <c r="DA29" s="163" t="s">
        <v>242</v>
      </c>
    </row>
    <row r="30" spans="1:105" ht="12" customHeight="1" x14ac:dyDescent="0.25">
      <c r="A30" s="132" t="s">
        <v>52</v>
      </c>
      <c r="B30" s="137" t="str">
        <f>IF(SER_hh_tes!B30=0,"",SER_hh_tes!B30/SER_hh_fec!B30)</f>
        <v/>
      </c>
      <c r="C30" s="137" t="str">
        <f>IF(SER_hh_tes!C30=0,"",SER_hh_tes!C30/SER_hh_fec!C30)</f>
        <v/>
      </c>
      <c r="D30" s="137" t="str">
        <f>IF(SER_hh_tes!D30=0,"",SER_hh_tes!D30/SER_hh_fec!D30)</f>
        <v/>
      </c>
      <c r="E30" s="137" t="str">
        <f>IF(SER_hh_tes!E30=0,"",SER_hh_tes!E30/SER_hh_fec!E30)</f>
        <v/>
      </c>
      <c r="F30" s="137" t="str">
        <f>IF(SER_hh_tes!F30=0,"",SER_hh_tes!F30/SER_hh_fec!F30)</f>
        <v/>
      </c>
      <c r="G30" s="137" t="str">
        <f>IF(SER_hh_tes!G30=0,"",SER_hh_tes!G30/SER_hh_fec!G30)</f>
        <v/>
      </c>
      <c r="H30" s="137" t="str">
        <f>IF(SER_hh_tes!H30=0,"",SER_hh_tes!H30/SER_hh_fec!H30)</f>
        <v/>
      </c>
      <c r="I30" s="137" t="str">
        <f>IF(SER_hh_tes!I30=0,"",SER_hh_tes!I30/SER_hh_fec!I30)</f>
        <v/>
      </c>
      <c r="J30" s="137" t="str">
        <f>IF(SER_hh_tes!J30=0,"",SER_hh_tes!J30/SER_hh_fec!J30)</f>
        <v/>
      </c>
      <c r="K30" s="137" t="str">
        <f>IF(SER_hh_tes!K30=0,"",SER_hh_tes!K30/SER_hh_fec!K30)</f>
        <v/>
      </c>
      <c r="L30" s="137" t="str">
        <f>IF(SER_hh_tes!L30=0,"",SER_hh_tes!L30/SER_hh_fec!L30)</f>
        <v/>
      </c>
      <c r="M30" s="137" t="str">
        <f>IF(SER_hh_tes!M30=0,"",SER_hh_tes!M30/SER_hh_fec!M30)</f>
        <v/>
      </c>
      <c r="N30" s="137" t="str">
        <f>IF(SER_hh_tes!N30=0,"",SER_hh_tes!N30/SER_hh_fec!N30)</f>
        <v/>
      </c>
      <c r="O30" s="137" t="str">
        <f>IF(SER_hh_tes!O30=0,"",SER_hh_tes!O30/SER_hh_fec!O30)</f>
        <v/>
      </c>
      <c r="P30" s="137" t="str">
        <f>IF(SER_hh_tes!P30=0,"",SER_hh_tes!P30/SER_hh_fec!P30)</f>
        <v/>
      </c>
      <c r="Q30" s="137" t="str">
        <f>IF(SER_hh_tes!Q30=0,"",SER_hh_tes!Q30/SER_hh_fec!Q30)</f>
        <v/>
      </c>
      <c r="R30" s="137" t="str">
        <f>IF(SER_hh_tes!R30=0,"",SER_hh_tes!R30/SER_hh_fec!R30)</f>
        <v/>
      </c>
      <c r="S30" s="137" t="str">
        <f>IF(SER_hh_tes!S30=0,"",SER_hh_tes!S30/SER_hh_fec!S30)</f>
        <v/>
      </c>
      <c r="T30" s="137" t="str">
        <f>IF(SER_hh_tes!T30=0,"",SER_hh_tes!T30/SER_hh_fec!T30)</f>
        <v/>
      </c>
      <c r="U30" s="137" t="str">
        <f>IF(SER_hh_tes!U30=0,"",SER_hh_tes!U30/SER_hh_fec!U30)</f>
        <v/>
      </c>
      <c r="V30" s="137" t="str">
        <f>IF(SER_hh_tes!V30=0,"",SER_hh_tes!V30/SER_hh_fec!V30)</f>
        <v/>
      </c>
      <c r="W30" s="137" t="str">
        <f>IF(SER_hh_tes!W30=0,"",SER_hh_tes!W30/SER_hh_fec!W30)</f>
        <v/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0.55822272246626092</v>
      </c>
      <c r="C31" s="137">
        <f>IF(SER_hh_tes!C31=0,"",SER_hh_tes!C31/SER_hh_fec!C31)</f>
        <v>0.55938739651324532</v>
      </c>
      <c r="D31" s="137">
        <f>IF(SER_hh_tes!D31=0,"",SER_hh_tes!D31/SER_hh_fec!D31)</f>
        <v>0.56069382401469325</v>
      </c>
      <c r="E31" s="137">
        <f>IF(SER_hh_tes!E31=0,"",SER_hh_tes!E31/SER_hh_fec!E31)</f>
        <v>0.56183700615939414</v>
      </c>
      <c r="F31" s="137">
        <f>IF(SER_hh_tes!F31=0,"",SER_hh_tes!F31/SER_hh_fec!F31)</f>
        <v>0.56280317538959934</v>
      </c>
      <c r="G31" s="137">
        <f>IF(SER_hh_tes!G31=0,"",SER_hh_tes!G31/SER_hh_fec!G31)</f>
        <v>0.56415820464272026</v>
      </c>
      <c r="H31" s="137">
        <f>IF(SER_hh_tes!H31=0,"",SER_hh_tes!H31/SER_hh_fec!H31)</f>
        <v>0.56573736179031742</v>
      </c>
      <c r="I31" s="137">
        <f>IF(SER_hh_tes!I31=0,"",SER_hh_tes!I31/SER_hh_fec!I31)</f>
        <v>0.56760769025848756</v>
      </c>
      <c r="J31" s="137">
        <f>IF(SER_hh_tes!J31=0,"",SER_hh_tes!J31/SER_hh_fec!J31)</f>
        <v>0.56909699239742118</v>
      </c>
      <c r="K31" s="137">
        <f>IF(SER_hh_tes!K31=0,"",SER_hh_tes!K31/SER_hh_fec!K31)</f>
        <v>0.57035261527282277</v>
      </c>
      <c r="L31" s="137">
        <f>IF(SER_hh_tes!L31=0,"",SER_hh_tes!L31/SER_hh_fec!L31)</f>
        <v>0.57110622330397687</v>
      </c>
      <c r="M31" s="137">
        <f>IF(SER_hh_tes!M31=0,"",SER_hh_tes!M31/SER_hh_fec!M31)</f>
        <v>0.57131733951644015</v>
      </c>
      <c r="N31" s="137">
        <f>IF(SER_hh_tes!N31=0,"",SER_hh_tes!N31/SER_hh_fec!N31)</f>
        <v>0.57161640674759162</v>
      </c>
      <c r="O31" s="137">
        <f>IF(SER_hh_tes!O31=0,"",SER_hh_tes!O31/SER_hh_fec!O31)</f>
        <v>0.57208860199485301</v>
      </c>
      <c r="P31" s="137">
        <f>IF(SER_hh_tes!P31=0,"",SER_hh_tes!P31/SER_hh_fec!P31)</f>
        <v>0.57287517944564714</v>
      </c>
      <c r="Q31" s="137">
        <f>IF(SER_hh_tes!Q31=0,"",SER_hh_tes!Q31/SER_hh_fec!Q31)</f>
        <v>0.5737834533373608</v>
      </c>
      <c r="R31" s="137">
        <f>IF(SER_hh_tes!R31=0,"",SER_hh_tes!R31/SER_hh_fec!R31)</f>
        <v>0.57507374003521117</v>
      </c>
      <c r="S31" s="137">
        <f>IF(SER_hh_tes!S31=0,"",SER_hh_tes!S31/SER_hh_fec!S31)</f>
        <v>0.57677976753103577</v>
      </c>
      <c r="T31" s="137">
        <f>IF(SER_hh_tes!T31=0,"",SER_hh_tes!T31/SER_hh_fec!T31)</f>
        <v>0.57843600546479823</v>
      </c>
      <c r="U31" s="137">
        <f>IF(SER_hh_tes!U31=0,"",SER_hh_tes!U31/SER_hh_fec!U31)</f>
        <v>0.57935987642655695</v>
      </c>
      <c r="V31" s="137">
        <f>IF(SER_hh_tes!V31=0,"",SER_hh_tes!V31/SER_hh_fec!V31)</f>
        <v>0.58002524561585478</v>
      </c>
      <c r="W31" s="137">
        <f>IF(SER_hh_tes!W31=0,"",SER_hh_tes!W31/SER_hh_fec!W31)</f>
        <v>0.58040570410344106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>
        <f>IF(SER_hh_tes!G32=0,"",SER_hh_tes!G32/SER_hh_fec!G32)</f>
        <v>0.56643750822504779</v>
      </c>
      <c r="H32" s="137">
        <f>IF(SER_hh_tes!H32=0,"",SER_hh_tes!H32/SER_hh_fec!H32)</f>
        <v>0.56655423254351656</v>
      </c>
      <c r="I32" s="137">
        <f>IF(SER_hh_tes!I32=0,"",SER_hh_tes!I32/SER_hh_fec!I32)</f>
        <v>0.56667966893819133</v>
      </c>
      <c r="J32" s="137">
        <f>IF(SER_hh_tes!J32=0,"",SER_hh_tes!J32/SER_hh_fec!J32)</f>
        <v>0.56689422575463555</v>
      </c>
      <c r="K32" s="137">
        <f>IF(SER_hh_tes!K32=0,"",SER_hh_tes!K32/SER_hh_fec!K32)</f>
        <v>0.56694035525357056</v>
      </c>
      <c r="L32" s="137">
        <f>IF(SER_hh_tes!L32=0,"",SER_hh_tes!L32/SER_hh_fec!L32)</f>
        <v>0.56713370842813393</v>
      </c>
      <c r="M32" s="137">
        <f>IF(SER_hh_tes!M32=0,"",SER_hh_tes!M32/SER_hh_fec!M32)</f>
        <v>0.56714720730119716</v>
      </c>
      <c r="N32" s="137">
        <f>IF(SER_hh_tes!N32=0,"",SER_hh_tes!N32/SER_hh_fec!N32)</f>
        <v>0.56720132035942394</v>
      </c>
      <c r="O32" s="137">
        <f>IF(SER_hh_tes!O32=0,"",SER_hh_tes!O32/SER_hh_fec!O32)</f>
        <v>0.56725520503682669</v>
      </c>
      <c r="P32" s="137">
        <f>IF(SER_hh_tes!P32=0,"",SER_hh_tes!P32/SER_hh_fec!P32)</f>
        <v>0.56746924774473151</v>
      </c>
      <c r="Q32" s="137">
        <f>IF(SER_hh_tes!Q32=0,"",SER_hh_tes!Q32/SER_hh_fec!Q32)</f>
        <v>0.56770545585106102</v>
      </c>
      <c r="R32" s="137">
        <f>IF(SER_hh_tes!R32=0,"",SER_hh_tes!R32/SER_hh_fec!R32)</f>
        <v>0.56822139988817599</v>
      </c>
      <c r="S32" s="137">
        <f>IF(SER_hh_tes!S32=0,"",SER_hh_tes!S32/SER_hh_fec!S32)</f>
        <v>0.56916710634350631</v>
      </c>
      <c r="T32" s="137">
        <f>IF(SER_hh_tes!T32=0,"",SER_hh_tes!T32/SER_hh_fec!T32)</f>
        <v>0.57007770671592672</v>
      </c>
      <c r="U32" s="137">
        <f>IF(SER_hh_tes!U32=0,"",SER_hh_tes!U32/SER_hh_fec!U32)</f>
        <v>0.57137459980601046</v>
      </c>
      <c r="V32" s="137">
        <f>IF(SER_hh_tes!V32=0,"",SER_hh_tes!V32/SER_hh_fec!V32)</f>
        <v>0.57263276656623119</v>
      </c>
      <c r="W32" s="137">
        <f>IF(SER_hh_tes!W32=0,"",SER_hh_tes!W32/SER_hh_fec!W32)</f>
        <v>0.57374655799522467</v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0.72828597966839737</v>
      </c>
      <c r="C33" s="150">
        <f>IF(SER_hh_tes!C33=0,"",SER_hh_tes!C33/SER_hh_fec!C33)</f>
        <v>0.73015566855151726</v>
      </c>
      <c r="D33" s="150">
        <f>IF(SER_hh_tes!D33=0,"",SER_hh_tes!D33/SER_hh_fec!D33)</f>
        <v>0.73216975260536132</v>
      </c>
      <c r="E33" s="150">
        <f>IF(SER_hh_tes!E33=0,"",SER_hh_tes!E33/SER_hh_fec!E33)</f>
        <v>0.73470587520477937</v>
      </c>
      <c r="F33" s="150">
        <f>IF(SER_hh_tes!F33=0,"",SER_hh_tes!F33/SER_hh_fec!F33)</f>
        <v>0.73714695887169668</v>
      </c>
      <c r="G33" s="150">
        <f>IF(SER_hh_tes!G33=0,"",SER_hh_tes!G33/SER_hh_fec!G33)</f>
        <v>0.73937002723368894</v>
      </c>
      <c r="H33" s="150">
        <f>IF(SER_hh_tes!H33=0,"",SER_hh_tes!H33/SER_hh_fec!H33)</f>
        <v>0.74141194400763077</v>
      </c>
      <c r="I33" s="150">
        <f>IF(SER_hh_tes!I33=0,"",SER_hh_tes!I33/SER_hh_fec!I33)</f>
        <v>0.74416113288186814</v>
      </c>
      <c r="J33" s="150">
        <f>IF(SER_hh_tes!J33=0,"",SER_hh_tes!J33/SER_hh_fec!J33)</f>
        <v>0.74648378700200713</v>
      </c>
      <c r="K33" s="150">
        <f>IF(SER_hh_tes!K33=0,"",SER_hh_tes!K33/SER_hh_fec!K33)</f>
        <v>0.74880464876675534</v>
      </c>
      <c r="L33" s="150">
        <f>IF(SER_hh_tes!L33=0,"",SER_hh_tes!L33/SER_hh_fec!L33)</f>
        <v>0.7509591360560709</v>
      </c>
      <c r="M33" s="150">
        <f>IF(SER_hh_tes!M33=0,"",SER_hh_tes!M33/SER_hh_fec!M33)</f>
        <v>0.75247995079222652</v>
      </c>
      <c r="N33" s="150">
        <f>IF(SER_hh_tes!N33=0,"",SER_hh_tes!N33/SER_hh_fec!N33)</f>
        <v>0.75458559736387354</v>
      </c>
      <c r="O33" s="150">
        <f>IF(SER_hh_tes!O33=0,"",SER_hh_tes!O33/SER_hh_fec!O33)</f>
        <v>0.75761407650743551</v>
      </c>
      <c r="P33" s="150">
        <f>IF(SER_hh_tes!P33=0,"",SER_hh_tes!P33/SER_hh_fec!P33)</f>
        <v>0.76113039770628976</v>
      </c>
      <c r="Q33" s="150">
        <f>IF(SER_hh_tes!Q33=0,"",SER_hh_tes!Q33/SER_hh_fec!Q33)</f>
        <v>0.76484125159530902</v>
      </c>
      <c r="R33" s="150">
        <f>IF(SER_hh_tes!R33=0,"",SER_hh_tes!R33/SER_hh_fec!R33)</f>
        <v>0.76948775479270182</v>
      </c>
      <c r="S33" s="150">
        <f>IF(SER_hh_tes!S33=0,"",SER_hh_tes!S33/SER_hh_fec!S33)</f>
        <v>0.77581085951049</v>
      </c>
      <c r="T33" s="150">
        <f>IF(SER_hh_tes!T33=0,"",SER_hh_tes!T33/SER_hh_fec!T33)</f>
        <v>0.78416317132387592</v>
      </c>
      <c r="U33" s="150">
        <f>IF(SER_hh_tes!U33=0,"",SER_hh_tes!U33/SER_hh_fec!U33)</f>
        <v>0.79490909194594561</v>
      </c>
      <c r="V33" s="150">
        <f>IF(SER_hh_tes!V33=0,"",SER_hh_tes!V33/SER_hh_fec!V33)</f>
        <v>0.8053433854950951</v>
      </c>
      <c r="W33" s="150">
        <f>IF(SER_hh_tes!W33=0,"",SER_hh_tes!W33/SER_hh_fec!W33)</f>
        <v>0.81469280292543633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315.67891140000006</v>
      </c>
      <c r="C3" s="126">
        <f t="shared" si="0"/>
        <v>272.36534435999994</v>
      </c>
      <c r="D3" s="126">
        <f t="shared" si="0"/>
        <v>311.58969551999996</v>
      </c>
      <c r="E3" s="126">
        <f t="shared" si="0"/>
        <v>301.74478379999999</v>
      </c>
      <c r="F3" s="126">
        <f t="shared" si="0"/>
        <v>327.47220547200004</v>
      </c>
      <c r="G3" s="126">
        <f t="shared" si="0"/>
        <v>345.1816148399999</v>
      </c>
      <c r="H3" s="126">
        <f t="shared" si="0"/>
        <v>419.55001113599991</v>
      </c>
      <c r="I3" s="126">
        <f t="shared" si="0"/>
        <v>397.85393426399997</v>
      </c>
      <c r="J3" s="126">
        <f t="shared" si="0"/>
        <v>349.58853345600005</v>
      </c>
      <c r="K3" s="126">
        <f t="shared" si="0"/>
        <v>352.03592275200026</v>
      </c>
      <c r="L3" s="126">
        <f t="shared" si="0"/>
        <v>367.6059966960002</v>
      </c>
      <c r="M3" s="126">
        <f t="shared" si="0"/>
        <v>393.08049129600005</v>
      </c>
      <c r="N3" s="126">
        <f t="shared" si="0"/>
        <v>324.88742649600022</v>
      </c>
      <c r="O3" s="126">
        <f t="shared" si="0"/>
        <v>352.5113303280001</v>
      </c>
      <c r="P3" s="126">
        <f t="shared" si="0"/>
        <v>309.77472254399993</v>
      </c>
      <c r="Q3" s="126">
        <f t="shared" si="0"/>
        <v>277.68165314400028</v>
      </c>
      <c r="R3" s="126">
        <f t="shared" ref="R3:W3" si="1">SUM(R4,R16,R19,R29)</f>
        <v>314.90964107999991</v>
      </c>
      <c r="S3" s="126">
        <f t="shared" si="1"/>
        <v>330.02766338400005</v>
      </c>
      <c r="T3" s="126">
        <f t="shared" si="1"/>
        <v>344.19285151200023</v>
      </c>
      <c r="U3" s="126">
        <f t="shared" si="1"/>
        <v>317.71727107200013</v>
      </c>
      <c r="V3" s="126">
        <f t="shared" si="1"/>
        <v>263.44850227200016</v>
      </c>
      <c r="W3" s="126">
        <f t="shared" si="1"/>
        <v>292.38061024799998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285.10023033633001</v>
      </c>
      <c r="C4" s="131">
        <f t="shared" si="2"/>
        <v>242.99550841446128</v>
      </c>
      <c r="D4" s="131">
        <f t="shared" si="2"/>
        <v>279.76341457165279</v>
      </c>
      <c r="E4" s="131">
        <f t="shared" si="2"/>
        <v>269.59802814104</v>
      </c>
      <c r="F4" s="131">
        <f t="shared" si="2"/>
        <v>295.33514162676477</v>
      </c>
      <c r="G4" s="131">
        <f t="shared" si="2"/>
        <v>311.96350213909579</v>
      </c>
      <c r="H4" s="131">
        <f t="shared" si="2"/>
        <v>384.00573701925538</v>
      </c>
      <c r="I4" s="131">
        <f t="shared" si="2"/>
        <v>351.34812634003777</v>
      </c>
      <c r="J4" s="131">
        <f t="shared" si="2"/>
        <v>299.44266347966152</v>
      </c>
      <c r="K4" s="131">
        <f t="shared" si="2"/>
        <v>303.69678035340007</v>
      </c>
      <c r="L4" s="131">
        <f t="shared" si="2"/>
        <v>322.29012305243026</v>
      </c>
      <c r="M4" s="131">
        <f t="shared" si="2"/>
        <v>349.62118755439622</v>
      </c>
      <c r="N4" s="131">
        <f t="shared" si="2"/>
        <v>285.44802677037183</v>
      </c>
      <c r="O4" s="131">
        <f t="shared" si="2"/>
        <v>317.54947278797971</v>
      </c>
      <c r="P4" s="131">
        <f t="shared" si="2"/>
        <v>279.25263785769175</v>
      </c>
      <c r="Q4" s="131">
        <f t="shared" si="2"/>
        <v>243.46480042338828</v>
      </c>
      <c r="R4" s="131">
        <f t="shared" ref="R4:W4" si="3">SUM(R5:R15)</f>
        <v>278.77610108646002</v>
      </c>
      <c r="S4" s="131">
        <f t="shared" si="3"/>
        <v>295.40263272036646</v>
      </c>
      <c r="T4" s="131">
        <f t="shared" si="3"/>
        <v>308.5118358134381</v>
      </c>
      <c r="U4" s="131">
        <f t="shared" si="3"/>
        <v>289.14769595597306</v>
      </c>
      <c r="V4" s="131">
        <f t="shared" si="3"/>
        <v>237.96555130994071</v>
      </c>
      <c r="W4" s="131">
        <f t="shared" si="3"/>
        <v>265.86425119947921</v>
      </c>
      <c r="DA4" s="156" t="s">
        <v>233</v>
      </c>
    </row>
    <row r="5" spans="1:105" ht="12" customHeight="1" x14ac:dyDescent="0.25">
      <c r="A5" s="132" t="s">
        <v>29</v>
      </c>
      <c r="B5" s="133">
        <v>180.21602448000002</v>
      </c>
      <c r="C5" s="133">
        <v>149.00366447999994</v>
      </c>
      <c r="D5" s="133">
        <v>174.37455359999996</v>
      </c>
      <c r="E5" s="133">
        <v>176.55425279999997</v>
      </c>
      <c r="F5" s="133">
        <v>174.17819599200001</v>
      </c>
      <c r="G5" s="133">
        <v>204.35757407999989</v>
      </c>
      <c r="H5" s="133">
        <v>274.27215621599987</v>
      </c>
      <c r="I5" s="133">
        <v>209.88372974399996</v>
      </c>
      <c r="J5" s="133">
        <v>160.027108416</v>
      </c>
      <c r="K5" s="133">
        <v>196.5855935520002</v>
      </c>
      <c r="L5" s="133">
        <v>198.98970069600017</v>
      </c>
      <c r="M5" s="133">
        <v>235.96526865600001</v>
      </c>
      <c r="N5" s="133">
        <v>166.72080657600017</v>
      </c>
      <c r="O5" s="133">
        <v>194.49618040800001</v>
      </c>
      <c r="P5" s="133">
        <v>170.43022598399992</v>
      </c>
      <c r="Q5" s="133">
        <v>126.87794078400017</v>
      </c>
      <c r="R5" s="133">
        <v>154.76527871999988</v>
      </c>
      <c r="S5" s="133">
        <v>161.06079110400006</v>
      </c>
      <c r="T5" s="133">
        <v>167.11784647200008</v>
      </c>
      <c r="U5" s="133">
        <v>140.26423723199994</v>
      </c>
      <c r="V5" s="133">
        <v>92.665423152000216</v>
      </c>
      <c r="W5" s="133">
        <v>113.00954716800001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55.747669682789322</v>
      </c>
      <c r="C7" s="133">
        <v>39.837668988469538</v>
      </c>
      <c r="D7" s="133">
        <v>43.240027435664594</v>
      </c>
      <c r="E7" s="133">
        <v>28.350987648128783</v>
      </c>
      <c r="F7" s="133">
        <v>27.977793067924452</v>
      </c>
      <c r="G7" s="133">
        <v>19.281718553647885</v>
      </c>
      <c r="H7" s="133">
        <v>16.028608338920254</v>
      </c>
      <c r="I7" s="133">
        <v>16.309519082986842</v>
      </c>
      <c r="J7" s="133">
        <v>25.831590094465458</v>
      </c>
      <c r="K7" s="133">
        <v>7.6013219327270303</v>
      </c>
      <c r="L7" s="133">
        <v>10.970303479757824</v>
      </c>
      <c r="M7" s="133">
        <v>14.443445384869358</v>
      </c>
      <c r="N7" s="133">
        <v>8.4913426477420657</v>
      </c>
      <c r="O7" s="133">
        <v>8.4785097179377775</v>
      </c>
      <c r="P7" s="133">
        <v>11.651539854823202</v>
      </c>
      <c r="Q7" s="133">
        <v>5.2348371109121823</v>
      </c>
      <c r="R7" s="133">
        <v>5.246970506017739</v>
      </c>
      <c r="S7" s="133">
        <v>6.0232686677187024</v>
      </c>
      <c r="T7" s="133">
        <v>4.4821500529016189</v>
      </c>
      <c r="U7" s="133">
        <v>5.8262045225963437</v>
      </c>
      <c r="V7" s="133">
        <v>6.6267364094427768</v>
      </c>
      <c r="W7" s="133">
        <v>7.68936567612334</v>
      </c>
      <c r="DA7" s="157" t="s">
        <v>359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360</v>
      </c>
    </row>
    <row r="9" spans="1:105" ht="12" customHeight="1" x14ac:dyDescent="0.25">
      <c r="A9" s="132" t="s">
        <v>78</v>
      </c>
      <c r="B9" s="133">
        <v>49.136536173540655</v>
      </c>
      <c r="C9" s="133">
        <v>54.154174945991798</v>
      </c>
      <c r="D9" s="133">
        <v>62.148833535988253</v>
      </c>
      <c r="E9" s="133">
        <v>64.692787692911281</v>
      </c>
      <c r="F9" s="133">
        <v>93.179152566840273</v>
      </c>
      <c r="G9" s="133">
        <v>88.324209505448039</v>
      </c>
      <c r="H9" s="133">
        <v>93.704972464335242</v>
      </c>
      <c r="I9" s="133">
        <v>125.15487751305098</v>
      </c>
      <c r="J9" s="133">
        <v>113.58396496919605</v>
      </c>
      <c r="K9" s="133">
        <v>99.50986486867285</v>
      </c>
      <c r="L9" s="133">
        <v>112.33011887667224</v>
      </c>
      <c r="M9" s="133">
        <v>99.212473513526859</v>
      </c>
      <c r="N9" s="133">
        <v>110.23587754662961</v>
      </c>
      <c r="O9" s="133">
        <v>114.5747826620419</v>
      </c>
      <c r="P9" s="133">
        <v>97.170872018868664</v>
      </c>
      <c r="Q9" s="133">
        <v>111.35202252847593</v>
      </c>
      <c r="R9" s="133">
        <v>118.7638518604424</v>
      </c>
      <c r="S9" s="133">
        <v>128.3185729486477</v>
      </c>
      <c r="T9" s="133">
        <v>136.91183928853636</v>
      </c>
      <c r="U9" s="133">
        <v>143.05725420137674</v>
      </c>
      <c r="V9" s="133">
        <v>138.67339174849772</v>
      </c>
      <c r="W9" s="133">
        <v>145.16533835535589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</v>
      </c>
      <c r="C16" s="131">
        <f t="shared" si="4"/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234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10.395794567812727</v>
      </c>
      <c r="C19" s="131">
        <f t="shared" si="6"/>
        <v>7.7425694249065229</v>
      </c>
      <c r="D19" s="131">
        <f t="shared" si="6"/>
        <v>7.8072449960720043</v>
      </c>
      <c r="E19" s="131">
        <f t="shared" si="6"/>
        <v>7.2538801852742676</v>
      </c>
      <c r="F19" s="131">
        <f t="shared" si="6"/>
        <v>8.9202944528401655</v>
      </c>
      <c r="G19" s="131">
        <f t="shared" si="6"/>
        <v>8.4691521353012842</v>
      </c>
      <c r="H19" s="131">
        <f t="shared" si="6"/>
        <v>9.5907027284751258</v>
      </c>
      <c r="I19" s="131">
        <f t="shared" si="6"/>
        <v>12.719952555899974</v>
      </c>
      <c r="J19" s="131">
        <f t="shared" si="6"/>
        <v>14.031644492401583</v>
      </c>
      <c r="K19" s="131">
        <f t="shared" si="6"/>
        <v>13.249139718771147</v>
      </c>
      <c r="L19" s="131">
        <f t="shared" si="6"/>
        <v>13.120449101755806</v>
      </c>
      <c r="M19" s="131">
        <f t="shared" si="6"/>
        <v>13.022656765035716</v>
      </c>
      <c r="N19" s="131">
        <f t="shared" si="6"/>
        <v>12.718058007340272</v>
      </c>
      <c r="O19" s="131">
        <f t="shared" si="6"/>
        <v>12.888263275222702</v>
      </c>
      <c r="P19" s="131">
        <f t="shared" si="6"/>
        <v>11.72438404946554</v>
      </c>
      <c r="Q19" s="131">
        <f t="shared" si="6"/>
        <v>12.673315865778797</v>
      </c>
      <c r="R19" s="131">
        <f t="shared" ref="R19:W19" si="7">SUM(R20:R27)</f>
        <v>13.362561971205723</v>
      </c>
      <c r="S19" s="131">
        <f t="shared" si="7"/>
        <v>13.582169789379957</v>
      </c>
      <c r="T19" s="131">
        <f t="shared" si="7"/>
        <v>13.763995643366101</v>
      </c>
      <c r="U19" s="131">
        <f t="shared" si="7"/>
        <v>14.290521786835516</v>
      </c>
      <c r="V19" s="131">
        <f t="shared" si="7"/>
        <v>14.551160645137481</v>
      </c>
      <c r="W19" s="131">
        <f t="shared" si="7"/>
        <v>15.190216173425281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371</v>
      </c>
    </row>
    <row r="22" spans="1:105" ht="12" customHeight="1" x14ac:dyDescent="0.25">
      <c r="A22" s="132" t="s">
        <v>168</v>
      </c>
      <c r="B22" s="133">
        <v>6.6561872372106743</v>
      </c>
      <c r="C22" s="133">
        <v>3.8507908915304676</v>
      </c>
      <c r="D22" s="133">
        <v>3.5980144843354114</v>
      </c>
      <c r="E22" s="133">
        <v>2.8776533518712184</v>
      </c>
      <c r="F22" s="133">
        <v>3.3828664120755483</v>
      </c>
      <c r="G22" s="133">
        <v>2.7393522063521138</v>
      </c>
      <c r="H22" s="133">
        <v>2.8222865810797453</v>
      </c>
      <c r="I22" s="133">
        <v>2.5696754370131649</v>
      </c>
      <c r="J22" s="133">
        <v>2.5657549455345467</v>
      </c>
      <c r="K22" s="133">
        <v>1.8824172672729709</v>
      </c>
      <c r="L22" s="133">
        <v>1.6823825202421778</v>
      </c>
      <c r="M22" s="133">
        <v>1.400757255130652</v>
      </c>
      <c r="N22" s="133">
        <v>1.0832072722579391</v>
      </c>
      <c r="O22" s="133">
        <v>1.096040202062226</v>
      </c>
      <c r="P22" s="133">
        <v>1.1145267051767953</v>
      </c>
      <c r="Q22" s="133">
        <v>1.1169852490878203</v>
      </c>
      <c r="R22" s="133">
        <v>1.1048518539822632</v>
      </c>
      <c r="S22" s="133">
        <v>1.2221140122812948</v>
      </c>
      <c r="T22" s="133">
        <v>0.87757674709837996</v>
      </c>
      <c r="U22" s="133">
        <v>1.1186659974036548</v>
      </c>
      <c r="V22" s="133">
        <v>1.2774203505572213</v>
      </c>
      <c r="W22" s="133">
        <v>1.4801093638766547</v>
      </c>
      <c r="DA22" s="157" t="s">
        <v>372</v>
      </c>
    </row>
    <row r="23" spans="1:105" ht="12" customHeight="1" x14ac:dyDescent="0.25">
      <c r="A23" s="132" t="s">
        <v>153</v>
      </c>
      <c r="B23" s="133">
        <v>3.7396073306020532</v>
      </c>
      <c r="C23" s="133">
        <v>3.8917785333760553</v>
      </c>
      <c r="D23" s="133">
        <v>4.2092305117365925</v>
      </c>
      <c r="E23" s="133">
        <v>4.3762268334030496</v>
      </c>
      <c r="F23" s="133">
        <v>5.5374280407646168</v>
      </c>
      <c r="G23" s="133">
        <v>5.7297999289491699</v>
      </c>
      <c r="H23" s="133">
        <v>6.7684161473953797</v>
      </c>
      <c r="I23" s="133">
        <v>10.150277118886809</v>
      </c>
      <c r="J23" s="133">
        <v>11.465889546867036</v>
      </c>
      <c r="K23" s="133">
        <v>11.366722451498177</v>
      </c>
      <c r="L23" s="133">
        <v>11.438066581513629</v>
      </c>
      <c r="M23" s="133">
        <v>11.621899509905065</v>
      </c>
      <c r="N23" s="133">
        <v>11.634850735082333</v>
      </c>
      <c r="O23" s="133">
        <v>11.792223073160475</v>
      </c>
      <c r="P23" s="133">
        <v>10.609857344288745</v>
      </c>
      <c r="Q23" s="133">
        <v>11.556330616690976</v>
      </c>
      <c r="R23" s="133">
        <v>12.257710117223461</v>
      </c>
      <c r="S23" s="133">
        <v>12.360055777098662</v>
      </c>
      <c r="T23" s="133">
        <v>12.88641889626772</v>
      </c>
      <c r="U23" s="133">
        <v>13.171855789431861</v>
      </c>
      <c r="V23" s="133">
        <v>13.273740294580259</v>
      </c>
      <c r="W23" s="133">
        <v>13.710106809548627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20.182886495857289</v>
      </c>
      <c r="C29" s="131">
        <f t="shared" si="8"/>
        <v>21.627266520632134</v>
      </c>
      <c r="D29" s="131">
        <f t="shared" si="8"/>
        <v>24.01903595227515</v>
      </c>
      <c r="E29" s="131">
        <f t="shared" si="8"/>
        <v>24.892875473685692</v>
      </c>
      <c r="F29" s="131">
        <f t="shared" si="8"/>
        <v>23.216769392395125</v>
      </c>
      <c r="G29" s="131">
        <f t="shared" si="8"/>
        <v>24.748960565602808</v>
      </c>
      <c r="H29" s="131">
        <f t="shared" si="8"/>
        <v>25.953571388269374</v>
      </c>
      <c r="I29" s="131">
        <f t="shared" si="8"/>
        <v>33.785855368062258</v>
      </c>
      <c r="J29" s="131">
        <f t="shared" si="8"/>
        <v>36.114225483936956</v>
      </c>
      <c r="K29" s="131">
        <f t="shared" si="8"/>
        <v>35.090002679828999</v>
      </c>
      <c r="L29" s="131">
        <f t="shared" si="8"/>
        <v>32.195424541814141</v>
      </c>
      <c r="M29" s="131">
        <f t="shared" si="8"/>
        <v>30.436646976568102</v>
      </c>
      <c r="N29" s="131">
        <f t="shared" si="8"/>
        <v>26.721341718288109</v>
      </c>
      <c r="O29" s="131">
        <f t="shared" si="8"/>
        <v>22.073594264797688</v>
      </c>
      <c r="P29" s="131">
        <f t="shared" si="8"/>
        <v>18.797700636842624</v>
      </c>
      <c r="Q29" s="131">
        <f t="shared" si="8"/>
        <v>21.543536854833153</v>
      </c>
      <c r="R29" s="131">
        <f t="shared" ref="R29:W29" si="9">SUM(R30:R33)</f>
        <v>22.770978022334209</v>
      </c>
      <c r="S29" s="131">
        <f t="shared" si="9"/>
        <v>21.042860874253627</v>
      </c>
      <c r="T29" s="131">
        <f t="shared" si="9"/>
        <v>21.917020055196012</v>
      </c>
      <c r="U29" s="131">
        <f t="shared" si="9"/>
        <v>14.279053329191527</v>
      </c>
      <c r="V29" s="131">
        <f t="shared" si="9"/>
        <v>10.931790316921965</v>
      </c>
      <c r="W29" s="131">
        <f t="shared" si="9"/>
        <v>11.326142875095533</v>
      </c>
      <c r="DA29" s="156" t="s">
        <v>236</v>
      </c>
    </row>
    <row r="30" spans="1:105" ht="12" customHeight="1" x14ac:dyDescent="0.25">
      <c r="A30" s="132" t="s">
        <v>52</v>
      </c>
      <c r="B30" s="133">
        <v>0</v>
      </c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378</v>
      </c>
    </row>
    <row r="31" spans="1:105" ht="12" customHeight="1" x14ac:dyDescent="0.25">
      <c r="A31" s="132" t="s">
        <v>153</v>
      </c>
      <c r="B31" s="133">
        <v>20.182886495857289</v>
      </c>
      <c r="C31" s="133">
        <v>21.627266520632134</v>
      </c>
      <c r="D31" s="133">
        <v>24.01903595227515</v>
      </c>
      <c r="E31" s="133">
        <v>24.892875473685692</v>
      </c>
      <c r="F31" s="133">
        <v>23.216769392395125</v>
      </c>
      <c r="G31" s="133">
        <v>24.748960565602808</v>
      </c>
      <c r="H31" s="133">
        <v>25.953571388269374</v>
      </c>
      <c r="I31" s="133">
        <v>33.785855368062258</v>
      </c>
      <c r="J31" s="133">
        <v>36.114225483936956</v>
      </c>
      <c r="K31" s="133">
        <v>35.090002679828999</v>
      </c>
      <c r="L31" s="133">
        <v>32.195424541814141</v>
      </c>
      <c r="M31" s="133">
        <v>30.436646976568102</v>
      </c>
      <c r="N31" s="133">
        <v>26.721341718288109</v>
      </c>
      <c r="O31" s="133">
        <v>22.073594264797688</v>
      </c>
      <c r="P31" s="133">
        <v>18.797700636842624</v>
      </c>
      <c r="Q31" s="133">
        <v>21.543536854833153</v>
      </c>
      <c r="R31" s="133">
        <v>22.770978022334209</v>
      </c>
      <c r="S31" s="133">
        <v>21.042860874253627</v>
      </c>
      <c r="T31" s="133">
        <v>21.917020055196012</v>
      </c>
      <c r="U31" s="133">
        <v>14.279053329191527</v>
      </c>
      <c r="V31" s="133">
        <v>10.931790316921965</v>
      </c>
      <c r="W31" s="133">
        <v>11.326142875095533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143589.35169001989</v>
      </c>
      <c r="C3" s="126">
        <f>IF(SER_hh_fec!C3=0,0,11630*1000*SER_hh_fec!C3/SER_hh_num!C3)</f>
        <v>137855.98074755113</v>
      </c>
      <c r="D3" s="126">
        <f>IF(SER_hh_fec!D3=0,0,11630*1000*SER_hh_fec!D3/SER_hh_num!D3)</f>
        <v>134516.70116898246</v>
      </c>
      <c r="E3" s="126">
        <f>IF(SER_hh_fec!E3=0,0,11630*1000*SER_hh_fec!E3/SER_hh_num!E3)</f>
        <v>129995.70213233243</v>
      </c>
      <c r="F3" s="126">
        <f>IF(SER_hh_fec!F3=0,0,11630*1000*SER_hh_fec!F3/SER_hh_num!F3)</f>
        <v>127665.35997070697</v>
      </c>
      <c r="G3" s="126">
        <f>IF(SER_hh_fec!G3=0,0,11630*1000*SER_hh_fec!G3/SER_hh_num!G3)</f>
        <v>122114.37045525192</v>
      </c>
      <c r="H3" s="126">
        <f>IF(SER_hh_fec!H3=0,0,11630*1000*SER_hh_fec!H3/SER_hh_num!H3)</f>
        <v>127803.01401564681</v>
      </c>
      <c r="I3" s="126">
        <f>IF(SER_hh_fec!I3=0,0,11630*1000*SER_hh_fec!I3/SER_hh_num!I3)</f>
        <v>117715.72826041504</v>
      </c>
      <c r="J3" s="126">
        <f>IF(SER_hh_fec!J3=0,0,11630*1000*SER_hh_fec!J3/SER_hh_num!J3)</f>
        <v>104879.97515785205</v>
      </c>
      <c r="K3" s="126">
        <f>IF(SER_hh_fec!K3=0,0,11630*1000*SER_hh_fec!K3/SER_hh_num!K3)</f>
        <v>101167.59605747733</v>
      </c>
      <c r="L3" s="126">
        <f>IF(SER_hh_fec!L3=0,0,11630*1000*SER_hh_fec!L3/SER_hh_num!L3)</f>
        <v>102603.41652981794</v>
      </c>
      <c r="M3" s="126">
        <f>IF(SER_hh_fec!M3=0,0,11630*1000*SER_hh_fec!M3/SER_hh_num!M3)</f>
        <v>95086.238726550509</v>
      </c>
      <c r="N3" s="126">
        <f>IF(SER_hh_fec!N3=0,0,11630*1000*SER_hh_fec!N3/SER_hh_num!N3)</f>
        <v>99522.064460674839</v>
      </c>
      <c r="O3" s="126">
        <f>IF(SER_hh_fec!O3=0,0,11630*1000*SER_hh_fec!O3/SER_hh_num!O3)</f>
        <v>91759.139992335709</v>
      </c>
      <c r="P3" s="126">
        <f>IF(SER_hh_fec!P3=0,0,11630*1000*SER_hh_fec!P3/SER_hh_num!P3)</f>
        <v>87174.45056306773</v>
      </c>
      <c r="Q3" s="126">
        <f>IF(SER_hh_fec!Q3=0,0,11630*1000*SER_hh_fec!Q3/SER_hh_num!Q3)</f>
        <v>83273.320927189212</v>
      </c>
      <c r="R3" s="126">
        <f>IF(SER_hh_fec!R3=0,0,11630*1000*SER_hh_fec!R3/SER_hh_num!R3)</f>
        <v>87819.236056499984</v>
      </c>
      <c r="S3" s="126">
        <f>IF(SER_hh_fec!S3=0,0,11630*1000*SER_hh_fec!S3/SER_hh_num!S3)</f>
        <v>92162.598961515469</v>
      </c>
      <c r="T3" s="126">
        <f>IF(SER_hh_fec!T3=0,0,11630*1000*SER_hh_fec!T3/SER_hh_num!T3)</f>
        <v>95058.453309607576</v>
      </c>
      <c r="U3" s="126">
        <f>IF(SER_hh_fec!U3=0,0,11630*1000*SER_hh_fec!U3/SER_hh_num!U3)</f>
        <v>88071.785957682499</v>
      </c>
      <c r="V3" s="126">
        <f>IF(SER_hh_fec!V3=0,0,11630*1000*SER_hh_fec!V3/SER_hh_num!V3)</f>
        <v>79150.436094204197</v>
      </c>
      <c r="W3" s="126">
        <f>IF(SER_hh_fec!W3=0,0,11630*1000*SER_hh_fec!W3/SER_hh_num!W3)</f>
        <v>92961.048194624542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118054.59805802362</v>
      </c>
      <c r="C4" s="131">
        <f>IF(SER_hh_fec!C4=0,0,11630*1000*SER_hh_fec!C4/SER_hh_num!C4)</f>
        <v>112697.04013327949</v>
      </c>
      <c r="D4" s="131">
        <f>IF(SER_hh_fec!D4=0,0,11630*1000*SER_hh_fec!D4/SER_hh_num!D4)</f>
        <v>109481.11811784234</v>
      </c>
      <c r="E4" s="131">
        <f>IF(SER_hh_fec!E4=0,0,11630*1000*SER_hh_fec!E4/SER_hh_num!E4)</f>
        <v>105622.19480890236</v>
      </c>
      <c r="F4" s="131">
        <f>IF(SER_hh_fec!F4=0,0,11630*1000*SER_hh_fec!F4/SER_hh_num!F4)</f>
        <v>103239.01316161231</v>
      </c>
      <c r="G4" s="131">
        <f>IF(SER_hh_fec!G4=0,0,11630*1000*SER_hh_fec!G4/SER_hh_num!G4)</f>
        <v>97590.646842995906</v>
      </c>
      <c r="H4" s="131">
        <f>IF(SER_hh_fec!H4=0,0,11630*1000*SER_hh_fec!H4/SER_hh_num!H4)</f>
        <v>102354.5332342866</v>
      </c>
      <c r="I4" s="131">
        <f>IF(SER_hh_fec!I4=0,0,11630*1000*SER_hh_fec!I4/SER_hh_num!I4)</f>
        <v>93191.304406029623</v>
      </c>
      <c r="J4" s="131">
        <f>IF(SER_hh_fec!J4=0,0,11630*1000*SER_hh_fec!J4/SER_hh_num!J4)</f>
        <v>80554.677196121585</v>
      </c>
      <c r="K4" s="131">
        <f>IF(SER_hh_fec!K4=0,0,11630*1000*SER_hh_fec!K4/SER_hh_num!K4)</f>
        <v>76961.808701862887</v>
      </c>
      <c r="L4" s="131">
        <f>IF(SER_hh_fec!L4=0,0,11630*1000*SER_hh_fec!L4/SER_hh_num!L4)</f>
        <v>78428.552239211625</v>
      </c>
      <c r="M4" s="131">
        <f>IF(SER_hh_fec!M4=0,0,11630*1000*SER_hh_fec!M4/SER_hh_num!M4)</f>
        <v>71255.274744453563</v>
      </c>
      <c r="N4" s="131">
        <f>IF(SER_hh_fec!N4=0,0,11630*1000*SER_hh_fec!N4/SER_hh_num!N4)</f>
        <v>75411.33655252216</v>
      </c>
      <c r="O4" s="131">
        <f>IF(SER_hh_fec!O4=0,0,11630*1000*SER_hh_fec!O4/SER_hh_num!O4)</f>
        <v>68256.38415030067</v>
      </c>
      <c r="P4" s="131">
        <f>IF(SER_hh_fec!P4=0,0,11630*1000*SER_hh_fec!P4/SER_hh_num!P4)</f>
        <v>63894.035443418215</v>
      </c>
      <c r="Q4" s="131">
        <f>IF(SER_hh_fec!Q4=0,0,11630*1000*SER_hh_fec!Q4/SER_hh_num!Q4)</f>
        <v>60508.655946613879</v>
      </c>
      <c r="R4" s="131">
        <f>IF(SER_hh_fec!R4=0,0,11630*1000*SER_hh_fec!R4/SER_hh_num!R4)</f>
        <v>64628.796403162749</v>
      </c>
      <c r="S4" s="131">
        <f>IF(SER_hh_fec!S4=0,0,11630*1000*SER_hh_fec!S4/SER_hh_num!S4)</f>
        <v>69498.403852286792</v>
      </c>
      <c r="T4" s="131">
        <f>IF(SER_hh_fec!T4=0,0,11630*1000*SER_hh_fec!T4/SER_hh_num!T4)</f>
        <v>72158.807360506384</v>
      </c>
      <c r="U4" s="131">
        <f>IF(SER_hh_fec!U4=0,0,11630*1000*SER_hh_fec!U4/SER_hh_num!U4)</f>
        <v>65233.673080666849</v>
      </c>
      <c r="V4" s="131">
        <f>IF(SER_hh_fec!V4=0,0,11630*1000*SER_hh_fec!V4/SER_hh_num!V4)</f>
        <v>58671.413805076932</v>
      </c>
      <c r="W4" s="131">
        <f>IF(SER_hh_fec!W4=0,0,11630*1000*SER_hh_fec!W4/SER_hh_num!W4)</f>
        <v>69815.791823861931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152774.28859985186</v>
      </c>
      <c r="C5" s="133">
        <f>IF(SER_hh_fec!C5=0,0,11630*1000*SER_hh_fec!C5/SER_hh_num!C5)</f>
        <v>127748.97539074672</v>
      </c>
      <c r="D5" s="133">
        <f>IF(SER_hh_fec!D5=0,0,11630*1000*SER_hh_fec!D5/SER_hh_num!D5)</f>
        <v>137358.49597605606</v>
      </c>
      <c r="E5" s="133">
        <f>IF(SER_hh_fec!E5=0,0,11630*1000*SER_hh_fec!E5/SER_hh_num!E5)</f>
        <v>129181.86435359748</v>
      </c>
      <c r="F5" s="133">
        <f>IF(SER_hh_fec!F5=0,0,11630*1000*SER_hh_fec!F5/SER_hh_num!F5)</f>
        <v>112751.72223447381</v>
      </c>
      <c r="G5" s="133">
        <f>IF(SER_hh_fec!G5=0,0,11630*1000*SER_hh_fec!G5/SER_hh_num!G5)</f>
        <v>115351.28932169122</v>
      </c>
      <c r="H5" s="133">
        <f>IF(SER_hh_fec!H5=0,0,11630*1000*SER_hh_fec!H5/SER_hh_num!H5)</f>
        <v>145045.12425100117</v>
      </c>
      <c r="I5" s="133">
        <f>IF(SER_hh_fec!I5=0,0,11630*1000*SER_hh_fec!I5/SER_hh_num!I5)</f>
        <v>106822.4024665671</v>
      </c>
      <c r="J5" s="133">
        <f>IF(SER_hh_fec!J5=0,0,11630*1000*SER_hh_fec!J5/SER_hh_num!J5)</f>
        <v>78671.377972089773</v>
      </c>
      <c r="K5" s="133">
        <f>IF(SER_hh_fec!K5=0,0,11630*1000*SER_hh_fec!K5/SER_hh_num!K5)</f>
        <v>91030.751900995616</v>
      </c>
      <c r="L5" s="133">
        <f>IF(SER_hh_fec!L5=0,0,11630*1000*SER_hh_fec!L5/SER_hh_num!L5)</f>
        <v>86637.194658227178</v>
      </c>
      <c r="M5" s="133">
        <f>IF(SER_hh_fec!M5=0,0,11630*1000*SER_hh_fec!M5/SER_hh_num!M5)</f>
        <v>101569.4868131827</v>
      </c>
      <c r="N5" s="133">
        <f>IF(SER_hh_fec!N5=0,0,11630*1000*SER_hh_fec!N5/SER_hh_num!N5)</f>
        <v>70526.820709718493</v>
      </c>
      <c r="O5" s="133">
        <f>IF(SER_hh_fec!O5=0,0,11630*1000*SER_hh_fec!O5/SER_hh_num!O5)</f>
        <v>82738.223955500391</v>
      </c>
      <c r="P5" s="133">
        <f>IF(SER_hh_fec!P5=0,0,11630*1000*SER_hh_fec!P5/SER_hh_num!P5)</f>
        <v>75526.781440271632</v>
      </c>
      <c r="Q5" s="133">
        <f>IF(SER_hh_fec!Q5=0,0,11630*1000*SER_hh_fec!Q5/SER_hh_num!Q5)</f>
        <v>60071.496348688313</v>
      </c>
      <c r="R5" s="133">
        <f>IF(SER_hh_fec!R5=0,0,11630*1000*SER_hh_fec!R5/SER_hh_num!R5)</f>
        <v>74373.955056436404</v>
      </c>
      <c r="S5" s="133">
        <f>IF(SER_hh_fec!S5=0,0,11630*1000*SER_hh_fec!S5/SER_hh_num!S5)</f>
        <v>79080.32568794518</v>
      </c>
      <c r="T5" s="133">
        <f>IF(SER_hh_fec!T5=0,0,11630*1000*SER_hh_fec!T5/SER_hh_num!T5)</f>
        <v>84615.573037945142</v>
      </c>
      <c r="U5" s="133">
        <f>IF(SER_hh_fec!U5=0,0,11630*1000*SER_hh_fec!U5/SER_hh_num!U5)</f>
        <v>77510.800764267362</v>
      </c>
      <c r="V5" s="133">
        <f>IF(SER_hh_fec!V5=0,0,11630*1000*SER_hh_fec!V5/SER_hh_num!V5)</f>
        <v>60025.476115061785</v>
      </c>
      <c r="W5" s="133">
        <f>IF(SER_hh_fec!W5=0,0,11630*1000*SER_hh_fec!W5/SER_hh_num!W5)</f>
        <v>79485.173866846424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182108.33683816789</v>
      </c>
      <c r="C7" s="133">
        <f>IF(SER_hh_fec!C7=0,0,11630*1000*SER_hh_fec!C7/SER_hh_num!C7)</f>
        <v>145074.81540333226</v>
      </c>
      <c r="D7" s="133">
        <f>IF(SER_hh_fec!D7=0,0,11630*1000*SER_hh_fec!D7/SER_hh_num!D7)</f>
        <v>176127.72200732559</v>
      </c>
      <c r="E7" s="133">
        <f>IF(SER_hh_fec!E7=0,0,11630*1000*SER_hh_fec!E7/SER_hh_num!E7)</f>
        <v>138974.3318388178</v>
      </c>
      <c r="F7" s="133">
        <f>IF(SER_hh_fec!F7=0,0,11630*1000*SER_hh_fec!F7/SER_hh_num!F7)</f>
        <v>162027.77198215932</v>
      </c>
      <c r="G7" s="133">
        <f>IF(SER_hh_fec!G7=0,0,11630*1000*SER_hh_fec!G7/SER_hh_num!G7)</f>
        <v>138629.96942942502</v>
      </c>
      <c r="H7" s="133">
        <f>IF(SER_hh_fec!H7=0,0,11630*1000*SER_hh_fec!H7/SER_hh_num!H7)</f>
        <v>122894.09516970649</v>
      </c>
      <c r="I7" s="133">
        <f>IF(SER_hh_fec!I7=0,0,11630*1000*SER_hh_fec!I7/SER_hh_num!I7)</f>
        <v>124794.62666449741</v>
      </c>
      <c r="J7" s="133">
        <f>IF(SER_hh_fec!J7=0,0,11630*1000*SER_hh_fec!J7/SER_hh_num!J7)</f>
        <v>207646.55172797228</v>
      </c>
      <c r="K7" s="133">
        <f>IF(SER_hh_fec!K7=0,0,11630*1000*SER_hh_fec!K7/SER_hh_num!K7)</f>
        <v>64861.566902097933</v>
      </c>
      <c r="L7" s="133">
        <f>IF(SER_hh_fec!L7=0,0,11630*1000*SER_hh_fec!L7/SER_hh_num!L7)</f>
        <v>96690.77965602465</v>
      </c>
      <c r="M7" s="133">
        <f>IF(SER_hh_fec!M7=0,0,11630*1000*SER_hh_fec!M7/SER_hh_num!M7)</f>
        <v>125928.93902699434</v>
      </c>
      <c r="N7" s="133">
        <f>IF(SER_hh_fec!N7=0,0,11630*1000*SER_hh_fec!N7/SER_hh_num!N7)</f>
        <v>76798.321080270223</v>
      </c>
      <c r="O7" s="133">
        <f>IF(SER_hh_fec!O7=0,0,11630*1000*SER_hh_fec!O7/SER_hh_num!O7)</f>
        <v>76039.012794758193</v>
      </c>
      <c r="P7" s="133">
        <f>IF(SER_hh_fec!P7=0,0,11630*1000*SER_hh_fec!P7/SER_hh_num!P7)</f>
        <v>107606.61252214621</v>
      </c>
      <c r="Q7" s="133">
        <f>IF(SER_hh_fec!Q7=0,0,11630*1000*SER_hh_fec!Q7/SER_hh_num!Q7)</f>
        <v>58538.011530957512</v>
      </c>
      <c r="R7" s="133">
        <f>IF(SER_hh_fec!R7=0,0,11630*1000*SER_hh_fec!R7/SER_hh_num!R7)</f>
        <v>69898.581772960562</v>
      </c>
      <c r="S7" s="133">
        <f>IF(SER_hh_fec!S7=0,0,11630*1000*SER_hh_fec!S7/SER_hh_num!S7)</f>
        <v>92631.442787096166</v>
      </c>
      <c r="T7" s="133">
        <f>IF(SER_hh_fec!T7=0,0,11630*1000*SER_hh_fec!T7/SER_hh_num!T7)</f>
        <v>70451.754255536565</v>
      </c>
      <c r="U7" s="133">
        <f>IF(SER_hh_fec!U7=0,0,11630*1000*SER_hh_fec!U7/SER_hh_num!U7)</f>
        <v>79428.155423006639</v>
      </c>
      <c r="V7" s="133">
        <f>IF(SER_hh_fec!V7=0,0,11630*1000*SER_hh_fec!V7/SER_hh_num!V7)</f>
        <v>75975.625606633796</v>
      </c>
      <c r="W7" s="133">
        <f>IF(SER_hh_fec!W7=0,0,11630*1000*SER_hh_fec!W7/SER_hh_num!W7)</f>
        <v>84480.880612652501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0</v>
      </c>
      <c r="C8" s="133">
        <f>IF(SER_hh_fec!C8=0,0,11630*1000*SER_hh_fec!C8/SER_hh_num!C8)</f>
        <v>0</v>
      </c>
      <c r="D8" s="133">
        <f>IF(SER_hh_fec!D8=0,0,11630*1000*SER_hh_fec!D8/SER_hh_num!D8)</f>
        <v>0</v>
      </c>
      <c r="E8" s="133">
        <f>IF(SER_hh_fec!E8=0,0,11630*1000*SER_hh_fec!E8/SER_hh_num!E8)</f>
        <v>0</v>
      </c>
      <c r="F8" s="133">
        <f>IF(SER_hh_fec!F8=0,0,11630*1000*SER_hh_fec!F8/SER_hh_num!F8)</f>
        <v>0</v>
      </c>
      <c r="G8" s="133">
        <f>IF(SER_hh_fec!G8=0,0,11630*1000*SER_hh_fec!G8/SER_hh_num!G8)</f>
        <v>0</v>
      </c>
      <c r="H8" s="133">
        <f>IF(SER_hh_fec!H8=0,0,11630*1000*SER_hh_fec!H8/SER_hh_num!H8)</f>
        <v>0</v>
      </c>
      <c r="I8" s="133">
        <f>IF(SER_hh_fec!I8=0,0,11630*1000*SER_hh_fec!I8/SER_hh_num!I8)</f>
        <v>0</v>
      </c>
      <c r="J8" s="133">
        <f>IF(SER_hh_fec!J8=0,0,11630*1000*SER_hh_fec!J8/SER_hh_num!J8)</f>
        <v>0</v>
      </c>
      <c r="K8" s="133">
        <f>IF(SER_hh_fec!K8=0,0,11630*1000*SER_hh_fec!K8/SER_hh_num!K8)</f>
        <v>0</v>
      </c>
      <c r="L8" s="133">
        <f>IF(SER_hh_fec!L8=0,0,11630*1000*SER_hh_fec!L8/SER_hh_num!L8)</f>
        <v>0</v>
      </c>
      <c r="M8" s="133">
        <f>IF(SER_hh_fec!M8=0,0,11630*1000*SER_hh_fec!M8/SER_hh_num!M8)</f>
        <v>0</v>
      </c>
      <c r="N8" s="133">
        <f>IF(SER_hh_fec!N8=0,0,11630*1000*SER_hh_fec!N8/SER_hh_num!N8)</f>
        <v>0</v>
      </c>
      <c r="O8" s="133">
        <f>IF(SER_hh_fec!O8=0,0,11630*1000*SER_hh_fec!O8/SER_hh_num!O8)</f>
        <v>0</v>
      </c>
      <c r="P8" s="133">
        <f>IF(SER_hh_fec!P8=0,0,11630*1000*SER_hh_fec!P8/SER_hh_num!P8)</f>
        <v>0</v>
      </c>
      <c r="Q8" s="133">
        <f>IF(SER_hh_fec!Q8=0,0,11630*1000*SER_hh_fec!Q8/SER_hh_num!Q8)</f>
        <v>0</v>
      </c>
      <c r="R8" s="133">
        <f>IF(SER_hh_fec!R8=0,0,11630*1000*SER_hh_fec!R8/SER_hh_num!R8)</f>
        <v>0</v>
      </c>
      <c r="S8" s="133">
        <f>IF(SER_hh_fec!S8=0,0,11630*1000*SER_hh_fec!S8/SER_hh_num!S8)</f>
        <v>0</v>
      </c>
      <c r="T8" s="133">
        <f>IF(SER_hh_fec!T8=0,0,11630*1000*SER_hh_fec!T8/SER_hh_num!T8)</f>
        <v>0</v>
      </c>
      <c r="U8" s="133">
        <f>IF(SER_hh_fec!U8=0,0,11630*1000*SER_hh_fec!U8/SER_hh_num!U8)</f>
        <v>0</v>
      </c>
      <c r="V8" s="133">
        <f>IF(SER_hh_fec!V8=0,0,11630*1000*SER_hh_fec!V8/SER_hh_num!V8)</f>
        <v>0</v>
      </c>
      <c r="W8" s="133">
        <f>IF(SER_hh_fec!W8=0,0,11630*1000*SER_hh_fec!W8/SER_hh_num!W8)</f>
        <v>0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143472.49239535644</v>
      </c>
      <c r="C9" s="133">
        <f>IF(SER_hh_fec!C9=0,0,11630*1000*SER_hh_fec!C9/SER_hh_num!C9)</f>
        <v>139487.91617469318</v>
      </c>
      <c r="D9" s="133">
        <f>IF(SER_hh_fec!D9=0,0,11630*1000*SER_hh_fec!D9/SER_hh_num!D9)</f>
        <v>133461.50010212386</v>
      </c>
      <c r="E9" s="133">
        <f>IF(SER_hh_fec!E9=0,0,11630*1000*SER_hh_fec!E9/SER_hh_num!E9)</f>
        <v>116889.03407412743</v>
      </c>
      <c r="F9" s="133">
        <f>IF(SER_hh_fec!F9=0,0,11630*1000*SER_hh_fec!F9/SER_hh_num!F9)</f>
        <v>136470.54757133493</v>
      </c>
      <c r="G9" s="133">
        <f>IF(SER_hh_fec!G9=0,0,11630*1000*SER_hh_fec!G9/SER_hh_num!G9)</f>
        <v>113497.84507531169</v>
      </c>
      <c r="H9" s="133">
        <f>IF(SER_hh_fec!H9=0,0,11630*1000*SER_hh_fec!H9/SER_hh_num!H9)</f>
        <v>104858.41222373431</v>
      </c>
      <c r="I9" s="133">
        <f>IF(SER_hh_fec!I9=0,0,11630*1000*SER_hh_fec!I9/SER_hh_num!I9)</f>
        <v>118841.39034692881</v>
      </c>
      <c r="J9" s="133">
        <f>IF(SER_hh_fec!J9=0,0,11630*1000*SER_hh_fec!J9/SER_hh_num!J9)</f>
        <v>98770.43196753868</v>
      </c>
      <c r="K9" s="133">
        <f>IF(SER_hh_fec!K9=0,0,11630*1000*SER_hh_fec!K9/SER_hh_num!K9)</f>
        <v>84388.118953702273</v>
      </c>
      <c r="L9" s="133">
        <f>IF(SER_hh_fec!L9=0,0,11630*1000*SER_hh_fec!L9/SER_hh_num!L9)</f>
        <v>92303.997913583895</v>
      </c>
      <c r="M9" s="133">
        <f>IF(SER_hh_fec!M9=0,0,11630*1000*SER_hh_fec!M9/SER_hh_num!M9)</f>
        <v>78991.85668429223</v>
      </c>
      <c r="N9" s="133">
        <f>IF(SER_hh_fec!N9=0,0,11630*1000*SER_hh_fec!N9/SER_hh_num!N9)</f>
        <v>83039.087848511292</v>
      </c>
      <c r="O9" s="133">
        <f>IF(SER_hh_fec!O9=0,0,11630*1000*SER_hh_fec!O9/SER_hh_num!O9)</f>
        <v>79663.486128939447</v>
      </c>
      <c r="P9" s="133">
        <f>IF(SER_hh_fec!P9=0,0,11630*1000*SER_hh_fec!P9/SER_hh_num!P9)</f>
        <v>66987.365224642766</v>
      </c>
      <c r="Q9" s="133">
        <f>IF(SER_hh_fec!Q9=0,0,11630*1000*SER_hh_fec!Q9/SER_hh_num!Q9)</f>
        <v>70157.662030598818</v>
      </c>
      <c r="R9" s="133">
        <f>IF(SER_hh_fec!R9=0,0,11630*1000*SER_hh_fec!R9/SER_hh_num!R9)</f>
        <v>72417.410815056064</v>
      </c>
      <c r="S9" s="133">
        <f>IF(SER_hh_fec!S9=0,0,11630*1000*SER_hh_fec!S9/SER_hh_num!S9)</f>
        <v>74445.246664051898</v>
      </c>
      <c r="T9" s="133">
        <f>IF(SER_hh_fec!T9=0,0,11630*1000*SER_hh_fec!T9/SER_hh_num!T9)</f>
        <v>74957.266266880761</v>
      </c>
      <c r="U9" s="133">
        <f>IF(SER_hh_fec!U9=0,0,11630*1000*SER_hh_fec!U9/SER_hh_num!U9)</f>
        <v>72816.163618222694</v>
      </c>
      <c r="V9" s="133">
        <f>IF(SER_hh_fec!V9=0,0,11630*1000*SER_hh_fec!V9/SER_hh_num!V9)</f>
        <v>69382.684977425684</v>
      </c>
      <c r="W9" s="133">
        <f>IF(SER_hh_fec!W9=0,0,11630*1000*SER_hh_fec!W9/SER_hh_num!W9)</f>
        <v>72620.685247333822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168894.36162900541</v>
      </c>
      <c r="C10" s="133">
        <f>IF(SER_hh_fec!C10=0,0,11630*1000*SER_hh_fec!C10/SER_hh_num!C10)</f>
        <v>163590.79971658558</v>
      </c>
      <c r="D10" s="133">
        <f>IF(SER_hh_fec!D10=0,0,11630*1000*SER_hh_fec!D10/SER_hh_num!D10)</f>
        <v>166123.85654016148</v>
      </c>
      <c r="E10" s="133">
        <f>IF(SER_hh_fec!E10=0,0,11630*1000*SER_hh_fec!E10/SER_hh_num!E10)</f>
        <v>150159.97884940956</v>
      </c>
      <c r="F10" s="133">
        <f>IF(SER_hh_fec!F10=0,0,11630*1000*SER_hh_fec!F10/SER_hh_num!F10)</f>
        <v>144845.73230147091</v>
      </c>
      <c r="G10" s="133">
        <f>IF(SER_hh_fec!G10=0,0,11630*1000*SER_hh_fec!G10/SER_hh_num!G10)</f>
        <v>144903.5562679373</v>
      </c>
      <c r="H10" s="133">
        <f>IF(SER_hh_fec!H10=0,0,11630*1000*SER_hh_fec!H10/SER_hh_num!H10)</f>
        <v>140123.41835705083</v>
      </c>
      <c r="I10" s="133">
        <f>IF(SER_hh_fec!I10=0,0,11630*1000*SER_hh_fec!I10/SER_hh_num!I10)</f>
        <v>125229.54310399578</v>
      </c>
      <c r="J10" s="133">
        <f>IF(SER_hh_fec!J10=0,0,11630*1000*SER_hh_fec!J10/SER_hh_num!J10)</f>
        <v>118149.01901939778</v>
      </c>
      <c r="K10" s="133">
        <f>IF(SER_hh_fec!K10=0,0,11630*1000*SER_hh_fec!K10/SER_hh_num!K10)</f>
        <v>107500.04897160508</v>
      </c>
      <c r="L10" s="133">
        <f>IF(SER_hh_fec!L10=0,0,11630*1000*SER_hh_fec!L10/SER_hh_num!L10)</f>
        <v>100628.24263202497</v>
      </c>
      <c r="M10" s="133">
        <f>IF(SER_hh_fec!M10=0,0,11630*1000*SER_hh_fec!M10/SER_hh_num!M10)</f>
        <v>99323.749365782482</v>
      </c>
      <c r="N10" s="133">
        <f>IF(SER_hh_fec!N10=0,0,11630*1000*SER_hh_fec!N10/SER_hh_num!N10)</f>
        <v>97909.537104274714</v>
      </c>
      <c r="O10" s="133">
        <f>IF(SER_hh_fec!O10=0,0,11630*1000*SER_hh_fec!O10/SER_hh_num!O10)</f>
        <v>94797.643597731876</v>
      </c>
      <c r="P10" s="133">
        <f>IF(SER_hh_fec!P10=0,0,11630*1000*SER_hh_fec!P10/SER_hh_num!P10)</f>
        <v>87329.42774694605</v>
      </c>
      <c r="Q10" s="133">
        <f>IF(SER_hh_fec!Q10=0,0,11630*1000*SER_hh_fec!Q10/SER_hh_num!Q10)</f>
        <v>85189.480821692327</v>
      </c>
      <c r="R10" s="133">
        <f>IF(SER_hh_fec!R10=0,0,11630*1000*SER_hh_fec!R10/SER_hh_num!R10)</f>
        <v>92994.311814998175</v>
      </c>
      <c r="S10" s="133">
        <f>IF(SER_hh_fec!S10=0,0,11630*1000*SER_hh_fec!S10/SER_hh_num!S10)</f>
        <v>89474.227131054984</v>
      </c>
      <c r="T10" s="133">
        <f>IF(SER_hh_fec!T10=0,0,11630*1000*SER_hh_fec!T10/SER_hh_num!T10)</f>
        <v>94744.543942542427</v>
      </c>
      <c r="U10" s="133">
        <f>IF(SER_hh_fec!U10=0,0,11630*1000*SER_hh_fec!U10/SER_hh_num!U10)</f>
        <v>90533.023628395778</v>
      </c>
      <c r="V10" s="133">
        <f>IF(SER_hh_fec!V10=0,0,11630*1000*SER_hh_fec!V10/SER_hh_num!V10)</f>
        <v>97112.419368928211</v>
      </c>
      <c r="W10" s="133">
        <f>IF(SER_hh_fec!W10=0,0,11630*1000*SER_hh_fec!W10/SER_hh_num!W10)</f>
        <v>93643.517271345452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0</v>
      </c>
      <c r="H11" s="133">
        <f>IF(SER_hh_fec!H11=0,0,11630*1000*SER_hh_fec!H11/SER_hh_num!H11)</f>
        <v>0</v>
      </c>
      <c r="I11" s="133">
        <f>IF(SER_hh_fec!I11=0,0,11630*1000*SER_hh_fec!I11/SER_hh_num!I11)</f>
        <v>0</v>
      </c>
      <c r="J11" s="133">
        <f>IF(SER_hh_fec!J11=0,0,11630*1000*SER_hh_fec!J11/SER_hh_num!J11)</f>
        <v>0</v>
      </c>
      <c r="K11" s="133">
        <f>IF(SER_hh_fec!K11=0,0,11630*1000*SER_hh_fec!K11/SER_hh_num!K11)</f>
        <v>0</v>
      </c>
      <c r="L11" s="133">
        <f>IF(SER_hh_fec!L11=0,0,11630*1000*SER_hh_fec!L11/SER_hh_num!L11)</f>
        <v>0</v>
      </c>
      <c r="M11" s="133">
        <f>IF(SER_hh_fec!M11=0,0,11630*1000*SER_hh_fec!M11/SER_hh_num!M11)</f>
        <v>0</v>
      </c>
      <c r="N11" s="133">
        <f>IF(SER_hh_fec!N11=0,0,11630*1000*SER_hh_fec!N11/SER_hh_num!N11)</f>
        <v>0</v>
      </c>
      <c r="O11" s="133">
        <f>IF(SER_hh_fec!O11=0,0,11630*1000*SER_hh_fec!O11/SER_hh_num!O11)</f>
        <v>0</v>
      </c>
      <c r="P11" s="133">
        <f>IF(SER_hh_fec!P11=0,0,11630*1000*SER_hh_fec!P11/SER_hh_num!P11)</f>
        <v>0</v>
      </c>
      <c r="Q11" s="133">
        <f>IF(SER_hh_fec!Q11=0,0,11630*1000*SER_hh_fec!Q11/SER_hh_num!Q11)</f>
        <v>0</v>
      </c>
      <c r="R11" s="133">
        <f>IF(SER_hh_fec!R11=0,0,11630*1000*SER_hh_fec!R11/SER_hh_num!R11)</f>
        <v>0</v>
      </c>
      <c r="S11" s="133">
        <f>IF(SER_hh_fec!S11=0,0,11630*1000*SER_hh_fec!S11/SER_hh_num!S11)</f>
        <v>0</v>
      </c>
      <c r="T11" s="133">
        <f>IF(SER_hh_fec!T11=0,0,11630*1000*SER_hh_fec!T11/SER_hh_num!T11)</f>
        <v>0</v>
      </c>
      <c r="U11" s="133">
        <f>IF(SER_hh_fec!U11=0,0,11630*1000*SER_hh_fec!U11/SER_hh_num!U11)</f>
        <v>0</v>
      </c>
      <c r="V11" s="133">
        <f>IF(SER_hh_fec!V11=0,0,11630*1000*SER_hh_fec!V11/SER_hh_num!V11)</f>
        <v>0</v>
      </c>
      <c r="W11" s="133">
        <f>IF(SER_hh_fec!W11=0,0,11630*1000*SER_hh_fec!W11/SER_hh_num!W11)</f>
        <v>0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98201.350888777888</v>
      </c>
      <c r="C12" s="133">
        <f>IF(SER_hh_fec!C12=0,0,11630*1000*SER_hh_fec!C12/SER_hh_num!C12)</f>
        <v>97917.745202761682</v>
      </c>
      <c r="D12" s="133">
        <f>IF(SER_hh_fec!D12=0,0,11630*1000*SER_hh_fec!D12/SER_hh_num!D12)</f>
        <v>92874.432070563882</v>
      </c>
      <c r="E12" s="133">
        <f>IF(SER_hh_fec!E12=0,0,11630*1000*SER_hh_fec!E12/SER_hh_num!E12)</f>
        <v>92052.918136196444</v>
      </c>
      <c r="F12" s="133">
        <f>IF(SER_hh_fec!F12=0,0,11630*1000*SER_hh_fec!F12/SER_hh_num!F12)</f>
        <v>89408.453670346964</v>
      </c>
      <c r="G12" s="133">
        <f>IF(SER_hh_fec!G12=0,0,11630*1000*SER_hh_fec!G12/SER_hh_num!G12)</f>
        <v>84946.452272687005</v>
      </c>
      <c r="H12" s="133">
        <f>IF(SER_hh_fec!H12=0,0,11630*1000*SER_hh_fec!H12/SER_hh_num!H12)</f>
        <v>89320.722766574734</v>
      </c>
      <c r="I12" s="133">
        <f>IF(SER_hh_fec!I12=0,0,11630*1000*SER_hh_fec!I12/SER_hh_num!I12)</f>
        <v>82028.728572958746</v>
      </c>
      <c r="J12" s="133">
        <f>IF(SER_hh_fec!J12=0,0,11630*1000*SER_hh_fec!J12/SER_hh_num!J12)</f>
        <v>64593.988612427689</v>
      </c>
      <c r="K12" s="133">
        <f>IF(SER_hh_fec!K12=0,0,11630*1000*SER_hh_fec!K12/SER_hh_num!K12)</f>
        <v>69995.666458469685</v>
      </c>
      <c r="L12" s="133">
        <f>IF(SER_hh_fec!L12=0,0,11630*1000*SER_hh_fec!L12/SER_hh_num!L12)</f>
        <v>73611.059093958684</v>
      </c>
      <c r="M12" s="133">
        <f>IF(SER_hh_fec!M12=0,0,11630*1000*SER_hh_fec!M12/SER_hh_num!M12)</f>
        <v>58006.116382993525</v>
      </c>
      <c r="N12" s="133">
        <f>IF(SER_hh_fec!N12=0,0,11630*1000*SER_hh_fec!N12/SER_hh_num!N12)</f>
        <v>70101.067167634901</v>
      </c>
      <c r="O12" s="133">
        <f>IF(SER_hh_fec!O12=0,0,11630*1000*SER_hh_fec!O12/SER_hh_num!O12)</f>
        <v>58292.936084519075</v>
      </c>
      <c r="P12" s="133">
        <f>IF(SER_hh_fec!P12=0,0,11630*1000*SER_hh_fec!P12/SER_hh_num!P12)</f>
        <v>56193.061941808912</v>
      </c>
      <c r="Q12" s="133">
        <f>IF(SER_hh_fec!Q12=0,0,11630*1000*SER_hh_fec!Q12/SER_hh_num!Q12)</f>
        <v>56695.208896418291</v>
      </c>
      <c r="R12" s="133">
        <f>IF(SER_hh_fec!R12=0,0,11630*1000*SER_hh_fec!R12/SER_hh_num!R12)</f>
        <v>55538.108641778424</v>
      </c>
      <c r="S12" s="133">
        <f>IF(SER_hh_fec!S12=0,0,11630*1000*SER_hh_fec!S12/SER_hh_num!S12)</f>
        <v>65357.80436721976</v>
      </c>
      <c r="T12" s="133">
        <f>IF(SER_hh_fec!T12=0,0,11630*1000*SER_hh_fec!T12/SER_hh_num!T12)</f>
        <v>66474.057122282626</v>
      </c>
      <c r="U12" s="133">
        <f>IF(SER_hh_fec!U12=0,0,11630*1000*SER_hh_fec!U12/SER_hh_num!U12)</f>
        <v>57144.492483891678</v>
      </c>
      <c r="V12" s="133">
        <f>IF(SER_hh_fec!V12=0,0,11630*1000*SER_hh_fec!V12/SER_hh_num!V12)</f>
        <v>51314.532328335881</v>
      </c>
      <c r="W12" s="133">
        <f>IF(SER_hh_fec!W12=0,0,11630*1000*SER_hh_fec!W12/SER_hh_num!W12)</f>
        <v>65583.430400319514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46475.042969095048</v>
      </c>
      <c r="C13" s="133">
        <f>IF(SER_hh_fec!C13=0,0,11630*1000*SER_hh_fec!C13/SER_hh_num!C13)</f>
        <v>53703.188020361456</v>
      </c>
      <c r="D13" s="133">
        <f>IF(SER_hh_fec!D13=0,0,11630*1000*SER_hh_fec!D13/SER_hh_num!D13)</f>
        <v>40275.333297873447</v>
      </c>
      <c r="E13" s="133">
        <f>IF(SER_hh_fec!E13=0,0,11630*1000*SER_hh_fec!E13/SER_hh_num!E13)</f>
        <v>47352.093977059645</v>
      </c>
      <c r="F13" s="133">
        <f>IF(SER_hh_fec!F13=0,0,11630*1000*SER_hh_fec!F13/SER_hh_num!F13)</f>
        <v>42991.978658348096</v>
      </c>
      <c r="G13" s="133">
        <f>IF(SER_hh_fec!G13=0,0,11630*1000*SER_hh_fec!G13/SER_hh_num!G13)</f>
        <v>42100.955938607498</v>
      </c>
      <c r="H13" s="133">
        <f>IF(SER_hh_fec!H13=0,0,11630*1000*SER_hh_fec!H13/SER_hh_num!H13)</f>
        <v>35756.451996386299</v>
      </c>
      <c r="I13" s="133">
        <f>IF(SER_hh_fec!I13=0,0,11630*1000*SER_hh_fec!I13/SER_hh_num!I13)</f>
        <v>29165.24357490765</v>
      </c>
      <c r="J13" s="133">
        <f>IF(SER_hh_fec!J13=0,0,11630*1000*SER_hh_fec!J13/SER_hh_num!J13)</f>
        <v>33290.428563276066</v>
      </c>
      <c r="K13" s="133">
        <f>IF(SER_hh_fec!K13=0,0,11630*1000*SER_hh_fec!K13/SER_hh_num!K13)</f>
        <v>25887.124364037561</v>
      </c>
      <c r="L13" s="133">
        <f>IF(SER_hh_fec!L13=0,0,11630*1000*SER_hh_fec!L13/SER_hh_num!L13)</f>
        <v>19463.337975938273</v>
      </c>
      <c r="M13" s="133">
        <f>IF(SER_hh_fec!M13=0,0,11630*1000*SER_hh_fec!M13/SER_hh_num!M13)</f>
        <v>21228.392165832731</v>
      </c>
      <c r="N13" s="133">
        <f>IF(SER_hh_fec!N13=0,0,11630*1000*SER_hh_fec!N13/SER_hh_num!N13)</f>
        <v>19716.721929644493</v>
      </c>
      <c r="O13" s="133">
        <f>IF(SER_hh_fec!O13=0,0,11630*1000*SER_hh_fec!O13/SER_hh_num!O13)</f>
        <v>17241.518500610269</v>
      </c>
      <c r="P13" s="133">
        <f>IF(SER_hh_fec!P13=0,0,11630*1000*SER_hh_fec!P13/SER_hh_num!P13)</f>
        <v>19217.788176880666</v>
      </c>
      <c r="Q13" s="133">
        <f>IF(SER_hh_fec!Q13=0,0,11630*1000*SER_hh_fec!Q13/SER_hh_num!Q13)</f>
        <v>17563.396037679722</v>
      </c>
      <c r="R13" s="133">
        <f>IF(SER_hh_fec!R13=0,0,11630*1000*SER_hh_fec!R13/SER_hh_num!R13)</f>
        <v>17544.711260510267</v>
      </c>
      <c r="S13" s="133">
        <f>IF(SER_hh_fec!S13=0,0,11630*1000*SER_hh_fec!S13/SER_hh_num!S13)</f>
        <v>17994.040357962171</v>
      </c>
      <c r="T13" s="133">
        <f>IF(SER_hh_fec!T13=0,0,11630*1000*SER_hh_fec!T13/SER_hh_num!T13)</f>
        <v>18311.344473218545</v>
      </c>
      <c r="U13" s="133">
        <f>IF(SER_hh_fec!U13=0,0,11630*1000*SER_hh_fec!U13/SER_hh_num!U13)</f>
        <v>15940.927645156842</v>
      </c>
      <c r="V13" s="133">
        <f>IF(SER_hh_fec!V13=0,0,11630*1000*SER_hh_fec!V13/SER_hh_num!V13)</f>
        <v>13023.377759486815</v>
      </c>
      <c r="W13" s="133">
        <f>IF(SER_hh_fec!W13=0,0,11630*1000*SER_hh_fec!W13/SER_hh_num!W13)</f>
        <v>20615.506525232842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107869.98569988692</v>
      </c>
      <c r="C14" s="65">
        <f>IF(SER_hh_fec!C14=0,0,11630*1000*SER_hh_fec!C14/SER_hh_num!C14)</f>
        <v>111525.80336467222</v>
      </c>
      <c r="D14" s="65">
        <f>IF(SER_hh_fec!D14=0,0,11630*1000*SER_hh_fec!D14/SER_hh_num!D14)</f>
        <v>91435.654064024537</v>
      </c>
      <c r="E14" s="65">
        <f>IF(SER_hh_fec!E14=0,0,11630*1000*SER_hh_fec!E14/SER_hh_num!E14)</f>
        <v>110266.42391270267</v>
      </c>
      <c r="F14" s="65">
        <f>IF(SER_hh_fec!F14=0,0,11630*1000*SER_hh_fec!F14/SER_hh_num!F14)</f>
        <v>103270.14562051669</v>
      </c>
      <c r="G14" s="65">
        <f>IF(SER_hh_fec!G14=0,0,11630*1000*SER_hh_fec!G14/SER_hh_num!G14)</f>
        <v>96519.687775464117</v>
      </c>
      <c r="H14" s="65">
        <f>IF(SER_hh_fec!H14=0,0,11630*1000*SER_hh_fec!H14/SER_hh_num!H14)</f>
        <v>90214.737103426902</v>
      </c>
      <c r="I14" s="65">
        <f>IF(SER_hh_fec!I14=0,0,11630*1000*SER_hh_fec!I14/SER_hh_num!I14)</f>
        <v>87296.138443208198</v>
      </c>
      <c r="J14" s="65">
        <f>IF(SER_hh_fec!J14=0,0,11630*1000*SER_hh_fec!J14/SER_hh_num!J14)</f>
        <v>125017.35040640156</v>
      </c>
      <c r="K14" s="65">
        <f>IF(SER_hh_fec!K14=0,0,11630*1000*SER_hh_fec!K14/SER_hh_num!K14)</f>
        <v>66912.849354811216</v>
      </c>
      <c r="L14" s="65">
        <f>IF(SER_hh_fec!L14=0,0,11630*1000*SER_hh_fec!L14/SER_hh_num!L14)</f>
        <v>43048.770165106631</v>
      </c>
      <c r="M14" s="65">
        <f>IF(SER_hh_fec!M14=0,0,11630*1000*SER_hh_fec!M14/SER_hh_num!M14)</f>
        <v>70063.630063102682</v>
      </c>
      <c r="N14" s="65">
        <f>IF(SER_hh_fec!N14=0,0,11630*1000*SER_hh_fec!N14/SER_hh_num!N14)</f>
        <v>93890.477448191494</v>
      </c>
      <c r="O14" s="65">
        <f>IF(SER_hh_fec!O14=0,0,11630*1000*SER_hh_fec!O14/SER_hh_num!O14)</f>
        <v>62811.76172927297</v>
      </c>
      <c r="P14" s="65">
        <f>IF(SER_hh_fec!P14=0,0,11630*1000*SER_hh_fec!P14/SER_hh_num!P14)</f>
        <v>68599.653176724823</v>
      </c>
      <c r="Q14" s="65">
        <f>IF(SER_hh_fec!Q14=0,0,11630*1000*SER_hh_fec!Q14/SER_hh_num!Q14)</f>
        <v>29561.66193503777</v>
      </c>
      <c r="R14" s="65">
        <f>IF(SER_hh_fec!R14=0,0,11630*1000*SER_hh_fec!R14/SER_hh_num!R14)</f>
        <v>80758.799151537634</v>
      </c>
      <c r="S14" s="65">
        <f>IF(SER_hh_fec!S14=0,0,11630*1000*SER_hh_fec!S14/SER_hh_num!S14)</f>
        <v>47926.455183570491</v>
      </c>
      <c r="T14" s="65">
        <f>IF(SER_hh_fec!T14=0,0,11630*1000*SER_hh_fec!T14/SER_hh_num!T14)</f>
        <v>72510.611119280264</v>
      </c>
      <c r="U14" s="65">
        <f>IF(SER_hh_fec!U14=0,0,11630*1000*SER_hh_fec!U14/SER_hh_num!U14)</f>
        <v>68885.724644418748</v>
      </c>
      <c r="V14" s="65">
        <f>IF(SER_hh_fec!V14=0,0,11630*1000*SER_hh_fec!V14/SER_hh_num!V14)</f>
        <v>49228.371653685208</v>
      </c>
      <c r="W14" s="65">
        <f>IF(SER_hh_fec!W14=0,0,11630*1000*SER_hh_fec!W14/SER_hh_num!W14)</f>
        <v>66728.520578891883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551.16816359208121</v>
      </c>
      <c r="C15" s="135">
        <f>IF(SER_hh_fec!C15=0,0,11630*1000*SER_hh_fec!C15/SER_hh_num!C15)</f>
        <v>509.15921622077963</v>
      </c>
      <c r="D15" s="135">
        <f>IF(SER_hh_fec!D15=0,0,11630*1000*SER_hh_fec!D15/SER_hh_num!D15)</f>
        <v>510.1285998723792</v>
      </c>
      <c r="E15" s="135">
        <f>IF(SER_hh_fec!E15=0,0,11630*1000*SER_hh_fec!E15/SER_hh_num!E15)</f>
        <v>471.38032615522138</v>
      </c>
      <c r="F15" s="135">
        <f>IF(SER_hh_fec!F15=0,0,11630*1000*SER_hh_fec!F15/SER_hh_num!F15)</f>
        <v>481.99286440007148</v>
      </c>
      <c r="G15" s="135">
        <f>IF(SER_hh_fec!G15=0,0,11630*1000*SER_hh_fec!G15/SER_hh_num!G15)</f>
        <v>449.11536313332192</v>
      </c>
      <c r="H15" s="135">
        <f>IF(SER_hh_fec!H15=0,0,11630*1000*SER_hh_fec!H15/SER_hh_num!H15)</f>
        <v>474.9253874879667</v>
      </c>
      <c r="I15" s="135">
        <f>IF(SER_hh_fec!I15=0,0,11630*1000*SER_hh_fec!I15/SER_hh_num!I15)</f>
        <v>444.39344782823792</v>
      </c>
      <c r="J15" s="135">
        <f>IF(SER_hh_fec!J15=0,0,11630*1000*SER_hh_fec!J15/SER_hh_num!J15)</f>
        <v>369.2959922536586</v>
      </c>
      <c r="K15" s="135">
        <f>IF(SER_hh_fec!K15=0,0,11630*1000*SER_hh_fec!K15/SER_hh_num!K15)</f>
        <v>358.34295466122398</v>
      </c>
      <c r="L15" s="135">
        <f>IF(SER_hh_fec!L15=0,0,11630*1000*SER_hh_fec!L15/SER_hh_num!L15)</f>
        <v>375.16814333889329</v>
      </c>
      <c r="M15" s="135">
        <f>IF(SER_hh_fec!M15=0,0,11630*1000*SER_hh_fec!M15/SER_hh_num!M15)</f>
        <v>340.57927607053387</v>
      </c>
      <c r="N15" s="135">
        <f>IF(SER_hh_fec!N15=0,0,11630*1000*SER_hh_fec!N15/SER_hh_num!N15)</f>
        <v>348.0399819506145</v>
      </c>
      <c r="O15" s="135">
        <f>IF(SER_hh_fec!O15=0,0,11630*1000*SER_hh_fec!O15/SER_hh_num!O15)</f>
        <v>336.48048596683645</v>
      </c>
      <c r="P15" s="135">
        <f>IF(SER_hh_fec!P15=0,0,11630*1000*SER_hh_fec!P15/SER_hh_num!P15)</f>
        <v>307.6870031470001</v>
      </c>
      <c r="Q15" s="135">
        <f>IF(SER_hh_fec!Q15=0,0,11630*1000*SER_hh_fec!Q15/SER_hh_num!Q15)</f>
        <v>303.89548136953908</v>
      </c>
      <c r="R15" s="135">
        <f>IF(SER_hh_fec!R15=0,0,11630*1000*SER_hh_fec!R15/SER_hh_num!R15)</f>
        <v>320.25558321842004</v>
      </c>
      <c r="S15" s="135">
        <f>IF(SER_hh_fec!S15=0,0,11630*1000*SER_hh_fec!S15/SER_hh_num!S15)</f>
        <v>348.69357138490693</v>
      </c>
      <c r="T15" s="135">
        <f>IF(SER_hh_fec!T15=0,0,11630*1000*SER_hh_fec!T15/SER_hh_num!T15)</f>
        <v>363.94963978735899</v>
      </c>
      <c r="U15" s="135">
        <f>IF(SER_hh_fec!U15=0,0,11630*1000*SER_hh_fec!U15/SER_hh_num!U15)</f>
        <v>347.09026720692367</v>
      </c>
      <c r="V15" s="135">
        <f>IF(SER_hh_fec!V15=0,0,11630*1000*SER_hh_fec!V15/SER_hh_num!V15)</f>
        <v>324.29124002683903</v>
      </c>
      <c r="W15" s="135">
        <f>IF(SER_hh_fec!W15=0,0,11630*1000*SER_hh_fec!W15/SER_hh_num!W15)</f>
        <v>371.42983780667373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9494.9494983367149</v>
      </c>
      <c r="C16" s="131">
        <f>IF(SER_hh_fec!C16=0,0,11630*1000*SER_hh_fec!C16/SER_hh_num!C16)</f>
        <v>9427.1834377407886</v>
      </c>
      <c r="D16" s="131">
        <f>IF(SER_hh_fec!D16=0,0,11630*1000*SER_hh_fec!D16/SER_hh_num!D16)</f>
        <v>9567.6803853888268</v>
      </c>
      <c r="E16" s="131">
        <f>IF(SER_hh_fec!E16=0,0,11630*1000*SER_hh_fec!E16/SER_hh_num!E16)</f>
        <v>8119.8636275684139</v>
      </c>
      <c r="F16" s="131">
        <f>IF(SER_hh_fec!F16=0,0,11630*1000*SER_hh_fec!F16/SER_hh_num!F16)</f>
        <v>7649.4012328623367</v>
      </c>
      <c r="G16" s="131">
        <f>IF(SER_hh_fec!G16=0,0,11630*1000*SER_hh_fec!G16/SER_hh_num!G16)</f>
        <v>7271.9237445370854</v>
      </c>
      <c r="H16" s="131">
        <f>IF(SER_hh_fec!H16=0,0,11630*1000*SER_hh_fec!H16/SER_hh_num!H16)</f>
        <v>7623.1681172041126</v>
      </c>
      <c r="I16" s="131">
        <f>IF(SER_hh_fec!I16=0,0,11630*1000*SER_hh_fec!I16/SER_hh_num!I16)</f>
        <v>6669.7479763765141</v>
      </c>
      <c r="J16" s="131">
        <f>IF(SER_hh_fec!J16=0,0,11630*1000*SER_hh_fec!J16/SER_hh_num!J16)</f>
        <v>6241.6225534798614</v>
      </c>
      <c r="K16" s="131">
        <f>IF(SER_hh_fec!K16=0,0,11630*1000*SER_hh_fec!K16/SER_hh_num!K16)</f>
        <v>6147.0440761947357</v>
      </c>
      <c r="L16" s="131">
        <f>IF(SER_hh_fec!L16=0,0,11630*1000*SER_hh_fec!L16/SER_hh_num!L16)</f>
        <v>7650.1318386308267</v>
      </c>
      <c r="M16" s="131">
        <f>IF(SER_hh_fec!M16=0,0,11630*1000*SER_hh_fec!M16/SER_hh_num!M16)</f>
        <v>5888.1954267890842</v>
      </c>
      <c r="N16" s="131">
        <f>IF(SER_hh_fec!N16=0,0,11630*1000*SER_hh_fec!N16/SER_hh_num!N16)</f>
        <v>6251.2557616282875</v>
      </c>
      <c r="O16" s="131">
        <f>IF(SER_hh_fec!O16=0,0,11630*1000*SER_hh_fec!O16/SER_hh_num!O16)</f>
        <v>5616.7670422174979</v>
      </c>
      <c r="P16" s="131">
        <f>IF(SER_hh_fec!P16=0,0,11630*1000*SER_hh_fec!P16/SER_hh_num!P16)</f>
        <v>5965.8002536061786</v>
      </c>
      <c r="Q16" s="131">
        <f>IF(SER_hh_fec!Q16=0,0,11630*1000*SER_hh_fec!Q16/SER_hh_num!Q16)</f>
        <v>5562.8929115818664</v>
      </c>
      <c r="R16" s="131">
        <f>IF(SER_hh_fec!R16=0,0,11630*1000*SER_hh_fec!R16/SER_hh_num!R16)</f>
        <v>5070.5769311472586</v>
      </c>
      <c r="S16" s="131">
        <f>IF(SER_hh_fec!S16=0,0,11630*1000*SER_hh_fec!S16/SER_hh_num!S16)</f>
        <v>4866.1330266399291</v>
      </c>
      <c r="T16" s="131">
        <f>IF(SER_hh_fec!T16=0,0,11630*1000*SER_hh_fec!T16/SER_hh_num!T16)</f>
        <v>5016.4281948489124</v>
      </c>
      <c r="U16" s="131">
        <f>IF(SER_hh_fec!U16=0,0,11630*1000*SER_hh_fec!U16/SER_hh_num!U16)</f>
        <v>4759.8884741737502</v>
      </c>
      <c r="V16" s="131">
        <f>IF(SER_hh_fec!V16=0,0,11630*1000*SER_hh_fec!V16/SER_hh_num!V16)</f>
        <v>4490.6921295399734</v>
      </c>
      <c r="W16" s="131">
        <f>IF(SER_hh_fec!W16=0,0,11630*1000*SER_hh_fec!W16/SER_hh_num!W16)</f>
        <v>5173.3069849198901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0</v>
      </c>
      <c r="C17" s="133">
        <f>IF(SER_hh_fec!C17=0,0,11630*1000*SER_hh_fec!C17/SER_hh_num!C17)</f>
        <v>0</v>
      </c>
      <c r="D17" s="133">
        <f>IF(SER_hh_fec!D17=0,0,11630*1000*SER_hh_fec!D17/SER_hh_num!D17)</f>
        <v>0</v>
      </c>
      <c r="E17" s="133">
        <f>IF(SER_hh_fec!E17=0,0,11630*1000*SER_hh_fec!E17/SER_hh_num!E17)</f>
        <v>0</v>
      </c>
      <c r="F17" s="133">
        <f>IF(SER_hh_fec!F17=0,0,11630*1000*SER_hh_fec!F17/SER_hh_num!F17)</f>
        <v>0</v>
      </c>
      <c r="G17" s="133">
        <f>IF(SER_hh_fec!G17=0,0,11630*1000*SER_hh_fec!G17/SER_hh_num!G17)</f>
        <v>0</v>
      </c>
      <c r="H17" s="133">
        <f>IF(SER_hh_fec!H17=0,0,11630*1000*SER_hh_fec!H17/SER_hh_num!H17)</f>
        <v>0</v>
      </c>
      <c r="I17" s="133">
        <f>IF(SER_hh_fec!I17=0,0,11630*1000*SER_hh_fec!I17/SER_hh_num!I17)</f>
        <v>0</v>
      </c>
      <c r="J17" s="133">
        <f>IF(SER_hh_fec!J17=0,0,11630*1000*SER_hh_fec!J17/SER_hh_num!J17)</f>
        <v>0</v>
      </c>
      <c r="K17" s="133">
        <f>IF(SER_hh_fec!K17=0,0,11630*1000*SER_hh_fec!K17/SER_hh_num!K17)</f>
        <v>0</v>
      </c>
      <c r="L17" s="133">
        <f>IF(SER_hh_fec!L17=0,0,11630*1000*SER_hh_fec!L17/SER_hh_num!L17)</f>
        <v>0</v>
      </c>
      <c r="M17" s="133">
        <f>IF(SER_hh_fec!M17=0,0,11630*1000*SER_hh_fec!M17/SER_hh_num!M17)</f>
        <v>0</v>
      </c>
      <c r="N17" s="133">
        <f>IF(SER_hh_fec!N17=0,0,11630*1000*SER_hh_fec!N17/SER_hh_num!N17)</f>
        <v>0</v>
      </c>
      <c r="O17" s="133">
        <f>IF(SER_hh_fec!O17=0,0,11630*1000*SER_hh_fec!O17/SER_hh_num!O17)</f>
        <v>0</v>
      </c>
      <c r="P17" s="133">
        <f>IF(SER_hh_fec!P17=0,0,11630*1000*SER_hh_fec!P17/SER_hh_num!P17)</f>
        <v>0</v>
      </c>
      <c r="Q17" s="133">
        <f>IF(SER_hh_fec!Q17=0,0,11630*1000*SER_hh_fec!Q17/SER_hh_num!Q17)</f>
        <v>0</v>
      </c>
      <c r="R17" s="133">
        <f>IF(SER_hh_fec!R17=0,0,11630*1000*SER_hh_fec!R17/SER_hh_num!R17)</f>
        <v>0</v>
      </c>
      <c r="S17" s="133">
        <f>IF(SER_hh_fec!S17=0,0,11630*1000*SER_hh_fec!S17/SER_hh_num!S17)</f>
        <v>0</v>
      </c>
      <c r="T17" s="133">
        <f>IF(SER_hh_fec!T17=0,0,11630*1000*SER_hh_fec!T17/SER_hh_num!T17)</f>
        <v>0</v>
      </c>
      <c r="U17" s="133">
        <f>IF(SER_hh_fec!U17=0,0,11630*1000*SER_hh_fec!U17/SER_hh_num!U17)</f>
        <v>0</v>
      </c>
      <c r="V17" s="133">
        <f>IF(SER_hh_fec!V17=0,0,11630*1000*SER_hh_fec!V17/SER_hh_num!V17)</f>
        <v>0</v>
      </c>
      <c r="W17" s="133">
        <f>IF(SER_hh_fec!W17=0,0,11630*1000*SER_hh_fec!W17/SER_hh_num!W17)</f>
        <v>0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9494.9494983367149</v>
      </c>
      <c r="C18" s="133">
        <f>IF(SER_hh_fec!C18=0,0,11630*1000*SER_hh_fec!C18/SER_hh_num!C18)</f>
        <v>9427.1834377407886</v>
      </c>
      <c r="D18" s="133">
        <f>IF(SER_hh_fec!D18=0,0,11630*1000*SER_hh_fec!D18/SER_hh_num!D18)</f>
        <v>9567.6803853888268</v>
      </c>
      <c r="E18" s="133">
        <f>IF(SER_hh_fec!E18=0,0,11630*1000*SER_hh_fec!E18/SER_hh_num!E18)</f>
        <v>8119.8636275684139</v>
      </c>
      <c r="F18" s="133">
        <f>IF(SER_hh_fec!F18=0,0,11630*1000*SER_hh_fec!F18/SER_hh_num!F18)</f>
        <v>7649.4012328623367</v>
      </c>
      <c r="G18" s="133">
        <f>IF(SER_hh_fec!G18=0,0,11630*1000*SER_hh_fec!G18/SER_hh_num!G18)</f>
        <v>7271.9237445370854</v>
      </c>
      <c r="H18" s="133">
        <f>IF(SER_hh_fec!H18=0,0,11630*1000*SER_hh_fec!H18/SER_hh_num!H18)</f>
        <v>7623.1681172041126</v>
      </c>
      <c r="I18" s="133">
        <f>IF(SER_hh_fec!I18=0,0,11630*1000*SER_hh_fec!I18/SER_hh_num!I18)</f>
        <v>6669.7479763765141</v>
      </c>
      <c r="J18" s="133">
        <f>IF(SER_hh_fec!J18=0,0,11630*1000*SER_hh_fec!J18/SER_hh_num!J18)</f>
        <v>6241.6225534798614</v>
      </c>
      <c r="K18" s="133">
        <f>IF(SER_hh_fec!K18=0,0,11630*1000*SER_hh_fec!K18/SER_hh_num!K18)</f>
        <v>6147.0440761947357</v>
      </c>
      <c r="L18" s="133">
        <f>IF(SER_hh_fec!L18=0,0,11630*1000*SER_hh_fec!L18/SER_hh_num!L18)</f>
        <v>7650.1318386308267</v>
      </c>
      <c r="M18" s="133">
        <f>IF(SER_hh_fec!M18=0,0,11630*1000*SER_hh_fec!M18/SER_hh_num!M18)</f>
        <v>5888.1954267890842</v>
      </c>
      <c r="N18" s="133">
        <f>IF(SER_hh_fec!N18=0,0,11630*1000*SER_hh_fec!N18/SER_hh_num!N18)</f>
        <v>6251.2557616282875</v>
      </c>
      <c r="O18" s="133">
        <f>IF(SER_hh_fec!O18=0,0,11630*1000*SER_hh_fec!O18/SER_hh_num!O18)</f>
        <v>5616.7670422174979</v>
      </c>
      <c r="P18" s="133">
        <f>IF(SER_hh_fec!P18=0,0,11630*1000*SER_hh_fec!P18/SER_hh_num!P18)</f>
        <v>5965.8002536061786</v>
      </c>
      <c r="Q18" s="133">
        <f>IF(SER_hh_fec!Q18=0,0,11630*1000*SER_hh_fec!Q18/SER_hh_num!Q18)</f>
        <v>5562.8929115818664</v>
      </c>
      <c r="R18" s="133">
        <f>IF(SER_hh_fec!R18=0,0,11630*1000*SER_hh_fec!R18/SER_hh_num!R18)</f>
        <v>5070.5769311472586</v>
      </c>
      <c r="S18" s="133">
        <f>IF(SER_hh_fec!S18=0,0,11630*1000*SER_hh_fec!S18/SER_hh_num!S18)</f>
        <v>4866.1330266399291</v>
      </c>
      <c r="T18" s="133">
        <f>IF(SER_hh_fec!T18=0,0,11630*1000*SER_hh_fec!T18/SER_hh_num!T18)</f>
        <v>5016.4281948489124</v>
      </c>
      <c r="U18" s="133">
        <f>IF(SER_hh_fec!U18=0,0,11630*1000*SER_hh_fec!U18/SER_hh_num!U18)</f>
        <v>4759.8884741737502</v>
      </c>
      <c r="V18" s="133">
        <f>IF(SER_hh_fec!V18=0,0,11630*1000*SER_hh_fec!V18/SER_hh_num!V18)</f>
        <v>4490.6921295399734</v>
      </c>
      <c r="W18" s="133">
        <f>IF(SER_hh_fec!W18=0,0,11630*1000*SER_hh_fec!W18/SER_hh_num!W18)</f>
        <v>5173.3069849198901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12391.414362608744</v>
      </c>
      <c r="C19" s="131">
        <f>IF(SER_hh_fec!C19=0,0,11630*1000*SER_hh_fec!C19/SER_hh_num!C19)</f>
        <v>12301.651188979686</v>
      </c>
      <c r="D19" s="131">
        <f>IF(SER_hh_fec!D19=0,0,11630*1000*SER_hh_fec!D19/SER_hh_num!D19)</f>
        <v>12216.79586371995</v>
      </c>
      <c r="E19" s="131">
        <f>IF(SER_hh_fec!E19=0,0,11630*1000*SER_hh_fec!E19/SER_hh_num!E19)</f>
        <v>11989.586684246804</v>
      </c>
      <c r="F19" s="131">
        <f>IF(SER_hh_fec!F19=0,0,11630*1000*SER_hh_fec!F19/SER_hh_num!F19)</f>
        <v>12329.973275953807</v>
      </c>
      <c r="G19" s="131">
        <f>IF(SER_hh_fec!G19=0,0,11630*1000*SER_hh_fec!G19/SER_hh_num!G19)</f>
        <v>12482.140339273376</v>
      </c>
      <c r="H19" s="131">
        <f>IF(SER_hh_fec!H19=0,0,11630*1000*SER_hh_fec!H19/SER_hh_num!H19)</f>
        <v>12883.788455827289</v>
      </c>
      <c r="I19" s="131">
        <f>IF(SER_hh_fec!I19=0,0,11630*1000*SER_hh_fec!I19/SER_hh_num!I19)</f>
        <v>12433.418956463751</v>
      </c>
      <c r="J19" s="131">
        <f>IF(SER_hh_fec!J19=0,0,11630*1000*SER_hh_fec!J19/SER_hh_num!J19)</f>
        <v>12533.715455613967</v>
      </c>
      <c r="K19" s="131">
        <f>IF(SER_hh_fec!K19=0,0,11630*1000*SER_hh_fec!K19/SER_hh_num!K19)</f>
        <v>12566.62720523307</v>
      </c>
      <c r="L19" s="131">
        <f>IF(SER_hh_fec!L19=0,0,11630*1000*SER_hh_fec!L19/SER_hh_num!L19)</f>
        <v>12681.572338961305</v>
      </c>
      <c r="M19" s="131">
        <f>IF(SER_hh_fec!M19=0,0,11630*1000*SER_hh_fec!M19/SER_hh_num!M19)</f>
        <v>12723.190352162701</v>
      </c>
      <c r="N19" s="131">
        <f>IF(SER_hh_fec!N19=0,0,11630*1000*SER_hh_fec!N19/SER_hh_num!N19)</f>
        <v>12821.402940463195</v>
      </c>
      <c r="O19" s="131">
        <f>IF(SER_hh_fec!O19=0,0,11630*1000*SER_hh_fec!O19/SER_hh_num!O19)</f>
        <v>12830.608725415463</v>
      </c>
      <c r="P19" s="131">
        <f>IF(SER_hh_fec!P19=0,0,11630*1000*SER_hh_fec!P19/SER_hh_num!P19)</f>
        <v>12770.121345370595</v>
      </c>
      <c r="Q19" s="131">
        <f>IF(SER_hh_fec!Q19=0,0,11630*1000*SER_hh_fec!Q19/SER_hh_num!Q19)</f>
        <v>12792.593343145447</v>
      </c>
      <c r="R19" s="131">
        <f>IF(SER_hh_fec!R19=0,0,11630*1000*SER_hh_fec!R19/SER_hh_num!R19)</f>
        <v>12884.520199024049</v>
      </c>
      <c r="S19" s="131">
        <f>IF(SER_hh_fec!S19=0,0,11630*1000*SER_hh_fec!S19/SER_hh_num!S19)</f>
        <v>12841.974329778302</v>
      </c>
      <c r="T19" s="131">
        <f>IF(SER_hh_fec!T19=0,0,11630*1000*SER_hh_fec!T19/SER_hh_num!T19)</f>
        <v>12678.836730507524</v>
      </c>
      <c r="U19" s="131">
        <f>IF(SER_hh_fec!U19=0,0,11630*1000*SER_hh_fec!U19/SER_hh_num!U19)</f>
        <v>12505.008669126193</v>
      </c>
      <c r="V19" s="131">
        <f>IF(SER_hh_fec!V19=0,0,11630*1000*SER_hh_fec!V19/SER_hh_num!V19)</f>
        <v>10945.511542529923</v>
      </c>
      <c r="W19" s="131">
        <f>IF(SER_hh_fec!W19=0,0,11630*1000*SER_hh_fec!W19/SER_hh_num!W19)</f>
        <v>12160.3203930951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0</v>
      </c>
      <c r="C21" s="133">
        <f>IF(SER_hh_fec!C21=0,0,11630*1000*SER_hh_fec!C21/SER_hh_num!C21)</f>
        <v>0</v>
      </c>
      <c r="D21" s="133">
        <f>IF(SER_hh_fec!D21=0,0,11630*1000*SER_hh_fec!D21/SER_hh_num!D21)</f>
        <v>0</v>
      </c>
      <c r="E21" s="133">
        <f>IF(SER_hh_fec!E21=0,0,11630*1000*SER_hh_fec!E21/SER_hh_num!E21)</f>
        <v>0</v>
      </c>
      <c r="F21" s="133">
        <f>IF(SER_hh_fec!F21=0,0,11630*1000*SER_hh_fec!F21/SER_hh_num!F21)</f>
        <v>0</v>
      </c>
      <c r="G21" s="133">
        <f>IF(SER_hh_fec!G21=0,0,11630*1000*SER_hh_fec!G21/SER_hh_num!G21)</f>
        <v>0</v>
      </c>
      <c r="H21" s="133">
        <f>IF(SER_hh_fec!H21=0,0,11630*1000*SER_hh_fec!H21/SER_hh_num!H21)</f>
        <v>0</v>
      </c>
      <c r="I21" s="133">
        <f>IF(SER_hh_fec!I21=0,0,11630*1000*SER_hh_fec!I21/SER_hh_num!I21)</f>
        <v>0</v>
      </c>
      <c r="J21" s="133">
        <f>IF(SER_hh_fec!J21=0,0,11630*1000*SER_hh_fec!J21/SER_hh_num!J21)</f>
        <v>0</v>
      </c>
      <c r="K21" s="133">
        <f>IF(SER_hh_fec!K21=0,0,11630*1000*SER_hh_fec!K21/SER_hh_num!K21)</f>
        <v>0</v>
      </c>
      <c r="L21" s="133">
        <f>IF(SER_hh_fec!L21=0,0,11630*1000*SER_hh_fec!L21/SER_hh_num!L21)</f>
        <v>0</v>
      </c>
      <c r="M21" s="133">
        <f>IF(SER_hh_fec!M21=0,0,11630*1000*SER_hh_fec!M21/SER_hh_num!M21)</f>
        <v>0</v>
      </c>
      <c r="N21" s="133">
        <f>IF(SER_hh_fec!N21=0,0,11630*1000*SER_hh_fec!N21/SER_hh_num!N21)</f>
        <v>0</v>
      </c>
      <c r="O21" s="133">
        <f>IF(SER_hh_fec!O21=0,0,11630*1000*SER_hh_fec!O21/SER_hh_num!O21)</f>
        <v>0</v>
      </c>
      <c r="P21" s="133">
        <f>IF(SER_hh_fec!P21=0,0,11630*1000*SER_hh_fec!P21/SER_hh_num!P21)</f>
        <v>0</v>
      </c>
      <c r="Q21" s="133">
        <f>IF(SER_hh_fec!Q21=0,0,11630*1000*SER_hh_fec!Q21/SER_hh_num!Q21)</f>
        <v>0</v>
      </c>
      <c r="R21" s="133">
        <f>IF(SER_hh_fec!R21=0,0,11630*1000*SER_hh_fec!R21/SER_hh_num!R21)</f>
        <v>0</v>
      </c>
      <c r="S21" s="133">
        <f>IF(SER_hh_fec!S21=0,0,11630*1000*SER_hh_fec!S21/SER_hh_num!S21)</f>
        <v>0</v>
      </c>
      <c r="T21" s="133">
        <f>IF(SER_hh_fec!T21=0,0,11630*1000*SER_hh_fec!T21/SER_hh_num!T21)</f>
        <v>0</v>
      </c>
      <c r="U21" s="133">
        <f>IF(SER_hh_fec!U21=0,0,11630*1000*SER_hh_fec!U21/SER_hh_num!U21)</f>
        <v>0</v>
      </c>
      <c r="V21" s="133">
        <f>IF(SER_hh_fec!V21=0,0,11630*1000*SER_hh_fec!V21/SER_hh_num!V21)</f>
        <v>0</v>
      </c>
      <c r="W21" s="133">
        <f>IF(SER_hh_fec!W21=0,0,11630*1000*SER_hh_fec!W21/SER_hh_num!W21)</f>
        <v>0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19257.912292444365</v>
      </c>
      <c r="C22" s="133">
        <f>IF(SER_hh_fec!C22=0,0,11630*1000*SER_hh_fec!C22/SER_hh_num!C22)</f>
        <v>14305.459287444768</v>
      </c>
      <c r="D22" s="133">
        <f>IF(SER_hh_fec!D22=0,0,11630*1000*SER_hh_fec!D22/SER_hh_num!D22)</f>
        <v>15919.672258035202</v>
      </c>
      <c r="E22" s="133">
        <f>IF(SER_hh_fec!E22=0,0,11630*1000*SER_hh_fec!E22/SER_hh_num!E22)</f>
        <v>14881.544234123849</v>
      </c>
      <c r="F22" s="133">
        <f>IF(SER_hh_fec!F22=0,0,11630*1000*SER_hh_fec!F22/SER_hh_num!F22)</f>
        <v>18617.519593955818</v>
      </c>
      <c r="G22" s="133">
        <f>IF(SER_hh_fec!G22=0,0,11630*1000*SER_hh_fec!G22/SER_hh_num!G22)</f>
        <v>16612.087923411927</v>
      </c>
      <c r="H22" s="133">
        <f>IF(SER_hh_fec!H22=0,0,11630*1000*SER_hh_fec!H22/SER_hh_num!H22)</f>
        <v>18016.92673438217</v>
      </c>
      <c r="I22" s="133">
        <f>IF(SER_hh_fec!I22=0,0,11630*1000*SER_hh_fec!I22/SER_hh_num!I22)</f>
        <v>17650.784555606504</v>
      </c>
      <c r="J22" s="133">
        <f>IF(SER_hh_fec!J22=0,0,11630*1000*SER_hh_fec!J22/SER_hh_num!J22)</f>
        <v>19379.231017131555</v>
      </c>
      <c r="K22" s="133">
        <f>IF(SER_hh_fec!K22=0,0,11630*1000*SER_hh_fec!K22/SER_hh_num!K22)</f>
        <v>16715.461579984898</v>
      </c>
      <c r="L22" s="133">
        <f>IF(SER_hh_fec!L22=0,0,11630*1000*SER_hh_fec!L22/SER_hh_num!L22)</f>
        <v>17764.656880244122</v>
      </c>
      <c r="M22" s="133">
        <f>IF(SER_hh_fec!M22=0,0,11630*1000*SER_hh_fec!M22/SER_hh_num!M22)</f>
        <v>17610.484769293584</v>
      </c>
      <c r="N22" s="133">
        <f>IF(SER_hh_fec!N22=0,0,11630*1000*SER_hh_fec!N22/SER_hh_num!N22)</f>
        <v>15552.678107355423</v>
      </c>
      <c r="O22" s="133">
        <f>IF(SER_hh_fec!O22=0,0,11630*1000*SER_hh_fec!O22/SER_hh_num!O22)</f>
        <v>16376.573778495995</v>
      </c>
      <c r="P22" s="133">
        <f>IF(SER_hh_fec!P22=0,0,11630*1000*SER_hh_fec!P22/SER_hh_num!P22)</f>
        <v>16806.456656234233</v>
      </c>
      <c r="Q22" s="133">
        <f>IF(SER_hh_fec!Q22=0,0,11630*1000*SER_hh_fec!Q22/SER_hh_num!Q22)</f>
        <v>16658.151810559077</v>
      </c>
      <c r="R22" s="133">
        <f>IF(SER_hh_fec!R22=0,0,11630*1000*SER_hh_fec!R22/SER_hh_num!R22)</f>
        <v>16786.714621072253</v>
      </c>
      <c r="S22" s="133">
        <f>IF(SER_hh_fec!S22=0,0,11630*1000*SER_hh_fec!S22/SER_hh_num!S22)</f>
        <v>18775.145886605354</v>
      </c>
      <c r="T22" s="133">
        <f>IF(SER_hh_fec!T22=0,0,11630*1000*SER_hh_fec!T22/SER_hh_num!T22)</f>
        <v>13743.792504139738</v>
      </c>
      <c r="U22" s="133">
        <f>IF(SER_hh_fec!U22=0,0,11630*1000*SER_hh_fec!U22/SER_hh_num!U22)</f>
        <v>15307.817439093367</v>
      </c>
      <c r="V22" s="133">
        <f>IF(SER_hh_fec!V22=0,0,11630*1000*SER_hh_fec!V22/SER_hh_num!V22)</f>
        <v>14527.480885444536</v>
      </c>
      <c r="W22" s="133">
        <f>IF(SER_hh_fec!W22=0,0,11630*1000*SER_hh_fec!W22/SER_hh_num!W22)</f>
        <v>15367.009657286024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15968.776939408535</v>
      </c>
      <c r="C23" s="133">
        <f>IF(SER_hh_fec!C23=0,0,11630*1000*SER_hh_fec!C23/SER_hh_num!C23)</f>
        <v>15810.454041530369</v>
      </c>
      <c r="D23" s="133">
        <f>IF(SER_hh_fec!D23=0,0,11630*1000*SER_hh_fec!D23/SER_hh_num!D23)</f>
        <v>15717.819993531059</v>
      </c>
      <c r="E23" s="133">
        <f>IF(SER_hh_fec!E23=0,0,11630*1000*SER_hh_fec!E23/SER_hh_num!E23)</f>
        <v>14820.473773490015</v>
      </c>
      <c r="F23" s="133">
        <f>IF(SER_hh_fec!F23=0,0,11630*1000*SER_hh_fec!F23/SER_hh_num!F23)</f>
        <v>16223.569643871551</v>
      </c>
      <c r="G23" s="133">
        <f>IF(SER_hh_fec!G23=0,0,11630*1000*SER_hh_fec!G23/SER_hh_num!G23)</f>
        <v>14469.498917117891</v>
      </c>
      <c r="H23" s="133">
        <f>IF(SER_hh_fec!H23=0,0,11630*1000*SER_hh_fec!H23/SER_hh_num!H23)</f>
        <v>13904.826001441927</v>
      </c>
      <c r="I23" s="133">
        <f>IF(SER_hh_fec!I23=0,0,11630*1000*SER_hh_fec!I23/SER_hh_num!I23)</f>
        <v>16449.410108852146</v>
      </c>
      <c r="J23" s="133">
        <f>IF(SER_hh_fec!J23=0,0,11630*1000*SER_hh_fec!J23/SER_hh_num!J23)</f>
        <v>16256.743353861068</v>
      </c>
      <c r="K23" s="133">
        <f>IF(SER_hh_fec!K23=0,0,11630*1000*SER_hh_fec!K23/SER_hh_num!K23)</f>
        <v>15336.354799466115</v>
      </c>
      <c r="L23" s="133">
        <f>IF(SER_hh_fec!L23=0,0,11630*1000*SER_hh_fec!L23/SER_hh_num!L23)</f>
        <v>15306.113060259573</v>
      </c>
      <c r="M23" s="133">
        <f>IF(SER_hh_fec!M23=0,0,11630*1000*SER_hh_fec!M23/SER_hh_num!M23)</f>
        <v>15543.823897648123</v>
      </c>
      <c r="N23" s="133">
        <f>IF(SER_hh_fec!N23=0,0,11630*1000*SER_hh_fec!N23/SER_hh_num!N23)</f>
        <v>15544.856923051353</v>
      </c>
      <c r="O23" s="133">
        <f>IF(SER_hh_fec!O23=0,0,11630*1000*SER_hh_fec!O23/SER_hh_num!O23)</f>
        <v>15730.883173430064</v>
      </c>
      <c r="P23" s="133">
        <f>IF(SER_hh_fec!P23=0,0,11630*1000*SER_hh_fec!P23/SER_hh_num!P23)</f>
        <v>14732.294679152579</v>
      </c>
      <c r="Q23" s="133">
        <f>IF(SER_hh_fec!Q23=0,0,11630*1000*SER_hh_fec!Q23/SER_hh_num!Q23)</f>
        <v>15275.013748057767</v>
      </c>
      <c r="R23" s="133">
        <f>IF(SER_hh_fec!R23=0,0,11630*1000*SER_hh_fec!R23/SER_hh_num!R23)</f>
        <v>15472.247551448825</v>
      </c>
      <c r="S23" s="133">
        <f>IF(SER_hh_fec!S23=0,0,11630*1000*SER_hh_fec!S23/SER_hh_num!S23)</f>
        <v>14706.541991216222</v>
      </c>
      <c r="T23" s="133">
        <f>IF(SER_hh_fec!T23=0,0,11630*1000*SER_hh_fec!T23/SER_hh_num!T23)</f>
        <v>14263.526372025271</v>
      </c>
      <c r="U23" s="133">
        <f>IF(SER_hh_fec!U23=0,0,11630*1000*SER_hh_fec!U23/SER_hh_num!U23)</f>
        <v>13616.058294332846</v>
      </c>
      <c r="V23" s="133">
        <f>IF(SER_hh_fec!V23=0,0,11630*1000*SER_hh_fec!V23/SER_hh_num!V23)</f>
        <v>12587.865559981748</v>
      </c>
      <c r="W23" s="133">
        <f>IF(SER_hh_fec!W23=0,0,11630*1000*SER_hh_fec!W23/SER_hh_num!W23)</f>
        <v>12913.012632571365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21025.130422347316</v>
      </c>
      <c r="C24" s="133">
        <f>IF(SER_hh_fec!C24=0,0,11630*1000*SER_hh_fec!C24/SER_hh_num!C24)</f>
        <v>17520.856089494027</v>
      </c>
      <c r="D24" s="133">
        <f>IF(SER_hh_fec!D24=0,0,11630*1000*SER_hh_fec!D24/SER_hh_num!D24)</f>
        <v>17478.553278275744</v>
      </c>
      <c r="E24" s="133">
        <f>IF(SER_hh_fec!E24=0,0,11630*1000*SER_hh_fec!E24/SER_hh_num!E24)</f>
        <v>17552.930343803098</v>
      </c>
      <c r="F24" s="133">
        <f>IF(SER_hh_fec!F24=0,0,11630*1000*SER_hh_fec!F24/SER_hh_num!F24)</f>
        <v>17325.576913135796</v>
      </c>
      <c r="G24" s="133">
        <f>IF(SER_hh_fec!G24=0,0,11630*1000*SER_hh_fec!G24/SER_hh_num!G24)</f>
        <v>17211.765340727361</v>
      </c>
      <c r="H24" s="133">
        <f>IF(SER_hh_fec!H24=0,0,11630*1000*SER_hh_fec!H24/SER_hh_num!H24)</f>
        <v>17561.102736421988</v>
      </c>
      <c r="I24" s="133">
        <f>IF(SER_hh_fec!I24=0,0,11630*1000*SER_hh_fec!I24/SER_hh_num!I24)</f>
        <v>16315.387791415729</v>
      </c>
      <c r="J24" s="133">
        <f>IF(SER_hh_fec!J24=0,0,11630*1000*SER_hh_fec!J24/SER_hh_num!J24)</f>
        <v>16151.388081956522</v>
      </c>
      <c r="K24" s="133">
        <f>IF(SER_hh_fec!K24=0,0,11630*1000*SER_hh_fec!K24/SER_hh_num!K24)</f>
        <v>15736.320816446401</v>
      </c>
      <c r="L24" s="133">
        <f>IF(SER_hh_fec!L24=0,0,11630*1000*SER_hh_fec!L24/SER_hh_num!L24)</f>
        <v>15484.341548777269</v>
      </c>
      <c r="M24" s="133">
        <f>IF(SER_hh_fec!M24=0,0,11630*1000*SER_hh_fec!M24/SER_hh_num!M24)</f>
        <v>15361.193577601187</v>
      </c>
      <c r="N24" s="133">
        <f>IF(SER_hh_fec!N24=0,0,11630*1000*SER_hh_fec!N24/SER_hh_num!N24)</f>
        <v>14944.747790338606</v>
      </c>
      <c r="O24" s="133">
        <f>IF(SER_hh_fec!O24=0,0,11630*1000*SER_hh_fec!O24/SER_hh_num!O24)</f>
        <v>14828.237672853653</v>
      </c>
      <c r="P24" s="133">
        <f>IF(SER_hh_fec!P24=0,0,11630*1000*SER_hh_fec!P24/SER_hh_num!P24)</f>
        <v>14933.526770549443</v>
      </c>
      <c r="Q24" s="133">
        <f>IF(SER_hh_fec!Q24=0,0,11630*1000*SER_hh_fec!Q24/SER_hh_num!Q24)</f>
        <v>15349.930419284956</v>
      </c>
      <c r="R24" s="133">
        <f>IF(SER_hh_fec!R24=0,0,11630*1000*SER_hh_fec!R24/SER_hh_num!R24)</f>
        <v>15328.243010341956</v>
      </c>
      <c r="S24" s="133">
        <f>IF(SER_hh_fec!S24=0,0,11630*1000*SER_hh_fec!S24/SER_hh_num!S24)</f>
        <v>14163.152995945313</v>
      </c>
      <c r="T24" s="133">
        <f>IF(SER_hh_fec!T24=0,0,11630*1000*SER_hh_fec!T24/SER_hh_num!T24)</f>
        <v>14633.335505905554</v>
      </c>
      <c r="U24" s="133">
        <f>IF(SER_hh_fec!U24=0,0,11630*1000*SER_hh_fec!U24/SER_hh_num!U24)</f>
        <v>13702.522352293205</v>
      </c>
      <c r="V24" s="133">
        <f>IF(SER_hh_fec!V24=0,0,11630*1000*SER_hh_fec!V24/SER_hh_num!V24)</f>
        <v>14051.229426400661</v>
      </c>
      <c r="W24" s="133">
        <f>IF(SER_hh_fec!W24=0,0,11630*1000*SER_hh_fec!W24/SER_hh_num!W24)</f>
        <v>13304.162631696723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10927.966826427779</v>
      </c>
      <c r="C25" s="133">
        <f>IF(SER_hh_fec!C25=0,0,11630*1000*SER_hh_fec!C25/SER_hh_num!C25)</f>
        <v>10980.249827210571</v>
      </c>
      <c r="D25" s="133">
        <f>IF(SER_hh_fec!D25=0,0,11630*1000*SER_hh_fec!D25/SER_hh_num!D25)</f>
        <v>10707.913872114794</v>
      </c>
      <c r="E25" s="133">
        <f>IF(SER_hh_fec!E25=0,0,11630*1000*SER_hh_fec!E25/SER_hh_num!E25)</f>
        <v>10613.993401418446</v>
      </c>
      <c r="F25" s="133">
        <f>IF(SER_hh_fec!F25=0,0,11630*1000*SER_hh_fec!F25/SER_hh_num!F25)</f>
        <v>10968.264517678141</v>
      </c>
      <c r="G25" s="133">
        <f>IF(SER_hh_fec!G25=0,0,11630*1000*SER_hh_fec!G25/SER_hh_num!G25)</f>
        <v>11340.773807003372</v>
      </c>
      <c r="H25" s="133">
        <f>IF(SER_hh_fec!H25=0,0,11630*1000*SER_hh_fec!H25/SER_hh_num!H25)</f>
        <v>11882.735260699463</v>
      </c>
      <c r="I25" s="133">
        <f>IF(SER_hh_fec!I25=0,0,11630*1000*SER_hh_fec!I25/SER_hh_num!I25)</f>
        <v>10616.819622548948</v>
      </c>
      <c r="J25" s="133">
        <f>IF(SER_hh_fec!J25=0,0,11630*1000*SER_hh_fec!J25/SER_hh_num!J25)</f>
        <v>10639.759421427694</v>
      </c>
      <c r="K25" s="133">
        <f>IF(SER_hh_fec!K25=0,0,11630*1000*SER_hh_fec!K25/SER_hh_num!K25)</f>
        <v>11453.209997291828</v>
      </c>
      <c r="L25" s="133">
        <f>IF(SER_hh_fec!L25=0,0,11630*1000*SER_hh_fec!L25/SER_hh_num!L25)</f>
        <v>11753.627085341834</v>
      </c>
      <c r="M25" s="133">
        <f>IF(SER_hh_fec!M25=0,0,11630*1000*SER_hh_fec!M25/SER_hh_num!M25)</f>
        <v>11491.092314936363</v>
      </c>
      <c r="N25" s="133">
        <f>IF(SER_hh_fec!N25=0,0,11630*1000*SER_hh_fec!N25/SER_hh_num!N25)</f>
        <v>11573.213501273802</v>
      </c>
      <c r="O25" s="133">
        <f>IF(SER_hh_fec!O25=0,0,11630*1000*SER_hh_fec!O25/SER_hh_num!O25)</f>
        <v>11810.789465397358</v>
      </c>
      <c r="P25" s="133">
        <f>IF(SER_hh_fec!P25=0,0,11630*1000*SER_hh_fec!P25/SER_hh_num!P25)</f>
        <v>11551.552682027588</v>
      </c>
      <c r="Q25" s="133">
        <f>IF(SER_hh_fec!Q25=0,0,11630*1000*SER_hh_fec!Q25/SER_hh_num!Q25)</f>
        <v>12044.709066483445</v>
      </c>
      <c r="R25" s="133">
        <f>IF(SER_hh_fec!R25=0,0,11630*1000*SER_hh_fec!R25/SER_hh_num!R25)</f>
        <v>12049.886372485525</v>
      </c>
      <c r="S25" s="133">
        <f>IF(SER_hh_fec!S25=0,0,11630*1000*SER_hh_fec!S25/SER_hh_num!S25)</f>
        <v>12256.633974906905</v>
      </c>
      <c r="T25" s="133">
        <f>IF(SER_hh_fec!T25=0,0,11630*1000*SER_hh_fec!T25/SER_hh_num!T25)</f>
        <v>12005.673946397628</v>
      </c>
      <c r="U25" s="133">
        <f>IF(SER_hh_fec!U25=0,0,11630*1000*SER_hh_fec!U25/SER_hh_num!U25)</f>
        <v>11862.923665858376</v>
      </c>
      <c r="V25" s="133">
        <f>IF(SER_hh_fec!V25=0,0,11630*1000*SER_hh_fec!V25/SER_hh_num!V25)</f>
        <v>10414.068145361851</v>
      </c>
      <c r="W25" s="133">
        <f>IF(SER_hh_fec!W25=0,0,11630*1000*SER_hh_fec!W25/SER_hh_num!W25)</f>
        <v>11699.332273265401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12473.078368155062</v>
      </c>
      <c r="C26" s="65">
        <f>IF(SER_hh_fec!C26=0,0,11630*1000*SER_hh_fec!C26/SER_hh_num!C26)</f>
        <v>13247.806995352648</v>
      </c>
      <c r="D26" s="65">
        <f>IF(SER_hh_fec!D26=0,0,11630*1000*SER_hh_fec!D26/SER_hh_num!D26)</f>
        <v>13315.938761262783</v>
      </c>
      <c r="E26" s="65">
        <f>IF(SER_hh_fec!E26=0,0,11630*1000*SER_hh_fec!E26/SER_hh_num!E26)</f>
        <v>13109.346574210525</v>
      </c>
      <c r="F26" s="65">
        <f>IF(SER_hh_fec!F26=0,0,11630*1000*SER_hh_fec!F26/SER_hh_num!F26)</f>
        <v>13199.150823919525</v>
      </c>
      <c r="G26" s="65">
        <f>IF(SER_hh_fec!G26=0,0,11630*1000*SER_hh_fec!G26/SER_hh_num!G26)</f>
        <v>13424.470643477311</v>
      </c>
      <c r="H26" s="65">
        <f>IF(SER_hh_fec!H26=0,0,11630*1000*SER_hh_fec!H26/SER_hh_num!H26)</f>
        <v>13671.556669167994</v>
      </c>
      <c r="I26" s="65">
        <f>IF(SER_hh_fec!I26=0,0,11630*1000*SER_hh_fec!I26/SER_hh_num!I26)</f>
        <v>14109.924802091955</v>
      </c>
      <c r="J26" s="65">
        <f>IF(SER_hh_fec!J26=0,0,11630*1000*SER_hh_fec!J26/SER_hh_num!J26)</f>
        <v>14408.527597531929</v>
      </c>
      <c r="K26" s="65">
        <f>IF(SER_hh_fec!K26=0,0,11630*1000*SER_hh_fec!K26/SER_hh_num!K26)</f>
        <v>13443.836564953441</v>
      </c>
      <c r="L26" s="65">
        <f>IF(SER_hh_fec!L26=0,0,11630*1000*SER_hh_fec!L26/SER_hh_num!L26)</f>
        <v>13357.711925762564</v>
      </c>
      <c r="M26" s="65">
        <f>IF(SER_hh_fec!M26=0,0,11630*1000*SER_hh_fec!M26/SER_hh_num!M26)</f>
        <v>14112.727476141707</v>
      </c>
      <c r="N26" s="65">
        <f>IF(SER_hh_fec!N26=0,0,11630*1000*SER_hh_fec!N26/SER_hh_num!N26)</f>
        <v>14453.810827962991</v>
      </c>
      <c r="O26" s="65">
        <f>IF(SER_hh_fec!O26=0,0,11630*1000*SER_hh_fec!O26/SER_hh_num!O26)</f>
        <v>14029.555295121752</v>
      </c>
      <c r="P26" s="65">
        <f>IF(SER_hh_fec!P26=0,0,11630*1000*SER_hh_fec!P26/SER_hh_num!P26)</f>
        <v>14894.408495505309</v>
      </c>
      <c r="Q26" s="65">
        <f>IF(SER_hh_fec!Q26=0,0,11630*1000*SER_hh_fec!Q26/SER_hh_num!Q26)</f>
        <v>13609.350843957605</v>
      </c>
      <c r="R26" s="65">
        <f>IF(SER_hh_fec!R26=0,0,11630*1000*SER_hh_fec!R26/SER_hh_num!R26)</f>
        <v>13992.729926063332</v>
      </c>
      <c r="S26" s="65">
        <f>IF(SER_hh_fec!S26=0,0,11630*1000*SER_hh_fec!S26/SER_hh_num!S26)</f>
        <v>13586.289269986142</v>
      </c>
      <c r="T26" s="65">
        <f>IF(SER_hh_fec!T26=0,0,11630*1000*SER_hh_fec!T26/SER_hh_num!T26)</f>
        <v>13718.613948765666</v>
      </c>
      <c r="U26" s="65">
        <f>IF(SER_hh_fec!U26=0,0,11630*1000*SER_hh_fec!U26/SER_hh_num!U26)</f>
        <v>13574.791368867214</v>
      </c>
      <c r="V26" s="65">
        <f>IF(SER_hh_fec!V26=0,0,11630*1000*SER_hh_fec!V26/SER_hh_num!V26)</f>
        <v>11117.020809224476</v>
      </c>
      <c r="W26" s="65">
        <f>IF(SER_hh_fec!W26=0,0,11630*1000*SER_hh_fec!W26/SER_hh_num!W26)</f>
        <v>12736.679684284281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</v>
      </c>
      <c r="E27" s="146">
        <f>IF(SER_hh_fec!E27=0,0,11630*1000*SER_hh_fec!E27/SER_hh_num!E19)</f>
        <v>0</v>
      </c>
      <c r="F27" s="146">
        <f>IF(SER_hh_fec!F27=0,0,11630*1000*SER_hh_fec!F27/SER_hh_num!F19)</f>
        <v>0</v>
      </c>
      <c r="G27" s="146">
        <f>IF(SER_hh_fec!G27=0,0,11630*1000*SER_hh_fec!G27/SER_hh_num!G19)</f>
        <v>0</v>
      </c>
      <c r="H27" s="146">
        <f>IF(SER_hh_fec!H27=0,0,11630*1000*SER_hh_fec!H27/SER_hh_num!H19)</f>
        <v>0</v>
      </c>
      <c r="I27" s="146">
        <f>IF(SER_hh_fec!I27=0,0,11630*1000*SER_hh_fec!I27/SER_hh_num!I19)</f>
        <v>0</v>
      </c>
      <c r="J27" s="146">
        <f>IF(SER_hh_fec!J27=0,0,11630*1000*SER_hh_fec!J27/SER_hh_num!J19)</f>
        <v>0</v>
      </c>
      <c r="K27" s="146">
        <f>IF(SER_hh_fec!K27=0,0,11630*1000*SER_hh_fec!K27/SER_hh_num!K19)</f>
        <v>0</v>
      </c>
      <c r="L27" s="146">
        <f>IF(SER_hh_fec!L27=0,0,11630*1000*SER_hh_fec!L27/SER_hh_num!L19)</f>
        <v>0</v>
      </c>
      <c r="M27" s="146">
        <f>IF(SER_hh_fec!M27=0,0,11630*1000*SER_hh_fec!M27/SER_hh_num!M19)</f>
        <v>0</v>
      </c>
      <c r="N27" s="146">
        <f>IF(SER_hh_fec!N27=0,0,11630*1000*SER_hh_fec!N27/SER_hh_num!N19)</f>
        <v>0</v>
      </c>
      <c r="O27" s="146">
        <f>IF(SER_hh_fec!O27=0,0,11630*1000*SER_hh_fec!O27/SER_hh_num!O19)</f>
        <v>0</v>
      </c>
      <c r="P27" s="146">
        <f>IF(SER_hh_fec!P27=0,0,11630*1000*SER_hh_fec!P27/SER_hh_num!P19)</f>
        <v>0</v>
      </c>
      <c r="Q27" s="146">
        <f>IF(SER_hh_fec!Q27=0,0,11630*1000*SER_hh_fec!Q27/SER_hh_num!Q19)</f>
        <v>0</v>
      </c>
      <c r="R27" s="146">
        <f>IF(SER_hh_fec!R27=0,0,11630*1000*SER_hh_fec!R27/SER_hh_num!R19)</f>
        <v>0</v>
      </c>
      <c r="S27" s="146">
        <f>IF(SER_hh_fec!S27=0,0,11630*1000*SER_hh_fec!S27/SER_hh_num!S19)</f>
        <v>0</v>
      </c>
      <c r="T27" s="146">
        <f>IF(SER_hh_fec!T27=0,0,11630*1000*SER_hh_fec!T27/SER_hh_num!T19)</f>
        <v>0</v>
      </c>
      <c r="U27" s="146">
        <f>IF(SER_hh_fec!U27=0,0,11630*1000*SER_hh_fec!U27/SER_hh_num!U19)</f>
        <v>0</v>
      </c>
      <c r="V27" s="146">
        <f>IF(SER_hh_fec!V27=0,0,11630*1000*SER_hh_fec!V27/SER_hh_num!V19)</f>
        <v>0</v>
      </c>
      <c r="W27" s="146">
        <f>IF(SER_hh_fec!W27=0,0,11630*1000*SER_hh_fec!W27/SER_hh_num!W19)</f>
        <v>0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0</v>
      </c>
      <c r="E28" s="147">
        <f>IF(SER_hh_fec!E27=0,0,11630*1000*SER_hh_fec!E27/SER_hh_num!E27)</f>
        <v>0</v>
      </c>
      <c r="F28" s="147">
        <f>IF(SER_hh_fec!F27=0,0,11630*1000*SER_hh_fec!F27/SER_hh_num!F27)</f>
        <v>0</v>
      </c>
      <c r="G28" s="147">
        <f>IF(SER_hh_fec!G27=0,0,11630*1000*SER_hh_fec!G27/SER_hh_num!G27)</f>
        <v>0</v>
      </c>
      <c r="H28" s="147">
        <f>IF(SER_hh_fec!H27=0,0,11630*1000*SER_hh_fec!H27/SER_hh_num!H27)</f>
        <v>0</v>
      </c>
      <c r="I28" s="147">
        <f>IF(SER_hh_fec!I27=0,0,11630*1000*SER_hh_fec!I27/SER_hh_num!I27)</f>
        <v>0</v>
      </c>
      <c r="J28" s="147">
        <f>IF(SER_hh_fec!J27=0,0,11630*1000*SER_hh_fec!J27/SER_hh_num!J27)</f>
        <v>0</v>
      </c>
      <c r="K28" s="147">
        <f>IF(SER_hh_fec!K27=0,0,11630*1000*SER_hh_fec!K27/SER_hh_num!K27)</f>
        <v>0</v>
      </c>
      <c r="L28" s="147">
        <f>IF(SER_hh_fec!L27=0,0,11630*1000*SER_hh_fec!L27/SER_hh_num!L27)</f>
        <v>0</v>
      </c>
      <c r="M28" s="147">
        <f>IF(SER_hh_fec!M27=0,0,11630*1000*SER_hh_fec!M27/SER_hh_num!M27)</f>
        <v>0</v>
      </c>
      <c r="N28" s="147">
        <f>IF(SER_hh_fec!N27=0,0,11630*1000*SER_hh_fec!N27/SER_hh_num!N27)</f>
        <v>0</v>
      </c>
      <c r="O28" s="147">
        <f>IF(SER_hh_fec!O27=0,0,11630*1000*SER_hh_fec!O27/SER_hh_num!O27)</f>
        <v>0</v>
      </c>
      <c r="P28" s="147">
        <f>IF(SER_hh_fec!P27=0,0,11630*1000*SER_hh_fec!P27/SER_hh_num!P27)</f>
        <v>0</v>
      </c>
      <c r="Q28" s="147">
        <f>IF(SER_hh_fec!Q27=0,0,11630*1000*SER_hh_fec!Q27/SER_hh_num!Q27)</f>
        <v>0</v>
      </c>
      <c r="R28" s="147">
        <f>IF(SER_hh_fec!R27=0,0,11630*1000*SER_hh_fec!R27/SER_hh_num!R27)</f>
        <v>0</v>
      </c>
      <c r="S28" s="147">
        <f>IF(SER_hh_fec!S27=0,0,11630*1000*SER_hh_fec!S27/SER_hh_num!S27)</f>
        <v>0</v>
      </c>
      <c r="T28" s="147">
        <f>IF(SER_hh_fec!T27=0,0,11630*1000*SER_hh_fec!T27/SER_hh_num!T27)</f>
        <v>0</v>
      </c>
      <c r="U28" s="147">
        <f>IF(SER_hh_fec!U27=0,0,11630*1000*SER_hh_fec!U27/SER_hh_num!U27)</f>
        <v>0</v>
      </c>
      <c r="V28" s="147">
        <f>IF(SER_hh_fec!V27=0,0,11630*1000*SER_hh_fec!V27/SER_hh_num!V27)</f>
        <v>0</v>
      </c>
      <c r="W28" s="147">
        <f>IF(SER_hh_fec!W27=0,0,11630*1000*SER_hh_fec!W27/SER_hh_num!W27)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12683.07630706728</v>
      </c>
      <c r="C29" s="131">
        <f>IF(SER_hh_fec!C29=0,0,11630*1000*SER_hh_fec!C29/SER_hh_num!C29)</f>
        <v>12370.89830736606</v>
      </c>
      <c r="D29" s="131">
        <f>IF(SER_hh_fec!D29=0,0,11630*1000*SER_hh_fec!D29/SER_hh_num!D29)</f>
        <v>12290.338011294287</v>
      </c>
      <c r="E29" s="131">
        <f>IF(SER_hh_fec!E29=0,0,11630*1000*SER_hh_fec!E29/SER_hh_num!E29)</f>
        <v>11916.065733992296</v>
      </c>
      <c r="F29" s="131">
        <f>IF(SER_hh_fec!F29=0,0,11630*1000*SER_hh_fec!F29/SER_hh_num!F29)</f>
        <v>11629.549765996364</v>
      </c>
      <c r="G29" s="131">
        <f>IF(SER_hh_fec!G29=0,0,11630*1000*SER_hh_fec!G29/SER_hh_num!G29)</f>
        <v>11574.268101618705</v>
      </c>
      <c r="H29" s="131">
        <f>IF(SER_hh_fec!H29=0,0,11630*1000*SER_hh_fec!H29/SER_hh_num!H29)</f>
        <v>12039.04854276986</v>
      </c>
      <c r="I29" s="131">
        <f>IF(SER_hh_fec!I29=0,0,11630*1000*SER_hh_fec!I29/SER_hh_num!I29)</f>
        <v>11622.516038072308</v>
      </c>
      <c r="J29" s="131">
        <f>IF(SER_hh_fec!J29=0,0,11630*1000*SER_hh_fec!J29/SER_hh_num!J29)</f>
        <v>11329.560883185479</v>
      </c>
      <c r="K29" s="131">
        <f>IF(SER_hh_fec!K29=0,0,11630*1000*SER_hh_fec!K29/SER_hh_num!K29)</f>
        <v>11155.800607480496</v>
      </c>
      <c r="L29" s="131">
        <f>IF(SER_hh_fec!L29=0,0,11630*1000*SER_hh_fec!L29/SER_hh_num!L29)</f>
        <v>10873.539312528155</v>
      </c>
      <c r="M29" s="131">
        <f>IF(SER_hh_fec!M29=0,0,11630*1000*SER_hh_fec!M29/SER_hh_num!M29)</f>
        <v>10619.594632512448</v>
      </c>
      <c r="N29" s="131">
        <f>IF(SER_hh_fec!N29=0,0,11630*1000*SER_hh_fec!N29/SER_hh_num!N29)</f>
        <v>10760.523382839332</v>
      </c>
      <c r="O29" s="131">
        <f>IF(SER_hh_fec!O29=0,0,11630*1000*SER_hh_fec!O29/SER_hh_num!O29)</f>
        <v>10185.180676103219</v>
      </c>
      <c r="P29" s="131">
        <f>IF(SER_hh_fec!P29=0,0,11630*1000*SER_hh_fec!P29/SER_hh_num!P29)</f>
        <v>9977.633955571293</v>
      </c>
      <c r="Q29" s="131">
        <f>IF(SER_hh_fec!Q29=0,0,11630*1000*SER_hh_fec!Q29/SER_hh_num!Q29)</f>
        <v>9460.0615634401402</v>
      </c>
      <c r="R29" s="131">
        <f>IF(SER_hh_fec!R29=0,0,11630*1000*SER_hh_fec!R29/SER_hh_num!R29)</f>
        <v>9821.5286911719159</v>
      </c>
      <c r="S29" s="131">
        <f>IF(SER_hh_fec!S29=0,0,11630*1000*SER_hh_fec!S29/SER_hh_num!S29)</f>
        <v>9347.1325625738973</v>
      </c>
      <c r="T29" s="131">
        <f>IF(SER_hh_fec!T29=0,0,11630*1000*SER_hh_fec!T29/SER_hh_num!T29)</f>
        <v>9715.4765289140632</v>
      </c>
      <c r="U29" s="131">
        <f>IF(SER_hh_fec!U29=0,0,11630*1000*SER_hh_fec!U29/SER_hh_num!U29)</f>
        <v>9837.5614312760899</v>
      </c>
      <c r="V29" s="131">
        <f>IF(SER_hh_fec!V29=0,0,11630*1000*SER_hh_fec!V29/SER_hh_num!V29)</f>
        <v>9049.9425270934607</v>
      </c>
      <c r="W29" s="131">
        <f>IF(SER_hh_fec!W29=0,0,11630*1000*SER_hh_fec!W29/SER_hh_num!W29)</f>
        <v>10409.087305766916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0</v>
      </c>
      <c r="C30" s="133">
        <f>IF(SER_hh_fec!C30=0,0,11630*1000*SER_hh_fec!C30/SER_hh_num!C30)</f>
        <v>0</v>
      </c>
      <c r="D30" s="133">
        <f>IF(SER_hh_fec!D30=0,0,11630*1000*SER_hh_fec!D30/SER_hh_num!D30)</f>
        <v>0</v>
      </c>
      <c r="E30" s="133">
        <f>IF(SER_hh_fec!E30=0,0,11630*1000*SER_hh_fec!E30/SER_hh_num!E30)</f>
        <v>0</v>
      </c>
      <c r="F30" s="133">
        <f>IF(SER_hh_fec!F30=0,0,11630*1000*SER_hh_fec!F30/SER_hh_num!F30)</f>
        <v>0</v>
      </c>
      <c r="G30" s="133">
        <f>IF(SER_hh_fec!G30=0,0,11630*1000*SER_hh_fec!G30/SER_hh_num!G30)</f>
        <v>0</v>
      </c>
      <c r="H30" s="133">
        <f>IF(SER_hh_fec!H30=0,0,11630*1000*SER_hh_fec!H30/SER_hh_num!H30)</f>
        <v>0</v>
      </c>
      <c r="I30" s="133">
        <f>IF(SER_hh_fec!I30=0,0,11630*1000*SER_hh_fec!I30/SER_hh_num!I30)</f>
        <v>0</v>
      </c>
      <c r="J30" s="133">
        <f>IF(SER_hh_fec!J30=0,0,11630*1000*SER_hh_fec!J30/SER_hh_num!J30)</f>
        <v>0</v>
      </c>
      <c r="K30" s="133">
        <f>IF(SER_hh_fec!K30=0,0,11630*1000*SER_hh_fec!K30/SER_hh_num!K30)</f>
        <v>0</v>
      </c>
      <c r="L30" s="133">
        <f>IF(SER_hh_fec!L30=0,0,11630*1000*SER_hh_fec!L30/SER_hh_num!L30)</f>
        <v>0</v>
      </c>
      <c r="M30" s="133">
        <f>IF(SER_hh_fec!M30=0,0,11630*1000*SER_hh_fec!M30/SER_hh_num!M30)</f>
        <v>0</v>
      </c>
      <c r="N30" s="133">
        <f>IF(SER_hh_fec!N30=0,0,11630*1000*SER_hh_fec!N30/SER_hh_num!N30)</f>
        <v>0</v>
      </c>
      <c r="O30" s="133">
        <f>IF(SER_hh_fec!O30=0,0,11630*1000*SER_hh_fec!O30/SER_hh_num!O30)</f>
        <v>0</v>
      </c>
      <c r="P30" s="133">
        <f>IF(SER_hh_fec!P30=0,0,11630*1000*SER_hh_fec!P30/SER_hh_num!P30)</f>
        <v>0</v>
      </c>
      <c r="Q30" s="133">
        <f>IF(SER_hh_fec!Q30=0,0,11630*1000*SER_hh_fec!Q30/SER_hh_num!Q30)</f>
        <v>0</v>
      </c>
      <c r="R30" s="133">
        <f>IF(SER_hh_fec!R30=0,0,11630*1000*SER_hh_fec!R30/SER_hh_num!R30)</f>
        <v>0</v>
      </c>
      <c r="S30" s="133">
        <f>IF(SER_hh_fec!S30=0,0,11630*1000*SER_hh_fec!S30/SER_hh_num!S30)</f>
        <v>0</v>
      </c>
      <c r="T30" s="133">
        <f>IF(SER_hh_fec!T30=0,0,11630*1000*SER_hh_fec!T30/SER_hh_num!T30)</f>
        <v>0</v>
      </c>
      <c r="U30" s="133">
        <f>IF(SER_hh_fec!U30=0,0,11630*1000*SER_hh_fec!U30/SER_hh_num!U30)</f>
        <v>0</v>
      </c>
      <c r="V30" s="133">
        <f>IF(SER_hh_fec!V30=0,0,11630*1000*SER_hh_fec!V30/SER_hh_num!V30)</f>
        <v>0</v>
      </c>
      <c r="W30" s="133">
        <f>IF(SER_hh_fec!W30=0,0,11630*1000*SER_hh_fec!W30/SER_hh_num!W30)</f>
        <v>0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15002.968321052955</v>
      </c>
      <c r="C31" s="133">
        <f>IF(SER_hh_fec!C31=0,0,11630*1000*SER_hh_fec!C31/SER_hh_num!C31)</f>
        <v>14878.191890625627</v>
      </c>
      <c r="D31" s="133">
        <f>IF(SER_hh_fec!D31=0,0,11630*1000*SER_hh_fec!D31/SER_hh_num!D31)</f>
        <v>15412.511350147945</v>
      </c>
      <c r="E31" s="133">
        <f>IF(SER_hh_fec!E31=0,0,11630*1000*SER_hh_fec!E31/SER_hh_num!E31)</f>
        <v>15145.559211532158</v>
      </c>
      <c r="F31" s="133">
        <f>IF(SER_hh_fec!F31=0,0,11630*1000*SER_hh_fec!F31/SER_hh_num!F31)</f>
        <v>13699.808590096674</v>
      </c>
      <c r="G31" s="133">
        <f>IF(SER_hh_fec!G31=0,0,11630*1000*SER_hh_fec!G31/SER_hh_num!G31)</f>
        <v>13801.502932905558</v>
      </c>
      <c r="H31" s="133">
        <f>IF(SER_hh_fec!H31=0,0,11630*1000*SER_hh_fec!H31/SER_hh_num!H31)</f>
        <v>13201.267887911134</v>
      </c>
      <c r="I31" s="133">
        <f>IF(SER_hh_fec!I31=0,0,11630*1000*SER_hh_fec!I31/SER_hh_num!I31)</f>
        <v>14737.001935471459</v>
      </c>
      <c r="J31" s="133">
        <f>IF(SER_hh_fec!J31=0,0,11630*1000*SER_hh_fec!J31/SER_hh_num!J31)</f>
        <v>14435.405162267991</v>
      </c>
      <c r="K31" s="133">
        <f>IF(SER_hh_fec!K31=0,0,11630*1000*SER_hh_fec!K31/SER_hh_num!K31)</f>
        <v>13758.246578479766</v>
      </c>
      <c r="L31" s="133">
        <f>IF(SER_hh_fec!L31=0,0,11630*1000*SER_hh_fec!L31/SER_hh_num!L31)</f>
        <v>13148.182769198012</v>
      </c>
      <c r="M31" s="133">
        <f>IF(SER_hh_fec!M31=0,0,11630*1000*SER_hh_fec!M31/SER_hh_num!M31)</f>
        <v>13394.528744950623</v>
      </c>
      <c r="N31" s="133">
        <f>IF(SER_hh_fec!N31=0,0,11630*1000*SER_hh_fec!N31/SER_hh_num!N31)</f>
        <v>13138.697524069536</v>
      </c>
      <c r="O31" s="133">
        <f>IF(SER_hh_fec!O31=0,0,11630*1000*SER_hh_fec!O31/SER_hh_num!O31)</f>
        <v>11995.188921102423</v>
      </c>
      <c r="P31" s="133">
        <f>IF(SER_hh_fec!P31=0,0,11630*1000*SER_hh_fec!P31/SER_hh_num!P31)</f>
        <v>11228.026490624457</v>
      </c>
      <c r="Q31" s="133">
        <f>IF(SER_hh_fec!Q31=0,0,11630*1000*SER_hh_fec!Q31/SER_hh_num!Q31)</f>
        <v>12249.331001666076</v>
      </c>
      <c r="R31" s="133">
        <f>IF(SER_hh_fec!R31=0,0,11630*1000*SER_hh_fec!R31/SER_hh_num!R31)</f>
        <v>12682.459208321734</v>
      </c>
      <c r="S31" s="133">
        <f>IF(SER_hh_fec!S31=0,0,11630*1000*SER_hh_fec!S31/SER_hh_num!S31)</f>
        <v>12013.702873497779</v>
      </c>
      <c r="T31" s="133">
        <f>IF(SER_hh_fec!T31=0,0,11630*1000*SER_hh_fec!T31/SER_hh_num!T31)</f>
        <v>13834.380296794126</v>
      </c>
      <c r="U31" s="133">
        <f>IF(SER_hh_fec!U31=0,0,11630*1000*SER_hh_fec!U31/SER_hh_num!U31)</f>
        <v>11361.57979921176</v>
      </c>
      <c r="V31" s="133">
        <f>IF(SER_hh_fec!V31=0,0,11630*1000*SER_hh_fec!V31/SER_hh_num!V31)</f>
        <v>11546.263247499375</v>
      </c>
      <c r="W31" s="133">
        <f>IF(SER_hh_fec!W31=0,0,11630*1000*SER_hh_fec!W31/SER_hh_num!W31)</f>
        <v>13316.909015852929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20336.347577120901</v>
      </c>
      <c r="H32" s="133">
        <f>IF(SER_hh_fec!H32=0,0,11630*1000*SER_hh_fec!H32/SER_hh_num!H32)</f>
        <v>13827.455859260326</v>
      </c>
      <c r="I32" s="133">
        <f>IF(SER_hh_fec!I32=0,0,11630*1000*SER_hh_fec!I32/SER_hh_num!I32)</f>
        <v>11003.195850362179</v>
      </c>
      <c r="J32" s="133">
        <f>IF(SER_hh_fec!J32=0,0,11630*1000*SER_hh_fec!J32/SER_hh_num!J32)</f>
        <v>18601.223515717847</v>
      </c>
      <c r="K32" s="133">
        <f>IF(SER_hh_fec!K32=0,0,11630*1000*SER_hh_fec!K32/SER_hh_num!K32)</f>
        <v>8990.220152101243</v>
      </c>
      <c r="L32" s="133">
        <f>IF(SER_hh_fec!L32=0,0,11630*1000*SER_hh_fec!L32/SER_hh_num!L32)</f>
        <v>15542.324467032358</v>
      </c>
      <c r="M32" s="133">
        <f>IF(SER_hh_fec!M32=0,0,11630*1000*SER_hh_fec!M32/SER_hh_num!M32)</f>
        <v>16338.228529517362</v>
      </c>
      <c r="N32" s="133">
        <f>IF(SER_hh_fec!N32=0,0,11630*1000*SER_hh_fec!N32/SER_hh_num!N32)</f>
        <v>8132.4989433256515</v>
      </c>
      <c r="O32" s="133">
        <f>IF(SER_hh_fec!O32=0,0,11630*1000*SER_hh_fec!O32/SER_hh_num!O32)</f>
        <v>8492.8423713987631</v>
      </c>
      <c r="P32" s="133">
        <f>IF(SER_hh_fec!P32=0,0,11630*1000*SER_hh_fec!P32/SER_hh_num!P32)</f>
        <v>7811.4696760219813</v>
      </c>
      <c r="Q32" s="133">
        <f>IF(SER_hh_fec!Q32=0,0,11630*1000*SER_hh_fec!Q32/SER_hh_num!Q32)</f>
        <v>13996.985969169014</v>
      </c>
      <c r="R32" s="133">
        <f>IF(SER_hh_fec!R32=0,0,11630*1000*SER_hh_fec!R32/SER_hh_num!R32)</f>
        <v>12031.782635607753</v>
      </c>
      <c r="S32" s="133">
        <f>IF(SER_hh_fec!S32=0,0,11630*1000*SER_hh_fec!S32/SER_hh_num!S32)</f>
        <v>11732.227399748417</v>
      </c>
      <c r="T32" s="133">
        <f>IF(SER_hh_fec!T32=0,0,11630*1000*SER_hh_fec!T32/SER_hh_num!T32)</f>
        <v>11698.638012782592</v>
      </c>
      <c r="U32" s="133">
        <f>IF(SER_hh_fec!U32=0,0,11630*1000*SER_hh_fec!U32/SER_hh_num!U32)</f>
        <v>13197.65183609007</v>
      </c>
      <c r="V32" s="133">
        <f>IF(SER_hh_fec!V32=0,0,11630*1000*SER_hh_fec!V32/SER_hh_num!V32)</f>
        <v>11431.874417198902</v>
      </c>
      <c r="W32" s="133">
        <f>IF(SER_hh_fec!W32=0,0,11630*1000*SER_hh_fec!W32/SER_hh_num!W32)</f>
        <v>15056.855726523596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12004.882800022566</v>
      </c>
      <c r="C33" s="68">
        <f>IF(SER_hh_fec!C33=0,0,11630*1000*SER_hh_fec!C33/SER_hh_num!C33)</f>
        <v>11604.96370776949</v>
      </c>
      <c r="D33" s="68">
        <f>IF(SER_hh_fec!D33=0,0,11630*1000*SER_hh_fec!D33/SER_hh_num!D33)</f>
        <v>11284.175282317259</v>
      </c>
      <c r="E33" s="68">
        <f>IF(SER_hh_fec!E33=0,0,11630*1000*SER_hh_fec!E33/SER_hh_num!E33)</f>
        <v>10896.306572811527</v>
      </c>
      <c r="F33" s="68">
        <f>IF(SER_hh_fec!F33=0,0,11630*1000*SER_hh_fec!F33/SER_hh_num!F33)</f>
        <v>11010.914471665281</v>
      </c>
      <c r="G33" s="68">
        <f>IF(SER_hh_fec!G33=0,0,11630*1000*SER_hh_fec!G33/SER_hh_num!G33)</f>
        <v>10787.800033577279</v>
      </c>
      <c r="H33" s="68">
        <f>IF(SER_hh_fec!H33=0,0,11630*1000*SER_hh_fec!H33/SER_hh_num!H33)</f>
        <v>11626.073024251822</v>
      </c>
      <c r="I33" s="68">
        <f>IF(SER_hh_fec!I33=0,0,11630*1000*SER_hh_fec!I33/SER_hh_num!I33)</f>
        <v>10537.936115530649</v>
      </c>
      <c r="J33" s="68">
        <f>IF(SER_hh_fec!J33=0,0,11630*1000*SER_hh_fec!J33/SER_hh_num!J33)</f>
        <v>9954.8848748529999</v>
      </c>
      <c r="K33" s="68">
        <f>IF(SER_hh_fec!K33=0,0,11630*1000*SER_hh_fec!K33/SER_hh_num!K33)</f>
        <v>10194.529819151747</v>
      </c>
      <c r="L33" s="68">
        <f>IF(SER_hh_fec!L33=0,0,11630*1000*SER_hh_fec!L33/SER_hh_num!L33)</f>
        <v>9874.7215662536855</v>
      </c>
      <c r="M33" s="68">
        <f>IF(SER_hh_fec!M33=0,0,11630*1000*SER_hh_fec!M33/SER_hh_num!M33)</f>
        <v>9536.7263178080284</v>
      </c>
      <c r="N33" s="68">
        <f>IF(SER_hh_fec!N33=0,0,11630*1000*SER_hh_fec!N33/SER_hh_num!N33)</f>
        <v>10168.644129486047</v>
      </c>
      <c r="O33" s="68">
        <f>IF(SER_hh_fec!O33=0,0,11630*1000*SER_hh_fec!O33/SER_hh_num!O33)</f>
        <v>9787.8893420801778</v>
      </c>
      <c r="P33" s="68">
        <f>IF(SER_hh_fec!P33=0,0,11630*1000*SER_hh_fec!P33/SER_hh_num!P33)</f>
        <v>9755.1728932713268</v>
      </c>
      <c r="Q33" s="68">
        <f>IF(SER_hh_fec!Q33=0,0,11630*1000*SER_hh_fec!Q33/SER_hh_num!Q33)</f>
        <v>8662.5861614113637</v>
      </c>
      <c r="R33" s="68">
        <f>IF(SER_hh_fec!R33=0,0,11630*1000*SER_hh_fec!R33/SER_hh_num!R33)</f>
        <v>9048.0936456435156</v>
      </c>
      <c r="S33" s="68">
        <f>IF(SER_hh_fec!S33=0,0,11630*1000*SER_hh_fec!S33/SER_hh_num!S33)</f>
        <v>8630.3099377223662</v>
      </c>
      <c r="T33" s="68">
        <f>IF(SER_hh_fec!T33=0,0,11630*1000*SER_hh_fec!T33/SER_hh_num!T33)</f>
        <v>8786.1042298909706</v>
      </c>
      <c r="U33" s="68">
        <f>IF(SER_hh_fec!U33=0,0,11630*1000*SER_hh_fec!U33/SER_hh_num!U33)</f>
        <v>9423.2696280000309</v>
      </c>
      <c r="V33" s="68">
        <f>IF(SER_hh_fec!V33=0,0,11630*1000*SER_hh_fec!V33/SER_hh_num!V33)</f>
        <v>8626.2375753238994</v>
      </c>
      <c r="W33" s="68">
        <f>IF(SER_hh_fec!W33=0,0,11630*1000*SER_hh_fec!W33/SER_hh_num!W33)</f>
        <v>9802.0088791227354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89233.619893582698</v>
      </c>
      <c r="C3" s="126">
        <f>IF(SER_hh_tes!C3=0,0,11630*1000*SER_hh_tes!C3/SER_hh_num!C3)</f>
        <v>87467.697949084992</v>
      </c>
      <c r="D3" s="126">
        <f>IF(SER_hh_tes!D3=0,0,11630*1000*SER_hh_tes!D3/SER_hh_num!D3)</f>
        <v>85463.899683133437</v>
      </c>
      <c r="E3" s="126">
        <f>IF(SER_hh_tes!E3=0,0,11630*1000*SER_hh_tes!E3/SER_hh_num!E3)</f>
        <v>84378.541484999849</v>
      </c>
      <c r="F3" s="126">
        <f>IF(SER_hh_tes!F3=0,0,11630*1000*SER_hh_tes!F3/SER_hh_num!F3)</f>
        <v>83466.533976030769</v>
      </c>
      <c r="G3" s="126">
        <f>IF(SER_hh_tes!G3=0,0,11630*1000*SER_hh_tes!G3/SER_hh_num!G3)</f>
        <v>80609.617733821258</v>
      </c>
      <c r="H3" s="126">
        <f>IF(SER_hh_tes!H3=0,0,11630*1000*SER_hh_tes!H3/SER_hh_num!H3)</f>
        <v>84964.560976266948</v>
      </c>
      <c r="I3" s="126">
        <f>IF(SER_hh_tes!I3=0,0,11630*1000*SER_hh_tes!I3/SER_hh_num!I3)</f>
        <v>79111.619305935586</v>
      </c>
      <c r="J3" s="126">
        <f>IF(SER_hh_tes!J3=0,0,11630*1000*SER_hh_tes!J3/SER_hh_num!J3)</f>
        <v>70653.175691080309</v>
      </c>
      <c r="K3" s="126">
        <f>IF(SER_hh_tes!K3=0,0,11630*1000*SER_hh_tes!K3/SER_hh_num!K3)</f>
        <v>69244.550030876155</v>
      </c>
      <c r="L3" s="126">
        <f>IF(SER_hh_tes!L3=0,0,11630*1000*SER_hh_tes!L3/SER_hh_num!L3)</f>
        <v>71121.636012097879</v>
      </c>
      <c r="M3" s="126">
        <f>IF(SER_hh_tes!M3=0,0,11630*1000*SER_hh_tes!M3/SER_hh_num!M3)</f>
        <v>65390.174946264327</v>
      </c>
      <c r="N3" s="126">
        <f>IF(SER_hh_tes!N3=0,0,11630*1000*SER_hh_tes!N3/SER_hh_num!N3)</f>
        <v>70113.317757170487</v>
      </c>
      <c r="O3" s="126">
        <f>IF(SER_hh_tes!O3=0,0,11630*1000*SER_hh_tes!O3/SER_hh_num!O3)</f>
        <v>64589.431207816713</v>
      </c>
      <c r="P3" s="126">
        <f>IF(SER_hh_tes!P3=0,0,11630*1000*SER_hh_tes!P3/SER_hh_num!P3)</f>
        <v>62259.243649053788</v>
      </c>
      <c r="Q3" s="126">
        <f>IF(SER_hh_tes!Q3=0,0,11630*1000*SER_hh_tes!Q3/SER_hh_num!Q3)</f>
        <v>60091.010818938244</v>
      </c>
      <c r="R3" s="126">
        <f>IF(SER_hh_tes!R3=0,0,11630*1000*SER_hh_tes!R3/SER_hh_num!R3)</f>
        <v>63502.651948907631</v>
      </c>
      <c r="S3" s="126">
        <f>IF(SER_hh_tes!S3=0,0,11630*1000*SER_hh_tes!S3/SER_hh_num!S3)</f>
        <v>67836.438209820175</v>
      </c>
      <c r="T3" s="126">
        <f>IF(SER_hh_tes!T3=0,0,11630*1000*SER_hh_tes!T3/SER_hh_num!T3)</f>
        <v>70806.856359604615</v>
      </c>
      <c r="U3" s="126">
        <f>IF(SER_hh_tes!U3=0,0,11630*1000*SER_hh_tes!U3/SER_hh_num!U3)</f>
        <v>66408.786980887788</v>
      </c>
      <c r="V3" s="126">
        <f>IF(SER_hh_tes!V3=0,0,11630*1000*SER_hh_tes!V3/SER_hh_num!V3)</f>
        <v>60371.874046632824</v>
      </c>
      <c r="W3" s="126">
        <f>IF(SER_hh_tes!W3=0,0,11630*1000*SER_hh_tes!W3/SER_hh_num!W3)</f>
        <v>72635.829165606949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71851.729985598548</v>
      </c>
      <c r="C4" s="131">
        <f>IF(SER_hh_tes!C4=0,0,11630*1000*SER_hh_tes!C4/SER_hh_num!C4)</f>
        <v>70133.927610791652</v>
      </c>
      <c r="D4" s="131">
        <f>IF(SER_hh_tes!D4=0,0,11630*1000*SER_hh_tes!D4/SER_hh_num!D4)</f>
        <v>68085.411493521533</v>
      </c>
      <c r="E4" s="131">
        <f>IF(SER_hh_tes!E4=0,0,11630*1000*SER_hh_tes!E4/SER_hh_num!E4)</f>
        <v>67361.539917746442</v>
      </c>
      <c r="F4" s="131">
        <f>IF(SER_hh_tes!F4=0,0,11630*1000*SER_hh_tes!F4/SER_hh_num!F4)</f>
        <v>66220.307539931833</v>
      </c>
      <c r="G4" s="131">
        <f>IF(SER_hh_tes!G4=0,0,11630*1000*SER_hh_tes!G4/SER_hh_num!G4)</f>
        <v>63167.845468427746</v>
      </c>
      <c r="H4" s="131">
        <f>IF(SER_hh_tes!H4=0,0,11630*1000*SER_hh_tes!H4/SER_hh_num!H4)</f>
        <v>66619.285499623918</v>
      </c>
      <c r="I4" s="131">
        <f>IF(SER_hh_tes!I4=0,0,11630*1000*SER_hh_tes!I4/SER_hh_num!I4)</f>
        <v>61539.991213655849</v>
      </c>
      <c r="J4" s="131">
        <f>IF(SER_hh_tes!J4=0,0,11630*1000*SER_hh_tes!J4/SER_hh_num!J4)</f>
        <v>53161.072401425423</v>
      </c>
      <c r="K4" s="131">
        <f>IF(SER_hh_tes!K4=0,0,11630*1000*SER_hh_tes!K4/SER_hh_num!K4)</f>
        <v>51583.737096092686</v>
      </c>
      <c r="L4" s="131">
        <f>IF(SER_hh_tes!L4=0,0,11630*1000*SER_hh_tes!L4/SER_hh_num!L4)</f>
        <v>52996.932423953949</v>
      </c>
      <c r="M4" s="131">
        <f>IF(SER_hh_tes!M4=0,0,11630*1000*SER_hh_tes!M4/SER_hh_num!M4)</f>
        <v>47677.069707120223</v>
      </c>
      <c r="N4" s="131">
        <f>IF(SER_hh_tes!N4=0,0,11630*1000*SER_hh_tes!N4/SER_hh_num!N4)</f>
        <v>51822.609800610218</v>
      </c>
      <c r="O4" s="131">
        <f>IF(SER_hh_tes!O4=0,0,11630*1000*SER_hh_tes!O4/SER_hh_num!O4)</f>
        <v>46571.714000433734</v>
      </c>
      <c r="P4" s="131">
        <f>IF(SER_hh_tes!P4=0,0,11630*1000*SER_hh_tes!P4/SER_hh_num!P4)</f>
        <v>44069.046648421463</v>
      </c>
      <c r="Q4" s="131">
        <f>IF(SER_hh_tes!Q4=0,0,11630*1000*SER_hh_tes!Q4/SER_hh_num!Q4)</f>
        <v>42207.389857331211</v>
      </c>
      <c r="R4" s="131">
        <f>IF(SER_hh_tes!R4=0,0,11630*1000*SER_hh_tes!R4/SER_hh_num!R4)</f>
        <v>45200.398028157913</v>
      </c>
      <c r="S4" s="131">
        <f>IF(SER_hh_tes!S4=0,0,11630*1000*SER_hh_tes!S4/SER_hh_num!S4)</f>
        <v>49664.985617563005</v>
      </c>
      <c r="T4" s="131">
        <f>IF(SER_hh_tes!T4=0,0,11630*1000*SER_hh_tes!T4/SER_hh_num!T4)</f>
        <v>52113.233628356633</v>
      </c>
      <c r="U4" s="131">
        <f>IF(SER_hh_tes!U4=0,0,11630*1000*SER_hh_tes!U4/SER_hh_num!U4)</f>
        <v>47376.455252845895</v>
      </c>
      <c r="V4" s="131">
        <f>IF(SER_hh_tes!V4=0,0,11630*1000*SER_hh_tes!V4/SER_hh_num!V4)</f>
        <v>42882.311529522907</v>
      </c>
      <c r="W4" s="131">
        <f>IF(SER_hh_tes!W4=0,0,11630*1000*SER_hh_tes!W4/SER_hh_num!W4)</f>
        <v>52482.097948058617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74785.294474350507</v>
      </c>
      <c r="C5" s="133">
        <f>IF(SER_hh_tes!C5=0,0,11630*1000*SER_hh_tes!C5/SER_hh_num!C5)</f>
        <v>63082.404133519383</v>
      </c>
      <c r="D5" s="133">
        <f>IF(SER_hh_tes!D5=0,0,11630*1000*SER_hh_tes!D5/SER_hh_num!D5)</f>
        <v>69304.321693928912</v>
      </c>
      <c r="E5" s="133">
        <f>IF(SER_hh_tes!E5=0,0,11630*1000*SER_hh_tes!E5/SER_hh_num!E5)</f>
        <v>66481.330445227868</v>
      </c>
      <c r="F5" s="133">
        <f>IF(SER_hh_tes!F5=0,0,11630*1000*SER_hh_tes!F5/SER_hh_num!F5)</f>
        <v>59457.834675795959</v>
      </c>
      <c r="G5" s="133">
        <f>IF(SER_hh_tes!G5=0,0,11630*1000*SER_hh_tes!G5/SER_hh_num!G5)</f>
        <v>62330.185710279162</v>
      </c>
      <c r="H5" s="133">
        <f>IF(SER_hh_tes!H5=0,0,11630*1000*SER_hh_tes!H5/SER_hh_num!H5)</f>
        <v>79706.99626123991</v>
      </c>
      <c r="I5" s="133">
        <f>IF(SER_hh_tes!I5=0,0,11630*1000*SER_hh_tes!I5/SER_hh_num!I5)</f>
        <v>59535.475744945543</v>
      </c>
      <c r="J5" s="133">
        <f>IF(SER_hh_tes!J5=0,0,11630*1000*SER_hh_tes!J5/SER_hh_num!J5)</f>
        <v>44482.858583179717</v>
      </c>
      <c r="K5" s="133">
        <f>IF(SER_hh_tes!K5=0,0,11630*1000*SER_hh_tes!K5/SER_hh_num!K5)</f>
        <v>52403.054226758548</v>
      </c>
      <c r="L5" s="133">
        <f>IF(SER_hh_tes!L5=0,0,11630*1000*SER_hh_tes!L5/SER_hh_num!L5)</f>
        <v>50763.018114878294</v>
      </c>
      <c r="M5" s="133">
        <f>IF(SER_hh_tes!M5=0,0,11630*1000*SER_hh_tes!M5/SER_hh_num!M5)</f>
        <v>60401.798357475302</v>
      </c>
      <c r="N5" s="133">
        <f>IF(SER_hh_tes!N5=0,0,11630*1000*SER_hh_tes!N5/SER_hh_num!N5)</f>
        <v>42587.962879119157</v>
      </c>
      <c r="O5" s="133">
        <f>IF(SER_hh_tes!O5=0,0,11630*1000*SER_hh_tes!O5/SER_hh_num!O5)</f>
        <v>50647.499179932034</v>
      </c>
      <c r="P5" s="133">
        <f>IF(SER_hh_tes!P5=0,0,11630*1000*SER_hh_tes!P5/SER_hh_num!P5)</f>
        <v>46330.927912678402</v>
      </c>
      <c r="Q5" s="133">
        <f>IF(SER_hh_tes!Q5=0,0,11630*1000*SER_hh_tes!Q5/SER_hh_num!Q5)</f>
        <v>36943.070080223544</v>
      </c>
      <c r="R5" s="133">
        <f>IF(SER_hh_tes!R5=0,0,11630*1000*SER_hh_tes!R5/SER_hh_num!R5)</f>
        <v>46140.317142935819</v>
      </c>
      <c r="S5" s="133">
        <f>IF(SER_hh_tes!S5=0,0,11630*1000*SER_hh_tes!S5/SER_hh_num!S5)</f>
        <v>49656.676571599543</v>
      </c>
      <c r="T5" s="133">
        <f>IF(SER_hh_tes!T5=0,0,11630*1000*SER_hh_tes!T5/SER_hh_num!T5)</f>
        <v>53893.948765699191</v>
      </c>
      <c r="U5" s="133">
        <f>IF(SER_hh_tes!U5=0,0,11630*1000*SER_hh_tes!U5/SER_hh_num!U5)</f>
        <v>49893.571219821511</v>
      </c>
      <c r="V5" s="133">
        <f>IF(SER_hh_tes!V5=0,0,11630*1000*SER_hh_tes!V5/SER_hh_num!V5)</f>
        <v>38960.133615682818</v>
      </c>
      <c r="W5" s="133">
        <f>IF(SER_hh_tes!W5=0,0,11630*1000*SER_hh_tes!W5/SER_hh_num!W5)</f>
        <v>52207.389890564904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77158.69911581419</v>
      </c>
      <c r="C7" s="133">
        <f>IF(SER_hh_tes!C7=0,0,11630*1000*SER_hh_tes!C7/SER_hh_num!C7)</f>
        <v>61467.718751039123</v>
      </c>
      <c r="D7" s="133">
        <f>IF(SER_hh_tes!D7=0,0,11630*1000*SER_hh_tes!D7/SER_hh_num!D7)</f>
        <v>74624.732421743422</v>
      </c>
      <c r="E7" s="133">
        <f>IF(SER_hh_tes!E7=0,0,11630*1000*SER_hh_tes!E7/SER_hh_num!E7)</f>
        <v>58882.964071556009</v>
      </c>
      <c r="F7" s="133">
        <f>IF(SER_hh_tes!F7=0,0,11630*1000*SER_hh_tes!F7/SER_hh_num!F7)</f>
        <v>68650.630299737779</v>
      </c>
      <c r="G7" s="133">
        <f>IF(SER_hh_tes!G7=0,0,11630*1000*SER_hh_tes!G7/SER_hh_num!G7)</f>
        <v>58737.0588593375</v>
      </c>
      <c r="H7" s="133">
        <f>IF(SER_hh_tes!H7=0,0,11630*1000*SER_hh_tes!H7/SER_hh_num!H7)</f>
        <v>52069.821057869456</v>
      </c>
      <c r="I7" s="133">
        <f>IF(SER_hh_tes!I7=0,0,11630*1000*SER_hh_tes!I7/SER_hh_num!I7)</f>
        <v>52875.069957028943</v>
      </c>
      <c r="J7" s="133">
        <f>IF(SER_hh_tes!J7=0,0,11630*1000*SER_hh_tes!J7/SER_hh_num!J7)</f>
        <v>89504.137137688187</v>
      </c>
      <c r="K7" s="133">
        <f>IF(SER_hh_tes!K7=0,0,11630*1000*SER_hh_tes!K7/SER_hh_num!K7)</f>
        <v>28794.552644186595</v>
      </c>
      <c r="L7" s="133">
        <f>IF(SER_hh_tes!L7=0,0,11630*1000*SER_hh_tes!L7/SER_hh_num!L7)</f>
        <v>44905.322612419375</v>
      </c>
      <c r="M7" s="133">
        <f>IF(SER_hh_tes!M7=0,0,11630*1000*SER_hh_tes!M7/SER_hh_num!M7)</f>
        <v>62069.36389500041</v>
      </c>
      <c r="N7" s="133">
        <f>IF(SER_hh_tes!N7=0,0,11630*1000*SER_hh_tes!N7/SER_hh_num!N7)</f>
        <v>40452.834518965959</v>
      </c>
      <c r="O7" s="133">
        <f>IF(SER_hh_tes!O7=0,0,11630*1000*SER_hh_tes!O7/SER_hh_num!O7)</f>
        <v>42939.704857773213</v>
      </c>
      <c r="P7" s="133">
        <f>IF(SER_hh_tes!P7=0,0,11630*1000*SER_hh_tes!P7/SER_hh_num!P7)</f>
        <v>60782.884381063493</v>
      </c>
      <c r="Q7" s="133">
        <f>IF(SER_hh_tes!Q7=0,0,11630*1000*SER_hh_tes!Q7/SER_hh_num!Q7)</f>
        <v>33068.272186916576</v>
      </c>
      <c r="R7" s="133">
        <f>IF(SER_hh_tes!R7=0,0,11630*1000*SER_hh_tes!R7/SER_hh_num!R7)</f>
        <v>39485.887325115604</v>
      </c>
      <c r="S7" s="133">
        <f>IF(SER_hh_tes!S7=0,0,11630*1000*SER_hh_tes!S7/SER_hh_num!S7)</f>
        <v>52327.738558911449</v>
      </c>
      <c r="T7" s="133">
        <f>IF(SER_hh_tes!T7=0,0,11630*1000*SER_hh_tes!T7/SER_hh_num!T7)</f>
        <v>39798.37587301348</v>
      </c>
      <c r="U7" s="133">
        <f>IF(SER_hh_tes!U7=0,0,11630*1000*SER_hh_tes!U7/SER_hh_num!U7)</f>
        <v>45978.249031287283</v>
      </c>
      <c r="V7" s="133">
        <f>IF(SER_hh_tes!V7=0,0,11630*1000*SER_hh_tes!V7/SER_hh_num!V7)</f>
        <v>45234.744541621141</v>
      </c>
      <c r="W7" s="133">
        <f>IF(SER_hh_tes!W7=0,0,11630*1000*SER_hh_tes!W7/SER_hh_num!W7)</f>
        <v>50769.950196366801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0</v>
      </c>
      <c r="C8" s="133">
        <f>IF(SER_hh_tes!C8=0,0,11630*1000*SER_hh_tes!C8/SER_hh_num!C8)</f>
        <v>0</v>
      </c>
      <c r="D8" s="133">
        <f>IF(SER_hh_tes!D8=0,0,11630*1000*SER_hh_tes!D8/SER_hh_num!D8)</f>
        <v>0</v>
      </c>
      <c r="E8" s="133">
        <f>IF(SER_hh_tes!E8=0,0,11630*1000*SER_hh_tes!E8/SER_hh_num!E8)</f>
        <v>0</v>
      </c>
      <c r="F8" s="133">
        <f>IF(SER_hh_tes!F8=0,0,11630*1000*SER_hh_tes!F8/SER_hh_num!F8)</f>
        <v>0</v>
      </c>
      <c r="G8" s="133">
        <f>IF(SER_hh_tes!G8=0,0,11630*1000*SER_hh_tes!G8/SER_hh_num!G8)</f>
        <v>0</v>
      </c>
      <c r="H8" s="133">
        <f>IF(SER_hh_tes!H8=0,0,11630*1000*SER_hh_tes!H8/SER_hh_num!H8)</f>
        <v>0</v>
      </c>
      <c r="I8" s="133">
        <f>IF(SER_hh_tes!I8=0,0,11630*1000*SER_hh_tes!I8/SER_hh_num!I8)</f>
        <v>0</v>
      </c>
      <c r="J8" s="133">
        <f>IF(SER_hh_tes!J8=0,0,11630*1000*SER_hh_tes!J8/SER_hh_num!J8)</f>
        <v>0</v>
      </c>
      <c r="K8" s="133">
        <f>IF(SER_hh_tes!K8=0,0,11630*1000*SER_hh_tes!K8/SER_hh_num!K8)</f>
        <v>0</v>
      </c>
      <c r="L8" s="133">
        <f>IF(SER_hh_tes!L8=0,0,11630*1000*SER_hh_tes!L8/SER_hh_num!L8)</f>
        <v>0</v>
      </c>
      <c r="M8" s="133">
        <f>IF(SER_hh_tes!M8=0,0,11630*1000*SER_hh_tes!M8/SER_hh_num!M8)</f>
        <v>0</v>
      </c>
      <c r="N8" s="133">
        <f>IF(SER_hh_tes!N8=0,0,11630*1000*SER_hh_tes!N8/SER_hh_num!N8)</f>
        <v>0</v>
      </c>
      <c r="O8" s="133">
        <f>IF(SER_hh_tes!O8=0,0,11630*1000*SER_hh_tes!O8/SER_hh_num!O8)</f>
        <v>0</v>
      </c>
      <c r="P8" s="133">
        <f>IF(SER_hh_tes!P8=0,0,11630*1000*SER_hh_tes!P8/SER_hh_num!P8)</f>
        <v>0</v>
      </c>
      <c r="Q8" s="133">
        <f>IF(SER_hh_tes!Q8=0,0,11630*1000*SER_hh_tes!Q8/SER_hh_num!Q8)</f>
        <v>0</v>
      </c>
      <c r="R8" s="133">
        <f>IF(SER_hh_tes!R8=0,0,11630*1000*SER_hh_tes!R8/SER_hh_num!R8)</f>
        <v>0</v>
      </c>
      <c r="S8" s="133">
        <f>IF(SER_hh_tes!S8=0,0,11630*1000*SER_hh_tes!S8/SER_hh_num!S8)</f>
        <v>0</v>
      </c>
      <c r="T8" s="133">
        <f>IF(SER_hh_tes!T8=0,0,11630*1000*SER_hh_tes!T8/SER_hh_num!T8)</f>
        <v>0</v>
      </c>
      <c r="U8" s="133">
        <f>IF(SER_hh_tes!U8=0,0,11630*1000*SER_hh_tes!U8/SER_hh_num!U8)</f>
        <v>0</v>
      </c>
      <c r="V8" s="133">
        <f>IF(SER_hh_tes!V8=0,0,11630*1000*SER_hh_tes!V8/SER_hh_num!V8)</f>
        <v>0</v>
      </c>
      <c r="W8" s="133">
        <f>IF(SER_hh_tes!W8=0,0,11630*1000*SER_hh_tes!W8/SER_hh_num!W8)</f>
        <v>0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66819.821223202234</v>
      </c>
      <c r="C9" s="133">
        <f>IF(SER_hh_tes!C9=0,0,11630*1000*SER_hh_tes!C9/SER_hh_num!C9)</f>
        <v>66921.858837635416</v>
      </c>
      <c r="D9" s="133">
        <f>IF(SER_hh_tes!D9=0,0,11630*1000*SER_hh_tes!D9/SER_hh_num!D9)</f>
        <v>66404.366941459346</v>
      </c>
      <c r="E9" s="133">
        <f>IF(SER_hh_tes!E9=0,0,11630*1000*SER_hh_tes!E9/SER_hh_num!E9)</f>
        <v>59857.59045453195</v>
      </c>
      <c r="F9" s="133">
        <f>IF(SER_hh_tes!F9=0,0,11630*1000*SER_hh_tes!F9/SER_hh_num!F9)</f>
        <v>71808.811072243494</v>
      </c>
      <c r="G9" s="133">
        <f>IF(SER_hh_tes!G9=0,0,11630*1000*SER_hh_tes!G9/SER_hh_num!G9)</f>
        <v>60908.518111036967</v>
      </c>
      <c r="H9" s="133">
        <f>IF(SER_hh_tes!H9=0,0,11630*1000*SER_hh_tes!H9/SER_hh_num!H9)</f>
        <v>57332.039780901367</v>
      </c>
      <c r="I9" s="133">
        <f>IF(SER_hh_tes!I9=0,0,11630*1000*SER_hh_tes!I9/SER_hh_num!I9)</f>
        <v>66206.62460328771</v>
      </c>
      <c r="J9" s="133">
        <f>IF(SER_hh_tes!J9=0,0,11630*1000*SER_hh_tes!J9/SER_hh_num!J9)</f>
        <v>55758.653729645659</v>
      </c>
      <c r="K9" s="133">
        <f>IF(SER_hh_tes!K9=0,0,11630*1000*SER_hh_tes!K9/SER_hh_num!K9)</f>
        <v>48110.091387888628</v>
      </c>
      <c r="L9" s="133">
        <f>IF(SER_hh_tes!L9=0,0,11630*1000*SER_hh_tes!L9/SER_hh_num!L9)</f>
        <v>53188.313770554218</v>
      </c>
      <c r="M9" s="133">
        <f>IF(SER_hh_tes!M9=0,0,11630*1000*SER_hh_tes!M9/SER_hh_num!M9)</f>
        <v>46054.276021265534</v>
      </c>
      <c r="N9" s="133">
        <f>IF(SER_hh_tes!N9=0,0,11630*1000*SER_hh_tes!N9/SER_hh_num!N9)</f>
        <v>49118.463239075994</v>
      </c>
      <c r="O9" s="133">
        <f>IF(SER_hh_tes!O9=0,0,11630*1000*SER_hh_tes!O9/SER_hh_num!O9)</f>
        <v>47952.470090143594</v>
      </c>
      <c r="P9" s="133">
        <f>IF(SER_hh_tes!P9=0,0,11630*1000*SER_hh_tes!P9/SER_hh_num!P9)</f>
        <v>40783.678873020741</v>
      </c>
      <c r="Q9" s="133">
        <f>IF(SER_hh_tes!Q9=0,0,11630*1000*SER_hh_tes!Q9/SER_hh_num!Q9)</f>
        <v>43435.261377708222</v>
      </c>
      <c r="R9" s="133">
        <f>IF(SER_hh_tes!R9=0,0,11630*1000*SER_hh_tes!R9/SER_hh_num!R9)</f>
        <v>45472.989630060707</v>
      </c>
      <c r="S9" s="133">
        <f>IF(SER_hh_tes!S9=0,0,11630*1000*SER_hh_tes!S9/SER_hh_num!S9)</f>
        <v>47520.325558503493</v>
      </c>
      <c r="T9" s="133">
        <f>IF(SER_hh_tes!T9=0,0,11630*1000*SER_hh_tes!T9/SER_hh_num!T9)</f>
        <v>48708.234446516391</v>
      </c>
      <c r="U9" s="133">
        <f>IF(SER_hh_tes!U9=0,0,11630*1000*SER_hh_tes!U9/SER_hh_num!U9)</f>
        <v>48164.090811863054</v>
      </c>
      <c r="V9" s="133">
        <f>IF(SER_hh_tes!V9=0,0,11630*1000*SER_hh_tes!V9/SER_hh_num!V9)</f>
        <v>46495.429790028167</v>
      </c>
      <c r="W9" s="133">
        <f>IF(SER_hh_tes!W9=0,0,11630*1000*SER_hh_tes!W9/SER_hh_num!W9)</f>
        <v>49221.68557541792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70642.66387945562</v>
      </c>
      <c r="C10" s="133">
        <f>IF(SER_hh_tes!C10=0,0,11630*1000*SER_hh_tes!C10/SER_hh_num!C10)</f>
        <v>69516.956836404352</v>
      </c>
      <c r="D10" s="133">
        <f>IF(SER_hh_tes!D10=0,0,11630*1000*SER_hh_tes!D10/SER_hh_num!D10)</f>
        <v>71179.064069787419</v>
      </c>
      <c r="E10" s="133">
        <f>IF(SER_hh_tes!E10=0,0,11630*1000*SER_hh_tes!E10/SER_hh_num!E10)</f>
        <v>64703.722956386147</v>
      </c>
      <c r="F10" s="133">
        <f>IF(SER_hh_tes!F10=0,0,11630*1000*SER_hh_tes!F10/SER_hh_num!F10)</f>
        <v>62942.025390498573</v>
      </c>
      <c r="G10" s="133">
        <f>IF(SER_hh_tes!G10=0,0,11630*1000*SER_hh_tes!G10/SER_hh_num!G10)</f>
        <v>63848.074701939688</v>
      </c>
      <c r="H10" s="133">
        <f>IF(SER_hh_tes!H10=0,0,11630*1000*SER_hh_tes!H10/SER_hh_num!H10)</f>
        <v>62864.229550884877</v>
      </c>
      <c r="I10" s="133">
        <f>IF(SER_hh_tes!I10=0,0,11630*1000*SER_hh_tes!I10/SER_hh_num!I10)</f>
        <v>57450.142074406795</v>
      </c>
      <c r="J10" s="133">
        <f>IF(SER_hh_tes!J10=0,0,11630*1000*SER_hh_tes!J10/SER_hh_num!J10)</f>
        <v>55488.988009338398</v>
      </c>
      <c r="K10" s="133">
        <f>IF(SER_hh_tes!K10=0,0,11630*1000*SER_hh_tes!K10/SER_hh_num!K10)</f>
        <v>51538.995754598349</v>
      </c>
      <c r="L10" s="133">
        <f>IF(SER_hh_tes!L10=0,0,11630*1000*SER_hh_tes!L10/SER_hh_num!L10)</f>
        <v>49115.661425420803</v>
      </c>
      <c r="M10" s="133">
        <f>IF(SER_hh_tes!M10=0,0,11630*1000*SER_hh_tes!M10/SER_hh_num!M10)</f>
        <v>49327.212673135764</v>
      </c>
      <c r="N10" s="133">
        <f>IF(SER_hh_tes!N10=0,0,11630*1000*SER_hh_tes!N10/SER_hh_num!N10)</f>
        <v>49335.099027372358</v>
      </c>
      <c r="O10" s="133">
        <f>IF(SER_hh_tes!O10=0,0,11630*1000*SER_hh_tes!O10/SER_hh_num!O10)</f>
        <v>48273.01658576433</v>
      </c>
      <c r="P10" s="133">
        <f>IF(SER_hh_tes!P10=0,0,11630*1000*SER_hh_tes!P10/SER_hh_num!P10)</f>
        <v>44477.634435331376</v>
      </c>
      <c r="Q10" s="133">
        <f>IF(SER_hh_tes!Q10=0,0,11630*1000*SER_hh_tes!Q10/SER_hh_num!Q10)</f>
        <v>43393.706151972481</v>
      </c>
      <c r="R10" s="133">
        <f>IF(SER_hh_tes!R10=0,0,11630*1000*SER_hh_tes!R10/SER_hh_num!R10)</f>
        <v>47373.820595158504</v>
      </c>
      <c r="S10" s="133">
        <f>IF(SER_hh_tes!S10=0,0,11630*1000*SER_hh_tes!S10/SER_hh_num!S10)</f>
        <v>45586.07891073951</v>
      </c>
      <c r="T10" s="133">
        <f>IF(SER_hh_tes!T10=0,0,11630*1000*SER_hh_tes!T10/SER_hh_num!T10)</f>
        <v>48275.208448663332</v>
      </c>
      <c r="U10" s="133">
        <f>IF(SER_hh_tes!U10=0,0,11630*1000*SER_hh_tes!U10/SER_hh_num!U10)</f>
        <v>46146.312196031606</v>
      </c>
      <c r="V10" s="133">
        <f>IF(SER_hh_tes!V10=0,0,11630*1000*SER_hh_tes!V10/SER_hh_num!V10)</f>
        <v>49522.96886217768</v>
      </c>
      <c r="W10" s="133">
        <f>IF(SER_hh_tes!W10=0,0,11630*1000*SER_hh_tes!W10/SER_hh_num!W10)</f>
        <v>47779.665006859461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0</v>
      </c>
      <c r="H11" s="133">
        <f>IF(SER_hh_tes!H11=0,0,11630*1000*SER_hh_tes!H11/SER_hh_num!H11)</f>
        <v>0</v>
      </c>
      <c r="I11" s="133">
        <f>IF(SER_hh_tes!I11=0,0,11630*1000*SER_hh_tes!I11/SER_hh_num!I11)</f>
        <v>0</v>
      </c>
      <c r="J11" s="133">
        <f>IF(SER_hh_tes!J11=0,0,11630*1000*SER_hh_tes!J11/SER_hh_num!J11)</f>
        <v>0</v>
      </c>
      <c r="K11" s="133">
        <f>IF(SER_hh_tes!K11=0,0,11630*1000*SER_hh_tes!K11/SER_hh_num!K11)</f>
        <v>0</v>
      </c>
      <c r="L11" s="133">
        <f>IF(SER_hh_tes!L11=0,0,11630*1000*SER_hh_tes!L11/SER_hh_num!L11)</f>
        <v>0</v>
      </c>
      <c r="M11" s="133">
        <f>IF(SER_hh_tes!M11=0,0,11630*1000*SER_hh_tes!M11/SER_hh_num!M11)</f>
        <v>0</v>
      </c>
      <c r="N11" s="133">
        <f>IF(SER_hh_tes!N11=0,0,11630*1000*SER_hh_tes!N11/SER_hh_num!N11)</f>
        <v>0</v>
      </c>
      <c r="O11" s="133">
        <f>IF(SER_hh_tes!O11=0,0,11630*1000*SER_hh_tes!O11/SER_hh_num!O11)</f>
        <v>0</v>
      </c>
      <c r="P11" s="133">
        <f>IF(SER_hh_tes!P11=0,0,11630*1000*SER_hh_tes!P11/SER_hh_num!P11)</f>
        <v>0</v>
      </c>
      <c r="Q11" s="133">
        <f>IF(SER_hh_tes!Q11=0,0,11630*1000*SER_hh_tes!Q11/SER_hh_num!Q11)</f>
        <v>0</v>
      </c>
      <c r="R11" s="133">
        <f>IF(SER_hh_tes!R11=0,0,11630*1000*SER_hh_tes!R11/SER_hh_num!R11)</f>
        <v>0</v>
      </c>
      <c r="S11" s="133">
        <f>IF(SER_hh_tes!S11=0,0,11630*1000*SER_hh_tes!S11/SER_hh_num!S11)</f>
        <v>0</v>
      </c>
      <c r="T11" s="133">
        <f>IF(SER_hh_tes!T11=0,0,11630*1000*SER_hh_tes!T11/SER_hh_num!T11)</f>
        <v>0</v>
      </c>
      <c r="U11" s="133">
        <f>IF(SER_hh_tes!U11=0,0,11630*1000*SER_hh_tes!U11/SER_hh_num!U11)</f>
        <v>0</v>
      </c>
      <c r="V11" s="133">
        <f>IF(SER_hh_tes!V11=0,0,11630*1000*SER_hh_tes!V11/SER_hh_num!V11)</f>
        <v>0</v>
      </c>
      <c r="W11" s="133">
        <f>IF(SER_hh_tes!W11=0,0,11630*1000*SER_hh_tes!W11/SER_hh_num!W11)</f>
        <v>0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71121.863631722314</v>
      </c>
      <c r="C12" s="133">
        <f>IF(SER_hh_tes!C12=0,0,11630*1000*SER_hh_tes!C12/SER_hh_num!C12)</f>
        <v>71225.139438942977</v>
      </c>
      <c r="D12" s="133">
        <f>IF(SER_hh_tes!D12=0,0,11630*1000*SER_hh_tes!D12/SER_hh_num!D12)</f>
        <v>67804.375733730063</v>
      </c>
      <c r="E12" s="133">
        <f>IF(SER_hh_tes!E12=0,0,11630*1000*SER_hh_tes!E12/SER_hh_num!E12)</f>
        <v>67528.390650864632</v>
      </c>
      <c r="F12" s="133">
        <f>IF(SER_hh_tes!F12=0,0,11630*1000*SER_hh_tes!F12/SER_hh_num!F12)</f>
        <v>65846.046074287966</v>
      </c>
      <c r="G12" s="133">
        <f>IF(SER_hh_tes!G12=0,0,11630*1000*SER_hh_tes!G12/SER_hh_num!G12)</f>
        <v>62829.033044445954</v>
      </c>
      <c r="H12" s="133">
        <f>IF(SER_hh_tes!H12=0,0,11630*1000*SER_hh_tes!H12/SER_hh_num!H12)</f>
        <v>66303.520412414786</v>
      </c>
      <c r="I12" s="133">
        <f>IF(SER_hh_tes!I12=0,0,11630*1000*SER_hh_tes!I12/SER_hh_num!I12)</f>
        <v>61280.207421976222</v>
      </c>
      <c r="J12" s="133">
        <f>IF(SER_hh_tes!J12=0,0,11630*1000*SER_hh_tes!J12/SER_hh_num!J12)</f>
        <v>48466.765481911265</v>
      </c>
      <c r="K12" s="133">
        <f>IF(SER_hh_tes!K12=0,0,11630*1000*SER_hh_tes!K12/SER_hh_num!K12)</f>
        <v>52694.592827240907</v>
      </c>
      <c r="L12" s="133">
        <f>IF(SER_hh_tes!L12=0,0,11630*1000*SER_hh_tes!L12/SER_hh_num!L12)</f>
        <v>55660.416527386937</v>
      </c>
      <c r="M12" s="133">
        <f>IF(SER_hh_tes!M12=0,0,11630*1000*SER_hh_tes!M12/SER_hh_num!M12)</f>
        <v>44077.227402633522</v>
      </c>
      <c r="N12" s="133">
        <f>IF(SER_hh_tes!N12=0,0,11630*1000*SER_hh_tes!N12/SER_hh_num!N12)</f>
        <v>53537.772077376692</v>
      </c>
      <c r="O12" s="133">
        <f>IF(SER_hh_tes!O12=0,0,11630*1000*SER_hh_tes!O12/SER_hh_num!O12)</f>
        <v>44755.794358072497</v>
      </c>
      <c r="P12" s="133">
        <f>IF(SER_hh_tes!P12=0,0,11630*1000*SER_hh_tes!P12/SER_hh_num!P12)</f>
        <v>43299.799354324663</v>
      </c>
      <c r="Q12" s="133">
        <f>IF(SER_hh_tes!Q12=0,0,11630*1000*SER_hh_tes!Q12/SER_hh_num!Q12)</f>
        <v>43877.569229822351</v>
      </c>
      <c r="R12" s="133">
        <f>IF(SER_hh_tes!R12=0,0,11630*1000*SER_hh_tes!R12/SER_hh_num!R12)</f>
        <v>43244.547491689307</v>
      </c>
      <c r="S12" s="133">
        <f>IF(SER_hh_tes!S12=0,0,11630*1000*SER_hh_tes!S12/SER_hh_num!S12)</f>
        <v>51307.80396333323</v>
      </c>
      <c r="T12" s="133">
        <f>IF(SER_hh_tes!T12=0,0,11630*1000*SER_hh_tes!T12/SER_hh_num!T12)</f>
        <v>52539.91570284019</v>
      </c>
      <c r="U12" s="133">
        <f>IF(SER_hh_tes!U12=0,0,11630*1000*SER_hh_tes!U12/SER_hh_num!U12)</f>
        <v>45504.509255482255</v>
      </c>
      <c r="V12" s="133">
        <f>IF(SER_hh_tes!V12=0,0,11630*1000*SER_hh_tes!V12/SER_hh_num!V12)</f>
        <v>41233.731916677069</v>
      </c>
      <c r="W12" s="133">
        <f>IF(SER_hh_tes!W12=0,0,11630*1000*SER_hh_tes!W12/SER_hh_num!W12)</f>
        <v>53156.648585770097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58520.604756144145</v>
      </c>
      <c r="C13" s="133">
        <f>IF(SER_hh_tes!C13=0,0,11630*1000*SER_hh_tes!C13/SER_hh_num!C13)</f>
        <v>68319.821552696303</v>
      </c>
      <c r="D13" s="133">
        <f>IF(SER_hh_tes!D13=0,0,11630*1000*SER_hh_tes!D13/SER_hh_num!D13)</f>
        <v>53618.461729651077</v>
      </c>
      <c r="E13" s="133">
        <f>IF(SER_hh_tes!E13=0,0,11630*1000*SER_hh_tes!E13/SER_hh_num!E13)</f>
        <v>66136.884167872908</v>
      </c>
      <c r="F13" s="133">
        <f>IF(SER_hh_tes!F13=0,0,11630*1000*SER_hh_tes!F13/SER_hh_num!F13)</f>
        <v>62740.859854055925</v>
      </c>
      <c r="G13" s="133">
        <f>IF(SER_hh_tes!G13=0,0,11630*1000*SER_hh_tes!G13/SER_hh_num!G13)</f>
        <v>64266.395918772105</v>
      </c>
      <c r="H13" s="133">
        <f>IF(SER_hh_tes!H13=0,0,11630*1000*SER_hh_tes!H13/SER_hh_num!H13)</f>
        <v>57468.337876108737</v>
      </c>
      <c r="I13" s="133">
        <f>IF(SER_hh_tes!I13=0,0,11630*1000*SER_hh_tes!I13/SER_hh_num!I13)</f>
        <v>49507.286324241031</v>
      </c>
      <c r="J13" s="133">
        <f>IF(SER_hh_tes!J13=0,0,11630*1000*SER_hh_tes!J13/SER_hh_num!J13)</f>
        <v>59789.321033206201</v>
      </c>
      <c r="K13" s="133">
        <f>IF(SER_hh_tes!K13=0,0,11630*1000*SER_hh_tes!K13/SER_hh_num!K13)</f>
        <v>48917.580783219666</v>
      </c>
      <c r="L13" s="133">
        <f>IF(SER_hh_tes!L13=0,0,11630*1000*SER_hh_tes!L13/SER_hh_num!L13)</f>
        <v>38865.099764612183</v>
      </c>
      <c r="M13" s="133">
        <f>IF(SER_hh_tes!M13=0,0,11630*1000*SER_hh_tes!M13/SER_hh_num!M13)</f>
        <v>45429.607373513158</v>
      </c>
      <c r="N13" s="133">
        <f>IF(SER_hh_tes!N13=0,0,11630*1000*SER_hh_tes!N13/SER_hh_num!N13)</f>
        <v>45090.719553013449</v>
      </c>
      <c r="O13" s="133">
        <f>IF(SER_hh_tes!O13=0,0,11630*1000*SER_hh_tes!O13/SER_hh_num!O13)</f>
        <v>41852.784217879009</v>
      </c>
      <c r="P13" s="133">
        <f>IF(SER_hh_tes!P13=0,0,11630*1000*SER_hh_tes!P13/SER_hh_num!P13)</f>
        <v>48940.752714755596</v>
      </c>
      <c r="Q13" s="133">
        <f>IF(SER_hh_tes!Q13=0,0,11630*1000*SER_hh_tes!Q13/SER_hh_num!Q13)</f>
        <v>46012.506214827285</v>
      </c>
      <c r="R13" s="133">
        <f>IF(SER_hh_tes!R13=0,0,11630*1000*SER_hh_tes!R13/SER_hh_num!R13)</f>
        <v>46580.201557866298</v>
      </c>
      <c r="S13" s="133">
        <f>IF(SER_hh_tes!S13=0,0,11630*1000*SER_hh_tes!S13/SER_hh_num!S13)</f>
        <v>48131.444117014464</v>
      </c>
      <c r="T13" s="133">
        <f>IF(SER_hh_tes!T13=0,0,11630*1000*SER_hh_tes!T13/SER_hh_num!T13)</f>
        <v>49561.924750313141</v>
      </c>
      <c r="U13" s="133">
        <f>IF(SER_hh_tes!U13=0,0,11630*1000*SER_hh_tes!U13/SER_hh_num!U13)</f>
        <v>44294.699798882495</v>
      </c>
      <c r="V13" s="133">
        <f>IF(SER_hh_tes!V13=0,0,11630*1000*SER_hh_tes!V13/SER_hh_num!V13)</f>
        <v>37187.068318919381</v>
      </c>
      <c r="W13" s="133">
        <f>IF(SER_hh_tes!W13=0,0,11630*1000*SER_hh_tes!W13/SER_hh_num!W13)</f>
        <v>60716.566629257191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69412.672776122839</v>
      </c>
      <c r="C14" s="65">
        <f>IF(SER_hh_tes!C14=0,0,11630*1000*SER_hh_tes!C14/SER_hh_num!C14)</f>
        <v>72186.593731901638</v>
      </c>
      <c r="D14" s="65">
        <f>IF(SER_hh_tes!D14=0,0,11630*1000*SER_hh_tes!D14/SER_hh_num!D14)</f>
        <v>59824.724395431433</v>
      </c>
      <c r="E14" s="65">
        <f>IF(SER_hh_tes!E14=0,0,11630*1000*SER_hh_tes!E14/SER_hh_num!E14)</f>
        <v>72951.469402432762</v>
      </c>
      <c r="F14" s="65">
        <f>IF(SER_hh_tes!F14=0,0,11630*1000*SER_hh_tes!F14/SER_hh_num!F14)</f>
        <v>68818.789512268995</v>
      </c>
      <c r="G14" s="65">
        <f>IF(SER_hh_tes!G14=0,0,11630*1000*SER_hh_tes!G14/SER_hh_num!G14)</f>
        <v>64700.645936891422</v>
      </c>
      <c r="H14" s="65">
        <f>IF(SER_hh_tes!H14=0,0,11630*1000*SER_hh_tes!H14/SER_hh_num!H14)</f>
        <v>60880.414662522293</v>
      </c>
      <c r="I14" s="65">
        <f>IF(SER_hh_tes!I14=0,0,11630*1000*SER_hh_tes!I14/SER_hh_num!I14)</f>
        <v>59176.860393053685</v>
      </c>
      <c r="J14" s="65">
        <f>IF(SER_hh_tes!J14=0,0,11630*1000*SER_hh_tes!J14/SER_hh_num!J14)</f>
        <v>85047.424965299375</v>
      </c>
      <c r="K14" s="65">
        <f>IF(SER_hh_tes!K14=0,0,11630*1000*SER_hh_tes!K14/SER_hh_num!K14)</f>
        <v>45648.036875369871</v>
      </c>
      <c r="L14" s="65">
        <f>IF(SER_hh_tes!L14=0,0,11630*1000*SER_hh_tes!L14/SER_hh_num!L14)</f>
        <v>29438.28583454496</v>
      </c>
      <c r="M14" s="65">
        <f>IF(SER_hh_tes!M14=0,0,11630*1000*SER_hh_tes!M14/SER_hh_num!M14)</f>
        <v>48007.037109141151</v>
      </c>
      <c r="N14" s="65">
        <f>IF(SER_hh_tes!N14=0,0,11630*1000*SER_hh_tes!N14/SER_hh_num!N14)</f>
        <v>65005.806985486481</v>
      </c>
      <c r="O14" s="65">
        <f>IF(SER_hh_tes!O14=0,0,11630*1000*SER_hh_tes!O14/SER_hh_num!O14)</f>
        <v>43766.818057279874</v>
      </c>
      <c r="P14" s="65">
        <f>IF(SER_hh_tes!P14=0,0,11630*1000*SER_hh_tes!P14/SER_hh_num!P14)</f>
        <v>47827.494309594636</v>
      </c>
      <c r="Q14" s="65">
        <f>IF(SER_hh_tes!Q14=0,0,11630*1000*SER_hh_tes!Q14/SER_hh_num!Q14)</f>
        <v>20705.261484222283</v>
      </c>
      <c r="R14" s="65">
        <f>IF(SER_hh_tes!R14=0,0,11630*1000*SER_hh_tes!R14/SER_hh_num!R14)</f>
        <v>57567.290513243381</v>
      </c>
      <c r="S14" s="65">
        <f>IF(SER_hh_tes!S14=0,0,11630*1000*SER_hh_tes!S14/SER_hh_num!S14)</f>
        <v>35140.817601933719</v>
      </c>
      <c r="T14" s="65">
        <f>IF(SER_hh_tes!T14=0,0,11630*1000*SER_hh_tes!T14/SER_hh_num!T14)</f>
        <v>55960.822586919399</v>
      </c>
      <c r="U14" s="65">
        <f>IF(SER_hh_tes!U14=0,0,11630*1000*SER_hh_tes!U14/SER_hh_num!U14)</f>
        <v>55012.824784944234</v>
      </c>
      <c r="V14" s="65">
        <f>IF(SER_hh_tes!V14=0,0,11630*1000*SER_hh_tes!V14/SER_hh_num!V14)</f>
        <v>40155.341346172936</v>
      </c>
      <c r="W14" s="65">
        <f>IF(SER_hh_tes!W14=0,0,11630*1000*SER_hh_tes!W14/SER_hh_num!W14)</f>
        <v>55239.045807562441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551.16816359208121</v>
      </c>
      <c r="C15" s="135">
        <f>IF(SER_hh_tes!C15=0,0,11630*1000*SER_hh_tes!C15/SER_hh_num!C15)</f>
        <v>509.15921622077963</v>
      </c>
      <c r="D15" s="135">
        <f>IF(SER_hh_tes!D15=0,0,11630*1000*SER_hh_tes!D15/SER_hh_num!D15)</f>
        <v>510.1285998723792</v>
      </c>
      <c r="E15" s="135">
        <f>IF(SER_hh_tes!E15=0,0,11630*1000*SER_hh_tes!E15/SER_hh_num!E15)</f>
        <v>471.38032615522138</v>
      </c>
      <c r="F15" s="135">
        <f>IF(SER_hh_tes!F15=0,0,11630*1000*SER_hh_tes!F15/SER_hh_num!F15)</f>
        <v>481.99286440007148</v>
      </c>
      <c r="G15" s="135">
        <f>IF(SER_hh_tes!G15=0,0,11630*1000*SER_hh_tes!G15/SER_hh_num!G15)</f>
        <v>449.11536313332192</v>
      </c>
      <c r="H15" s="135">
        <f>IF(SER_hh_tes!H15=0,0,11630*1000*SER_hh_tes!H15/SER_hh_num!H15)</f>
        <v>474.9253874879667</v>
      </c>
      <c r="I15" s="135">
        <f>IF(SER_hh_tes!I15=0,0,11630*1000*SER_hh_tes!I15/SER_hh_num!I15)</f>
        <v>444.39344782823792</v>
      </c>
      <c r="J15" s="135">
        <f>IF(SER_hh_tes!J15=0,0,11630*1000*SER_hh_tes!J15/SER_hh_num!J15)</f>
        <v>369.2959922536586</v>
      </c>
      <c r="K15" s="135">
        <f>IF(SER_hh_tes!K15=0,0,11630*1000*SER_hh_tes!K15/SER_hh_num!K15)</f>
        <v>358.34295466122398</v>
      </c>
      <c r="L15" s="135">
        <f>IF(SER_hh_tes!L15=0,0,11630*1000*SER_hh_tes!L15/SER_hh_num!L15)</f>
        <v>375.16814333889329</v>
      </c>
      <c r="M15" s="135">
        <f>IF(SER_hh_tes!M15=0,0,11630*1000*SER_hh_tes!M15/SER_hh_num!M15)</f>
        <v>340.57927607053387</v>
      </c>
      <c r="N15" s="135">
        <f>IF(SER_hh_tes!N15=0,0,11630*1000*SER_hh_tes!N15/SER_hh_num!N15)</f>
        <v>348.0399819506145</v>
      </c>
      <c r="O15" s="135">
        <f>IF(SER_hh_tes!O15=0,0,11630*1000*SER_hh_tes!O15/SER_hh_num!O15)</f>
        <v>336.48048596683645</v>
      </c>
      <c r="P15" s="135">
        <f>IF(SER_hh_tes!P15=0,0,11630*1000*SER_hh_tes!P15/SER_hh_num!P15)</f>
        <v>307.6870031470001</v>
      </c>
      <c r="Q15" s="135">
        <f>IF(SER_hh_tes!Q15=0,0,11630*1000*SER_hh_tes!Q15/SER_hh_num!Q15)</f>
        <v>303.89548136953908</v>
      </c>
      <c r="R15" s="135">
        <f>IF(SER_hh_tes!R15=0,0,11630*1000*SER_hh_tes!R15/SER_hh_num!R15)</f>
        <v>320.25558321842004</v>
      </c>
      <c r="S15" s="135">
        <f>IF(SER_hh_tes!S15=0,0,11630*1000*SER_hh_tes!S15/SER_hh_num!S15)</f>
        <v>348.69357138490693</v>
      </c>
      <c r="T15" s="135">
        <f>IF(SER_hh_tes!T15=0,0,11630*1000*SER_hh_tes!T15/SER_hh_num!T15)</f>
        <v>363.94963978735899</v>
      </c>
      <c r="U15" s="135">
        <f>IF(SER_hh_tes!U15=0,0,11630*1000*SER_hh_tes!U15/SER_hh_num!U15)</f>
        <v>347.09026720692367</v>
      </c>
      <c r="V15" s="135">
        <f>IF(SER_hh_tes!V15=0,0,11630*1000*SER_hh_tes!V15/SER_hh_num!V15)</f>
        <v>324.29124002683903</v>
      </c>
      <c r="W15" s="135">
        <f>IF(SER_hh_tes!W15=0,0,11630*1000*SER_hh_tes!W15/SER_hh_num!W15)</f>
        <v>371.42983780667373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18712.658730838506</v>
      </c>
      <c r="C16" s="131">
        <f>IF(SER_hh_tes!C16=0,0,11630*1000*SER_hh_tes!C16/SER_hh_num!C16)</f>
        <v>19634.962551600212</v>
      </c>
      <c r="D16" s="131">
        <f>IF(SER_hh_tes!D16=0,0,11630*1000*SER_hh_tes!D16/SER_hh_num!D16)</f>
        <v>21102.736800846051</v>
      </c>
      <c r="E16" s="131">
        <f>IF(SER_hh_tes!E16=0,0,11630*1000*SER_hh_tes!E16/SER_hh_num!E16)</f>
        <v>18925.573800165719</v>
      </c>
      <c r="F16" s="131">
        <f>IF(SER_hh_tes!F16=0,0,11630*1000*SER_hh_tes!F16/SER_hh_num!F16)</f>
        <v>18820.337591444506</v>
      </c>
      <c r="G16" s="131">
        <f>IF(SER_hh_tes!G16=0,0,11630*1000*SER_hh_tes!G16/SER_hh_num!G16)</f>
        <v>18860.243994672113</v>
      </c>
      <c r="H16" s="131">
        <f>IF(SER_hh_tes!H16=0,0,11630*1000*SER_hh_tes!H16/SER_hh_num!H16)</f>
        <v>20829.705104805551</v>
      </c>
      <c r="I16" s="131">
        <f>IF(SER_hh_tes!I16=0,0,11630*1000*SER_hh_tes!I16/SER_hh_num!I16)</f>
        <v>19217.394855842511</v>
      </c>
      <c r="J16" s="131">
        <f>IF(SER_hh_tes!J16=0,0,11630*1000*SER_hh_tes!J16/SER_hh_num!J16)</f>
        <v>18936.740533745451</v>
      </c>
      <c r="K16" s="131">
        <f>IF(SER_hh_tes!K16=0,0,11630*1000*SER_hh_tes!K16/SER_hh_num!K16)</f>
        <v>18978.650294525323</v>
      </c>
      <c r="L16" s="131">
        <f>IF(SER_hh_tes!L16=0,0,11630*1000*SER_hh_tes!L16/SER_hh_num!L16)</f>
        <v>24135.154780622943</v>
      </c>
      <c r="M16" s="131">
        <f>IF(SER_hh_tes!M16=0,0,11630*1000*SER_hh_tes!M16/SER_hh_num!M16)</f>
        <v>19165.868599122641</v>
      </c>
      <c r="N16" s="131">
        <f>IF(SER_hh_tes!N16=0,0,11630*1000*SER_hh_tes!N16/SER_hh_num!N16)</f>
        <v>21000.067152696276</v>
      </c>
      <c r="O16" s="131">
        <f>IF(SER_hh_tes!O16=0,0,11630*1000*SER_hh_tes!O16/SER_hh_num!O16)</f>
        <v>19541.984194853656</v>
      </c>
      <c r="P16" s="131">
        <f>IF(SER_hh_tes!P16=0,0,11630*1000*SER_hh_tes!P16/SER_hh_num!P16)</f>
        <v>21589.695469500053</v>
      </c>
      <c r="Q16" s="131">
        <f>IF(SER_hh_tes!Q16=0,0,11630*1000*SER_hh_tes!Q16/SER_hh_num!Q16)</f>
        <v>20952.216077172608</v>
      </c>
      <c r="R16" s="131">
        <f>IF(SER_hh_tes!R16=0,0,11630*1000*SER_hh_tes!R16/SER_hh_num!R16)</f>
        <v>19885.290301528767</v>
      </c>
      <c r="S16" s="131">
        <f>IF(SER_hh_tes!S16=0,0,11630*1000*SER_hh_tes!S16/SER_hh_num!S16)</f>
        <v>19791.646647086414</v>
      </c>
      <c r="T16" s="131">
        <f>IF(SER_hh_tes!T16=0,0,11630*1000*SER_hh_tes!T16/SER_hh_num!T16)</f>
        <v>21083.886083077512</v>
      </c>
      <c r="U16" s="131">
        <f>IF(SER_hh_tes!U16=0,0,11630*1000*SER_hh_tes!U16/SER_hh_num!U16)</f>
        <v>20554.537387332173</v>
      </c>
      <c r="V16" s="131">
        <f>IF(SER_hh_tes!V16=0,0,11630*1000*SER_hh_tes!V16/SER_hh_num!V16)</f>
        <v>19902.325536897497</v>
      </c>
      <c r="W16" s="131">
        <f>IF(SER_hh_tes!W16=0,0,11630*1000*SER_hh_tes!W16/SER_hh_num!W16)</f>
        <v>23498.77963112709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0</v>
      </c>
      <c r="C17" s="133">
        <f>IF(SER_hh_tes!C17=0,0,11630*1000*SER_hh_tes!C17/SER_hh_num!C17)</f>
        <v>0</v>
      </c>
      <c r="D17" s="133">
        <f>IF(SER_hh_tes!D17=0,0,11630*1000*SER_hh_tes!D17/SER_hh_num!D17)</f>
        <v>0</v>
      </c>
      <c r="E17" s="133">
        <f>IF(SER_hh_tes!E17=0,0,11630*1000*SER_hh_tes!E17/SER_hh_num!E17)</f>
        <v>0</v>
      </c>
      <c r="F17" s="133">
        <f>IF(SER_hh_tes!F17=0,0,11630*1000*SER_hh_tes!F17/SER_hh_num!F17)</f>
        <v>0</v>
      </c>
      <c r="G17" s="133">
        <f>IF(SER_hh_tes!G17=0,0,11630*1000*SER_hh_tes!G17/SER_hh_num!G17)</f>
        <v>0</v>
      </c>
      <c r="H17" s="133">
        <f>IF(SER_hh_tes!H17=0,0,11630*1000*SER_hh_tes!H17/SER_hh_num!H17)</f>
        <v>0</v>
      </c>
      <c r="I17" s="133">
        <f>IF(SER_hh_tes!I17=0,0,11630*1000*SER_hh_tes!I17/SER_hh_num!I17)</f>
        <v>0</v>
      </c>
      <c r="J17" s="133">
        <f>IF(SER_hh_tes!J17=0,0,11630*1000*SER_hh_tes!J17/SER_hh_num!J17)</f>
        <v>0</v>
      </c>
      <c r="K17" s="133">
        <f>IF(SER_hh_tes!K17=0,0,11630*1000*SER_hh_tes!K17/SER_hh_num!K17)</f>
        <v>0</v>
      </c>
      <c r="L17" s="133">
        <f>IF(SER_hh_tes!L17=0,0,11630*1000*SER_hh_tes!L17/SER_hh_num!L17)</f>
        <v>0</v>
      </c>
      <c r="M17" s="133">
        <f>IF(SER_hh_tes!M17=0,0,11630*1000*SER_hh_tes!M17/SER_hh_num!M17)</f>
        <v>0</v>
      </c>
      <c r="N17" s="133">
        <f>IF(SER_hh_tes!N17=0,0,11630*1000*SER_hh_tes!N17/SER_hh_num!N17)</f>
        <v>0</v>
      </c>
      <c r="O17" s="133">
        <f>IF(SER_hh_tes!O17=0,0,11630*1000*SER_hh_tes!O17/SER_hh_num!O17)</f>
        <v>0</v>
      </c>
      <c r="P17" s="133">
        <f>IF(SER_hh_tes!P17=0,0,11630*1000*SER_hh_tes!P17/SER_hh_num!P17)</f>
        <v>0</v>
      </c>
      <c r="Q17" s="133">
        <f>IF(SER_hh_tes!Q17=0,0,11630*1000*SER_hh_tes!Q17/SER_hh_num!Q17)</f>
        <v>0</v>
      </c>
      <c r="R17" s="133">
        <f>IF(SER_hh_tes!R17=0,0,11630*1000*SER_hh_tes!R17/SER_hh_num!R17)</f>
        <v>0</v>
      </c>
      <c r="S17" s="133">
        <f>IF(SER_hh_tes!S17=0,0,11630*1000*SER_hh_tes!S17/SER_hh_num!S17)</f>
        <v>0</v>
      </c>
      <c r="T17" s="133">
        <f>IF(SER_hh_tes!T17=0,0,11630*1000*SER_hh_tes!T17/SER_hh_num!T17)</f>
        <v>0</v>
      </c>
      <c r="U17" s="133">
        <f>IF(SER_hh_tes!U17=0,0,11630*1000*SER_hh_tes!U17/SER_hh_num!U17)</f>
        <v>0</v>
      </c>
      <c r="V17" s="133">
        <f>IF(SER_hh_tes!V17=0,0,11630*1000*SER_hh_tes!V17/SER_hh_num!V17)</f>
        <v>0</v>
      </c>
      <c r="W17" s="133">
        <f>IF(SER_hh_tes!W17=0,0,11630*1000*SER_hh_tes!W17/SER_hh_num!W17)</f>
        <v>0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18712.658730838506</v>
      </c>
      <c r="C18" s="133">
        <f>IF(SER_hh_tes!C18=0,0,11630*1000*SER_hh_tes!C18/SER_hh_num!C18)</f>
        <v>19634.962551600212</v>
      </c>
      <c r="D18" s="133">
        <f>IF(SER_hh_tes!D18=0,0,11630*1000*SER_hh_tes!D18/SER_hh_num!D18)</f>
        <v>21102.736800846051</v>
      </c>
      <c r="E18" s="133">
        <f>IF(SER_hh_tes!E18=0,0,11630*1000*SER_hh_tes!E18/SER_hh_num!E18)</f>
        <v>18925.573800165719</v>
      </c>
      <c r="F18" s="133">
        <f>IF(SER_hh_tes!F18=0,0,11630*1000*SER_hh_tes!F18/SER_hh_num!F18)</f>
        <v>18820.337591444506</v>
      </c>
      <c r="G18" s="133">
        <f>IF(SER_hh_tes!G18=0,0,11630*1000*SER_hh_tes!G18/SER_hh_num!G18)</f>
        <v>18860.243994672113</v>
      </c>
      <c r="H18" s="133">
        <f>IF(SER_hh_tes!H18=0,0,11630*1000*SER_hh_tes!H18/SER_hh_num!H18)</f>
        <v>20829.705104805551</v>
      </c>
      <c r="I18" s="133">
        <f>IF(SER_hh_tes!I18=0,0,11630*1000*SER_hh_tes!I18/SER_hh_num!I18)</f>
        <v>19217.394855842511</v>
      </c>
      <c r="J18" s="133">
        <f>IF(SER_hh_tes!J18=0,0,11630*1000*SER_hh_tes!J18/SER_hh_num!J18)</f>
        <v>18936.740533745451</v>
      </c>
      <c r="K18" s="133">
        <f>IF(SER_hh_tes!K18=0,0,11630*1000*SER_hh_tes!K18/SER_hh_num!K18)</f>
        <v>18978.650294525323</v>
      </c>
      <c r="L18" s="133">
        <f>IF(SER_hh_tes!L18=0,0,11630*1000*SER_hh_tes!L18/SER_hh_num!L18)</f>
        <v>24135.154780622943</v>
      </c>
      <c r="M18" s="133">
        <f>IF(SER_hh_tes!M18=0,0,11630*1000*SER_hh_tes!M18/SER_hh_num!M18)</f>
        <v>19165.868599122641</v>
      </c>
      <c r="N18" s="133">
        <f>IF(SER_hh_tes!N18=0,0,11630*1000*SER_hh_tes!N18/SER_hh_num!N18)</f>
        <v>21000.067152696276</v>
      </c>
      <c r="O18" s="133">
        <f>IF(SER_hh_tes!O18=0,0,11630*1000*SER_hh_tes!O18/SER_hh_num!O18)</f>
        <v>19541.984194853656</v>
      </c>
      <c r="P18" s="133">
        <f>IF(SER_hh_tes!P18=0,0,11630*1000*SER_hh_tes!P18/SER_hh_num!P18)</f>
        <v>21589.695469500053</v>
      </c>
      <c r="Q18" s="133">
        <f>IF(SER_hh_tes!Q18=0,0,11630*1000*SER_hh_tes!Q18/SER_hh_num!Q18)</f>
        <v>20952.216077172608</v>
      </c>
      <c r="R18" s="133">
        <f>IF(SER_hh_tes!R18=0,0,11630*1000*SER_hh_tes!R18/SER_hh_num!R18)</f>
        <v>19885.290301528767</v>
      </c>
      <c r="S18" s="133">
        <f>IF(SER_hh_tes!S18=0,0,11630*1000*SER_hh_tes!S18/SER_hh_num!S18)</f>
        <v>19791.646647086414</v>
      </c>
      <c r="T18" s="133">
        <f>IF(SER_hh_tes!T18=0,0,11630*1000*SER_hh_tes!T18/SER_hh_num!T18)</f>
        <v>21083.886083077512</v>
      </c>
      <c r="U18" s="133">
        <f>IF(SER_hh_tes!U18=0,0,11630*1000*SER_hh_tes!U18/SER_hh_num!U18)</f>
        <v>20554.537387332173</v>
      </c>
      <c r="V18" s="133">
        <f>IF(SER_hh_tes!V18=0,0,11630*1000*SER_hh_tes!V18/SER_hh_num!V18)</f>
        <v>19902.325536897497</v>
      </c>
      <c r="W18" s="133">
        <f>IF(SER_hh_tes!W18=0,0,11630*1000*SER_hh_tes!W18/SER_hh_num!W18)</f>
        <v>23498.77963112709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7815.0578372015725</v>
      </c>
      <c r="C19" s="131">
        <f>IF(SER_hh_tes!C19=0,0,11630*1000*SER_hh_tes!C19/SER_hh_num!C19)</f>
        <v>7882.5607025141444</v>
      </c>
      <c r="D19" s="131">
        <f>IF(SER_hh_tes!D19=0,0,11630*1000*SER_hh_tes!D19/SER_hh_num!D19)</f>
        <v>7858.4369386790277</v>
      </c>
      <c r="E19" s="131">
        <f>IF(SER_hh_tes!E19=0,0,11630*1000*SER_hh_tes!E19/SER_hh_num!E19)</f>
        <v>7800.0627138506243</v>
      </c>
      <c r="F19" s="131">
        <f>IF(SER_hh_tes!F19=0,0,11630*1000*SER_hh_tes!F19/SER_hh_num!F19)</f>
        <v>8074.4992496272953</v>
      </c>
      <c r="G19" s="131">
        <f>IF(SER_hh_tes!G19=0,0,11630*1000*SER_hh_tes!G19/SER_hh_num!G19)</f>
        <v>8263.5048491351426</v>
      </c>
      <c r="H19" s="131">
        <f>IF(SER_hh_tes!H19=0,0,11630*1000*SER_hh_tes!H19/SER_hh_num!H19)</f>
        <v>8579.9834892360122</v>
      </c>
      <c r="I19" s="131">
        <f>IF(SER_hh_tes!I19=0,0,11630*1000*SER_hh_tes!I19/SER_hh_num!I19)</f>
        <v>8270.4222497861574</v>
      </c>
      <c r="J19" s="131">
        <f>IF(SER_hh_tes!J19=0,0,11630*1000*SER_hh_tes!J19/SER_hh_num!J19)</f>
        <v>8387.0935793227382</v>
      </c>
      <c r="K19" s="131">
        <f>IF(SER_hh_tes!K19=0,0,11630*1000*SER_hh_tes!K19/SER_hh_num!K19)</f>
        <v>8527.5880832242965</v>
      </c>
      <c r="L19" s="131">
        <f>IF(SER_hh_tes!L19=0,0,11630*1000*SER_hh_tes!L19/SER_hh_num!L19)</f>
        <v>8696.4352585031011</v>
      </c>
      <c r="M19" s="131">
        <f>IF(SER_hh_tes!M19=0,0,11630*1000*SER_hh_tes!M19/SER_hh_num!M19)</f>
        <v>8786.8950694519008</v>
      </c>
      <c r="N19" s="131">
        <f>IF(SER_hh_tes!N19=0,0,11630*1000*SER_hh_tes!N19/SER_hh_num!N19)</f>
        <v>8942.5403032739541</v>
      </c>
      <c r="O19" s="131">
        <f>IF(SER_hh_tes!O19=0,0,11630*1000*SER_hh_tes!O19/SER_hh_num!O19)</f>
        <v>9067.622862892651</v>
      </c>
      <c r="P19" s="131">
        <f>IF(SER_hh_tes!P19=0,0,11630*1000*SER_hh_tes!P19/SER_hh_num!P19)</f>
        <v>9082.0354190489925</v>
      </c>
      <c r="Q19" s="131">
        <f>IF(SER_hh_tes!Q19=0,0,11630*1000*SER_hh_tes!Q19/SER_hh_num!Q19)</f>
        <v>9222.5272410113648</v>
      </c>
      <c r="R19" s="131">
        <f>IF(SER_hh_tes!R19=0,0,11630*1000*SER_hh_tes!R19/SER_hh_num!R19)</f>
        <v>9380.9557840824</v>
      </c>
      <c r="S19" s="131">
        <f>IF(SER_hh_tes!S19=0,0,11630*1000*SER_hh_tes!S19/SER_hh_num!S19)</f>
        <v>9501.7784835102339</v>
      </c>
      <c r="T19" s="131">
        <f>IF(SER_hh_tes!T19=0,0,11630*1000*SER_hh_tes!T19/SER_hh_num!T19)</f>
        <v>9507.0755747102248</v>
      </c>
      <c r="U19" s="131">
        <f>IF(SER_hh_tes!U19=0,0,11630*1000*SER_hh_tes!U19/SER_hh_num!U19)</f>
        <v>9516.0428461146075</v>
      </c>
      <c r="V19" s="131">
        <f>IF(SER_hh_tes!V19=0,0,11630*1000*SER_hh_tes!V19/SER_hh_num!V19)</f>
        <v>8443.7401408870592</v>
      </c>
      <c r="W19" s="131">
        <f>IF(SER_hh_tes!W19=0,0,11630*1000*SER_hh_tes!W19/SER_hh_num!W19)</f>
        <v>9537.6907064567113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0</v>
      </c>
      <c r="C21" s="133">
        <f>IF(SER_hh_tes!C21=0,0,11630*1000*SER_hh_tes!C21/SER_hh_num!C21)</f>
        <v>0</v>
      </c>
      <c r="D21" s="133">
        <f>IF(SER_hh_tes!D21=0,0,11630*1000*SER_hh_tes!D21/SER_hh_num!D21)</f>
        <v>0</v>
      </c>
      <c r="E21" s="133">
        <f>IF(SER_hh_tes!E21=0,0,11630*1000*SER_hh_tes!E21/SER_hh_num!E21)</f>
        <v>0</v>
      </c>
      <c r="F21" s="133">
        <f>IF(SER_hh_tes!F21=0,0,11630*1000*SER_hh_tes!F21/SER_hh_num!F21)</f>
        <v>0</v>
      </c>
      <c r="G21" s="133">
        <f>IF(SER_hh_tes!G21=0,0,11630*1000*SER_hh_tes!G21/SER_hh_num!G21)</f>
        <v>0</v>
      </c>
      <c r="H21" s="133">
        <f>IF(SER_hh_tes!H21=0,0,11630*1000*SER_hh_tes!H21/SER_hh_num!H21)</f>
        <v>0</v>
      </c>
      <c r="I21" s="133">
        <f>IF(SER_hh_tes!I21=0,0,11630*1000*SER_hh_tes!I21/SER_hh_num!I21)</f>
        <v>0</v>
      </c>
      <c r="J21" s="133">
        <f>IF(SER_hh_tes!J21=0,0,11630*1000*SER_hh_tes!J21/SER_hh_num!J21)</f>
        <v>0</v>
      </c>
      <c r="K21" s="133">
        <f>IF(SER_hh_tes!K21=0,0,11630*1000*SER_hh_tes!K21/SER_hh_num!K21)</f>
        <v>0</v>
      </c>
      <c r="L21" s="133">
        <f>IF(SER_hh_tes!L21=0,0,11630*1000*SER_hh_tes!L21/SER_hh_num!L21)</f>
        <v>0</v>
      </c>
      <c r="M21" s="133">
        <f>IF(SER_hh_tes!M21=0,0,11630*1000*SER_hh_tes!M21/SER_hh_num!M21)</f>
        <v>0</v>
      </c>
      <c r="N21" s="133">
        <f>IF(SER_hh_tes!N21=0,0,11630*1000*SER_hh_tes!N21/SER_hh_num!N21)</f>
        <v>0</v>
      </c>
      <c r="O21" s="133">
        <f>IF(SER_hh_tes!O21=0,0,11630*1000*SER_hh_tes!O21/SER_hh_num!O21)</f>
        <v>0</v>
      </c>
      <c r="P21" s="133">
        <f>IF(SER_hh_tes!P21=0,0,11630*1000*SER_hh_tes!P21/SER_hh_num!P21)</f>
        <v>0</v>
      </c>
      <c r="Q21" s="133">
        <f>IF(SER_hh_tes!Q21=0,0,11630*1000*SER_hh_tes!Q21/SER_hh_num!Q21)</f>
        <v>0</v>
      </c>
      <c r="R21" s="133">
        <f>IF(SER_hh_tes!R21=0,0,11630*1000*SER_hh_tes!R21/SER_hh_num!R21)</f>
        <v>0</v>
      </c>
      <c r="S21" s="133">
        <f>IF(SER_hh_tes!S21=0,0,11630*1000*SER_hh_tes!S21/SER_hh_num!S21)</f>
        <v>0</v>
      </c>
      <c r="T21" s="133">
        <f>IF(SER_hh_tes!T21=0,0,11630*1000*SER_hh_tes!T21/SER_hh_num!T21)</f>
        <v>0</v>
      </c>
      <c r="U21" s="133">
        <f>IF(SER_hh_tes!U21=0,0,11630*1000*SER_hh_tes!U21/SER_hh_num!U21)</f>
        <v>0</v>
      </c>
      <c r="V21" s="133">
        <f>IF(SER_hh_tes!V21=0,0,11630*1000*SER_hh_tes!V21/SER_hh_num!V21)</f>
        <v>0</v>
      </c>
      <c r="W21" s="133">
        <f>IF(SER_hh_tes!W21=0,0,11630*1000*SER_hh_tes!W21/SER_hh_num!W21)</f>
        <v>0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9089.3746900987062</v>
      </c>
      <c r="C22" s="133">
        <f>IF(SER_hh_tes!C22=0,0,11630*1000*SER_hh_tes!C22/SER_hh_num!C22)</f>
        <v>6751.9094283419772</v>
      </c>
      <c r="D22" s="133">
        <f>IF(SER_hh_tes!D22=0,0,11630*1000*SER_hh_tes!D22/SER_hh_num!D22)</f>
        <v>7513.7877823663748</v>
      </c>
      <c r="E22" s="133">
        <f>IF(SER_hh_tes!E22=0,0,11630*1000*SER_hh_tes!E22/SER_hh_num!E22)</f>
        <v>7023.8107566986382</v>
      </c>
      <c r="F22" s="133">
        <f>IF(SER_hh_tes!F22=0,0,11630*1000*SER_hh_tes!F22/SER_hh_num!F22)</f>
        <v>8787.1213047382626</v>
      </c>
      <c r="G22" s="133">
        <f>IF(SER_hh_tes!G22=0,0,11630*1000*SER_hh_tes!G22/SER_hh_num!G22)</f>
        <v>7840.5950358386162</v>
      </c>
      <c r="H22" s="133">
        <f>IF(SER_hh_tes!H22=0,0,11630*1000*SER_hh_tes!H22/SER_hh_num!H22)</f>
        <v>8503.6526995247823</v>
      </c>
      <c r="I22" s="133">
        <f>IF(SER_hh_tes!I22=0,0,11630*1000*SER_hh_tes!I22/SER_hh_num!I22)</f>
        <v>8330.8404339892913</v>
      </c>
      <c r="J22" s="133">
        <f>IF(SER_hh_tes!J22=0,0,11630*1000*SER_hh_tes!J22/SER_hh_num!J22)</f>
        <v>9168.7935239246926</v>
      </c>
      <c r="K22" s="133">
        <f>IF(SER_hh_tes!K22=0,0,11630*1000*SER_hh_tes!K22/SER_hh_num!K22)</f>
        <v>7944.2602488709572</v>
      </c>
      <c r="L22" s="133">
        <f>IF(SER_hh_tes!L22=0,0,11630*1000*SER_hh_tes!L22/SER_hh_num!L22)</f>
        <v>8535.7342473487788</v>
      </c>
      <c r="M22" s="133">
        <f>IF(SER_hh_tes!M22=0,0,11630*1000*SER_hh_tes!M22/SER_hh_num!M22)</f>
        <v>8645.8666395892524</v>
      </c>
      <c r="N22" s="133">
        <f>IF(SER_hh_tes!N22=0,0,11630*1000*SER_hh_tes!N22/SER_hh_num!N22)</f>
        <v>7995.4046697751392</v>
      </c>
      <c r="O22" s="133">
        <f>IF(SER_hh_tes!O22=0,0,11630*1000*SER_hh_tes!O22/SER_hh_num!O22)</f>
        <v>8994.9751735218779</v>
      </c>
      <c r="P22" s="133">
        <f>IF(SER_hh_tes!P22=0,0,11630*1000*SER_hh_tes!P22/SER_hh_num!P22)</f>
        <v>9233.5407213983199</v>
      </c>
      <c r="Q22" s="133">
        <f>IF(SER_hh_tes!Q22=0,0,11630*1000*SER_hh_tes!Q22/SER_hh_num!Q22)</f>
        <v>9181.2855563064495</v>
      </c>
      <c r="R22" s="133">
        <f>IF(SER_hh_tes!R22=0,0,11630*1000*SER_hh_tes!R22/SER_hh_num!R22)</f>
        <v>9257.4963799825455</v>
      </c>
      <c r="S22" s="133">
        <f>IF(SER_hh_tes!S22=0,0,11630*1000*SER_hh_tes!S22/SER_hh_num!S22)</f>
        <v>10410.25440783615</v>
      </c>
      <c r="T22" s="133">
        <f>IF(SER_hh_tes!T22=0,0,11630*1000*SER_hh_tes!T22/SER_hh_num!T22)</f>
        <v>7661.9432573494205</v>
      </c>
      <c r="U22" s="133">
        <f>IF(SER_hh_tes!U22=0,0,11630*1000*SER_hh_tes!U22/SER_hh_num!U22)</f>
        <v>8896.0240339945776</v>
      </c>
      <c r="V22" s="133">
        <f>IF(SER_hh_tes!V22=0,0,11630*1000*SER_hh_tes!V22/SER_hh_num!V22)</f>
        <v>8896.0621143437838</v>
      </c>
      <c r="W22" s="133">
        <f>IF(SER_hh_tes!W22=0,0,11630*1000*SER_hh_tes!W22/SER_hh_num!W22)</f>
        <v>9718.176526029978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7699.9441681199196</v>
      </c>
      <c r="C23" s="133">
        <f>IF(SER_hh_tes!C23=0,0,11630*1000*SER_hh_tes!C23/SER_hh_num!C23)</f>
        <v>7716.3311727025448</v>
      </c>
      <c r="D23" s="133">
        <f>IF(SER_hh_tes!D23=0,0,11630*1000*SER_hh_tes!D23/SER_hh_num!D23)</f>
        <v>7804.9366463502547</v>
      </c>
      <c r="E23" s="133">
        <f>IF(SER_hh_tes!E23=0,0,11630*1000*SER_hh_tes!E23/SER_hh_num!E23)</f>
        <v>7482.0148583497466</v>
      </c>
      <c r="F23" s="133">
        <f>IF(SER_hh_tes!F23=0,0,11630*1000*SER_hh_tes!F23/SER_hh_num!F23)</f>
        <v>8341.9169414578446</v>
      </c>
      <c r="G23" s="133">
        <f>IF(SER_hh_tes!G23=0,0,11630*1000*SER_hh_tes!G23/SER_hh_num!G23)</f>
        <v>7585.1928153902054</v>
      </c>
      <c r="H23" s="133">
        <f>IF(SER_hh_tes!H23=0,0,11630*1000*SER_hh_tes!H23/SER_hh_num!H23)</f>
        <v>7447.6514969431655</v>
      </c>
      <c r="I23" s="133">
        <f>IF(SER_hh_tes!I23=0,0,11630*1000*SER_hh_tes!I23/SER_hh_num!I23)</f>
        <v>8997.6592438784337</v>
      </c>
      <c r="J23" s="133">
        <f>IF(SER_hh_tes!J23=0,0,11630*1000*SER_hh_tes!J23/SER_hh_num!J23)</f>
        <v>9017.9694663658429</v>
      </c>
      <c r="K23" s="133">
        <f>IF(SER_hh_tes!K23=0,0,11630*1000*SER_hh_tes!K23/SER_hh_num!K23)</f>
        <v>8590.74742411017</v>
      </c>
      <c r="L23" s="133">
        <f>IF(SER_hh_tes!L23=0,0,11630*1000*SER_hh_tes!L23/SER_hh_num!L23)</f>
        <v>8640.1740351164553</v>
      </c>
      <c r="M23" s="133">
        <f>IF(SER_hh_tes!M23=0,0,11630*1000*SER_hh_tes!M23/SER_hh_num!M23)</f>
        <v>8851.0157584431599</v>
      </c>
      <c r="N23" s="133">
        <f>IF(SER_hh_tes!N23=0,0,11630*1000*SER_hh_tes!N23/SER_hh_num!N23)</f>
        <v>8941.5644626549401</v>
      </c>
      <c r="O23" s="133">
        <f>IF(SER_hh_tes!O23=0,0,11630*1000*SER_hh_tes!O23/SER_hh_num!O23)</f>
        <v>9162.8502963961928</v>
      </c>
      <c r="P23" s="133">
        <f>IF(SER_hh_tes!P23=0,0,11630*1000*SER_hh_tes!P23/SER_hh_num!P23)</f>
        <v>8666.8754985516043</v>
      </c>
      <c r="Q23" s="133">
        <f>IF(SER_hh_tes!Q23=0,0,11630*1000*SER_hh_tes!Q23/SER_hh_num!Q23)</f>
        <v>9171.0423065644391</v>
      </c>
      <c r="R23" s="133">
        <f>IF(SER_hh_tes!R23=0,0,11630*1000*SER_hh_tes!R23/SER_hh_num!R23)</f>
        <v>9537.1144706534196</v>
      </c>
      <c r="S23" s="133">
        <f>IF(SER_hh_tes!S23=0,0,11630*1000*SER_hh_tes!S23/SER_hh_num!S23)</f>
        <v>9341.4659533132817</v>
      </c>
      <c r="T23" s="133">
        <f>IF(SER_hh_tes!T23=0,0,11630*1000*SER_hh_tes!T23/SER_hh_num!T23)</f>
        <v>9385.6060447449181</v>
      </c>
      <c r="U23" s="133">
        <f>IF(SER_hh_tes!U23=0,0,11630*1000*SER_hh_tes!U23/SER_hh_num!U23)</f>
        <v>9276.2325888762243</v>
      </c>
      <c r="V23" s="133">
        <f>IF(SER_hh_tes!V23=0,0,11630*1000*SER_hh_tes!V23/SER_hh_num!V23)</f>
        <v>8897.7504468789084</v>
      </c>
      <c r="W23" s="133">
        <f>IF(SER_hh_tes!W23=0,0,11630*1000*SER_hh_tes!W23/SER_hh_num!W23)</f>
        <v>9374.6800270371223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8922.0096629002674</v>
      </c>
      <c r="C24" s="133">
        <f>IF(SER_hh_tes!C24=0,0,11630*1000*SER_hh_tes!C24/SER_hh_num!C24)</f>
        <v>7609.8270789398111</v>
      </c>
      <c r="D24" s="133">
        <f>IF(SER_hh_tes!D24=0,0,11630*1000*SER_hh_tes!D24/SER_hh_num!D24)</f>
        <v>7763.2028299107224</v>
      </c>
      <c r="E24" s="133">
        <f>IF(SER_hh_tes!E24=0,0,11630*1000*SER_hh_tes!E24/SER_hh_num!E24)</f>
        <v>7997.86499575177</v>
      </c>
      <c r="F24" s="133">
        <f>IF(SER_hh_tes!F24=0,0,11630*1000*SER_hh_tes!F24/SER_hh_num!F24)</f>
        <v>8122.1237631266758</v>
      </c>
      <c r="G24" s="133">
        <f>IF(SER_hh_tes!G24=0,0,11630*1000*SER_hh_tes!G24/SER_hh_num!G24)</f>
        <v>8305.7323584150508</v>
      </c>
      <c r="H24" s="133">
        <f>IF(SER_hh_tes!H24=0,0,11630*1000*SER_hh_tes!H24/SER_hh_num!H24)</f>
        <v>8724.6080844610788</v>
      </c>
      <c r="I24" s="133">
        <f>IF(SER_hh_tes!I24=0,0,11630*1000*SER_hh_tes!I24/SER_hh_num!I24)</f>
        <v>8336.4383823636235</v>
      </c>
      <c r="J24" s="133">
        <f>IF(SER_hh_tes!J24=0,0,11630*1000*SER_hh_tes!J24/SER_hh_num!J24)</f>
        <v>8487.6267687086493</v>
      </c>
      <c r="K24" s="133">
        <f>IF(SER_hh_tes!K24=0,0,11630*1000*SER_hh_tes!K24/SER_hh_num!K24)</f>
        <v>8507.8148920138792</v>
      </c>
      <c r="L24" s="133">
        <f>IF(SER_hh_tes!L24=0,0,11630*1000*SER_hh_tes!L24/SER_hh_num!L24)</f>
        <v>8628.1908365953223</v>
      </c>
      <c r="M24" s="133">
        <f>IF(SER_hh_tes!M24=0,0,11630*1000*SER_hh_tes!M24/SER_hh_num!M24)</f>
        <v>8841.3462637028169</v>
      </c>
      <c r="N24" s="133">
        <f>IF(SER_hh_tes!N24=0,0,11630*1000*SER_hh_tes!N24/SER_hh_num!N24)</f>
        <v>8894.478538487996</v>
      </c>
      <c r="O24" s="133">
        <f>IF(SER_hh_tes!O24=0,0,11630*1000*SER_hh_tes!O24/SER_hh_num!O24)</f>
        <v>9089.8983684580853</v>
      </c>
      <c r="P24" s="133">
        <f>IF(SER_hh_tes!P24=0,0,11630*1000*SER_hh_tes!P24/SER_hh_num!P24)</f>
        <v>9227.6012813997804</v>
      </c>
      <c r="Q24" s="133">
        <f>IF(SER_hh_tes!Q24=0,0,11630*1000*SER_hh_tes!Q24/SER_hh_num!Q24)</f>
        <v>9553.6134671707423</v>
      </c>
      <c r="R24" s="133">
        <f>IF(SER_hh_tes!R24=0,0,11630*1000*SER_hh_tes!R24/SER_hh_num!R24)</f>
        <v>9606.9055607046757</v>
      </c>
      <c r="S24" s="133">
        <f>IF(SER_hh_tes!S24=0,0,11630*1000*SER_hh_tes!S24/SER_hh_num!S24)</f>
        <v>8952.4681913869463</v>
      </c>
      <c r="T24" s="133">
        <f>IF(SER_hh_tes!T24=0,0,11630*1000*SER_hh_tes!T24/SER_hh_num!T24)</f>
        <v>9399.3157767105458</v>
      </c>
      <c r="U24" s="133">
        <f>IF(SER_hh_tes!U24=0,0,11630*1000*SER_hh_tes!U24/SER_hh_num!U24)</f>
        <v>8971.0605062445957</v>
      </c>
      <c r="V24" s="133">
        <f>IF(SER_hh_tes!V24=0,0,11630*1000*SER_hh_tes!V24/SER_hh_num!V24)</f>
        <v>9408.2737106370605</v>
      </c>
      <c r="W24" s="133">
        <f>IF(SER_hh_tes!W24=0,0,11630*1000*SER_hh_tes!W24/SER_hh_num!W24)</f>
        <v>9109.3107681975289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7887.5886191889367</v>
      </c>
      <c r="C25" s="133">
        <f>IF(SER_hh_tes!C25=0,0,11630*1000*SER_hh_tes!C25/SER_hh_num!C25)</f>
        <v>7958.4929916860083</v>
      </c>
      <c r="D25" s="133">
        <f>IF(SER_hh_tes!D25=0,0,11630*1000*SER_hh_tes!D25/SER_hh_num!D25)</f>
        <v>7792.8894673866198</v>
      </c>
      <c r="E25" s="133">
        <f>IF(SER_hh_tes!E25=0,0,11630*1000*SER_hh_tes!E25/SER_hh_num!E25)</f>
        <v>7767.9120517098836</v>
      </c>
      <c r="F25" s="133">
        <f>IF(SER_hh_tes!F25=0,0,11630*1000*SER_hh_tes!F25/SER_hh_num!F25)</f>
        <v>8066.2576909307991</v>
      </c>
      <c r="G25" s="133">
        <f>IF(SER_hh_tes!G25=0,0,11630*1000*SER_hh_tes!G25/SER_hh_num!G25)</f>
        <v>8380.0405810362154</v>
      </c>
      <c r="H25" s="133">
        <f>IF(SER_hh_tes!H25=0,0,11630*1000*SER_hh_tes!H25/SER_hh_num!H25)</f>
        <v>8815.0553735361154</v>
      </c>
      <c r="I25" s="133">
        <f>IF(SER_hh_tes!I25=0,0,11630*1000*SER_hh_tes!I25/SER_hh_num!I25)</f>
        <v>7922.3843105148653</v>
      </c>
      <c r="J25" s="133">
        <f>IF(SER_hh_tes!J25=0,0,11630*1000*SER_hh_tes!J25/SER_hh_num!J25)</f>
        <v>7976.4438979618208</v>
      </c>
      <c r="K25" s="133">
        <f>IF(SER_hh_tes!K25=0,0,11630*1000*SER_hh_tes!K25/SER_hh_num!K25)</f>
        <v>8618.9843375290493</v>
      </c>
      <c r="L25" s="133">
        <f>IF(SER_hh_tes!L25=0,0,11630*1000*SER_hh_tes!L25/SER_hh_num!L25)</f>
        <v>8888.113029862332</v>
      </c>
      <c r="M25" s="133">
        <f>IF(SER_hh_tes!M25=0,0,11630*1000*SER_hh_tes!M25/SER_hh_num!M25)</f>
        <v>8738.2207717265865</v>
      </c>
      <c r="N25" s="133">
        <f>IF(SER_hh_tes!N25=0,0,11630*1000*SER_hh_tes!N25/SER_hh_num!N25)</f>
        <v>8851.394047348298</v>
      </c>
      <c r="O25" s="133">
        <f>IF(SER_hh_tes!O25=0,0,11630*1000*SER_hh_tes!O25/SER_hh_num!O25)</f>
        <v>9093.2854592269305</v>
      </c>
      <c r="P25" s="133">
        <f>IF(SER_hh_tes!P25=0,0,11630*1000*SER_hh_tes!P25/SER_hh_num!P25)</f>
        <v>8936.2448700805762</v>
      </c>
      <c r="Q25" s="133">
        <f>IF(SER_hh_tes!Q25=0,0,11630*1000*SER_hh_tes!Q25/SER_hh_num!Q25)</f>
        <v>9373.6581962766777</v>
      </c>
      <c r="R25" s="133">
        <f>IF(SER_hh_tes!R25=0,0,11630*1000*SER_hh_tes!R25/SER_hh_num!R25)</f>
        <v>9437.6850893418541</v>
      </c>
      <c r="S25" s="133">
        <f>IF(SER_hh_tes!S25=0,0,11630*1000*SER_hh_tes!S25/SER_hh_num!S25)</f>
        <v>9672.4069108723888</v>
      </c>
      <c r="T25" s="133">
        <f>IF(SER_hh_tes!T25=0,0,11630*1000*SER_hh_tes!T25/SER_hh_num!T25)</f>
        <v>9538.5921900363992</v>
      </c>
      <c r="U25" s="133">
        <f>IF(SER_hh_tes!U25=0,0,11630*1000*SER_hh_tes!U25/SER_hh_num!U25)</f>
        <v>9492.4378478528943</v>
      </c>
      <c r="V25" s="133">
        <f>IF(SER_hh_tes!V25=0,0,11630*1000*SER_hh_tes!V25/SER_hh_num!V25)</f>
        <v>8390.7601454144005</v>
      </c>
      <c r="W25" s="133">
        <f>IF(SER_hh_tes!W25=0,0,11630*1000*SER_hh_tes!W25/SER_hh_num!W25)</f>
        <v>9504.2360047931288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7418.2618805261118</v>
      </c>
      <c r="C26" s="65">
        <f>IF(SER_hh_tes!C26=0,0,11630*1000*SER_hh_tes!C26/SER_hh_num!C26)</f>
        <v>7918.589763938885</v>
      </c>
      <c r="D26" s="65">
        <f>IF(SER_hh_tes!D26=0,0,11630*1000*SER_hh_tes!D26/SER_hh_num!D26)</f>
        <v>8003.021164718265</v>
      </c>
      <c r="E26" s="65">
        <f>IF(SER_hh_tes!E26=0,0,11630*1000*SER_hh_tes!E26/SER_hh_num!E26)</f>
        <v>7917.7586208061603</v>
      </c>
      <c r="F26" s="65">
        <f>IF(SER_hh_tes!F26=0,0,11630*1000*SER_hh_tes!F26/SER_hh_num!F26)</f>
        <v>8007.0285613653905</v>
      </c>
      <c r="G26" s="65">
        <f>IF(SER_hh_tes!G26=0,0,11630*1000*SER_hh_tes!G26/SER_hh_num!G26)</f>
        <v>8184.9705577918012</v>
      </c>
      <c r="H26" s="65">
        <f>IF(SER_hh_tes!H26=0,0,11630*1000*SER_hh_tes!H26/SER_hh_num!H26)</f>
        <v>8375.7034891202438</v>
      </c>
      <c r="I26" s="65">
        <f>IF(SER_hh_tes!I26=0,0,11630*1000*SER_hh_tes!I26/SER_hh_num!I26)</f>
        <v>8703.8889383480746</v>
      </c>
      <c r="J26" s="65">
        <f>IF(SER_hh_tes!J26=0,0,11630*1000*SER_hh_tes!J26/SER_hh_num!J26)</f>
        <v>8929.4828600781439</v>
      </c>
      <c r="K26" s="65">
        <f>IF(SER_hh_tes!K26=0,0,11630*1000*SER_hh_tes!K26/SER_hh_num!K26)</f>
        <v>8360.4172471253132</v>
      </c>
      <c r="L26" s="65">
        <f>IF(SER_hh_tes!L26=0,0,11630*1000*SER_hh_tes!L26/SER_hh_num!L26)</f>
        <v>8340.8044512921551</v>
      </c>
      <c r="M26" s="65">
        <f>IF(SER_hh_tes!M26=0,0,11630*1000*SER_hh_tes!M26/SER_hh_num!M26)</f>
        <v>8868.5391491142364</v>
      </c>
      <c r="N26" s="65">
        <f>IF(SER_hh_tes!N26=0,0,11630*1000*SER_hh_tes!N26/SER_hh_num!N26)</f>
        <v>9166.7516546888892</v>
      </c>
      <c r="O26" s="65">
        <f>IF(SER_hh_tes!O26=0,0,11630*1000*SER_hh_tes!O26/SER_hh_num!O26)</f>
        <v>8977.3233883638568</v>
      </c>
      <c r="P26" s="65">
        <f>IF(SER_hh_tes!P26=0,0,11630*1000*SER_hh_tes!P26/SER_hh_num!P26)</f>
        <v>9562.1550998316234</v>
      </c>
      <c r="Q26" s="65">
        <f>IF(SER_hh_tes!Q26=0,0,11630*1000*SER_hh_tes!Q26/SER_hh_num!Q26)</f>
        <v>8754.823136527315</v>
      </c>
      <c r="R26" s="65">
        <f>IF(SER_hh_tes!R26=0,0,11630*1000*SER_hh_tes!R26/SER_hh_num!R26)</f>
        <v>9116.6783609821123</v>
      </c>
      <c r="S26" s="65">
        <f>IF(SER_hh_tes!S26=0,0,11630*1000*SER_hh_tes!S26/SER_hh_num!S26)</f>
        <v>9091.2592910502044</v>
      </c>
      <c r="T26" s="65">
        <f>IF(SER_hh_tes!T26=0,0,11630*1000*SER_hh_tes!T26/SER_hh_num!T26)</f>
        <v>9518.4311382513606</v>
      </c>
      <c r="U26" s="65">
        <f>IF(SER_hh_tes!U26=0,0,11630*1000*SER_hh_tes!U26/SER_hh_num!U26)</f>
        <v>9759.3588358702145</v>
      </c>
      <c r="V26" s="65">
        <f>IF(SER_hh_tes!V26=0,0,11630*1000*SER_hh_tes!V26/SER_hh_num!V26)</f>
        <v>8255.3913945269978</v>
      </c>
      <c r="W26" s="65">
        <f>IF(SER_hh_tes!W26=0,0,11630*1000*SER_hh_tes!W26/SER_hh_num!W26)</f>
        <v>9735.246700905016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</v>
      </c>
      <c r="E27" s="146">
        <f>IF(SER_hh_tes!E27=0,0,11630*1000*SER_hh_tes!E27/SER_hh_num!E19)</f>
        <v>0</v>
      </c>
      <c r="F27" s="146">
        <f>IF(SER_hh_tes!F27=0,0,11630*1000*SER_hh_tes!F27/SER_hh_num!F19)</f>
        <v>0</v>
      </c>
      <c r="G27" s="146">
        <f>IF(SER_hh_tes!G27=0,0,11630*1000*SER_hh_tes!G27/SER_hh_num!G19)</f>
        <v>0</v>
      </c>
      <c r="H27" s="146">
        <f>IF(SER_hh_tes!H27=0,0,11630*1000*SER_hh_tes!H27/SER_hh_num!H19)</f>
        <v>0</v>
      </c>
      <c r="I27" s="146">
        <f>IF(SER_hh_tes!I27=0,0,11630*1000*SER_hh_tes!I27/SER_hh_num!I19)</f>
        <v>0</v>
      </c>
      <c r="J27" s="146">
        <f>IF(SER_hh_tes!J27=0,0,11630*1000*SER_hh_tes!J27/SER_hh_num!J19)</f>
        <v>0</v>
      </c>
      <c r="K27" s="146">
        <f>IF(SER_hh_tes!K27=0,0,11630*1000*SER_hh_tes!K27/SER_hh_num!K19)</f>
        <v>0</v>
      </c>
      <c r="L27" s="146">
        <f>IF(SER_hh_tes!L27=0,0,11630*1000*SER_hh_tes!L27/SER_hh_num!L19)</f>
        <v>0</v>
      </c>
      <c r="M27" s="146">
        <f>IF(SER_hh_tes!M27=0,0,11630*1000*SER_hh_tes!M27/SER_hh_num!M19)</f>
        <v>0</v>
      </c>
      <c r="N27" s="146">
        <f>IF(SER_hh_tes!N27=0,0,11630*1000*SER_hh_tes!N27/SER_hh_num!N19)</f>
        <v>0</v>
      </c>
      <c r="O27" s="146">
        <f>IF(SER_hh_tes!O27=0,0,11630*1000*SER_hh_tes!O27/SER_hh_num!O19)</f>
        <v>0</v>
      </c>
      <c r="P27" s="146">
        <f>IF(SER_hh_tes!P27=0,0,11630*1000*SER_hh_tes!P27/SER_hh_num!P19)</f>
        <v>0</v>
      </c>
      <c r="Q27" s="146">
        <f>IF(SER_hh_tes!Q27=0,0,11630*1000*SER_hh_tes!Q27/SER_hh_num!Q19)</f>
        <v>0</v>
      </c>
      <c r="R27" s="146">
        <f>IF(SER_hh_tes!R27=0,0,11630*1000*SER_hh_tes!R27/SER_hh_num!R19)</f>
        <v>0</v>
      </c>
      <c r="S27" s="146">
        <f>IF(SER_hh_tes!S27=0,0,11630*1000*SER_hh_tes!S27/SER_hh_num!S19)</f>
        <v>0</v>
      </c>
      <c r="T27" s="146">
        <f>IF(SER_hh_tes!T27=0,0,11630*1000*SER_hh_tes!T27/SER_hh_num!T19)</f>
        <v>0</v>
      </c>
      <c r="U27" s="146">
        <f>IF(SER_hh_tes!U27=0,0,11630*1000*SER_hh_tes!U27/SER_hh_num!U19)</f>
        <v>0</v>
      </c>
      <c r="V27" s="146">
        <f>IF(SER_hh_tes!V27=0,0,11630*1000*SER_hh_tes!V27/SER_hh_num!V19)</f>
        <v>0</v>
      </c>
      <c r="W27" s="146">
        <f>IF(SER_hh_tes!W27=0,0,11630*1000*SER_hh_tes!W27/SER_hh_num!W19)</f>
        <v>0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0</v>
      </c>
      <c r="E28" s="147">
        <f>IF(SER_hh_tes!E27=0,0,11630*1000*SER_hh_tes!E27/SER_hh_num!E27)</f>
        <v>0</v>
      </c>
      <c r="F28" s="147">
        <f>IF(SER_hh_tes!F27=0,0,11630*1000*SER_hh_tes!F27/SER_hh_num!F27)</f>
        <v>0</v>
      </c>
      <c r="G28" s="147">
        <f>IF(SER_hh_tes!G27=0,0,11630*1000*SER_hh_tes!G27/SER_hh_num!G27)</f>
        <v>0</v>
      </c>
      <c r="H28" s="147">
        <f>IF(SER_hh_tes!H27=0,0,11630*1000*SER_hh_tes!H27/SER_hh_num!H27)</f>
        <v>0</v>
      </c>
      <c r="I28" s="147">
        <f>IF(SER_hh_tes!I27=0,0,11630*1000*SER_hh_tes!I27/SER_hh_num!I27)</f>
        <v>0</v>
      </c>
      <c r="J28" s="147">
        <f>IF(SER_hh_tes!J27=0,0,11630*1000*SER_hh_tes!J27/SER_hh_num!J27)</f>
        <v>0</v>
      </c>
      <c r="K28" s="147">
        <f>IF(SER_hh_tes!K27=0,0,11630*1000*SER_hh_tes!K27/SER_hh_num!K27)</f>
        <v>0</v>
      </c>
      <c r="L28" s="147">
        <f>IF(SER_hh_tes!L27=0,0,11630*1000*SER_hh_tes!L27/SER_hh_num!L27)</f>
        <v>0</v>
      </c>
      <c r="M28" s="147">
        <f>IF(SER_hh_tes!M27=0,0,11630*1000*SER_hh_tes!M27/SER_hh_num!M27)</f>
        <v>0</v>
      </c>
      <c r="N28" s="147">
        <f>IF(SER_hh_tes!N27=0,0,11630*1000*SER_hh_tes!N27/SER_hh_num!N27)</f>
        <v>0</v>
      </c>
      <c r="O28" s="147">
        <f>IF(SER_hh_tes!O27=0,0,11630*1000*SER_hh_tes!O27/SER_hh_num!O27)</f>
        <v>0</v>
      </c>
      <c r="P28" s="147">
        <f>IF(SER_hh_tes!P27=0,0,11630*1000*SER_hh_tes!P27/SER_hh_num!P27)</f>
        <v>0</v>
      </c>
      <c r="Q28" s="147">
        <f>IF(SER_hh_tes!Q27=0,0,11630*1000*SER_hh_tes!Q27/SER_hh_num!Q27)</f>
        <v>0</v>
      </c>
      <c r="R28" s="147">
        <f>IF(SER_hh_tes!R27=0,0,11630*1000*SER_hh_tes!R27/SER_hh_num!R27)</f>
        <v>0</v>
      </c>
      <c r="S28" s="147">
        <f>IF(SER_hh_tes!S27=0,0,11630*1000*SER_hh_tes!S27/SER_hh_num!S27)</f>
        <v>0</v>
      </c>
      <c r="T28" s="147">
        <f>IF(SER_hh_tes!T27=0,0,11630*1000*SER_hh_tes!T27/SER_hh_num!T27)</f>
        <v>0</v>
      </c>
      <c r="U28" s="147">
        <f>IF(SER_hh_tes!U27=0,0,11630*1000*SER_hh_tes!U27/SER_hh_num!U27)</f>
        <v>0</v>
      </c>
      <c r="V28" s="147">
        <f>IF(SER_hh_tes!V27=0,0,11630*1000*SER_hh_tes!V27/SER_hh_num!V27)</f>
        <v>0</v>
      </c>
      <c r="W28" s="147">
        <f>IF(SER_hh_tes!W27=0,0,11630*1000*SER_hh_tes!W27/SER_hh_num!W27)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8659.745230367871</v>
      </c>
      <c r="C29" s="131">
        <f>IF(SER_hh_tes!C29=0,0,11630*1000*SER_hh_tes!C29/SER_hh_num!C29)</f>
        <v>8438.1529313055544</v>
      </c>
      <c r="D29" s="131">
        <f>IF(SER_hh_tes!D29=0,0,11630*1000*SER_hh_tes!D29/SER_hh_num!D29)</f>
        <v>8354.4893354827473</v>
      </c>
      <c r="E29" s="131">
        <f>IF(SER_hh_tes!E29=0,0,11630*1000*SER_hh_tes!E29/SER_hh_num!E29)</f>
        <v>8126.4744143328335</v>
      </c>
      <c r="F29" s="131">
        <f>IF(SER_hh_tes!F29=0,0,11630*1000*SER_hh_tes!F29/SER_hh_num!F29)</f>
        <v>8023.1691979555517</v>
      </c>
      <c r="G29" s="131">
        <f>IF(SER_hh_tes!G29=0,0,11630*1000*SER_hh_tes!G29/SER_hh_num!G29)</f>
        <v>7966.2527604450097</v>
      </c>
      <c r="H29" s="131">
        <f>IF(SER_hh_tes!H29=0,0,11630*1000*SER_hh_tes!H29/SER_hh_num!H29)</f>
        <v>8329.0118455038883</v>
      </c>
      <c r="I29" s="131">
        <f>IF(SER_hh_tes!I29=0,0,11630*1000*SER_hh_tes!I29/SER_hh_num!I29)</f>
        <v>7951.3594259308102</v>
      </c>
      <c r="J29" s="131">
        <f>IF(SER_hh_tes!J29=0,0,11630*1000*SER_hh_tes!J29/SER_hh_num!J29)</f>
        <v>7703.2614438422361</v>
      </c>
      <c r="K29" s="131">
        <f>IF(SER_hh_tes!K29=0,0,11630*1000*SER_hh_tes!K29/SER_hh_num!K29)</f>
        <v>7640.8796499421624</v>
      </c>
      <c r="L29" s="131">
        <f>IF(SER_hh_tes!L29=0,0,11630*1000*SER_hh_tes!L29/SER_hh_num!L29)</f>
        <v>7473.0306701730124</v>
      </c>
      <c r="M29" s="131">
        <f>IF(SER_hh_tes!M29=0,0,11630*1000*SER_hh_tes!M29/SER_hh_num!M29)</f>
        <v>7337.2047377615017</v>
      </c>
      <c r="N29" s="131">
        <f>IF(SER_hh_tes!N29=0,0,11630*1000*SER_hh_tes!N29/SER_hh_num!N29)</f>
        <v>7571.7455685477898</v>
      </c>
      <c r="O29" s="131">
        <f>IF(SER_hh_tes!O29=0,0,11630*1000*SER_hh_tes!O29/SER_hh_num!O29)</f>
        <v>7255.8295810655345</v>
      </c>
      <c r="P29" s="131">
        <f>IF(SER_hh_tes!P29=0,0,11630*1000*SER_hh_tes!P29/SER_hh_num!P29)</f>
        <v>7180.5135233390793</v>
      </c>
      <c r="Q29" s="131">
        <f>IF(SER_hh_tes!Q29=0,0,11630*1000*SER_hh_tes!Q29/SER_hh_num!Q29)</f>
        <v>6732.6464406584309</v>
      </c>
      <c r="R29" s="131">
        <f>IF(SER_hh_tes!R29=0,0,11630*1000*SER_hh_tes!R29/SER_hh_num!R29)</f>
        <v>7021.6620449092661</v>
      </c>
      <c r="S29" s="131">
        <f>IF(SER_hh_tes!S29=0,0,11630*1000*SER_hh_tes!S29/SER_hh_num!S29)</f>
        <v>6737.3845344303736</v>
      </c>
      <c r="T29" s="131">
        <f>IF(SER_hh_tes!T29=0,0,11630*1000*SER_hh_tes!T29/SER_hh_num!T29)</f>
        <v>7062.6501426823015</v>
      </c>
      <c r="U29" s="131">
        <f>IF(SER_hh_tes!U29=0,0,11630*1000*SER_hh_tes!U29/SER_hh_num!U29)</f>
        <v>7376.3957764087054</v>
      </c>
      <c r="V29" s="131">
        <f>IF(SER_hh_tes!V29=0,0,11630*1000*SER_hh_tes!V29/SER_hh_num!V29)</f>
        <v>6902.6934673055857</v>
      </c>
      <c r="W29" s="131">
        <f>IF(SER_hh_tes!W29=0,0,11630*1000*SER_hh_tes!W29/SER_hh_num!W29)</f>
        <v>8000.3555959466657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0</v>
      </c>
      <c r="C30" s="133">
        <f>IF(SER_hh_tes!C30=0,0,11630*1000*SER_hh_tes!C30/SER_hh_num!C30)</f>
        <v>0</v>
      </c>
      <c r="D30" s="133">
        <f>IF(SER_hh_tes!D30=0,0,11630*1000*SER_hh_tes!D30/SER_hh_num!D30)</f>
        <v>0</v>
      </c>
      <c r="E30" s="133">
        <f>IF(SER_hh_tes!E30=0,0,11630*1000*SER_hh_tes!E30/SER_hh_num!E30)</f>
        <v>0</v>
      </c>
      <c r="F30" s="133">
        <f>IF(SER_hh_tes!F30=0,0,11630*1000*SER_hh_tes!F30/SER_hh_num!F30)</f>
        <v>0</v>
      </c>
      <c r="G30" s="133">
        <f>IF(SER_hh_tes!G30=0,0,11630*1000*SER_hh_tes!G30/SER_hh_num!G30)</f>
        <v>0</v>
      </c>
      <c r="H30" s="133">
        <f>IF(SER_hh_tes!H30=0,0,11630*1000*SER_hh_tes!H30/SER_hh_num!H30)</f>
        <v>0</v>
      </c>
      <c r="I30" s="133">
        <f>IF(SER_hh_tes!I30=0,0,11630*1000*SER_hh_tes!I30/SER_hh_num!I30)</f>
        <v>0</v>
      </c>
      <c r="J30" s="133">
        <f>IF(SER_hh_tes!J30=0,0,11630*1000*SER_hh_tes!J30/SER_hh_num!J30)</f>
        <v>0</v>
      </c>
      <c r="K30" s="133">
        <f>IF(SER_hh_tes!K30=0,0,11630*1000*SER_hh_tes!K30/SER_hh_num!K30)</f>
        <v>0</v>
      </c>
      <c r="L30" s="133">
        <f>IF(SER_hh_tes!L30=0,0,11630*1000*SER_hh_tes!L30/SER_hh_num!L30)</f>
        <v>0</v>
      </c>
      <c r="M30" s="133">
        <f>IF(SER_hh_tes!M30=0,0,11630*1000*SER_hh_tes!M30/SER_hh_num!M30)</f>
        <v>0</v>
      </c>
      <c r="N30" s="133">
        <f>IF(SER_hh_tes!N30=0,0,11630*1000*SER_hh_tes!N30/SER_hh_num!N30)</f>
        <v>0</v>
      </c>
      <c r="O30" s="133">
        <f>IF(SER_hh_tes!O30=0,0,11630*1000*SER_hh_tes!O30/SER_hh_num!O30)</f>
        <v>0</v>
      </c>
      <c r="P30" s="133">
        <f>IF(SER_hh_tes!P30=0,0,11630*1000*SER_hh_tes!P30/SER_hh_num!P30)</f>
        <v>0</v>
      </c>
      <c r="Q30" s="133">
        <f>IF(SER_hh_tes!Q30=0,0,11630*1000*SER_hh_tes!Q30/SER_hh_num!Q30)</f>
        <v>0</v>
      </c>
      <c r="R30" s="133">
        <f>IF(SER_hh_tes!R30=0,0,11630*1000*SER_hh_tes!R30/SER_hh_num!R30)</f>
        <v>0</v>
      </c>
      <c r="S30" s="133">
        <f>IF(SER_hh_tes!S30=0,0,11630*1000*SER_hh_tes!S30/SER_hh_num!S30)</f>
        <v>0</v>
      </c>
      <c r="T30" s="133">
        <f>IF(SER_hh_tes!T30=0,0,11630*1000*SER_hh_tes!T30/SER_hh_num!T30)</f>
        <v>0</v>
      </c>
      <c r="U30" s="133">
        <f>IF(SER_hh_tes!U30=0,0,11630*1000*SER_hh_tes!U30/SER_hh_num!U30)</f>
        <v>0</v>
      </c>
      <c r="V30" s="133">
        <f>IF(SER_hh_tes!V30=0,0,11630*1000*SER_hh_tes!V30/SER_hh_num!V30)</f>
        <v>0</v>
      </c>
      <c r="W30" s="133">
        <f>IF(SER_hh_tes!W30=0,0,11630*1000*SER_hh_tes!W30/SER_hh_num!W30)</f>
        <v>0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8374.9978212532478</v>
      </c>
      <c r="C31" s="133">
        <f>IF(SER_hh_tes!C31=0,0,11630*1000*SER_hh_tes!C31/SER_hh_num!C31)</f>
        <v>8322.6730265215483</v>
      </c>
      <c r="D31" s="133">
        <f>IF(SER_hh_tes!D31=0,0,11630*1000*SER_hh_tes!D31/SER_hh_num!D31)</f>
        <v>8641.6999265843133</v>
      </c>
      <c r="E31" s="133">
        <f>IF(SER_hh_tes!E31=0,0,11630*1000*SER_hh_tes!E31/SER_hh_num!E31)</f>
        <v>8509.335644017061</v>
      </c>
      <c r="F31" s="133">
        <f>IF(SER_hh_tes!F31=0,0,11630*1000*SER_hh_tes!F31/SER_hh_num!F31)</f>
        <v>7710.2957767361195</v>
      </c>
      <c r="G31" s="133">
        <f>IF(SER_hh_tes!G31=0,0,11630*1000*SER_hh_tes!G31/SER_hh_num!G31)</f>
        <v>7786.2311159992369</v>
      </c>
      <c r="H31" s="133">
        <f>IF(SER_hh_tes!H31=0,0,11630*1000*SER_hh_tes!H31/SER_hh_num!H31)</f>
        <v>7468.4504671940813</v>
      </c>
      <c r="I31" s="133">
        <f>IF(SER_hh_tes!I31=0,0,11630*1000*SER_hh_tes!I31/SER_hh_num!I31)</f>
        <v>8364.8356299278166</v>
      </c>
      <c r="J31" s="133">
        <f>IF(SER_hh_tes!J31=0,0,11630*1000*SER_hh_tes!J31/SER_hh_num!J31)</f>
        <v>8215.1456618849206</v>
      </c>
      <c r="K31" s="133">
        <f>IF(SER_hh_tes!K31=0,0,11630*1000*SER_hh_tes!K31/SER_hh_num!K31)</f>
        <v>7847.0519176043008</v>
      </c>
      <c r="L31" s="133">
        <f>IF(SER_hh_tes!L31=0,0,11630*1000*SER_hh_tes!L31/SER_hh_num!L31)</f>
        <v>7509.0090046271007</v>
      </c>
      <c r="M31" s="133">
        <f>IF(SER_hh_tes!M31=0,0,11630*1000*SER_hh_tes!M31/SER_hh_num!M31)</f>
        <v>7652.5265266416727</v>
      </c>
      <c r="N31" s="133">
        <f>IF(SER_hh_tes!N31=0,0,11630*1000*SER_hh_tes!N31/SER_hh_num!N31)</f>
        <v>7510.2950680521053</v>
      </c>
      <c r="O31" s="133">
        <f>IF(SER_hh_tes!O31=0,0,11630*1000*SER_hh_tes!O31/SER_hh_num!O31)</f>
        <v>6862.3108605376347</v>
      </c>
      <c r="P31" s="133">
        <f>IF(SER_hh_tes!P31=0,0,11630*1000*SER_hh_tes!P31/SER_hh_num!P31)</f>
        <v>6432.2576906369668</v>
      </c>
      <c r="Q31" s="133">
        <f>IF(SER_hh_tes!Q31=0,0,11630*1000*SER_hh_tes!Q31/SER_hh_num!Q31)</f>
        <v>7028.4634432083549</v>
      </c>
      <c r="R31" s="133">
        <f>IF(SER_hh_tes!R31=0,0,11630*1000*SER_hh_tes!R31/SER_hh_num!R31)</f>
        <v>7293.3492497735824</v>
      </c>
      <c r="S31" s="133">
        <f>IF(SER_hh_tes!S31=0,0,11630*1000*SER_hh_tes!S31/SER_hh_num!S31)</f>
        <v>6929.2607505629858</v>
      </c>
      <c r="T31" s="133">
        <f>IF(SER_hh_tes!T31=0,0,11630*1000*SER_hh_tes!T31/SER_hh_num!T31)</f>
        <v>8002.3036769585051</v>
      </c>
      <c r="U31" s="133">
        <f>IF(SER_hh_tes!U31=0,0,11630*1000*SER_hh_tes!U31/SER_hh_num!U31)</f>
        <v>6582.4434684817916</v>
      </c>
      <c r="V31" s="133">
        <f>IF(SER_hh_tes!V31=0,0,11630*1000*SER_hh_tes!V31/SER_hh_num!V31)</f>
        <v>6697.1241760761413</v>
      </c>
      <c r="W31" s="133">
        <f>IF(SER_hh_tes!W31=0,0,11630*1000*SER_hh_tes!W31/SER_hh_num!W31)</f>
        <v>7729.2099538275816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11519.270047982851</v>
      </c>
      <c r="H32" s="133">
        <f>IF(SER_hh_tes!H32=0,0,11630*1000*SER_hh_tes!H32/SER_hh_num!H32)</f>
        <v>7834.0036423725851</v>
      </c>
      <c r="I32" s="133">
        <f>IF(SER_hh_tes!I32=0,0,11630*1000*SER_hh_tes!I32/SER_hh_num!I32)</f>
        <v>6235.287381745321</v>
      </c>
      <c r="J32" s="133">
        <f>IF(SER_hh_tes!J32=0,0,11630*1000*SER_hh_tes!J32/SER_hh_num!J32)</f>
        <v>10544.92620303179</v>
      </c>
      <c r="K32" s="133">
        <f>IF(SER_hh_tes!K32=0,0,11630*1000*SER_hh_tes!K32/SER_hh_num!K32)</f>
        <v>5096.9186068400877</v>
      </c>
      <c r="L32" s="133">
        <f>IF(SER_hh_tes!L32=0,0,11630*1000*SER_hh_tes!L32/SER_hh_num!L32)</f>
        <v>8814.5761125813824</v>
      </c>
      <c r="M32" s="133">
        <f>IF(SER_hh_tes!M32=0,0,11630*1000*SER_hh_tes!M32/SER_hh_num!M32)</f>
        <v>9266.1806827645178</v>
      </c>
      <c r="N32" s="133">
        <f>IF(SER_hh_tes!N32=0,0,11630*1000*SER_hh_tes!N32/SER_hh_num!N32)</f>
        <v>4612.764138475929</v>
      </c>
      <c r="O32" s="133">
        <f>IF(SER_hh_tes!O32=0,0,11630*1000*SER_hh_tes!O32/SER_hh_num!O32)</f>
        <v>4817.609040733254</v>
      </c>
      <c r="P32" s="133">
        <f>IF(SER_hh_tes!P32=0,0,11630*1000*SER_hh_tes!P32/SER_hh_num!P32)</f>
        <v>4432.7688208329755</v>
      </c>
      <c r="Q32" s="133">
        <f>IF(SER_hh_tes!Q32=0,0,11630*1000*SER_hh_tes!Q32/SER_hh_num!Q32)</f>
        <v>7946.1653001680015</v>
      </c>
      <c r="R32" s="133">
        <f>IF(SER_hh_tes!R32=0,0,11630*1000*SER_hh_tes!R32/SER_hh_num!R32)</f>
        <v>6836.716372355284</v>
      </c>
      <c r="S32" s="133">
        <f>IF(SER_hh_tes!S32=0,0,11630*1000*SER_hh_tes!S32/SER_hh_num!S32)</f>
        <v>6677.5979200788061</v>
      </c>
      <c r="T32" s="133">
        <f>IF(SER_hh_tes!T32=0,0,11630*1000*SER_hh_tes!T32/SER_hh_num!T32)</f>
        <v>6669.1327300268658</v>
      </c>
      <c r="U32" s="133">
        <f>IF(SER_hh_tes!U32=0,0,11630*1000*SER_hh_tes!U32/SER_hh_num!U32)</f>
        <v>7540.803036225022</v>
      </c>
      <c r="V32" s="133">
        <f>IF(SER_hh_tes!V32=0,0,11630*1000*SER_hh_tes!V32/SER_hh_num!V32)</f>
        <v>6546.2658745583294</v>
      </c>
      <c r="W32" s="133">
        <f>IF(SER_hh_tes!W32=0,0,11630*1000*SER_hh_tes!W32/SER_hh_num!W32)</f>
        <v>8638.8191473236002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8742.987830818729</v>
      </c>
      <c r="C33" s="68">
        <f>IF(SER_hh_tes!C33=0,0,11630*1000*SER_hh_tes!C33/SER_hh_num!C33)</f>
        <v>8473.4300345625252</v>
      </c>
      <c r="D33" s="68">
        <f>IF(SER_hh_tes!D33=0,0,11630*1000*SER_hh_tes!D33/SER_hh_num!D33)</f>
        <v>8261.9318248097607</v>
      </c>
      <c r="E33" s="68">
        <f>IF(SER_hh_tes!E33=0,0,11630*1000*SER_hh_tes!E33/SER_hh_num!E33)</f>
        <v>8005.5804570770842</v>
      </c>
      <c r="F33" s="68">
        <f>IF(SER_hh_tes!F33=0,0,11630*1000*SER_hh_tes!F33/SER_hh_num!F33)</f>
        <v>8116.6621171844181</v>
      </c>
      <c r="G33" s="68">
        <f>IF(SER_hh_tes!G33=0,0,11630*1000*SER_hh_tes!G33/SER_hh_num!G33)</f>
        <v>7976.1760046176232</v>
      </c>
      <c r="H33" s="68">
        <f>IF(SER_hh_tes!H33=0,0,11630*1000*SER_hh_tes!H33/SER_hh_num!H33)</f>
        <v>8619.7094020852164</v>
      </c>
      <c r="I33" s="68">
        <f>IF(SER_hh_tes!I33=0,0,11630*1000*SER_hh_tes!I33/SER_hh_num!I33)</f>
        <v>7841.9224779700398</v>
      </c>
      <c r="J33" s="68">
        <f>IF(SER_hh_tes!J33=0,0,11630*1000*SER_hh_tes!J33/SER_hh_num!J33)</f>
        <v>7431.1601605492688</v>
      </c>
      <c r="K33" s="68">
        <f>IF(SER_hh_tes!K33=0,0,11630*1000*SER_hh_tes!K33/SER_hh_num!K33)</f>
        <v>7633.7113205721371</v>
      </c>
      <c r="L33" s="68">
        <f>IF(SER_hh_tes!L33=0,0,11630*1000*SER_hh_tes!L33/SER_hh_num!L33)</f>
        <v>7415.5123761881187</v>
      </c>
      <c r="M33" s="68">
        <f>IF(SER_hh_tes!M33=0,0,11630*1000*SER_hh_tes!M33/SER_hh_num!M33)</f>
        <v>7176.1953503431159</v>
      </c>
      <c r="N33" s="68">
        <f>IF(SER_hh_tes!N33=0,0,11630*1000*SER_hh_tes!N33/SER_hh_num!N33)</f>
        <v>7673.112404828873</v>
      </c>
      <c r="O33" s="68">
        <f>IF(SER_hh_tes!O33=0,0,11630*1000*SER_hh_tes!O33/SER_hh_num!O33)</f>
        <v>7415.442744857045</v>
      </c>
      <c r="P33" s="68">
        <f>IF(SER_hh_tes!P33=0,0,11630*1000*SER_hh_tes!P33/SER_hh_num!P33)</f>
        <v>7424.9586239492237</v>
      </c>
      <c r="Q33" s="68">
        <f>IF(SER_hh_tes!Q33=0,0,11630*1000*SER_hh_tes!Q33/SER_hh_num!Q33)</f>
        <v>6625.5032417460698</v>
      </c>
      <c r="R33" s="68">
        <f>IF(SER_hh_tes!R33=0,0,11630*1000*SER_hh_tes!R33/SER_hh_num!R33)</f>
        <v>6962.3972645403419</v>
      </c>
      <c r="S33" s="68">
        <f>IF(SER_hh_tes!S33=0,0,11630*1000*SER_hh_tes!S33/SER_hh_num!S33)</f>
        <v>6695.4881706263122</v>
      </c>
      <c r="T33" s="68">
        <f>IF(SER_hh_tes!T33=0,0,11630*1000*SER_hh_tes!T33/SER_hh_num!T33)</f>
        <v>6889.7393564934246</v>
      </c>
      <c r="U33" s="68">
        <f>IF(SER_hh_tes!U33=0,0,11630*1000*SER_hh_tes!U33/SER_hh_num!U33)</f>
        <v>7490.6427031553139</v>
      </c>
      <c r="V33" s="68">
        <f>IF(SER_hh_tes!V33=0,0,11630*1000*SER_hh_tes!V33/SER_hh_num!V33)</f>
        <v>6947.0833729963506</v>
      </c>
      <c r="W33" s="68">
        <f>IF(SER_hh_tes!W33=0,0,11630*1000*SER_hh_tes!W33/SER_hh_num!W33)</f>
        <v>7985.6260880325144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10720.485586312494</v>
      </c>
      <c r="C3" s="126">
        <f>IF(SER_hh_emi!C3=0,0,1000000*SER_hh_emi!C3/SER_hh_num!C3)</f>
        <v>8854.8485856841235</v>
      </c>
      <c r="D3" s="126">
        <f>IF(SER_hh_emi!D3=0,0,1000000*SER_hh_emi!D3/SER_hh_num!D3)</f>
        <v>9638.0578468748554</v>
      </c>
      <c r="E3" s="126">
        <f>IF(SER_hh_emi!E3=0,0,1000000*SER_hh_emi!E3/SER_hh_num!E3)</f>
        <v>8695.6920374357942</v>
      </c>
      <c r="F3" s="126">
        <f>IF(SER_hh_emi!F3=0,0,1000000*SER_hh_emi!F3/SER_hh_num!F3)</f>
        <v>8925.3191250959899</v>
      </c>
      <c r="G3" s="126">
        <f>IF(SER_hh_emi!G3=0,0,1000000*SER_hh_emi!G3/SER_hh_num!G3)</f>
        <v>8870.7681448295698</v>
      </c>
      <c r="H3" s="126">
        <f>IF(SER_hh_emi!H3=0,0,1000000*SER_hh_emi!H3/SER_hh_num!H3)</f>
        <v>10365.315097173503</v>
      </c>
      <c r="I3" s="126">
        <f>IF(SER_hh_emi!I3=0,0,1000000*SER_hh_emi!I3/SER_hh_num!I3)</f>
        <v>8904.167721461261</v>
      </c>
      <c r="J3" s="126">
        <f>IF(SER_hh_emi!J3=0,0,1000000*SER_hh_emi!J3/SER_hh_num!J3)</f>
        <v>7493.4297871718336</v>
      </c>
      <c r="K3" s="126">
        <f>IF(SER_hh_emi!K3=0,0,1000000*SER_hh_emi!K3/SER_hh_num!K3)</f>
        <v>7560.7018860006228</v>
      </c>
      <c r="L3" s="126">
        <f>IF(SER_hh_emi!L3=0,0,1000000*SER_hh_emi!L3/SER_hh_num!L3)</f>
        <v>7824.1525359440438</v>
      </c>
      <c r="M3" s="126">
        <f>IF(SER_hh_emi!M3=0,0,1000000*SER_hh_emi!M3/SER_hh_num!M3)</f>
        <v>8197.5171759008917</v>
      </c>
      <c r="N3" s="126">
        <f>IF(SER_hh_emi!N3=0,0,1000000*SER_hh_emi!N3/SER_hh_num!N3)</f>
        <v>6709.7109431256486</v>
      </c>
      <c r="O3" s="126">
        <f>IF(SER_hh_emi!O3=0,0,1000000*SER_hh_emi!O3/SER_hh_num!O3)</f>
        <v>7190.6989327528372</v>
      </c>
      <c r="P3" s="126">
        <f>IF(SER_hh_emi!P3=0,0,1000000*SER_hh_emi!P3/SER_hh_num!P3)</f>
        <v>6212.6327170843842</v>
      </c>
      <c r="Q3" s="126">
        <f>IF(SER_hh_emi!Q3=0,0,1000000*SER_hh_emi!Q3/SER_hh_num!Q3)</f>
        <v>5526.0214062253772</v>
      </c>
      <c r="R3" s="126">
        <f>IF(SER_hh_emi!R3=0,0,1000000*SER_hh_emi!R3/SER_hh_num!R3)</f>
        <v>6221.8087120781711</v>
      </c>
      <c r="S3" s="126">
        <f>IF(SER_hh_emi!S3=0,0,1000000*SER_hh_emi!S3/SER_hh_num!S3)</f>
        <v>6466.8293835224094</v>
      </c>
      <c r="T3" s="126">
        <f>IF(SER_hh_emi!T3=0,0,1000000*SER_hh_emi!T3/SER_hh_num!T3)</f>
        <v>6697.0683377372407</v>
      </c>
      <c r="U3" s="126">
        <f>IF(SER_hh_emi!U3=0,0,1000000*SER_hh_emi!U3/SER_hh_num!U3)</f>
        <v>6149.8281904925407</v>
      </c>
      <c r="V3" s="126">
        <f>IF(SER_hh_emi!V3=0,0,1000000*SER_hh_emi!V3/SER_hh_num!V3)</f>
        <v>5083.7024187694869</v>
      </c>
      <c r="W3" s="126">
        <f>IF(SER_hh_emi!W3=0,0,1000000*SER_hh_emi!W3/SER_hh_num!W3)</f>
        <v>5634.0172484072673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9682.0306951140774</v>
      </c>
      <c r="C4" s="131">
        <f>IF(SER_hh_emi!C4=0,0,1000000*SER_hh_emi!C4/SER_hh_num!C4)</f>
        <v>7900.0081271991221</v>
      </c>
      <c r="D4" s="131">
        <f>IF(SER_hh_emi!D4=0,0,1000000*SER_hh_emi!D4/SER_hh_num!D4)</f>
        <v>8653.6108602081458</v>
      </c>
      <c r="E4" s="131">
        <f>IF(SER_hh_emi!E4=0,0,1000000*SER_hh_emi!E4/SER_hh_num!E4)</f>
        <v>7769.2856760973527</v>
      </c>
      <c r="F4" s="131">
        <f>IF(SER_hh_emi!F4=0,0,1000000*SER_hh_emi!F4/SER_hh_num!F4)</f>
        <v>8049.4171530526419</v>
      </c>
      <c r="G4" s="131">
        <f>IF(SER_hh_emi!G4=0,0,1000000*SER_hh_emi!G4/SER_hh_num!G4)</f>
        <v>8017.101079985674</v>
      </c>
      <c r="H4" s="131">
        <f>IF(SER_hh_emi!H4=0,0,1000000*SER_hh_emi!H4/SER_hh_num!H4)</f>
        <v>9487.1656719767598</v>
      </c>
      <c r="I4" s="131">
        <f>IF(SER_hh_emi!I4=0,0,1000000*SER_hh_emi!I4/SER_hh_num!I4)</f>
        <v>7863.3447507318961</v>
      </c>
      <c r="J4" s="131">
        <f>IF(SER_hh_emi!J4=0,0,1000000*SER_hh_emi!J4/SER_hh_num!J4)</f>
        <v>6418.553125544614</v>
      </c>
      <c r="K4" s="131">
        <f>IF(SER_hh_emi!K4=0,0,1000000*SER_hh_emi!K4/SER_hh_num!K4)</f>
        <v>6522.5185033399312</v>
      </c>
      <c r="L4" s="131">
        <f>IF(SER_hh_emi!L4=0,0,1000000*SER_hh_emi!L4/SER_hh_num!L4)</f>
        <v>6859.646214301888</v>
      </c>
      <c r="M4" s="131">
        <f>IF(SER_hh_emi!M4=0,0,1000000*SER_hh_emi!M4/SER_hh_num!M4)</f>
        <v>7291.1929070472152</v>
      </c>
      <c r="N4" s="131">
        <f>IF(SER_hh_emi!N4=0,0,1000000*SER_hh_emi!N4/SER_hh_num!N4)</f>
        <v>5895.191973329157</v>
      </c>
      <c r="O4" s="131">
        <f>IF(SER_hh_emi!O4=0,0,1000000*SER_hh_emi!O4/SER_hh_num!O4)</f>
        <v>6477.5298227949761</v>
      </c>
      <c r="P4" s="131">
        <f>IF(SER_hh_emi!P4=0,0,1000000*SER_hh_emi!P4/SER_hh_num!P4)</f>
        <v>5600.5023910251157</v>
      </c>
      <c r="Q4" s="131">
        <f>IF(SER_hh_emi!Q4=0,0,1000000*SER_hh_emi!Q4/SER_hh_num!Q4)</f>
        <v>4845.0867515699319</v>
      </c>
      <c r="R4" s="131">
        <f>IF(SER_hh_emi!R4=0,0,1000000*SER_hh_emi!R4/SER_hh_num!R4)</f>
        <v>5507.9024208671017</v>
      </c>
      <c r="S4" s="131">
        <f>IF(SER_hh_emi!S4=0,0,1000000*SER_hh_emi!S4/SER_hh_num!S4)</f>
        <v>5788.3584838256857</v>
      </c>
      <c r="T4" s="131">
        <f>IF(SER_hh_emi!T4=0,0,1000000*SER_hh_emi!T4/SER_hh_num!T4)</f>
        <v>6002.8116167059079</v>
      </c>
      <c r="U4" s="131">
        <f>IF(SER_hh_emi!U4=0,0,1000000*SER_hh_emi!U4/SER_hh_num!U4)</f>
        <v>5596.8271595881761</v>
      </c>
      <c r="V4" s="131">
        <f>IF(SER_hh_emi!V4=0,0,1000000*SER_hh_emi!V4/SER_hh_num!V4)</f>
        <v>4591.9640398226484</v>
      </c>
      <c r="W4" s="131">
        <f>IF(SER_hh_emi!W4=0,0,1000000*SER_hh_emi!W4/SER_hh_num!W4)</f>
        <v>5123.0612581396199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52821.119976336136</v>
      </c>
      <c r="C5" s="133">
        <f>IF(SER_hh_emi!C5=0,0,1000000*SER_hh_emi!C5/SER_hh_num!C5)</f>
        <v>44195.237255253254</v>
      </c>
      <c r="D5" s="133">
        <f>IF(SER_hh_emi!D5=0,0,1000000*SER_hh_emi!D5/SER_hh_num!D5)</f>
        <v>47471.096209324969</v>
      </c>
      <c r="E5" s="133">
        <f>IF(SER_hh_emi!E5=0,0,1000000*SER_hh_emi!E5/SER_hh_num!E5)</f>
        <v>44645.252320603293</v>
      </c>
      <c r="F5" s="133">
        <f>IF(SER_hh_emi!F5=0,0,1000000*SER_hh_emi!F5/SER_hh_num!F5)</f>
        <v>39041.58157903031</v>
      </c>
      <c r="G5" s="133">
        <f>IF(SER_hh_emi!G5=0,0,1000000*SER_hh_emi!G5/SER_hh_num!G5)</f>
        <v>39976.85063490567</v>
      </c>
      <c r="H5" s="133">
        <f>IF(SER_hh_emi!H5=0,0,1000000*SER_hh_emi!H5/SER_hh_num!H5)</f>
        <v>50234.351708734685</v>
      </c>
      <c r="I5" s="133">
        <f>IF(SER_hh_emi!I5=0,0,1000000*SER_hh_emi!I5/SER_hh_num!I5)</f>
        <v>37111.62686552712</v>
      </c>
      <c r="J5" s="133">
        <f>IF(SER_hh_emi!J5=0,0,1000000*SER_hh_emi!J5/SER_hh_num!J5)</f>
        <v>27417.229546272793</v>
      </c>
      <c r="K5" s="133">
        <f>IF(SER_hh_emi!K5=0,0,1000000*SER_hh_emi!K5/SER_hh_num!K5)</f>
        <v>31639.33493034363</v>
      </c>
      <c r="L5" s="133">
        <f>IF(SER_hh_emi!L5=0,0,1000000*SER_hh_emi!L5/SER_hh_num!L5)</f>
        <v>30186.459155583154</v>
      </c>
      <c r="M5" s="133">
        <f>IF(SER_hh_emi!M5=0,0,1000000*SER_hh_emi!M5/SER_hh_num!M5)</f>
        <v>35156.009562633706</v>
      </c>
      <c r="N5" s="133">
        <f>IF(SER_hh_emi!N5=0,0,1000000*SER_hh_emi!N5/SER_hh_num!N5)</f>
        <v>24667.151481640041</v>
      </c>
      <c r="O5" s="133">
        <f>IF(SER_hh_emi!O5=0,0,1000000*SER_hh_emi!O5/SER_hh_num!O5)</f>
        <v>28861.5870973112</v>
      </c>
      <c r="P5" s="133">
        <f>IF(SER_hh_emi!P5=0,0,1000000*SER_hh_emi!P5/SER_hh_num!P5)</f>
        <v>26387.09355312182</v>
      </c>
      <c r="Q5" s="133">
        <f>IF(SER_hh_emi!Q5=0,0,1000000*SER_hh_emi!Q5/SER_hh_num!Q5)</f>
        <v>20918.753277165222</v>
      </c>
      <c r="R5" s="133">
        <f>IF(SER_hh_emi!R5=0,0,1000000*SER_hh_emi!R5/SER_hh_num!R5)</f>
        <v>25879.564999186394</v>
      </c>
      <c r="S5" s="133">
        <f>IF(SER_hh_emi!S5=0,0,1000000*SER_hh_emi!S5/SER_hh_num!S5)</f>
        <v>27524.375931535407</v>
      </c>
      <c r="T5" s="133">
        <f>IF(SER_hh_emi!T5=0,0,1000000*SER_hh_emi!T5/SER_hh_num!T5)</f>
        <v>29521.137240938242</v>
      </c>
      <c r="U5" s="133">
        <f>IF(SER_hh_emi!U5=0,0,1000000*SER_hh_emi!U5/SER_hh_num!U5)</f>
        <v>26989.839943700335</v>
      </c>
      <c r="V5" s="133">
        <f>IF(SER_hh_emi!V5=0,0,1000000*SER_hh_emi!V5/SER_hh_num!V5)</f>
        <v>20900.007304866162</v>
      </c>
      <c r="W5" s="133">
        <f>IF(SER_hh_emi!W5=0,0,1000000*SER_hh_emi!W5/SER_hh_num!W5)</f>
        <v>27658.121713885623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49123.426439706731</v>
      </c>
      <c r="C7" s="133">
        <f>IF(SER_hh_emi!C7=0,0,1000000*SER_hh_emi!C7/SER_hh_num!C7)</f>
        <v>38759.182096602293</v>
      </c>
      <c r="D7" s="133">
        <f>IF(SER_hh_emi!D7=0,0,1000000*SER_hh_emi!D7/SER_hh_num!D7)</f>
        <v>46835.308829742731</v>
      </c>
      <c r="E7" s="133">
        <f>IF(SER_hh_emi!E7=0,0,1000000*SER_hh_emi!E7/SER_hh_num!E7)</f>
        <v>37650.881999577607</v>
      </c>
      <c r="F7" s="133">
        <f>IF(SER_hh_emi!F7=0,0,1000000*SER_hh_emi!F7/SER_hh_num!F7)</f>
        <v>43074.987143836966</v>
      </c>
      <c r="G7" s="133">
        <f>IF(SER_hh_emi!G7=0,0,1000000*SER_hh_emi!G7/SER_hh_num!G7)</f>
        <v>36900.078160085162</v>
      </c>
      <c r="H7" s="133">
        <f>IF(SER_hh_emi!H7=0,0,1000000*SER_hh_emi!H7/SER_hh_num!H7)</f>
        <v>32699.531022239706</v>
      </c>
      <c r="I7" s="133">
        <f>IF(SER_hh_emi!I7=0,0,1000000*SER_hh_emi!I7/SER_hh_num!I7)</f>
        <v>33591.713815102237</v>
      </c>
      <c r="J7" s="133">
        <f>IF(SER_hh_emi!J7=0,0,1000000*SER_hh_emi!J7/SER_hh_num!J7)</f>
        <v>55364.118226066486</v>
      </c>
      <c r="K7" s="133">
        <f>IF(SER_hh_emi!K7=0,0,1000000*SER_hh_emi!K7/SER_hh_num!K7)</f>
        <v>17547.072815005955</v>
      </c>
      <c r="L7" s="133">
        <f>IF(SER_hh_emi!L7=0,0,1000000*SER_hh_emi!L7/SER_hh_num!L7)</f>
        <v>26063.573448153304</v>
      </c>
      <c r="M7" s="133">
        <f>IF(SER_hh_emi!M7=0,0,1000000*SER_hh_emi!M7/SER_hh_num!M7)</f>
        <v>33873.378744442605</v>
      </c>
      <c r="N7" s="133">
        <f>IF(SER_hh_emi!N7=0,0,1000000*SER_hh_emi!N7/SER_hh_num!N7)</f>
        <v>20486.720131372884</v>
      </c>
      <c r="O7" s="133">
        <f>IF(SER_hh_emi!O7=0,0,1000000*SER_hh_emi!O7/SER_hh_num!O7)</f>
        <v>20284.167053129695</v>
      </c>
      <c r="P7" s="133">
        <f>IF(SER_hh_emi!P7=0,0,1000000*SER_hh_emi!P7/SER_hh_num!P7)</f>
        <v>28705.139956407726</v>
      </c>
      <c r="Q7" s="133">
        <f>IF(SER_hh_emi!Q7=0,0,1000000*SER_hh_emi!Q7/SER_hh_num!Q7)</f>
        <v>15615.59995599823</v>
      </c>
      <c r="R7" s="133">
        <f>IF(SER_hh_emi!R7=0,0,1000000*SER_hh_emi!R7/SER_hh_num!R7)</f>
        <v>18646.145673754963</v>
      </c>
      <c r="S7" s="133">
        <f>IF(SER_hh_emi!S7=0,0,1000000*SER_hh_emi!S7/SER_hh_num!S7)</f>
        <v>24333.789608536219</v>
      </c>
      <c r="T7" s="133">
        <f>IF(SER_hh_emi!T7=0,0,1000000*SER_hh_emi!T7/SER_hh_num!T7)</f>
        <v>18373.906641546077</v>
      </c>
      <c r="U7" s="133">
        <f>IF(SER_hh_emi!U7=0,0,1000000*SER_hh_emi!U7/SER_hh_num!U7)</f>
        <v>20847.250757944705</v>
      </c>
      <c r="V7" s="133">
        <f>IF(SER_hh_emi!V7=0,0,1000000*SER_hh_emi!V7/SER_hh_num!V7)</f>
        <v>19980.145552764963</v>
      </c>
      <c r="W7" s="133">
        <f>IF(SER_hh_emi!W7=0,0,1000000*SER_hh_emi!W7/SER_hh_num!W7)</f>
        <v>22237.557804935757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0</v>
      </c>
      <c r="C8" s="133">
        <f>IF(SER_hh_emi!C8=0,0,1000000*SER_hh_emi!C8/SER_hh_num!C8)</f>
        <v>0</v>
      </c>
      <c r="D8" s="133">
        <f>IF(SER_hh_emi!D8=0,0,1000000*SER_hh_emi!D8/SER_hh_num!D8)</f>
        <v>0</v>
      </c>
      <c r="E8" s="133">
        <f>IF(SER_hh_emi!E8=0,0,1000000*SER_hh_emi!E8/SER_hh_num!E8)</f>
        <v>0</v>
      </c>
      <c r="F8" s="133">
        <f>IF(SER_hh_emi!F8=0,0,1000000*SER_hh_emi!F8/SER_hh_num!F8)</f>
        <v>0</v>
      </c>
      <c r="G8" s="133">
        <f>IF(SER_hh_emi!G8=0,0,1000000*SER_hh_emi!G8/SER_hh_num!G8)</f>
        <v>0</v>
      </c>
      <c r="H8" s="133">
        <f>IF(SER_hh_emi!H8=0,0,1000000*SER_hh_emi!H8/SER_hh_num!H8)</f>
        <v>0</v>
      </c>
      <c r="I8" s="133">
        <f>IF(SER_hh_emi!I8=0,0,1000000*SER_hh_emi!I8/SER_hh_num!I8)</f>
        <v>0</v>
      </c>
      <c r="J8" s="133">
        <f>IF(SER_hh_emi!J8=0,0,1000000*SER_hh_emi!J8/SER_hh_num!J8)</f>
        <v>0</v>
      </c>
      <c r="K8" s="133">
        <f>IF(SER_hh_emi!K8=0,0,1000000*SER_hh_emi!K8/SER_hh_num!K8)</f>
        <v>0</v>
      </c>
      <c r="L8" s="133">
        <f>IF(SER_hh_emi!L8=0,0,1000000*SER_hh_emi!L8/SER_hh_num!L8)</f>
        <v>0</v>
      </c>
      <c r="M8" s="133">
        <f>IF(SER_hh_emi!M8=0,0,1000000*SER_hh_emi!M8/SER_hh_num!M8)</f>
        <v>0</v>
      </c>
      <c r="N8" s="133">
        <f>IF(SER_hh_emi!N8=0,0,1000000*SER_hh_emi!N8/SER_hh_num!N8)</f>
        <v>0</v>
      </c>
      <c r="O8" s="133">
        <f>IF(SER_hh_emi!O8=0,0,1000000*SER_hh_emi!O8/SER_hh_num!O8)</f>
        <v>0</v>
      </c>
      <c r="P8" s="133">
        <f>IF(SER_hh_emi!P8=0,0,1000000*SER_hh_emi!P8/SER_hh_num!P8)</f>
        <v>0</v>
      </c>
      <c r="Q8" s="133">
        <f>IF(SER_hh_emi!Q8=0,0,1000000*SER_hh_emi!Q8/SER_hh_num!Q8)</f>
        <v>0</v>
      </c>
      <c r="R8" s="133">
        <f>IF(SER_hh_emi!R8=0,0,1000000*SER_hh_emi!R8/SER_hh_num!R8)</f>
        <v>0</v>
      </c>
      <c r="S8" s="133">
        <f>IF(SER_hh_emi!S8=0,0,1000000*SER_hh_emi!S8/SER_hh_num!S8)</f>
        <v>0</v>
      </c>
      <c r="T8" s="133">
        <f>IF(SER_hh_emi!T8=0,0,1000000*SER_hh_emi!T8/SER_hh_num!T8)</f>
        <v>0</v>
      </c>
      <c r="U8" s="133">
        <f>IF(SER_hh_emi!U8=0,0,1000000*SER_hh_emi!U8/SER_hh_num!U8)</f>
        <v>0</v>
      </c>
      <c r="V8" s="133">
        <f>IF(SER_hh_emi!V8=0,0,1000000*SER_hh_emi!V8/SER_hh_num!V8)</f>
        <v>0</v>
      </c>
      <c r="W8" s="133">
        <f>IF(SER_hh_emi!W8=0,0,1000000*SER_hh_emi!W8/SER_hh_num!W8)</f>
        <v>0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28975.704564166186</v>
      </c>
      <c r="C9" s="133">
        <f>IF(SER_hh_emi!C9=0,0,1000000*SER_hh_emi!C9/SER_hh_num!C9)</f>
        <v>28170.979550641041</v>
      </c>
      <c r="D9" s="133">
        <f>IF(SER_hh_emi!D9=0,0,1000000*SER_hh_emi!D9/SER_hh_num!D9)</f>
        <v>26396.808669945687</v>
      </c>
      <c r="E9" s="133">
        <f>IF(SER_hh_emi!E9=0,0,1000000*SER_hh_emi!E9/SER_hh_num!E9)</f>
        <v>23069.747421939901</v>
      </c>
      <c r="F9" s="133">
        <f>IF(SER_hh_emi!F9=0,0,1000000*SER_hh_emi!F9/SER_hh_num!F9)</f>
        <v>27397.727285267301</v>
      </c>
      <c r="G9" s="133">
        <f>IF(SER_hh_emi!G9=0,0,1000000*SER_hh_emi!G9/SER_hh_num!G9)</f>
        <v>22675.742902074882</v>
      </c>
      <c r="H9" s="133">
        <f>IF(SER_hh_emi!H9=0,0,1000000*SER_hh_emi!H9/SER_hh_num!H9)</f>
        <v>20935.67546275014</v>
      </c>
      <c r="I9" s="133">
        <f>IF(SER_hh_emi!I9=0,0,1000000*SER_hh_emi!I9/SER_hh_num!I9)</f>
        <v>23764.681555289604</v>
      </c>
      <c r="J9" s="133">
        <f>IF(SER_hh_emi!J9=0,0,1000000*SER_hh_emi!J9/SER_hh_num!J9)</f>
        <v>19707.579834709177</v>
      </c>
      <c r="K9" s="133">
        <f>IF(SER_hh_emi!K9=0,0,1000000*SER_hh_emi!K9/SER_hh_num!K9)</f>
        <v>16709.096872989052</v>
      </c>
      <c r="L9" s="133">
        <f>IF(SER_hh_emi!L9=0,0,1000000*SER_hh_emi!L9/SER_hh_num!L9)</f>
        <v>18183.874997202216</v>
      </c>
      <c r="M9" s="133">
        <f>IF(SER_hh_emi!M9=0,0,1000000*SER_hh_emi!M9/SER_hh_num!M9)</f>
        <v>15456.039010365348</v>
      </c>
      <c r="N9" s="133">
        <f>IF(SER_hh_emi!N9=0,0,1000000*SER_hh_emi!N9/SER_hh_num!N9)</f>
        <v>16284.872196852741</v>
      </c>
      <c r="O9" s="133">
        <f>IF(SER_hh_emi!O9=0,0,1000000*SER_hh_emi!O9/SER_hh_num!O9)</f>
        <v>15570.990986921288</v>
      </c>
      <c r="P9" s="133">
        <f>IF(SER_hh_emi!P9=0,0,1000000*SER_hh_emi!P9/SER_hh_num!P9)</f>
        <v>12493.340916483541</v>
      </c>
      <c r="Q9" s="133">
        <f>IF(SER_hh_emi!Q9=0,0,1000000*SER_hh_emi!Q9/SER_hh_num!Q9)</f>
        <v>13190.586665080367</v>
      </c>
      <c r="R9" s="133">
        <f>IF(SER_hh_emi!R9=0,0,1000000*SER_hh_emi!R9/SER_hh_num!R9)</f>
        <v>13538.911526190321</v>
      </c>
      <c r="S9" s="133">
        <f>IF(SER_hh_emi!S9=0,0,1000000*SER_hh_emi!S9/SER_hh_num!S9)</f>
        <v>14059.524969929213</v>
      </c>
      <c r="T9" s="133">
        <f>IF(SER_hh_emi!T9=0,0,1000000*SER_hh_emi!T9/SER_hh_num!T9)</f>
        <v>14196.822565610564</v>
      </c>
      <c r="U9" s="133">
        <f>IF(SER_hh_emi!U9=0,0,1000000*SER_hh_emi!U9/SER_hh_num!U9)</f>
        <v>13815.064373921938</v>
      </c>
      <c r="V9" s="133">
        <f>IF(SER_hh_emi!V9=0,0,1000000*SER_hh_emi!V9/SER_hh_num!V9)</f>
        <v>13130.624428712052</v>
      </c>
      <c r="W9" s="133">
        <f>IF(SER_hh_emi!W9=0,0,1000000*SER_hh_emi!W9/SER_hh_num!W9)</f>
        <v>13587.172764492219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0</v>
      </c>
      <c r="C16" s="131">
        <f>IF(SER_hh_emi!C16=0,0,1000000*SER_hh_emi!C16/SER_hh_num!C16)</f>
        <v>0</v>
      </c>
      <c r="D16" s="131">
        <f>IF(SER_hh_emi!D16=0,0,1000000*SER_hh_emi!D16/SER_hh_num!D16)</f>
        <v>0</v>
      </c>
      <c r="E16" s="131">
        <f>IF(SER_hh_emi!E16=0,0,1000000*SER_hh_emi!E16/SER_hh_num!E16)</f>
        <v>0</v>
      </c>
      <c r="F16" s="131">
        <f>IF(SER_hh_emi!F16=0,0,1000000*SER_hh_emi!F16/SER_hh_num!F16)</f>
        <v>0</v>
      </c>
      <c r="G16" s="131">
        <f>IF(SER_hh_emi!G16=0,0,1000000*SER_hh_emi!G16/SER_hh_num!G16)</f>
        <v>0</v>
      </c>
      <c r="H16" s="131">
        <f>IF(SER_hh_emi!H16=0,0,1000000*SER_hh_emi!H16/SER_hh_num!H16)</f>
        <v>0</v>
      </c>
      <c r="I16" s="131">
        <f>IF(SER_hh_emi!I16=0,0,1000000*SER_hh_emi!I16/SER_hh_num!I16)</f>
        <v>0</v>
      </c>
      <c r="J16" s="131">
        <f>IF(SER_hh_emi!J16=0,0,1000000*SER_hh_emi!J16/SER_hh_num!J16)</f>
        <v>0</v>
      </c>
      <c r="K16" s="131">
        <f>IF(SER_hh_emi!K16=0,0,1000000*SER_hh_emi!K16/SER_hh_num!K16)</f>
        <v>0</v>
      </c>
      <c r="L16" s="131">
        <f>IF(SER_hh_emi!L16=0,0,1000000*SER_hh_emi!L16/SER_hh_num!L16)</f>
        <v>0</v>
      </c>
      <c r="M16" s="131">
        <f>IF(SER_hh_emi!M16=0,0,1000000*SER_hh_emi!M16/SER_hh_num!M16)</f>
        <v>0</v>
      </c>
      <c r="N16" s="131">
        <f>IF(SER_hh_emi!N16=0,0,1000000*SER_hh_emi!N16/SER_hh_num!N16)</f>
        <v>0</v>
      </c>
      <c r="O16" s="131">
        <f>IF(SER_hh_emi!O16=0,0,1000000*SER_hh_emi!O16/SER_hh_num!O16)</f>
        <v>0</v>
      </c>
      <c r="P16" s="131">
        <f>IF(SER_hh_emi!P16=0,0,1000000*SER_hh_emi!P16/SER_hh_num!P16)</f>
        <v>0</v>
      </c>
      <c r="Q16" s="131">
        <f>IF(SER_hh_emi!Q16=0,0,1000000*SER_hh_emi!Q16/SER_hh_num!Q16)</f>
        <v>0</v>
      </c>
      <c r="R16" s="131">
        <f>IF(SER_hh_emi!R16=0,0,1000000*SER_hh_emi!R16/SER_hh_num!R16)</f>
        <v>0</v>
      </c>
      <c r="S16" s="131">
        <f>IF(SER_hh_emi!S16=0,0,1000000*SER_hh_emi!S16/SER_hh_num!S16)</f>
        <v>0</v>
      </c>
      <c r="T16" s="131">
        <f>IF(SER_hh_emi!T16=0,0,1000000*SER_hh_emi!T16/SER_hh_num!T16)</f>
        <v>0</v>
      </c>
      <c r="U16" s="131">
        <f>IF(SER_hh_emi!U16=0,0,1000000*SER_hh_emi!U16/SER_hh_num!U16)</f>
        <v>0</v>
      </c>
      <c r="V16" s="131">
        <f>IF(SER_hh_emi!V16=0,0,1000000*SER_hh_emi!V16/SER_hh_num!V16)</f>
        <v>0</v>
      </c>
      <c r="W16" s="131">
        <f>IF(SER_hh_emi!W16=0,0,1000000*SER_hh_emi!W16/SER_hh_num!W16)</f>
        <v>0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0</v>
      </c>
      <c r="C17" s="133">
        <f>IF(SER_hh_emi!C17=0,0,1000000*SER_hh_emi!C17/SER_hh_num!C17)</f>
        <v>0</v>
      </c>
      <c r="D17" s="133">
        <f>IF(SER_hh_emi!D17=0,0,1000000*SER_hh_emi!D17/SER_hh_num!D17)</f>
        <v>0</v>
      </c>
      <c r="E17" s="133">
        <f>IF(SER_hh_emi!E17=0,0,1000000*SER_hh_emi!E17/SER_hh_num!E17)</f>
        <v>0</v>
      </c>
      <c r="F17" s="133">
        <f>IF(SER_hh_emi!F17=0,0,1000000*SER_hh_emi!F17/SER_hh_num!F17)</f>
        <v>0</v>
      </c>
      <c r="G17" s="133">
        <f>IF(SER_hh_emi!G17=0,0,1000000*SER_hh_emi!G17/SER_hh_num!G17)</f>
        <v>0</v>
      </c>
      <c r="H17" s="133">
        <f>IF(SER_hh_emi!H17=0,0,1000000*SER_hh_emi!H17/SER_hh_num!H17)</f>
        <v>0</v>
      </c>
      <c r="I17" s="133">
        <f>IF(SER_hh_emi!I17=0,0,1000000*SER_hh_emi!I17/SER_hh_num!I17)</f>
        <v>0</v>
      </c>
      <c r="J17" s="133">
        <f>IF(SER_hh_emi!J17=0,0,1000000*SER_hh_emi!J17/SER_hh_num!J17)</f>
        <v>0</v>
      </c>
      <c r="K17" s="133">
        <f>IF(SER_hh_emi!K17=0,0,1000000*SER_hh_emi!K17/SER_hh_num!K17)</f>
        <v>0</v>
      </c>
      <c r="L17" s="133">
        <f>IF(SER_hh_emi!L17=0,0,1000000*SER_hh_emi!L17/SER_hh_num!L17)</f>
        <v>0</v>
      </c>
      <c r="M17" s="133">
        <f>IF(SER_hh_emi!M17=0,0,1000000*SER_hh_emi!M17/SER_hh_num!M17)</f>
        <v>0</v>
      </c>
      <c r="N17" s="133">
        <f>IF(SER_hh_emi!N17=0,0,1000000*SER_hh_emi!N17/SER_hh_num!N17)</f>
        <v>0</v>
      </c>
      <c r="O17" s="133">
        <f>IF(SER_hh_emi!O17=0,0,1000000*SER_hh_emi!O17/SER_hh_num!O17)</f>
        <v>0</v>
      </c>
      <c r="P17" s="133">
        <f>IF(SER_hh_emi!P17=0,0,1000000*SER_hh_emi!P17/SER_hh_num!P17)</f>
        <v>0</v>
      </c>
      <c r="Q17" s="133">
        <f>IF(SER_hh_emi!Q17=0,0,1000000*SER_hh_emi!Q17/SER_hh_num!Q17)</f>
        <v>0</v>
      </c>
      <c r="R17" s="133">
        <f>IF(SER_hh_emi!R17=0,0,1000000*SER_hh_emi!R17/SER_hh_num!R17)</f>
        <v>0</v>
      </c>
      <c r="S17" s="133">
        <f>IF(SER_hh_emi!S17=0,0,1000000*SER_hh_emi!S17/SER_hh_num!S17)</f>
        <v>0</v>
      </c>
      <c r="T17" s="133">
        <f>IF(SER_hh_emi!T17=0,0,1000000*SER_hh_emi!T17/SER_hh_num!T17)</f>
        <v>0</v>
      </c>
      <c r="U17" s="133">
        <f>IF(SER_hh_emi!U17=0,0,1000000*SER_hh_emi!U17/SER_hh_num!U17)</f>
        <v>0</v>
      </c>
      <c r="V17" s="133">
        <f>IF(SER_hh_emi!V17=0,0,1000000*SER_hh_emi!V17/SER_hh_num!V17)</f>
        <v>0</v>
      </c>
      <c r="W17" s="133">
        <f>IF(SER_hh_emi!W17=0,0,1000000*SER_hh_emi!W17/SER_hh_num!W17)</f>
        <v>0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353.04216340661787</v>
      </c>
      <c r="C19" s="131">
        <f>IF(SER_hh_emi!C19=0,0,1000000*SER_hh_emi!C19/SER_hh_num!C19)</f>
        <v>251.71807405525198</v>
      </c>
      <c r="D19" s="131">
        <f>IF(SER_hh_emi!D19=0,0,1000000*SER_hh_emi!D19/SER_hh_num!D19)</f>
        <v>241.49283490036458</v>
      </c>
      <c r="E19" s="131">
        <f>IF(SER_hh_emi!E19=0,0,1000000*SER_hh_emi!E19/SER_hh_num!E19)</f>
        <v>209.04258020052876</v>
      </c>
      <c r="F19" s="131">
        <f>IF(SER_hh_emi!F19=0,0,1000000*SER_hh_emi!F19/SER_hh_num!F19)</f>
        <v>243.12437315608892</v>
      </c>
      <c r="G19" s="131">
        <f>IF(SER_hh_emi!G19=0,0,1000000*SER_hh_emi!G19/SER_hh_num!G19)</f>
        <v>217.64741152384255</v>
      </c>
      <c r="H19" s="131">
        <f>IF(SER_hh_emi!H19=0,0,1000000*SER_hh_emi!H19/SER_hh_num!H19)</f>
        <v>236.94590190760766</v>
      </c>
      <c r="I19" s="131">
        <f>IF(SER_hh_emi!I19=0,0,1000000*SER_hh_emi!I19/SER_hh_num!I19)</f>
        <v>284.6788261030693</v>
      </c>
      <c r="J19" s="131">
        <f>IF(SER_hh_emi!J19=0,0,1000000*SER_hh_emi!J19/SER_hh_num!J19)</f>
        <v>300.76828253750898</v>
      </c>
      <c r="K19" s="131">
        <f>IF(SER_hh_emi!K19=0,0,1000000*SER_hh_emi!K19/SER_hh_num!K19)</f>
        <v>284.55276631006711</v>
      </c>
      <c r="L19" s="131">
        <f>IF(SER_hh_emi!L19=0,0,1000000*SER_hh_emi!L19/SER_hh_num!L19)</f>
        <v>279.2565845902709</v>
      </c>
      <c r="M19" s="131">
        <f>IF(SER_hh_emi!M19=0,0,1000000*SER_hh_emi!M19/SER_hh_num!M19)</f>
        <v>271.58166042601709</v>
      </c>
      <c r="N19" s="131">
        <f>IF(SER_hh_emi!N19=0,0,1000000*SER_hh_emi!N19/SER_hh_num!N19)</f>
        <v>262.65865043628696</v>
      </c>
      <c r="O19" s="131">
        <f>IF(SER_hh_emi!O19=0,0,1000000*SER_hh_emi!O19/SER_hh_num!O19)</f>
        <v>262.90111268749826</v>
      </c>
      <c r="P19" s="131">
        <f>IF(SER_hh_emi!P19=0,0,1000000*SER_hh_emi!P19/SER_hh_num!P19)</f>
        <v>235.13633176776054</v>
      </c>
      <c r="Q19" s="131">
        <f>IF(SER_hh_emi!Q19=0,0,1000000*SER_hh_emi!Q19/SER_hh_num!Q19)</f>
        <v>252.20612874207987</v>
      </c>
      <c r="R19" s="131">
        <f>IF(SER_hh_emi!R19=0,0,1000000*SER_hh_emi!R19/SER_hh_num!R19)</f>
        <v>264.01003222067601</v>
      </c>
      <c r="S19" s="131">
        <f>IF(SER_hh_emi!S19=0,0,1000000*SER_hh_emi!S19/SER_hh_num!S19)</f>
        <v>266.1400374299983</v>
      </c>
      <c r="T19" s="131">
        <f>IF(SER_hh_emi!T19=0,0,1000000*SER_hh_emi!T19/SER_hh_num!T19)</f>
        <v>267.81038310066879</v>
      </c>
      <c r="U19" s="131">
        <f>IF(SER_hh_emi!U19=0,0,1000000*SER_hh_emi!U19/SER_hh_num!U19)</f>
        <v>276.61150885817841</v>
      </c>
      <c r="V19" s="131">
        <f>IF(SER_hh_emi!V19=0,0,1000000*SER_hh_emi!V19/SER_hh_num!V19)</f>
        <v>280.79024906056901</v>
      </c>
      <c r="W19" s="131">
        <f>IF(SER_hh_emi!W19=0,0,1000000*SER_hh_emi!W19/SER_hh_num!W19)</f>
        <v>292.70730318102011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0</v>
      </c>
      <c r="C21" s="133">
        <f>IF(SER_hh_emi!C21=0,0,1000000*SER_hh_emi!C21/SER_hh_num!C21)</f>
        <v>0</v>
      </c>
      <c r="D21" s="133">
        <f>IF(SER_hh_emi!D21=0,0,1000000*SER_hh_emi!D21/SER_hh_num!D21)</f>
        <v>0</v>
      </c>
      <c r="E21" s="133">
        <f>IF(SER_hh_emi!E21=0,0,1000000*SER_hh_emi!E21/SER_hh_num!E21)</f>
        <v>0</v>
      </c>
      <c r="F21" s="133">
        <f>IF(SER_hh_emi!F21=0,0,1000000*SER_hh_emi!F21/SER_hh_num!F21)</f>
        <v>0</v>
      </c>
      <c r="G21" s="133">
        <f>IF(SER_hh_emi!G21=0,0,1000000*SER_hh_emi!G21/SER_hh_num!G21)</f>
        <v>0</v>
      </c>
      <c r="H21" s="133">
        <f>IF(SER_hh_emi!H21=0,0,1000000*SER_hh_emi!H21/SER_hh_num!H21)</f>
        <v>0</v>
      </c>
      <c r="I21" s="133">
        <f>IF(SER_hh_emi!I21=0,0,1000000*SER_hh_emi!I21/SER_hh_num!I21)</f>
        <v>0</v>
      </c>
      <c r="J21" s="133">
        <f>IF(SER_hh_emi!J21=0,0,1000000*SER_hh_emi!J21/SER_hh_num!J21)</f>
        <v>0</v>
      </c>
      <c r="K21" s="133">
        <f>IF(SER_hh_emi!K21=0,0,1000000*SER_hh_emi!K21/SER_hh_num!K21)</f>
        <v>0</v>
      </c>
      <c r="L21" s="133">
        <f>IF(SER_hh_emi!L21=0,0,1000000*SER_hh_emi!L21/SER_hh_num!L21)</f>
        <v>0</v>
      </c>
      <c r="M21" s="133">
        <f>IF(SER_hh_emi!M21=0,0,1000000*SER_hh_emi!M21/SER_hh_num!M21)</f>
        <v>0</v>
      </c>
      <c r="N21" s="133">
        <f>IF(SER_hh_emi!N21=0,0,1000000*SER_hh_emi!N21/SER_hh_num!N21)</f>
        <v>0</v>
      </c>
      <c r="O21" s="133">
        <f>IF(SER_hh_emi!O21=0,0,1000000*SER_hh_emi!O21/SER_hh_num!O21)</f>
        <v>0</v>
      </c>
      <c r="P21" s="133">
        <f>IF(SER_hh_emi!P21=0,0,1000000*SER_hh_emi!P21/SER_hh_num!P21)</f>
        <v>0</v>
      </c>
      <c r="Q21" s="133">
        <f>IF(SER_hh_emi!Q21=0,0,1000000*SER_hh_emi!Q21/SER_hh_num!Q21)</f>
        <v>0</v>
      </c>
      <c r="R21" s="133">
        <f>IF(SER_hh_emi!R21=0,0,1000000*SER_hh_emi!R21/SER_hh_num!R21)</f>
        <v>0</v>
      </c>
      <c r="S21" s="133">
        <f>IF(SER_hh_emi!S21=0,0,1000000*SER_hh_emi!S21/SER_hh_num!S21)</f>
        <v>0</v>
      </c>
      <c r="T21" s="133">
        <f>IF(SER_hh_emi!T21=0,0,1000000*SER_hh_emi!T21/SER_hh_num!T21)</f>
        <v>0</v>
      </c>
      <c r="U21" s="133">
        <f>IF(SER_hh_emi!U21=0,0,1000000*SER_hh_emi!U21/SER_hh_num!U21)</f>
        <v>0</v>
      </c>
      <c r="V21" s="133">
        <f>IF(SER_hh_emi!V21=0,0,1000000*SER_hh_emi!V21/SER_hh_num!V21)</f>
        <v>0</v>
      </c>
      <c r="W21" s="133">
        <f>IF(SER_hh_emi!W21=0,0,1000000*SER_hh_emi!W21/SER_hh_num!W21)</f>
        <v>0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5194.7903885416217</v>
      </c>
      <c r="C22" s="133">
        <f>IF(SER_hh_emi!C22=0,0,1000000*SER_hh_emi!C22/SER_hh_num!C22)</f>
        <v>3821.9445598196257</v>
      </c>
      <c r="D22" s="133">
        <f>IF(SER_hh_emi!D22=0,0,1000000*SER_hh_emi!D22/SER_hh_num!D22)</f>
        <v>4233.3072736974073</v>
      </c>
      <c r="E22" s="133">
        <f>IF(SER_hh_emi!E22=0,0,1000000*SER_hh_emi!E22/SER_hh_num!E22)</f>
        <v>4031.7032542407214</v>
      </c>
      <c r="F22" s="133">
        <f>IF(SER_hh_emi!F22=0,0,1000000*SER_hh_emi!F22/SER_hh_num!F22)</f>
        <v>4949.4565490172963</v>
      </c>
      <c r="G22" s="133">
        <f>IF(SER_hh_emi!G22=0,0,1000000*SER_hh_emi!G22/SER_hh_num!G22)</f>
        <v>4421.7519869552598</v>
      </c>
      <c r="H22" s="133">
        <f>IF(SER_hh_emi!H22=0,0,1000000*SER_hh_emi!H22/SER_hh_num!H22)</f>
        <v>4793.9248331076406</v>
      </c>
      <c r="I22" s="133">
        <f>IF(SER_hh_emi!I22=0,0,1000000*SER_hh_emi!I22/SER_hh_num!I22)</f>
        <v>4751.1669312332579</v>
      </c>
      <c r="J22" s="133">
        <f>IF(SER_hh_emi!J22=0,0,1000000*SER_hh_emi!J22/SER_hh_num!J22)</f>
        <v>5167.0207293800813</v>
      </c>
      <c r="K22" s="133">
        <f>IF(SER_hh_emi!K22=0,0,1000000*SER_hh_emi!K22/SER_hh_num!K22)</f>
        <v>4522.0526652269709</v>
      </c>
      <c r="L22" s="133">
        <f>IF(SER_hh_emi!L22=0,0,1000000*SER_hh_emi!L22/SER_hh_num!L22)</f>
        <v>4788.5686828323678</v>
      </c>
      <c r="M22" s="133">
        <f>IF(SER_hh_emi!M22=0,0,1000000*SER_hh_emi!M22/SER_hh_num!M22)</f>
        <v>4737.0098173831757</v>
      </c>
      <c r="N22" s="133">
        <f>IF(SER_hh_emi!N22=0,0,1000000*SER_hh_emi!N22/SER_hh_num!N22)</f>
        <v>4148.8324119181325</v>
      </c>
      <c r="O22" s="133">
        <f>IF(SER_hh_emi!O22=0,0,1000000*SER_hh_emi!O22/SER_hh_num!O22)</f>
        <v>4368.614821151592</v>
      </c>
      <c r="P22" s="133">
        <f>IF(SER_hh_emi!P22=0,0,1000000*SER_hh_emi!P22/SER_hh_num!P22)</f>
        <v>4483.2903776170442</v>
      </c>
      <c r="Q22" s="133">
        <f>IF(SER_hh_emi!Q22=0,0,1000000*SER_hh_emi!Q22/SER_hh_num!Q22)</f>
        <v>4443.7285769847404</v>
      </c>
      <c r="R22" s="133">
        <f>IF(SER_hh_emi!R22=0,0,1000000*SER_hh_emi!R22/SER_hh_num!R22)</f>
        <v>4478.0239923172348</v>
      </c>
      <c r="S22" s="133">
        <f>IF(SER_hh_emi!S22=0,0,1000000*SER_hh_emi!S22/SER_hh_num!S22)</f>
        <v>4932.1314245779213</v>
      </c>
      <c r="T22" s="133">
        <f>IF(SER_hh_emi!T22=0,0,1000000*SER_hh_emi!T22/SER_hh_num!T22)</f>
        <v>3584.3984729734252</v>
      </c>
      <c r="U22" s="133">
        <f>IF(SER_hh_emi!U22=0,0,1000000*SER_hh_emi!U22/SER_hh_num!U22)</f>
        <v>4017.7932750680807</v>
      </c>
      <c r="V22" s="133">
        <f>IF(SER_hh_emi!V22=0,0,1000000*SER_hh_emi!V22/SER_hh_num!V22)</f>
        <v>3820.4513656659983</v>
      </c>
      <c r="W22" s="133">
        <f>IF(SER_hh_emi!W22=0,0,1000000*SER_hh_emi!W22/SER_hh_num!W22)</f>
        <v>4044.9953062128079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3225.054190682948</v>
      </c>
      <c r="C23" s="133">
        <f>IF(SER_hh_emi!C23=0,0,1000000*SER_hh_emi!C23/SER_hh_num!C23)</f>
        <v>3193.0792982274738</v>
      </c>
      <c r="D23" s="133">
        <f>IF(SER_hh_emi!D23=0,0,1000000*SER_hh_emi!D23/SER_hh_num!D23)</f>
        <v>3108.7638514508467</v>
      </c>
      <c r="E23" s="133">
        <f>IF(SER_hh_emi!E23=0,0,1000000*SER_hh_emi!E23/SER_hh_num!E23)</f>
        <v>2925.0356060866575</v>
      </c>
      <c r="F23" s="133">
        <f>IF(SER_hh_emi!F23=0,0,1000000*SER_hh_emi!F23/SER_hh_num!F23)</f>
        <v>3257.031972147644</v>
      </c>
      <c r="G23" s="133">
        <f>IF(SER_hh_emi!G23=0,0,1000000*SER_hh_emi!G23/SER_hh_num!G23)</f>
        <v>2890.8622639372625</v>
      </c>
      <c r="H23" s="133">
        <f>IF(SER_hh_emi!H23=0,0,1000000*SER_hh_emi!H23/SER_hh_num!H23)</f>
        <v>2776.1904682579861</v>
      </c>
      <c r="I23" s="133">
        <f>IF(SER_hh_emi!I23=0,0,1000000*SER_hh_emi!I23/SER_hh_num!I23)</f>
        <v>3289.384210905399</v>
      </c>
      <c r="J23" s="133">
        <f>IF(SER_hh_emi!J23=0,0,1000000*SER_hh_emi!J23/SER_hh_num!J23)</f>
        <v>3243.6941007192249</v>
      </c>
      <c r="K23" s="133">
        <f>IF(SER_hh_emi!K23=0,0,1000000*SER_hh_emi!K23/SER_hh_num!K23)</f>
        <v>3036.6435607292015</v>
      </c>
      <c r="L23" s="133">
        <f>IF(SER_hh_emi!L23=0,0,1000000*SER_hh_emi!L23/SER_hh_num!L23)</f>
        <v>3015.3021848671719</v>
      </c>
      <c r="M23" s="133">
        <f>IF(SER_hh_emi!M23=0,0,1000000*SER_hh_emi!M23/SER_hh_num!M23)</f>
        <v>3041.4014636026677</v>
      </c>
      <c r="N23" s="133">
        <f>IF(SER_hh_emi!N23=0,0,1000000*SER_hh_emi!N23/SER_hh_num!N23)</f>
        <v>3048.5162454104579</v>
      </c>
      <c r="O23" s="133">
        <f>IF(SER_hh_emi!O23=0,0,1000000*SER_hh_emi!O23/SER_hh_num!O23)</f>
        <v>3074.7517088736799</v>
      </c>
      <c r="P23" s="133">
        <f>IF(SER_hh_emi!P23=0,0,1000000*SER_hh_emi!P23/SER_hh_num!P23)</f>
        <v>2747.6163496133563</v>
      </c>
      <c r="Q23" s="133">
        <f>IF(SER_hh_emi!Q23=0,0,1000000*SER_hh_emi!Q23/SER_hh_num!Q23)</f>
        <v>2871.9085959018007</v>
      </c>
      <c r="R23" s="133">
        <f>IF(SER_hh_emi!R23=0,0,1000000*SER_hh_emi!R23/SER_hh_num!R23)</f>
        <v>2892.638501607802</v>
      </c>
      <c r="S23" s="133">
        <f>IF(SER_hh_emi!S23=0,0,1000000*SER_hh_emi!S23/SER_hh_num!S23)</f>
        <v>2777.437158343927</v>
      </c>
      <c r="T23" s="133">
        <f>IF(SER_hh_emi!T23=0,0,1000000*SER_hh_emi!T23/SER_hh_num!T23)</f>
        <v>2701.4959742871674</v>
      </c>
      <c r="U23" s="133">
        <f>IF(SER_hh_emi!U23=0,0,1000000*SER_hh_emi!U23/SER_hh_num!U23)</f>
        <v>2583.309975536903</v>
      </c>
      <c r="V23" s="133">
        <f>IF(SER_hh_emi!V23=0,0,1000000*SER_hh_emi!V23/SER_hh_num!V23)</f>
        <v>2382.2447211579811</v>
      </c>
      <c r="W23" s="133">
        <f>IF(SER_hh_emi!W23=0,0,1000000*SER_hh_emi!W23/SER_hh_num!W23)</f>
        <v>2415.9966674957677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685.41272779179735</v>
      </c>
      <c r="C29" s="131">
        <f>IF(SER_hh_emi!C29=0,0,1000000*SER_hh_emi!C29/SER_hh_num!C29)</f>
        <v>703.12238442974956</v>
      </c>
      <c r="D29" s="131">
        <f>IF(SER_hh_emi!D29=0,0,1000000*SER_hh_emi!D29/SER_hh_num!D29)</f>
        <v>742.95415176634322</v>
      </c>
      <c r="E29" s="131">
        <f>IF(SER_hh_emi!E29=0,0,1000000*SER_hh_emi!E29/SER_hh_num!E29)</f>
        <v>717.36378113791056</v>
      </c>
      <c r="F29" s="131">
        <f>IF(SER_hh_emi!F29=0,0,1000000*SER_hh_emi!F29/SER_hh_num!F29)</f>
        <v>632.77759888725905</v>
      </c>
      <c r="G29" s="131">
        <f>IF(SER_hh_emi!G29=0,0,1000000*SER_hh_emi!G29/SER_hh_num!G29)</f>
        <v>636.01965332005261</v>
      </c>
      <c r="H29" s="131">
        <f>IF(SER_hh_emi!H29=0,0,1000000*SER_hh_emi!H29/SER_hh_num!H29)</f>
        <v>641.20352328913498</v>
      </c>
      <c r="I29" s="131">
        <f>IF(SER_hh_emi!I29=0,0,1000000*SER_hh_emi!I29/SER_hh_num!I29)</f>
        <v>756.1441446262952</v>
      </c>
      <c r="J29" s="131">
        <f>IF(SER_hh_emi!J29=0,0,1000000*SER_hh_emi!J29/SER_hh_num!J29)</f>
        <v>774.10837908971075</v>
      </c>
      <c r="K29" s="131">
        <f>IF(SER_hh_emi!K29=0,0,1000000*SER_hh_emi!K29/SER_hh_num!K29)</f>
        <v>753.63061635062206</v>
      </c>
      <c r="L29" s="131">
        <f>IF(SER_hh_emi!L29=0,0,1000000*SER_hh_emi!L29/SER_hh_num!L29)</f>
        <v>685.24973705188449</v>
      </c>
      <c r="M29" s="131">
        <f>IF(SER_hh_emi!M29=0,0,1000000*SER_hh_emi!M29/SER_hh_num!M29)</f>
        <v>634.74260842765943</v>
      </c>
      <c r="N29" s="131">
        <f>IF(SER_hh_emi!N29=0,0,1000000*SER_hh_emi!N29/SER_hh_num!N29)</f>
        <v>551.86031936020458</v>
      </c>
      <c r="O29" s="131">
        <f>IF(SER_hh_emi!O29=0,0,1000000*SER_hh_emi!O29/SER_hh_num!O29)</f>
        <v>450.26799727036263</v>
      </c>
      <c r="P29" s="131">
        <f>IF(SER_hh_emi!P29=0,0,1000000*SER_hh_emi!P29/SER_hh_num!P29)</f>
        <v>376.99399429150895</v>
      </c>
      <c r="Q29" s="131">
        <f>IF(SER_hh_emi!Q29=0,0,1000000*SER_hh_emi!Q29/SER_hh_num!Q29)</f>
        <v>428.72852591336408</v>
      </c>
      <c r="R29" s="131">
        <f>IF(SER_hh_emi!R29=0,0,1000000*SER_hh_emi!R29/SER_hh_num!R29)</f>
        <v>449.89625899039339</v>
      </c>
      <c r="S29" s="131">
        <f>IF(SER_hh_emi!S29=0,0,1000000*SER_hh_emi!S29/SER_hh_num!S29)</f>
        <v>412.33086226672538</v>
      </c>
      <c r="T29" s="131">
        <f>IF(SER_hh_emi!T29=0,0,1000000*SER_hh_emi!T29/SER_hh_num!T29)</f>
        <v>426.44633793066419</v>
      </c>
      <c r="U29" s="131">
        <f>IF(SER_hh_emi!U29=0,0,1000000*SER_hh_emi!U29/SER_hh_num!U29)</f>
        <v>276.38952204618528</v>
      </c>
      <c r="V29" s="131">
        <f>IF(SER_hh_emi!V29=0,0,1000000*SER_hh_emi!V29/SER_hh_num!V29)</f>
        <v>210.94812988626967</v>
      </c>
      <c r="W29" s="131">
        <f>IF(SER_hh_emi!W29=0,0,1000000*SER_hh_emi!W29/SER_hh_num!W29)</f>
        <v>218.24868708662879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0</v>
      </c>
      <c r="C30" s="133">
        <f>IF(SER_hh_emi!C30=0,0,1000000*SER_hh_emi!C30/SER_hh_num!C30)</f>
        <v>0</v>
      </c>
      <c r="D30" s="133">
        <f>IF(SER_hh_emi!D30=0,0,1000000*SER_hh_emi!D30/SER_hh_num!D30)</f>
        <v>0</v>
      </c>
      <c r="E30" s="133">
        <f>IF(SER_hh_emi!E30=0,0,1000000*SER_hh_emi!E30/SER_hh_num!E30)</f>
        <v>0</v>
      </c>
      <c r="F30" s="133">
        <f>IF(SER_hh_emi!F30=0,0,1000000*SER_hh_emi!F30/SER_hh_num!F30)</f>
        <v>0</v>
      </c>
      <c r="G30" s="133">
        <f>IF(SER_hh_emi!G30=0,0,1000000*SER_hh_emi!G30/SER_hh_num!G30)</f>
        <v>0</v>
      </c>
      <c r="H30" s="133">
        <f>IF(SER_hh_emi!H30=0,0,1000000*SER_hh_emi!H30/SER_hh_num!H30)</f>
        <v>0</v>
      </c>
      <c r="I30" s="133">
        <f>IF(SER_hh_emi!I30=0,0,1000000*SER_hh_emi!I30/SER_hh_num!I30)</f>
        <v>0</v>
      </c>
      <c r="J30" s="133">
        <f>IF(SER_hh_emi!J30=0,0,1000000*SER_hh_emi!J30/SER_hh_num!J30)</f>
        <v>0</v>
      </c>
      <c r="K30" s="133">
        <f>IF(SER_hh_emi!K30=0,0,1000000*SER_hh_emi!K30/SER_hh_num!K30)</f>
        <v>0</v>
      </c>
      <c r="L30" s="133">
        <f>IF(SER_hh_emi!L30=0,0,1000000*SER_hh_emi!L30/SER_hh_num!L30)</f>
        <v>0</v>
      </c>
      <c r="M30" s="133">
        <f>IF(SER_hh_emi!M30=0,0,1000000*SER_hh_emi!M30/SER_hh_num!M30)</f>
        <v>0</v>
      </c>
      <c r="N30" s="133">
        <f>IF(SER_hh_emi!N30=0,0,1000000*SER_hh_emi!N30/SER_hh_num!N30)</f>
        <v>0</v>
      </c>
      <c r="O30" s="133">
        <f>IF(SER_hh_emi!O30=0,0,1000000*SER_hh_emi!O30/SER_hh_num!O30)</f>
        <v>0</v>
      </c>
      <c r="P30" s="133">
        <f>IF(SER_hh_emi!P30=0,0,1000000*SER_hh_emi!P30/SER_hh_num!P30)</f>
        <v>0</v>
      </c>
      <c r="Q30" s="133">
        <f>IF(SER_hh_emi!Q30=0,0,1000000*SER_hh_emi!Q30/SER_hh_num!Q30)</f>
        <v>0</v>
      </c>
      <c r="R30" s="133">
        <f>IF(SER_hh_emi!R30=0,0,1000000*SER_hh_emi!R30/SER_hh_num!R30)</f>
        <v>0</v>
      </c>
      <c r="S30" s="133">
        <f>IF(SER_hh_emi!S30=0,0,1000000*SER_hh_emi!S30/SER_hh_num!S30)</f>
        <v>0</v>
      </c>
      <c r="T30" s="133">
        <f>IF(SER_hh_emi!T30=0,0,1000000*SER_hh_emi!T30/SER_hh_num!T30)</f>
        <v>0</v>
      </c>
      <c r="U30" s="133">
        <f>IF(SER_hh_emi!U30=0,0,1000000*SER_hh_emi!U30/SER_hh_num!U30)</f>
        <v>0</v>
      </c>
      <c r="V30" s="133">
        <f>IF(SER_hh_emi!V30=0,0,1000000*SER_hh_emi!V30/SER_hh_num!V30)</f>
        <v>0</v>
      </c>
      <c r="W30" s="133">
        <f>IF(SER_hh_emi!W30=0,0,1000000*SER_hh_emi!W30/SER_hh_num!W30)</f>
        <v>0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3029.9994821198557</v>
      </c>
      <c r="C31" s="133">
        <f>IF(SER_hh_emi!C31=0,0,1000000*SER_hh_emi!C31/SER_hh_num!C31)</f>
        <v>3004.7996342307515</v>
      </c>
      <c r="D31" s="133">
        <f>IF(SER_hh_emi!D31=0,0,1000000*SER_hh_emi!D31/SER_hh_num!D31)</f>
        <v>3048.3780934719703</v>
      </c>
      <c r="E31" s="133">
        <f>IF(SER_hh_emi!E31=0,0,1000000*SER_hh_emi!E31/SER_hh_num!E31)</f>
        <v>2989.1959356298621</v>
      </c>
      <c r="F31" s="133">
        <f>IF(SER_hh_emi!F31=0,0,1000000*SER_hh_emi!F31/SER_hh_num!F31)</f>
        <v>2750.363549436438</v>
      </c>
      <c r="G31" s="133">
        <f>IF(SER_hh_emi!G31=0,0,1000000*SER_hh_emi!G31/SER_hh_num!G31)</f>
        <v>2757.4032966100299</v>
      </c>
      <c r="H31" s="133">
        <f>IF(SER_hh_emi!H31=0,0,1000000*SER_hh_emi!H31/SER_hh_num!H31)</f>
        <v>2635.7204380363059</v>
      </c>
      <c r="I31" s="133">
        <f>IF(SER_hh_emi!I31=0,0,1000000*SER_hh_emi!I31/SER_hh_num!I31)</f>
        <v>2946.9543990842108</v>
      </c>
      <c r="J31" s="133">
        <f>IF(SER_hh_emi!J31=0,0,1000000*SER_hh_emi!J31/SER_hh_num!J31)</f>
        <v>2880.2840487248982</v>
      </c>
      <c r="K31" s="133">
        <f>IF(SER_hh_emi!K31=0,0,1000000*SER_hh_emi!K31/SER_hh_num!K31)</f>
        <v>2724.1734705380936</v>
      </c>
      <c r="L31" s="133">
        <f>IF(SER_hh_emi!L31=0,0,1000000*SER_hh_emi!L31/SER_hh_num!L31)</f>
        <v>2590.1902119050023</v>
      </c>
      <c r="M31" s="133">
        <f>IF(SER_hh_emi!M31=0,0,1000000*SER_hh_emi!M31/SER_hh_num!M31)</f>
        <v>2620.8569781419587</v>
      </c>
      <c r="N31" s="133">
        <f>IF(SER_hh_emi!N31=0,0,1000000*SER_hh_emi!N31/SER_hh_num!N31)</f>
        <v>2576.6421038115218</v>
      </c>
      <c r="O31" s="133">
        <f>IF(SER_hh_emi!O31=0,0,1000000*SER_hh_emi!O31/SER_hh_num!O31)</f>
        <v>2344.574505245675</v>
      </c>
      <c r="P31" s="133">
        <f>IF(SER_hh_emi!P31=0,0,1000000*SER_hh_emi!P31/SER_hh_num!P31)</f>
        <v>2094.0600111120089</v>
      </c>
      <c r="Q31" s="133">
        <f>IF(SER_hh_emi!Q31=0,0,1000000*SER_hh_emi!Q31/SER_hh_num!Q31)</f>
        <v>2303.0394327601998</v>
      </c>
      <c r="R31" s="133">
        <f>IF(SER_hh_emi!R31=0,0,1000000*SER_hh_emi!R31/SER_hh_num!R31)</f>
        <v>2371.0692114428189</v>
      </c>
      <c r="S31" s="133">
        <f>IF(SER_hh_emi!S31=0,0,1000000*SER_hh_emi!S31/SER_hh_num!S31)</f>
        <v>2268.8749530709015</v>
      </c>
      <c r="T31" s="133">
        <f>IF(SER_hh_emi!T31=0,0,1000000*SER_hh_emi!T31/SER_hh_num!T31)</f>
        <v>2620.2161866399938</v>
      </c>
      <c r="U31" s="133">
        <f>IF(SER_hh_emi!U31=0,0,1000000*SER_hh_emi!U31/SER_hh_num!U31)</f>
        <v>2155.5784940622866</v>
      </c>
      <c r="V31" s="133">
        <f>IF(SER_hh_emi!V31=0,0,1000000*SER_hh_emi!V31/SER_hh_num!V31)</f>
        <v>2185.1222146747864</v>
      </c>
      <c r="W31" s="133">
        <f>IF(SER_hh_emi!W31=0,0,1000000*SER_hh_emi!W31/SER_hh_num!W31)</f>
        <v>2491.564805140154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159.5437241000221</v>
      </c>
      <c r="C3" s="126">
        <f>IF(SER_hh_fech!C3=0,0,SER_hh_fech!C3/SER_summary!C$26)</f>
        <v>153.17331194172345</v>
      </c>
      <c r="D3" s="126">
        <f>IF(SER_hh_fech!D3=0,0,SER_hh_fech!D3/SER_summary!D$26)</f>
        <v>149.46300129886939</v>
      </c>
      <c r="E3" s="126">
        <f>IF(SER_hh_fech!E3=0,0,SER_hh_fech!E3/SER_summary!E$26)</f>
        <v>144.43966903592491</v>
      </c>
      <c r="F3" s="126">
        <f>IF(SER_hh_fech!F3=0,0,SER_hh_fech!F3/SER_summary!F$26)</f>
        <v>141.85039996745218</v>
      </c>
      <c r="G3" s="126">
        <f>IF(SER_hh_fech!G3=0,0,SER_hh_fech!G3/SER_summary!G$26)</f>
        <v>135.6826338391688</v>
      </c>
      <c r="H3" s="126">
        <f>IF(SER_hh_fech!H3=0,0,SER_hh_fech!H3/SER_summary!H$26)</f>
        <v>142.00334890627423</v>
      </c>
      <c r="I3" s="126">
        <f>IF(SER_hh_fech!I3=0,0,SER_hh_fech!I3/SER_summary!I$26)</f>
        <v>130.79525362268339</v>
      </c>
      <c r="J3" s="126">
        <f>IF(SER_hh_fech!J3=0,0,SER_hh_fech!J3/SER_summary!J$26)</f>
        <v>116.53330573094672</v>
      </c>
      <c r="K3" s="126">
        <f>IF(SER_hh_fech!K3=0,0,SER_hh_fech!K3/SER_summary!K$26)</f>
        <v>112.40844006386371</v>
      </c>
      <c r="L3" s="126">
        <f>IF(SER_hh_fech!L3=0,0,SER_hh_fech!L3/SER_summary!L$26)</f>
        <v>114.00379614424216</v>
      </c>
      <c r="M3" s="126">
        <f>IF(SER_hh_fech!M3=0,0,SER_hh_fech!M3/SER_summary!M$26)</f>
        <v>105.6513763628339</v>
      </c>
      <c r="N3" s="126">
        <f>IF(SER_hh_fech!N3=0,0,SER_hh_fech!N3/SER_summary!N$26)</f>
        <v>110.58007162297206</v>
      </c>
      <c r="O3" s="126">
        <f>IF(SER_hh_fech!O3=0,0,SER_hh_fech!O3/SER_summary!O$26)</f>
        <v>101.9545999914841</v>
      </c>
      <c r="P3" s="126">
        <f>IF(SER_hh_fech!P3=0,0,SER_hh_fech!P3/SER_summary!P$26)</f>
        <v>96.860500625630806</v>
      </c>
      <c r="Q3" s="126">
        <f>IF(SER_hh_fech!Q3=0,0,SER_hh_fech!Q3/SER_summary!Q$26)</f>
        <v>92.525912141321342</v>
      </c>
      <c r="R3" s="126">
        <f>IF(SER_hh_fech!R3=0,0,SER_hh_fech!R3/SER_summary!R$26)</f>
        <v>97.576928951666659</v>
      </c>
      <c r="S3" s="126">
        <f>IF(SER_hh_fech!S3=0,0,SER_hh_fech!S3/SER_summary!S$26)</f>
        <v>102.40288773501719</v>
      </c>
      <c r="T3" s="126">
        <f>IF(SER_hh_fech!T3=0,0,SER_hh_fech!T3/SER_summary!T$26)</f>
        <v>105.62050367734173</v>
      </c>
      <c r="U3" s="126">
        <f>IF(SER_hh_fech!U3=0,0,SER_hh_fech!U3/SER_summary!U$26)</f>
        <v>97.857539952980545</v>
      </c>
      <c r="V3" s="126">
        <f>IF(SER_hh_fech!V3=0,0,SER_hh_fech!V3/SER_summary!V$26)</f>
        <v>87.944928993560225</v>
      </c>
      <c r="W3" s="126">
        <f>IF(SER_hh_fech!W3=0,0,SER_hh_fech!W3/SER_summary!W$26)</f>
        <v>103.29005354958282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131.17177562002624</v>
      </c>
      <c r="C4" s="131">
        <f>IF(SER_hh_fech!C4=0,0,SER_hh_fech!C4/SER_summary!C$26)</f>
        <v>125.21893348142163</v>
      </c>
      <c r="D4" s="131">
        <f>IF(SER_hh_fech!D4=0,0,SER_hh_fech!D4/SER_summary!D$26)</f>
        <v>121.64568679760261</v>
      </c>
      <c r="E4" s="131">
        <f>IF(SER_hh_fech!E4=0,0,SER_hh_fech!E4/SER_summary!E$26)</f>
        <v>117.35799423211373</v>
      </c>
      <c r="F4" s="131">
        <f>IF(SER_hh_fech!F4=0,0,SER_hh_fech!F4/SER_summary!F$26)</f>
        <v>114.71001462401368</v>
      </c>
      <c r="G4" s="131">
        <f>IF(SER_hh_fech!G4=0,0,SER_hh_fech!G4/SER_summary!G$26)</f>
        <v>108.43405204777324</v>
      </c>
      <c r="H4" s="131">
        <f>IF(SER_hh_fech!H4=0,0,SER_hh_fech!H4/SER_summary!H$26)</f>
        <v>113.72725914920734</v>
      </c>
      <c r="I4" s="131">
        <f>IF(SER_hh_fech!I4=0,0,SER_hh_fech!I4/SER_summary!I$26)</f>
        <v>103.54589378447736</v>
      </c>
      <c r="J4" s="131">
        <f>IF(SER_hh_fech!J4=0,0,SER_hh_fech!J4/SER_summary!J$26)</f>
        <v>89.505196884579533</v>
      </c>
      <c r="K4" s="131">
        <f>IF(SER_hh_fech!K4=0,0,SER_hh_fech!K4/SER_summary!K$26)</f>
        <v>85.513120779847654</v>
      </c>
      <c r="L4" s="131">
        <f>IF(SER_hh_fech!L4=0,0,SER_hh_fech!L4/SER_summary!L$26)</f>
        <v>87.142835821346253</v>
      </c>
      <c r="M4" s="131">
        <f>IF(SER_hh_fech!M4=0,0,SER_hh_fech!M4/SER_summary!M$26)</f>
        <v>79.172527493837293</v>
      </c>
      <c r="N4" s="131">
        <f>IF(SER_hh_fech!N4=0,0,SER_hh_fech!N4/SER_summary!N$26)</f>
        <v>83.790373947246849</v>
      </c>
      <c r="O4" s="131">
        <f>IF(SER_hh_fech!O4=0,0,SER_hh_fech!O4/SER_summary!O$26)</f>
        <v>75.840426833667408</v>
      </c>
      <c r="P4" s="131">
        <f>IF(SER_hh_fech!P4=0,0,SER_hh_fech!P4/SER_summary!P$26)</f>
        <v>70.993372714909128</v>
      </c>
      <c r="Q4" s="131">
        <f>IF(SER_hh_fech!Q4=0,0,SER_hh_fech!Q4/SER_summary!Q$26)</f>
        <v>67.231839940682093</v>
      </c>
      <c r="R4" s="131">
        <f>IF(SER_hh_fech!R4=0,0,SER_hh_fech!R4/SER_summary!R$26)</f>
        <v>71.809773781291952</v>
      </c>
      <c r="S4" s="131">
        <f>IF(SER_hh_fech!S4=0,0,SER_hh_fech!S4/SER_summary!S$26)</f>
        <v>77.220448724763102</v>
      </c>
      <c r="T4" s="131">
        <f>IF(SER_hh_fech!T4=0,0,SER_hh_fech!T4/SER_summary!T$26)</f>
        <v>80.176452622784865</v>
      </c>
      <c r="U4" s="131">
        <f>IF(SER_hh_fech!U4=0,0,SER_hh_fech!U4/SER_summary!U$26)</f>
        <v>72.481858978518716</v>
      </c>
      <c r="V4" s="131">
        <f>IF(SER_hh_fech!V4=0,0,SER_hh_fech!V4/SER_summary!V$26)</f>
        <v>65.190459783418817</v>
      </c>
      <c r="W4" s="131">
        <f>IF(SER_hh_fech!W4=0,0,SER_hh_fech!W4/SER_summary!W$26)</f>
        <v>77.573102026513254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169.74920955539096</v>
      </c>
      <c r="C5" s="133">
        <f>IF(SER_hh_fech!C5=0,0,SER_hh_fech!C5/SER_summary!C$26)</f>
        <v>141.94330598971857</v>
      </c>
      <c r="D5" s="133">
        <f>IF(SER_hh_fech!D5=0,0,SER_hh_fech!D5/SER_summary!D$26)</f>
        <v>152.62055108450673</v>
      </c>
      <c r="E5" s="133">
        <f>IF(SER_hh_fech!E5=0,0,SER_hh_fech!E5/SER_summary!E$26)</f>
        <v>143.53540483733053</v>
      </c>
      <c r="F5" s="133">
        <f>IF(SER_hh_fech!F5=0,0,SER_hh_fech!F5/SER_summary!F$26)</f>
        <v>125.27969137163757</v>
      </c>
      <c r="G5" s="133">
        <f>IF(SER_hh_fech!G5=0,0,SER_hh_fech!G5/SER_summary!G$26)</f>
        <v>128.16809924632358</v>
      </c>
      <c r="H5" s="133">
        <f>IF(SER_hh_fech!H5=0,0,SER_hh_fech!H5/SER_summary!H$26)</f>
        <v>161.16124916777906</v>
      </c>
      <c r="I5" s="133">
        <f>IF(SER_hh_fech!I5=0,0,SER_hh_fech!I5/SER_summary!I$26)</f>
        <v>118.69155829618568</v>
      </c>
      <c r="J5" s="133">
        <f>IF(SER_hh_fech!J5=0,0,SER_hh_fech!J5/SER_summary!J$26)</f>
        <v>87.412642191210864</v>
      </c>
      <c r="K5" s="133">
        <f>IF(SER_hh_fech!K5=0,0,SER_hh_fech!K5/SER_summary!K$26)</f>
        <v>101.14527988999512</v>
      </c>
      <c r="L5" s="133">
        <f>IF(SER_hh_fech!L5=0,0,SER_hh_fech!L5/SER_summary!L$26)</f>
        <v>96.263549620252419</v>
      </c>
      <c r="M5" s="133">
        <f>IF(SER_hh_fech!M5=0,0,SER_hh_fech!M5/SER_summary!M$26)</f>
        <v>112.85498534798077</v>
      </c>
      <c r="N5" s="133">
        <f>IF(SER_hh_fech!N5=0,0,SER_hh_fech!N5/SER_summary!N$26)</f>
        <v>78.363134121909454</v>
      </c>
      <c r="O5" s="133">
        <f>IF(SER_hh_fech!O5=0,0,SER_hh_fech!O5/SER_summary!O$26)</f>
        <v>91.931359950555972</v>
      </c>
      <c r="P5" s="133">
        <f>IF(SER_hh_fech!P5=0,0,SER_hh_fech!P5/SER_summary!P$26)</f>
        <v>83.918646044746254</v>
      </c>
      <c r="Q5" s="133">
        <f>IF(SER_hh_fech!Q5=0,0,SER_hh_fech!Q5/SER_summary!Q$26)</f>
        <v>66.746107054098132</v>
      </c>
      <c r="R5" s="133">
        <f>IF(SER_hh_fech!R5=0,0,SER_hh_fech!R5/SER_summary!R$26)</f>
        <v>82.637727840484899</v>
      </c>
      <c r="S5" s="133">
        <f>IF(SER_hh_fech!S5=0,0,SER_hh_fech!S5/SER_summary!S$26)</f>
        <v>87.867028542161307</v>
      </c>
      <c r="T5" s="133">
        <f>IF(SER_hh_fech!T5=0,0,SER_hh_fech!T5/SER_summary!T$26)</f>
        <v>94.017303375494592</v>
      </c>
      <c r="U5" s="133">
        <f>IF(SER_hh_fech!U5=0,0,SER_hh_fech!U5/SER_summary!U$26)</f>
        <v>86.123111960297052</v>
      </c>
      <c r="V5" s="133">
        <f>IF(SER_hh_fech!V5=0,0,SER_hh_fech!V5/SER_summary!V$26)</f>
        <v>66.694973461179757</v>
      </c>
      <c r="W5" s="133">
        <f>IF(SER_hh_fech!W5=0,0,SER_hh_fech!W5/SER_summary!W$26)</f>
        <v>88.316859852051579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202.34259648685321</v>
      </c>
      <c r="C7" s="133">
        <f>IF(SER_hh_fech!C7=0,0,SER_hh_fech!C7/SER_summary!C$26)</f>
        <v>161.19423933703584</v>
      </c>
      <c r="D7" s="133">
        <f>IF(SER_hh_fech!D7=0,0,SER_hh_fech!D7/SER_summary!D$26)</f>
        <v>195.69746889702844</v>
      </c>
      <c r="E7" s="133">
        <f>IF(SER_hh_fech!E7=0,0,SER_hh_fech!E7/SER_summary!E$26)</f>
        <v>154.41592426535308</v>
      </c>
      <c r="F7" s="133">
        <f>IF(SER_hh_fech!F7=0,0,SER_hh_fech!F7/SER_summary!F$26)</f>
        <v>180.03085775795481</v>
      </c>
      <c r="G7" s="133">
        <f>IF(SER_hh_fech!G7=0,0,SER_hh_fech!G7/SER_summary!G$26)</f>
        <v>154.03329936602779</v>
      </c>
      <c r="H7" s="133">
        <f>IF(SER_hh_fech!H7=0,0,SER_hh_fech!H7/SER_summary!H$26)</f>
        <v>136.5489946330072</v>
      </c>
      <c r="I7" s="133">
        <f>IF(SER_hh_fech!I7=0,0,SER_hh_fech!I7/SER_summary!I$26)</f>
        <v>138.66069629388602</v>
      </c>
      <c r="J7" s="133">
        <f>IF(SER_hh_fech!J7=0,0,SER_hh_fech!J7/SER_summary!J$26)</f>
        <v>230.71839080885809</v>
      </c>
      <c r="K7" s="133">
        <f>IF(SER_hh_fech!K7=0,0,SER_hh_fech!K7/SER_summary!K$26)</f>
        <v>72.068407668997708</v>
      </c>
      <c r="L7" s="133">
        <f>IF(SER_hh_fech!L7=0,0,SER_hh_fech!L7/SER_summary!L$26)</f>
        <v>107.43419961780516</v>
      </c>
      <c r="M7" s="133">
        <f>IF(SER_hh_fech!M7=0,0,SER_hh_fech!M7/SER_summary!M$26)</f>
        <v>139.92104336332704</v>
      </c>
      <c r="N7" s="133">
        <f>IF(SER_hh_fech!N7=0,0,SER_hh_fech!N7/SER_summary!N$26)</f>
        <v>85.331467866966932</v>
      </c>
      <c r="O7" s="133">
        <f>IF(SER_hh_fech!O7=0,0,SER_hh_fech!O7/SER_summary!O$26)</f>
        <v>84.487791994175765</v>
      </c>
      <c r="P7" s="133">
        <f>IF(SER_hh_fech!P7=0,0,SER_hh_fech!P7/SER_summary!P$26)</f>
        <v>119.56290280238468</v>
      </c>
      <c r="Q7" s="133">
        <f>IF(SER_hh_fech!Q7=0,0,SER_hh_fech!Q7/SER_summary!Q$26)</f>
        <v>65.042235034397237</v>
      </c>
      <c r="R7" s="133">
        <f>IF(SER_hh_fech!R7=0,0,SER_hh_fech!R7/SER_summary!R$26)</f>
        <v>77.665090858845076</v>
      </c>
      <c r="S7" s="133">
        <f>IF(SER_hh_fech!S7=0,0,SER_hh_fech!S7/SER_summary!S$26)</f>
        <v>102.92382531899574</v>
      </c>
      <c r="T7" s="133">
        <f>IF(SER_hh_fech!T7=0,0,SER_hh_fech!T7/SER_summary!T$26)</f>
        <v>78.279726950596171</v>
      </c>
      <c r="U7" s="133">
        <f>IF(SER_hh_fech!U7=0,0,SER_hh_fech!U7/SER_summary!U$26)</f>
        <v>88.253506025562928</v>
      </c>
      <c r="V7" s="133">
        <f>IF(SER_hh_fech!V7=0,0,SER_hh_fech!V7/SER_summary!V$26)</f>
        <v>84.417361785148657</v>
      </c>
      <c r="W7" s="133">
        <f>IF(SER_hh_fech!W7=0,0,SER_hh_fech!W7/SER_summary!W$26)</f>
        <v>93.867645125169446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0</v>
      </c>
      <c r="C8" s="133">
        <f>IF(SER_hh_fech!C8=0,0,SER_hh_fech!C8/SER_summary!C$26)</f>
        <v>0</v>
      </c>
      <c r="D8" s="133">
        <f>IF(SER_hh_fech!D8=0,0,SER_hh_fech!D8/SER_summary!D$26)</f>
        <v>0</v>
      </c>
      <c r="E8" s="133">
        <f>IF(SER_hh_fech!E8=0,0,SER_hh_fech!E8/SER_summary!E$26)</f>
        <v>0</v>
      </c>
      <c r="F8" s="133">
        <f>IF(SER_hh_fech!F8=0,0,SER_hh_fech!F8/SER_summary!F$26)</f>
        <v>0</v>
      </c>
      <c r="G8" s="133">
        <f>IF(SER_hh_fech!G8=0,0,SER_hh_fech!G8/SER_summary!G$26)</f>
        <v>0</v>
      </c>
      <c r="H8" s="133">
        <f>IF(SER_hh_fech!H8=0,0,SER_hh_fech!H8/SER_summary!H$26)</f>
        <v>0</v>
      </c>
      <c r="I8" s="133">
        <f>IF(SER_hh_fech!I8=0,0,SER_hh_fech!I8/SER_summary!I$26)</f>
        <v>0</v>
      </c>
      <c r="J8" s="133">
        <f>IF(SER_hh_fech!J8=0,0,SER_hh_fech!J8/SER_summary!J$26)</f>
        <v>0</v>
      </c>
      <c r="K8" s="133">
        <f>IF(SER_hh_fech!K8=0,0,SER_hh_fech!K8/SER_summary!K$26)</f>
        <v>0</v>
      </c>
      <c r="L8" s="133">
        <f>IF(SER_hh_fech!L8=0,0,SER_hh_fech!L8/SER_summary!L$26)</f>
        <v>0</v>
      </c>
      <c r="M8" s="133">
        <f>IF(SER_hh_fech!M8=0,0,SER_hh_fech!M8/SER_summary!M$26)</f>
        <v>0</v>
      </c>
      <c r="N8" s="133">
        <f>IF(SER_hh_fech!N8=0,0,SER_hh_fech!N8/SER_summary!N$26)</f>
        <v>0</v>
      </c>
      <c r="O8" s="133">
        <f>IF(SER_hh_fech!O8=0,0,SER_hh_fech!O8/SER_summary!O$26)</f>
        <v>0</v>
      </c>
      <c r="P8" s="133">
        <f>IF(SER_hh_fech!P8=0,0,SER_hh_fech!P8/SER_summary!P$26)</f>
        <v>0</v>
      </c>
      <c r="Q8" s="133">
        <f>IF(SER_hh_fech!Q8=0,0,SER_hh_fech!Q8/SER_summary!Q$26)</f>
        <v>0</v>
      </c>
      <c r="R8" s="133">
        <f>IF(SER_hh_fech!R8=0,0,SER_hh_fech!R8/SER_summary!R$26)</f>
        <v>0</v>
      </c>
      <c r="S8" s="133">
        <f>IF(SER_hh_fech!S8=0,0,SER_hh_fech!S8/SER_summary!S$26)</f>
        <v>0</v>
      </c>
      <c r="T8" s="133">
        <f>IF(SER_hh_fech!T8=0,0,SER_hh_fech!T8/SER_summary!T$26)</f>
        <v>0</v>
      </c>
      <c r="U8" s="133">
        <f>IF(SER_hh_fech!U8=0,0,SER_hh_fech!U8/SER_summary!U$26)</f>
        <v>0</v>
      </c>
      <c r="V8" s="133">
        <f>IF(SER_hh_fech!V8=0,0,SER_hh_fech!V8/SER_summary!V$26)</f>
        <v>0</v>
      </c>
      <c r="W8" s="133">
        <f>IF(SER_hh_fech!W8=0,0,SER_hh_fech!W8/SER_summary!W$26)</f>
        <v>0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159.41388043928492</v>
      </c>
      <c r="C9" s="133">
        <f>IF(SER_hh_fech!C9=0,0,SER_hh_fech!C9/SER_summary!C$26)</f>
        <v>154.98657352743683</v>
      </c>
      <c r="D9" s="133">
        <f>IF(SER_hh_fech!D9=0,0,SER_hh_fech!D9/SER_summary!D$26)</f>
        <v>148.2905556690265</v>
      </c>
      <c r="E9" s="133">
        <f>IF(SER_hh_fech!E9=0,0,SER_hh_fech!E9/SER_summary!E$26)</f>
        <v>129.87670452680823</v>
      </c>
      <c r="F9" s="133">
        <f>IF(SER_hh_fech!F9=0,0,SER_hh_fech!F9/SER_summary!F$26)</f>
        <v>151.6339417459277</v>
      </c>
      <c r="G9" s="133">
        <f>IF(SER_hh_fech!G9=0,0,SER_hh_fech!G9/SER_summary!G$26)</f>
        <v>126.10871675034632</v>
      </c>
      <c r="H9" s="133">
        <f>IF(SER_hh_fech!H9=0,0,SER_hh_fech!H9/SER_summary!H$26)</f>
        <v>116.50934691526035</v>
      </c>
      <c r="I9" s="133">
        <f>IF(SER_hh_fech!I9=0,0,SER_hh_fech!I9/SER_summary!I$26)</f>
        <v>132.04598927436533</v>
      </c>
      <c r="J9" s="133">
        <f>IF(SER_hh_fech!J9=0,0,SER_hh_fech!J9/SER_summary!J$26)</f>
        <v>109.74492440837631</v>
      </c>
      <c r="K9" s="133">
        <f>IF(SER_hh_fech!K9=0,0,SER_hh_fech!K9/SER_summary!K$26)</f>
        <v>93.764576615224755</v>
      </c>
      <c r="L9" s="133">
        <f>IF(SER_hh_fech!L9=0,0,SER_hh_fech!L9/SER_summary!L$26)</f>
        <v>102.55999768175988</v>
      </c>
      <c r="M9" s="133">
        <f>IF(SER_hh_fech!M9=0,0,SER_hh_fech!M9/SER_summary!M$26)</f>
        <v>87.768729649213583</v>
      </c>
      <c r="N9" s="133">
        <f>IF(SER_hh_fech!N9=0,0,SER_hh_fech!N9/SER_summary!N$26)</f>
        <v>92.265653165012552</v>
      </c>
      <c r="O9" s="133">
        <f>IF(SER_hh_fech!O9=0,0,SER_hh_fech!O9/SER_summary!O$26)</f>
        <v>88.514984587710487</v>
      </c>
      <c r="P9" s="133">
        <f>IF(SER_hh_fech!P9=0,0,SER_hh_fech!P9/SER_summary!P$26)</f>
        <v>74.430405805158628</v>
      </c>
      <c r="Q9" s="133">
        <f>IF(SER_hh_fech!Q9=0,0,SER_hh_fech!Q9/SER_summary!Q$26)</f>
        <v>77.952957811776471</v>
      </c>
      <c r="R9" s="133">
        <f>IF(SER_hh_fech!R9=0,0,SER_hh_fech!R9/SER_summary!R$26)</f>
        <v>80.463789794506752</v>
      </c>
      <c r="S9" s="133">
        <f>IF(SER_hh_fech!S9=0,0,SER_hh_fech!S9/SER_summary!S$26)</f>
        <v>82.716940737835444</v>
      </c>
      <c r="T9" s="133">
        <f>IF(SER_hh_fech!T9=0,0,SER_hh_fech!T9/SER_summary!T$26)</f>
        <v>83.285851407645282</v>
      </c>
      <c r="U9" s="133">
        <f>IF(SER_hh_fech!U9=0,0,SER_hh_fech!U9/SER_summary!U$26)</f>
        <v>80.906848464691876</v>
      </c>
      <c r="V9" s="133">
        <f>IF(SER_hh_fech!V9=0,0,SER_hh_fech!V9/SER_summary!V$26)</f>
        <v>77.091872197139651</v>
      </c>
      <c r="W9" s="133">
        <f>IF(SER_hh_fech!W9=0,0,SER_hh_fech!W9/SER_summary!W$26)</f>
        <v>80.689650274815364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187.66040181000599</v>
      </c>
      <c r="C10" s="133">
        <f>IF(SER_hh_fech!C10=0,0,SER_hh_fech!C10/SER_summary!C$26)</f>
        <v>181.76755524065061</v>
      </c>
      <c r="D10" s="133">
        <f>IF(SER_hh_fech!D10=0,0,SER_hh_fech!D10/SER_summary!D$26)</f>
        <v>184.58206282240164</v>
      </c>
      <c r="E10" s="133">
        <f>IF(SER_hh_fech!E10=0,0,SER_hh_fech!E10/SER_summary!E$26)</f>
        <v>166.84442094378838</v>
      </c>
      <c r="F10" s="133">
        <f>IF(SER_hh_fech!F10=0,0,SER_hh_fech!F10/SER_summary!F$26)</f>
        <v>160.93970255718989</v>
      </c>
      <c r="G10" s="133">
        <f>IF(SER_hh_fech!G10=0,0,SER_hh_fech!G10/SER_summary!G$26)</f>
        <v>161.0039514088192</v>
      </c>
      <c r="H10" s="133">
        <f>IF(SER_hh_fech!H10=0,0,SER_hh_fech!H10/SER_summary!H$26)</f>
        <v>155.69268706338983</v>
      </c>
      <c r="I10" s="133">
        <f>IF(SER_hh_fech!I10=0,0,SER_hh_fech!I10/SER_summary!I$26)</f>
        <v>139.14393678221754</v>
      </c>
      <c r="J10" s="133">
        <f>IF(SER_hh_fech!J10=0,0,SER_hh_fech!J10/SER_summary!J$26)</f>
        <v>131.27668779933086</v>
      </c>
      <c r="K10" s="133">
        <f>IF(SER_hh_fech!K10=0,0,SER_hh_fech!K10/SER_summary!K$26)</f>
        <v>119.44449885733897</v>
      </c>
      <c r="L10" s="133">
        <f>IF(SER_hh_fech!L10=0,0,SER_hh_fech!L10/SER_summary!L$26)</f>
        <v>111.80915848002773</v>
      </c>
      <c r="M10" s="133">
        <f>IF(SER_hh_fech!M10=0,0,SER_hh_fech!M10/SER_summary!M$26)</f>
        <v>110.35972151753609</v>
      </c>
      <c r="N10" s="133">
        <f>IF(SER_hh_fech!N10=0,0,SER_hh_fech!N10/SER_summary!N$26)</f>
        <v>108.78837456030526</v>
      </c>
      <c r="O10" s="133">
        <f>IF(SER_hh_fech!O10=0,0,SER_hh_fech!O10/SER_summary!O$26)</f>
        <v>105.33071510859097</v>
      </c>
      <c r="P10" s="133">
        <f>IF(SER_hh_fech!P10=0,0,SER_hh_fech!P10/SER_summary!P$26)</f>
        <v>97.032697496606716</v>
      </c>
      <c r="Q10" s="133">
        <f>IF(SER_hh_fech!Q10=0,0,SER_hh_fech!Q10/SER_summary!Q$26)</f>
        <v>94.654978690769255</v>
      </c>
      <c r="R10" s="133">
        <f>IF(SER_hh_fech!R10=0,0,SER_hh_fech!R10/SER_summary!R$26)</f>
        <v>103.32701312777576</v>
      </c>
      <c r="S10" s="133">
        <f>IF(SER_hh_fech!S10=0,0,SER_hh_fech!S10/SER_summary!S$26)</f>
        <v>99.415807923394425</v>
      </c>
      <c r="T10" s="133">
        <f>IF(SER_hh_fech!T10=0,0,SER_hh_fech!T10/SER_summary!T$26)</f>
        <v>105.27171549171379</v>
      </c>
      <c r="U10" s="133">
        <f>IF(SER_hh_fech!U10=0,0,SER_hh_fech!U10/SER_summary!U$26)</f>
        <v>100.59224847599529</v>
      </c>
      <c r="V10" s="133">
        <f>IF(SER_hh_fech!V10=0,0,SER_hh_fech!V10/SER_summary!V$26)</f>
        <v>107.90268818769802</v>
      </c>
      <c r="W10" s="133">
        <f>IF(SER_hh_fech!W10=0,0,SER_hh_fech!W10/SER_summary!W$26)</f>
        <v>104.04835252371717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0</v>
      </c>
      <c r="H11" s="133">
        <f>IF(SER_hh_fech!H11=0,0,SER_hh_fech!H11/SER_summary!H$26)</f>
        <v>0</v>
      </c>
      <c r="I11" s="133">
        <f>IF(SER_hh_fech!I11=0,0,SER_hh_fech!I11/SER_summary!I$26)</f>
        <v>0</v>
      </c>
      <c r="J11" s="133">
        <f>IF(SER_hh_fech!J11=0,0,SER_hh_fech!J11/SER_summary!J$26)</f>
        <v>0</v>
      </c>
      <c r="K11" s="133">
        <f>IF(SER_hh_fech!K11=0,0,SER_hh_fech!K11/SER_summary!K$26)</f>
        <v>0</v>
      </c>
      <c r="L11" s="133">
        <f>IF(SER_hh_fech!L11=0,0,SER_hh_fech!L11/SER_summary!L$26)</f>
        <v>0</v>
      </c>
      <c r="M11" s="133">
        <f>IF(SER_hh_fech!M11=0,0,SER_hh_fech!M11/SER_summary!M$26)</f>
        <v>0</v>
      </c>
      <c r="N11" s="133">
        <f>IF(SER_hh_fech!N11=0,0,SER_hh_fech!N11/SER_summary!N$26)</f>
        <v>0</v>
      </c>
      <c r="O11" s="133">
        <f>IF(SER_hh_fech!O11=0,0,SER_hh_fech!O11/SER_summary!O$26)</f>
        <v>0</v>
      </c>
      <c r="P11" s="133">
        <f>IF(SER_hh_fech!P11=0,0,SER_hh_fech!P11/SER_summary!P$26)</f>
        <v>0</v>
      </c>
      <c r="Q11" s="133">
        <f>IF(SER_hh_fech!Q11=0,0,SER_hh_fech!Q11/SER_summary!Q$26)</f>
        <v>0</v>
      </c>
      <c r="R11" s="133">
        <f>IF(SER_hh_fech!R11=0,0,SER_hh_fech!R11/SER_summary!R$26)</f>
        <v>0</v>
      </c>
      <c r="S11" s="133">
        <f>IF(SER_hh_fech!S11=0,0,SER_hh_fech!S11/SER_summary!S$26)</f>
        <v>0</v>
      </c>
      <c r="T11" s="133">
        <f>IF(SER_hh_fech!T11=0,0,SER_hh_fech!T11/SER_summary!T$26)</f>
        <v>0</v>
      </c>
      <c r="U11" s="133">
        <f>IF(SER_hh_fech!U11=0,0,SER_hh_fech!U11/SER_summary!U$26)</f>
        <v>0</v>
      </c>
      <c r="V11" s="133">
        <f>IF(SER_hh_fech!V11=0,0,SER_hh_fech!V11/SER_summary!V$26)</f>
        <v>0</v>
      </c>
      <c r="W11" s="133">
        <f>IF(SER_hh_fech!W11=0,0,SER_hh_fech!W11/SER_summary!W$26)</f>
        <v>0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109.1126120986421</v>
      </c>
      <c r="C12" s="133">
        <f>IF(SER_hh_fech!C12=0,0,SER_hh_fech!C12/SER_summary!C$26)</f>
        <v>108.79749466973519</v>
      </c>
      <c r="D12" s="133">
        <f>IF(SER_hh_fech!D12=0,0,SER_hh_fech!D12/SER_summary!D$26)</f>
        <v>103.19381341173765</v>
      </c>
      <c r="E12" s="133">
        <f>IF(SER_hh_fech!E12=0,0,SER_hh_fech!E12/SER_summary!E$26)</f>
        <v>102.28102015132937</v>
      </c>
      <c r="F12" s="133">
        <f>IF(SER_hh_fech!F12=0,0,SER_hh_fech!F12/SER_summary!F$26)</f>
        <v>99.342726300385522</v>
      </c>
      <c r="G12" s="133">
        <f>IF(SER_hh_fech!G12=0,0,SER_hh_fech!G12/SER_summary!G$26)</f>
        <v>94.384946969652233</v>
      </c>
      <c r="H12" s="133">
        <f>IF(SER_hh_fech!H12=0,0,SER_hh_fech!H12/SER_summary!H$26)</f>
        <v>99.245247518416377</v>
      </c>
      <c r="I12" s="133">
        <f>IF(SER_hh_fech!I12=0,0,SER_hh_fech!I12/SER_summary!I$26)</f>
        <v>91.143031747731939</v>
      </c>
      <c r="J12" s="133">
        <f>IF(SER_hh_fech!J12=0,0,SER_hh_fech!J12/SER_summary!J$26)</f>
        <v>71.771098458252993</v>
      </c>
      <c r="K12" s="133">
        <f>IF(SER_hh_fech!K12=0,0,SER_hh_fech!K12/SER_summary!K$26)</f>
        <v>77.772962731632987</v>
      </c>
      <c r="L12" s="133">
        <f>IF(SER_hh_fech!L12=0,0,SER_hh_fech!L12/SER_summary!L$26)</f>
        <v>81.790065659954095</v>
      </c>
      <c r="M12" s="133">
        <f>IF(SER_hh_fech!M12=0,0,SER_hh_fech!M12/SER_summary!M$26)</f>
        <v>64.451240425548363</v>
      </c>
      <c r="N12" s="133">
        <f>IF(SER_hh_fech!N12=0,0,SER_hh_fech!N12/SER_summary!N$26)</f>
        <v>77.890074630705456</v>
      </c>
      <c r="O12" s="133">
        <f>IF(SER_hh_fech!O12=0,0,SER_hh_fech!O12/SER_summary!O$26)</f>
        <v>64.769928982798959</v>
      </c>
      <c r="P12" s="133">
        <f>IF(SER_hh_fech!P12=0,0,SER_hh_fech!P12/SER_summary!P$26)</f>
        <v>62.436735490898791</v>
      </c>
      <c r="Q12" s="133">
        <f>IF(SER_hh_fech!Q12=0,0,SER_hh_fech!Q12/SER_summary!Q$26)</f>
        <v>62.994676551575878</v>
      </c>
      <c r="R12" s="133">
        <f>IF(SER_hh_fech!R12=0,0,SER_hh_fech!R12/SER_summary!R$26)</f>
        <v>61.709009601976035</v>
      </c>
      <c r="S12" s="133">
        <f>IF(SER_hh_fech!S12=0,0,SER_hh_fech!S12/SER_summary!S$26)</f>
        <v>72.619782630244174</v>
      </c>
      <c r="T12" s="133">
        <f>IF(SER_hh_fech!T12=0,0,SER_hh_fech!T12/SER_summary!T$26)</f>
        <v>73.860063469202913</v>
      </c>
      <c r="U12" s="133">
        <f>IF(SER_hh_fech!U12=0,0,SER_hh_fech!U12/SER_summary!U$26)</f>
        <v>63.493880537657411</v>
      </c>
      <c r="V12" s="133">
        <f>IF(SER_hh_fech!V12=0,0,SER_hh_fech!V12/SER_summary!V$26)</f>
        <v>57.016147031484316</v>
      </c>
      <c r="W12" s="133">
        <f>IF(SER_hh_fech!W12=0,0,SER_hh_fech!W12/SER_summary!W$26)</f>
        <v>72.870478222577233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51.638936632327834</v>
      </c>
      <c r="C13" s="133">
        <f>IF(SER_hh_fech!C13=0,0,SER_hh_fech!C13/SER_summary!C$26)</f>
        <v>59.670208911512724</v>
      </c>
      <c r="D13" s="133">
        <f>IF(SER_hh_fech!D13=0,0,SER_hh_fech!D13/SER_summary!D$26)</f>
        <v>44.750370330970497</v>
      </c>
      <c r="E13" s="133">
        <f>IF(SER_hh_fech!E13=0,0,SER_hh_fech!E13/SER_summary!E$26)</f>
        <v>52.61343775228849</v>
      </c>
      <c r="F13" s="133">
        <f>IF(SER_hh_fech!F13=0,0,SER_hh_fech!F13/SER_summary!F$26)</f>
        <v>47.768865175942331</v>
      </c>
      <c r="G13" s="133">
        <f>IF(SER_hh_fech!G13=0,0,SER_hh_fech!G13/SER_summary!G$26)</f>
        <v>46.778839931786109</v>
      </c>
      <c r="H13" s="133">
        <f>IF(SER_hh_fech!H13=0,0,SER_hh_fech!H13/SER_summary!H$26)</f>
        <v>39.729391107095886</v>
      </c>
      <c r="I13" s="133">
        <f>IF(SER_hh_fech!I13=0,0,SER_hh_fech!I13/SER_summary!I$26)</f>
        <v>32.405826194341834</v>
      </c>
      <c r="J13" s="133">
        <f>IF(SER_hh_fech!J13=0,0,SER_hh_fech!J13/SER_summary!J$26)</f>
        <v>36.989365070306739</v>
      </c>
      <c r="K13" s="133">
        <f>IF(SER_hh_fech!K13=0,0,SER_hh_fech!K13/SER_summary!K$26)</f>
        <v>28.763471515597292</v>
      </c>
      <c r="L13" s="133">
        <f>IF(SER_hh_fech!L13=0,0,SER_hh_fech!L13/SER_summary!L$26)</f>
        <v>21.625931084375861</v>
      </c>
      <c r="M13" s="133">
        <f>IF(SER_hh_fech!M13=0,0,SER_hh_fech!M13/SER_summary!M$26)</f>
        <v>23.587102406480813</v>
      </c>
      <c r="N13" s="133">
        <f>IF(SER_hh_fech!N13=0,0,SER_hh_fech!N13/SER_summary!N$26)</f>
        <v>21.907468810716107</v>
      </c>
      <c r="O13" s="133">
        <f>IF(SER_hh_fech!O13=0,0,SER_hh_fech!O13/SER_summary!O$26)</f>
        <v>19.157242778455853</v>
      </c>
      <c r="P13" s="133">
        <f>IF(SER_hh_fech!P13=0,0,SER_hh_fech!P13/SER_summary!P$26)</f>
        <v>21.353097974311851</v>
      </c>
      <c r="Q13" s="133">
        <f>IF(SER_hh_fech!Q13=0,0,SER_hh_fech!Q13/SER_summary!Q$26)</f>
        <v>19.514884486310802</v>
      </c>
      <c r="R13" s="133">
        <f>IF(SER_hh_fech!R13=0,0,SER_hh_fech!R13/SER_summary!R$26)</f>
        <v>19.494123622789189</v>
      </c>
      <c r="S13" s="133">
        <f>IF(SER_hh_fech!S13=0,0,SER_hh_fech!S13/SER_summary!S$26)</f>
        <v>19.993378175513524</v>
      </c>
      <c r="T13" s="133">
        <f>IF(SER_hh_fech!T13=0,0,SER_hh_fech!T13/SER_summary!T$26)</f>
        <v>20.345938303576158</v>
      </c>
      <c r="U13" s="133">
        <f>IF(SER_hh_fech!U13=0,0,SER_hh_fech!U13/SER_summary!U$26)</f>
        <v>17.712141827952046</v>
      </c>
      <c r="V13" s="133">
        <f>IF(SER_hh_fech!V13=0,0,SER_hh_fech!V13/SER_summary!V$26)</f>
        <v>14.470419732763128</v>
      </c>
      <c r="W13" s="133">
        <f>IF(SER_hh_fech!W13=0,0,SER_hh_fech!W13/SER_summary!W$26)</f>
        <v>22.906118361369824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119.85553966654102</v>
      </c>
      <c r="C14" s="65">
        <f>IF(SER_hh_fech!C14=0,0,SER_hh_fech!C14/SER_summary!C$26)</f>
        <v>123.91755929408022</v>
      </c>
      <c r="D14" s="65">
        <f>IF(SER_hh_fech!D14=0,0,SER_hh_fech!D14/SER_summary!D$26)</f>
        <v>101.59517118224949</v>
      </c>
      <c r="E14" s="65">
        <f>IF(SER_hh_fech!E14=0,0,SER_hh_fech!E14/SER_summary!E$26)</f>
        <v>122.51824879189184</v>
      </c>
      <c r="F14" s="65">
        <f>IF(SER_hh_fech!F14=0,0,SER_hh_fech!F14/SER_summary!F$26)</f>
        <v>114.74460624501855</v>
      </c>
      <c r="G14" s="65">
        <f>IF(SER_hh_fech!G14=0,0,SER_hh_fech!G14/SER_summary!G$26)</f>
        <v>107.24409752829347</v>
      </c>
      <c r="H14" s="65">
        <f>IF(SER_hh_fech!H14=0,0,SER_hh_fech!H14/SER_summary!H$26)</f>
        <v>100.23859678158544</v>
      </c>
      <c r="I14" s="65">
        <f>IF(SER_hh_fech!I14=0,0,SER_hh_fech!I14/SER_summary!I$26)</f>
        <v>96.995709381342436</v>
      </c>
      <c r="J14" s="65">
        <f>IF(SER_hh_fech!J14=0,0,SER_hh_fech!J14/SER_summary!J$26)</f>
        <v>138.90816711822396</v>
      </c>
      <c r="K14" s="65">
        <f>IF(SER_hh_fech!K14=0,0,SER_hh_fech!K14/SER_summary!K$26)</f>
        <v>74.347610394234678</v>
      </c>
      <c r="L14" s="65">
        <f>IF(SER_hh_fech!L14=0,0,SER_hh_fech!L14/SER_summary!L$26)</f>
        <v>47.831966850118476</v>
      </c>
      <c r="M14" s="65">
        <f>IF(SER_hh_fech!M14=0,0,SER_hh_fech!M14/SER_summary!M$26)</f>
        <v>77.848477847891871</v>
      </c>
      <c r="N14" s="65">
        <f>IF(SER_hh_fech!N14=0,0,SER_hh_fech!N14/SER_summary!N$26)</f>
        <v>104.32275272021279</v>
      </c>
      <c r="O14" s="65">
        <f>IF(SER_hh_fech!O14=0,0,SER_hh_fech!O14/SER_summary!O$26)</f>
        <v>69.79084636585884</v>
      </c>
      <c r="P14" s="65">
        <f>IF(SER_hh_fech!P14=0,0,SER_hh_fech!P14/SER_summary!P$26)</f>
        <v>76.221836863027576</v>
      </c>
      <c r="Q14" s="65">
        <f>IF(SER_hh_fech!Q14=0,0,SER_hh_fech!Q14/SER_summary!Q$26)</f>
        <v>32.846291038930858</v>
      </c>
      <c r="R14" s="65">
        <f>IF(SER_hh_fech!R14=0,0,SER_hh_fech!R14/SER_summary!R$26)</f>
        <v>89.731999057264048</v>
      </c>
      <c r="S14" s="65">
        <f>IF(SER_hh_fech!S14=0,0,SER_hh_fech!S14/SER_summary!S$26)</f>
        <v>53.251616870633882</v>
      </c>
      <c r="T14" s="65">
        <f>IF(SER_hh_fech!T14=0,0,SER_hh_fech!T14/SER_summary!T$26)</f>
        <v>80.567345688089176</v>
      </c>
      <c r="U14" s="65">
        <f>IF(SER_hh_fech!U14=0,0,SER_hh_fech!U14/SER_summary!U$26)</f>
        <v>76.539694049354154</v>
      </c>
      <c r="V14" s="65">
        <f>IF(SER_hh_fech!V14=0,0,SER_hh_fech!V14/SER_summary!V$26)</f>
        <v>54.698190726316895</v>
      </c>
      <c r="W14" s="65">
        <f>IF(SER_hh_fech!W14=0,0,SER_hh_fech!W14/SER_summary!W$26)</f>
        <v>74.142800643213207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0.61240907065786798</v>
      </c>
      <c r="C15" s="135">
        <f>IF(SER_hh_fech!C15=0,0,SER_hh_fech!C15/SER_summary!C$26)</f>
        <v>0.56573246246753284</v>
      </c>
      <c r="D15" s="135">
        <f>IF(SER_hh_fech!D15=0,0,SER_hh_fech!D15/SER_summary!D$26)</f>
        <v>0.56680955541375466</v>
      </c>
      <c r="E15" s="135">
        <f>IF(SER_hh_fech!E15=0,0,SER_hh_fech!E15/SER_summary!E$26)</f>
        <v>0.5237559179502459</v>
      </c>
      <c r="F15" s="135">
        <f>IF(SER_hh_fech!F15=0,0,SER_hh_fech!F15/SER_summary!F$26)</f>
        <v>0.53554762711119053</v>
      </c>
      <c r="G15" s="135">
        <f>IF(SER_hh_fech!G15=0,0,SER_hh_fech!G15/SER_summary!G$26)</f>
        <v>0.49901707014813546</v>
      </c>
      <c r="H15" s="135">
        <f>IF(SER_hh_fech!H15=0,0,SER_hh_fech!H15/SER_summary!H$26)</f>
        <v>0.5276948749866297</v>
      </c>
      <c r="I15" s="135">
        <f>IF(SER_hh_fech!I15=0,0,SER_hh_fech!I15/SER_summary!I$26)</f>
        <v>0.49377049758693103</v>
      </c>
      <c r="J15" s="135">
        <f>IF(SER_hh_fech!J15=0,0,SER_hh_fech!J15/SER_summary!J$26)</f>
        <v>0.41032888028184289</v>
      </c>
      <c r="K15" s="135">
        <f>IF(SER_hh_fech!K15=0,0,SER_hh_fech!K15/SER_summary!K$26)</f>
        <v>0.39815883851247108</v>
      </c>
      <c r="L15" s="135">
        <f>IF(SER_hh_fech!L15=0,0,SER_hh_fech!L15/SER_summary!L$26)</f>
        <v>0.4168534925987703</v>
      </c>
      <c r="M15" s="135">
        <f>IF(SER_hh_fech!M15=0,0,SER_hh_fech!M15/SER_summary!M$26)</f>
        <v>0.37842141785614875</v>
      </c>
      <c r="N15" s="135">
        <f>IF(SER_hh_fech!N15=0,0,SER_hh_fech!N15/SER_summary!N$26)</f>
        <v>0.38671109105623841</v>
      </c>
      <c r="O15" s="135">
        <f>IF(SER_hh_fech!O15=0,0,SER_hh_fech!O15/SER_summary!O$26)</f>
        <v>0.37386720662981826</v>
      </c>
      <c r="P15" s="135">
        <f>IF(SER_hh_fech!P15=0,0,SER_hh_fech!P15/SER_summary!P$26)</f>
        <v>0.34187444794111121</v>
      </c>
      <c r="Q15" s="135">
        <f>IF(SER_hh_fech!Q15=0,0,SER_hh_fech!Q15/SER_summary!Q$26)</f>
        <v>0.33766164596615456</v>
      </c>
      <c r="R15" s="135">
        <f>IF(SER_hh_fech!R15=0,0,SER_hh_fech!R15/SER_summary!R$26)</f>
        <v>0.35583953690935566</v>
      </c>
      <c r="S15" s="135">
        <f>IF(SER_hh_fech!S15=0,0,SER_hh_fech!S15/SER_summary!S$26)</f>
        <v>0.38743730153878547</v>
      </c>
      <c r="T15" s="135">
        <f>IF(SER_hh_fech!T15=0,0,SER_hh_fech!T15/SER_summary!T$26)</f>
        <v>0.40438848865262106</v>
      </c>
      <c r="U15" s="135">
        <f>IF(SER_hh_fech!U15=0,0,SER_hh_fech!U15/SER_summary!U$26)</f>
        <v>0.38565585245213735</v>
      </c>
      <c r="V15" s="135">
        <f>IF(SER_hh_fech!V15=0,0,SER_hh_fech!V15/SER_summary!V$26)</f>
        <v>0.36032360002982117</v>
      </c>
      <c r="W15" s="135">
        <f>IF(SER_hh_fech!W15=0,0,SER_hh_fech!W15/SER_summary!W$26)</f>
        <v>0.41269981978519304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10.549943887040794</v>
      </c>
      <c r="C16" s="131">
        <f>IF(SER_hh_fech!C16=0,0,SER_hh_fech!C16/SER_summary!C$26)</f>
        <v>10.47464826415643</v>
      </c>
      <c r="D16" s="131">
        <f>IF(SER_hh_fech!D16=0,0,SER_hh_fech!D16/SER_summary!D$26)</f>
        <v>10.630755983765363</v>
      </c>
      <c r="E16" s="131">
        <f>IF(SER_hh_fech!E16=0,0,SER_hh_fech!E16/SER_summary!E$26)</f>
        <v>9.0220706972982363</v>
      </c>
      <c r="F16" s="131">
        <f>IF(SER_hh_fech!F16=0,0,SER_hh_fech!F16/SER_summary!F$26)</f>
        <v>8.4993347031803737</v>
      </c>
      <c r="G16" s="131">
        <f>IF(SER_hh_fech!G16=0,0,SER_hh_fech!G16/SER_summary!G$26)</f>
        <v>8.0799152717078719</v>
      </c>
      <c r="H16" s="131">
        <f>IF(SER_hh_fech!H16=0,0,SER_hh_fech!H16/SER_summary!H$26)</f>
        <v>8.4701867968934579</v>
      </c>
      <c r="I16" s="131">
        <f>IF(SER_hh_fech!I16=0,0,SER_hh_fech!I16/SER_summary!I$26)</f>
        <v>7.4108310848627932</v>
      </c>
      <c r="J16" s="131">
        <f>IF(SER_hh_fech!J16=0,0,SER_hh_fech!J16/SER_summary!J$26)</f>
        <v>6.9351361705331795</v>
      </c>
      <c r="K16" s="131">
        <f>IF(SER_hh_fech!K16=0,0,SER_hh_fech!K16/SER_summary!K$26)</f>
        <v>6.8300489735497063</v>
      </c>
      <c r="L16" s="131">
        <f>IF(SER_hh_fech!L16=0,0,SER_hh_fech!L16/SER_summary!L$26)</f>
        <v>8.5001464873675854</v>
      </c>
      <c r="M16" s="131">
        <f>IF(SER_hh_fech!M16=0,0,SER_hh_fech!M16/SER_summary!M$26)</f>
        <v>6.5424393630989828</v>
      </c>
      <c r="N16" s="131">
        <f>IF(SER_hh_fech!N16=0,0,SER_hh_fech!N16/SER_summary!N$26)</f>
        <v>6.9458397351425427</v>
      </c>
      <c r="O16" s="131">
        <f>IF(SER_hh_fech!O16=0,0,SER_hh_fech!O16/SER_summary!O$26)</f>
        <v>6.2408522691305528</v>
      </c>
      <c r="P16" s="131">
        <f>IF(SER_hh_fech!P16=0,0,SER_hh_fech!P16/SER_summary!P$26)</f>
        <v>6.6286669484513094</v>
      </c>
      <c r="Q16" s="131">
        <f>IF(SER_hh_fech!Q16=0,0,SER_hh_fech!Q16/SER_summary!Q$26)</f>
        <v>6.180992123979852</v>
      </c>
      <c r="R16" s="131">
        <f>IF(SER_hh_fech!R16=0,0,SER_hh_fech!R16/SER_summary!R$26)</f>
        <v>5.6339743679413994</v>
      </c>
      <c r="S16" s="131">
        <f>IF(SER_hh_fech!S16=0,0,SER_hh_fech!S16/SER_summary!S$26)</f>
        <v>5.4068144740443653</v>
      </c>
      <c r="T16" s="131">
        <f>IF(SER_hh_fech!T16=0,0,SER_hh_fech!T16/SER_summary!T$26)</f>
        <v>5.5738091053876797</v>
      </c>
      <c r="U16" s="131">
        <f>IF(SER_hh_fech!U16=0,0,SER_hh_fech!U16/SER_summary!U$26)</f>
        <v>5.2887649713041665</v>
      </c>
      <c r="V16" s="131">
        <f>IF(SER_hh_fech!V16=0,0,SER_hh_fech!V16/SER_summary!V$26)</f>
        <v>4.9896579217110819</v>
      </c>
      <c r="W16" s="131">
        <f>IF(SER_hh_fech!W16=0,0,SER_hh_fech!W16/SER_summary!W$26)</f>
        <v>5.7481188721332108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0</v>
      </c>
      <c r="C17" s="133">
        <f>IF(SER_hh_fech!C17=0,0,SER_hh_fech!C17/SER_summary!C$26)</f>
        <v>0</v>
      </c>
      <c r="D17" s="133">
        <f>IF(SER_hh_fech!D17=0,0,SER_hh_fech!D17/SER_summary!D$26)</f>
        <v>0</v>
      </c>
      <c r="E17" s="133">
        <f>IF(SER_hh_fech!E17=0,0,SER_hh_fech!E17/SER_summary!E$26)</f>
        <v>0</v>
      </c>
      <c r="F17" s="133">
        <f>IF(SER_hh_fech!F17=0,0,SER_hh_fech!F17/SER_summary!F$26)</f>
        <v>0</v>
      </c>
      <c r="G17" s="133">
        <f>IF(SER_hh_fech!G17=0,0,SER_hh_fech!G17/SER_summary!G$26)</f>
        <v>0</v>
      </c>
      <c r="H17" s="133">
        <f>IF(SER_hh_fech!H17=0,0,SER_hh_fech!H17/SER_summary!H$26)</f>
        <v>0</v>
      </c>
      <c r="I17" s="133">
        <f>IF(SER_hh_fech!I17=0,0,SER_hh_fech!I17/SER_summary!I$26)</f>
        <v>0</v>
      </c>
      <c r="J17" s="133">
        <f>IF(SER_hh_fech!J17=0,0,SER_hh_fech!J17/SER_summary!J$26)</f>
        <v>0</v>
      </c>
      <c r="K17" s="133">
        <f>IF(SER_hh_fech!K17=0,0,SER_hh_fech!K17/SER_summary!K$26)</f>
        <v>0</v>
      </c>
      <c r="L17" s="133">
        <f>IF(SER_hh_fech!L17=0,0,SER_hh_fech!L17/SER_summary!L$26)</f>
        <v>0</v>
      </c>
      <c r="M17" s="133">
        <f>IF(SER_hh_fech!M17=0,0,SER_hh_fech!M17/SER_summary!M$26)</f>
        <v>0</v>
      </c>
      <c r="N17" s="133">
        <f>IF(SER_hh_fech!N17=0,0,SER_hh_fech!N17/SER_summary!N$26)</f>
        <v>0</v>
      </c>
      <c r="O17" s="133">
        <f>IF(SER_hh_fech!O17=0,0,SER_hh_fech!O17/SER_summary!O$26)</f>
        <v>0</v>
      </c>
      <c r="P17" s="133">
        <f>IF(SER_hh_fech!P17=0,0,SER_hh_fech!P17/SER_summary!P$26)</f>
        <v>0</v>
      </c>
      <c r="Q17" s="133">
        <f>IF(SER_hh_fech!Q17=0,0,SER_hh_fech!Q17/SER_summary!Q$26)</f>
        <v>0</v>
      </c>
      <c r="R17" s="133">
        <f>IF(SER_hh_fech!R17=0,0,SER_hh_fech!R17/SER_summary!R$26)</f>
        <v>0</v>
      </c>
      <c r="S17" s="133">
        <f>IF(SER_hh_fech!S17=0,0,SER_hh_fech!S17/SER_summary!S$26)</f>
        <v>0</v>
      </c>
      <c r="T17" s="133">
        <f>IF(SER_hh_fech!T17=0,0,SER_hh_fech!T17/SER_summary!T$26)</f>
        <v>0</v>
      </c>
      <c r="U17" s="133">
        <f>IF(SER_hh_fech!U17=0,0,SER_hh_fech!U17/SER_summary!U$26)</f>
        <v>0</v>
      </c>
      <c r="V17" s="133">
        <f>IF(SER_hh_fech!V17=0,0,SER_hh_fech!V17/SER_summary!V$26)</f>
        <v>0</v>
      </c>
      <c r="W17" s="133">
        <f>IF(SER_hh_fech!W17=0,0,SER_hh_fech!W17/SER_summary!W$26)</f>
        <v>0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10.549943887040794</v>
      </c>
      <c r="C18" s="133">
        <f>IF(SER_hh_fech!C18=0,0,SER_hh_fech!C18/SER_summary!C$26)</f>
        <v>10.47464826415643</v>
      </c>
      <c r="D18" s="133">
        <f>IF(SER_hh_fech!D18=0,0,SER_hh_fech!D18/SER_summary!D$26)</f>
        <v>10.630755983765363</v>
      </c>
      <c r="E18" s="133">
        <f>IF(SER_hh_fech!E18=0,0,SER_hh_fech!E18/SER_summary!E$26)</f>
        <v>9.0220706972982363</v>
      </c>
      <c r="F18" s="133">
        <f>IF(SER_hh_fech!F18=0,0,SER_hh_fech!F18/SER_summary!F$26)</f>
        <v>8.4993347031803737</v>
      </c>
      <c r="G18" s="133">
        <f>IF(SER_hh_fech!G18=0,0,SER_hh_fech!G18/SER_summary!G$26)</f>
        <v>8.0799152717078719</v>
      </c>
      <c r="H18" s="133">
        <f>IF(SER_hh_fech!H18=0,0,SER_hh_fech!H18/SER_summary!H$26)</f>
        <v>8.4701867968934579</v>
      </c>
      <c r="I18" s="133">
        <f>IF(SER_hh_fech!I18=0,0,SER_hh_fech!I18/SER_summary!I$26)</f>
        <v>7.4108310848627932</v>
      </c>
      <c r="J18" s="133">
        <f>IF(SER_hh_fech!J18=0,0,SER_hh_fech!J18/SER_summary!J$26)</f>
        <v>6.9351361705331795</v>
      </c>
      <c r="K18" s="133">
        <f>IF(SER_hh_fech!K18=0,0,SER_hh_fech!K18/SER_summary!K$26)</f>
        <v>6.8300489735497063</v>
      </c>
      <c r="L18" s="133">
        <f>IF(SER_hh_fech!L18=0,0,SER_hh_fech!L18/SER_summary!L$26)</f>
        <v>8.5001464873675854</v>
      </c>
      <c r="M18" s="133">
        <f>IF(SER_hh_fech!M18=0,0,SER_hh_fech!M18/SER_summary!M$26)</f>
        <v>6.5424393630989828</v>
      </c>
      <c r="N18" s="133">
        <f>IF(SER_hh_fech!N18=0,0,SER_hh_fech!N18/SER_summary!N$26)</f>
        <v>6.9458397351425427</v>
      </c>
      <c r="O18" s="133">
        <f>IF(SER_hh_fech!O18=0,0,SER_hh_fech!O18/SER_summary!O$26)</f>
        <v>6.2408522691305528</v>
      </c>
      <c r="P18" s="133">
        <f>IF(SER_hh_fech!P18=0,0,SER_hh_fech!P18/SER_summary!P$26)</f>
        <v>6.6286669484513094</v>
      </c>
      <c r="Q18" s="133">
        <f>IF(SER_hh_fech!Q18=0,0,SER_hh_fech!Q18/SER_summary!Q$26)</f>
        <v>6.180992123979852</v>
      </c>
      <c r="R18" s="133">
        <f>IF(SER_hh_fech!R18=0,0,SER_hh_fech!R18/SER_summary!R$26)</f>
        <v>5.6339743679413994</v>
      </c>
      <c r="S18" s="133">
        <f>IF(SER_hh_fech!S18=0,0,SER_hh_fech!S18/SER_summary!S$26)</f>
        <v>5.4068144740443653</v>
      </c>
      <c r="T18" s="133">
        <f>IF(SER_hh_fech!T18=0,0,SER_hh_fech!T18/SER_summary!T$26)</f>
        <v>5.5738091053876797</v>
      </c>
      <c r="U18" s="133">
        <f>IF(SER_hh_fech!U18=0,0,SER_hh_fech!U18/SER_summary!U$26)</f>
        <v>5.2887649713041665</v>
      </c>
      <c r="V18" s="133">
        <f>IF(SER_hh_fech!V18=0,0,SER_hh_fech!V18/SER_summary!V$26)</f>
        <v>4.9896579217110819</v>
      </c>
      <c r="W18" s="133">
        <f>IF(SER_hh_fech!W18=0,0,SER_hh_fech!W18/SER_summary!W$26)</f>
        <v>5.7481188721332108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13.768238180676382</v>
      </c>
      <c r="C19" s="131">
        <f>IF(SER_hh_fech!C19=0,0,SER_hh_fech!C19/SER_summary!C$26)</f>
        <v>13.668501321088538</v>
      </c>
      <c r="D19" s="131">
        <f>IF(SER_hh_fech!D19=0,0,SER_hh_fech!D19/SER_summary!D$26)</f>
        <v>13.5742176263555</v>
      </c>
      <c r="E19" s="131">
        <f>IF(SER_hh_fech!E19=0,0,SER_hh_fech!E19/SER_summary!E$26)</f>
        <v>13.321762982496447</v>
      </c>
      <c r="F19" s="131">
        <f>IF(SER_hh_fech!F19=0,0,SER_hh_fech!F19/SER_summary!F$26)</f>
        <v>13.699970306615342</v>
      </c>
      <c r="G19" s="131">
        <f>IF(SER_hh_fech!G19=0,0,SER_hh_fech!G19/SER_summary!G$26)</f>
        <v>13.869044821414862</v>
      </c>
      <c r="H19" s="131">
        <f>IF(SER_hh_fech!H19=0,0,SER_hh_fech!H19/SER_summary!H$26)</f>
        <v>14.315320506474766</v>
      </c>
      <c r="I19" s="131">
        <f>IF(SER_hh_fech!I19=0,0,SER_hh_fech!I19/SER_summary!I$26)</f>
        <v>13.81490995162639</v>
      </c>
      <c r="J19" s="131">
        <f>IF(SER_hh_fech!J19=0,0,SER_hh_fech!J19/SER_summary!J$26)</f>
        <v>13.926350506237741</v>
      </c>
      <c r="K19" s="131">
        <f>IF(SER_hh_fech!K19=0,0,SER_hh_fech!K19/SER_summary!K$26)</f>
        <v>13.962919116925633</v>
      </c>
      <c r="L19" s="131">
        <f>IF(SER_hh_fech!L19=0,0,SER_hh_fech!L19/SER_summary!L$26)</f>
        <v>14.090635932179227</v>
      </c>
      <c r="M19" s="131">
        <f>IF(SER_hh_fech!M19=0,0,SER_hh_fech!M19/SER_summary!M$26)</f>
        <v>14.136878169069668</v>
      </c>
      <c r="N19" s="131">
        <f>IF(SER_hh_fech!N19=0,0,SER_hh_fech!N19/SER_summary!N$26)</f>
        <v>14.246003267181329</v>
      </c>
      <c r="O19" s="131">
        <f>IF(SER_hh_fech!O19=0,0,SER_hh_fech!O19/SER_summary!O$26)</f>
        <v>14.256231917128289</v>
      </c>
      <c r="P19" s="131">
        <f>IF(SER_hh_fech!P19=0,0,SER_hh_fech!P19/SER_summary!P$26)</f>
        <v>14.189023717078438</v>
      </c>
      <c r="Q19" s="131">
        <f>IF(SER_hh_fech!Q19=0,0,SER_hh_fech!Q19/SER_summary!Q$26)</f>
        <v>14.21399260349494</v>
      </c>
      <c r="R19" s="131">
        <f>IF(SER_hh_fech!R19=0,0,SER_hh_fech!R19/SER_summary!R$26)</f>
        <v>14.316133554471168</v>
      </c>
      <c r="S19" s="131">
        <f>IF(SER_hh_fech!S19=0,0,SER_hh_fech!S19/SER_summary!S$26)</f>
        <v>14.268860366420336</v>
      </c>
      <c r="T19" s="131">
        <f>IF(SER_hh_fech!T19=0,0,SER_hh_fech!T19/SER_summary!T$26)</f>
        <v>14.087596367230582</v>
      </c>
      <c r="U19" s="131">
        <f>IF(SER_hh_fech!U19=0,0,SER_hh_fech!U19/SER_summary!U$26)</f>
        <v>13.894454076806879</v>
      </c>
      <c r="V19" s="131">
        <f>IF(SER_hh_fech!V19=0,0,SER_hh_fech!V19/SER_summary!V$26)</f>
        <v>12.161679491699914</v>
      </c>
      <c r="W19" s="131">
        <f>IF(SER_hh_fech!W19=0,0,SER_hh_fech!W19/SER_summary!W$26)</f>
        <v>13.511467103439001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0</v>
      </c>
      <c r="C21" s="133">
        <f>IF(SER_hh_fech!C21=0,0,SER_hh_fech!C21/SER_summary!C$26)</f>
        <v>0</v>
      </c>
      <c r="D21" s="133">
        <f>IF(SER_hh_fech!D21=0,0,SER_hh_fech!D21/SER_summary!D$26)</f>
        <v>0</v>
      </c>
      <c r="E21" s="133">
        <f>IF(SER_hh_fech!E21=0,0,SER_hh_fech!E21/SER_summary!E$26)</f>
        <v>0</v>
      </c>
      <c r="F21" s="133">
        <f>IF(SER_hh_fech!F21=0,0,SER_hh_fech!F21/SER_summary!F$26)</f>
        <v>0</v>
      </c>
      <c r="G21" s="133">
        <f>IF(SER_hh_fech!G21=0,0,SER_hh_fech!G21/SER_summary!G$26)</f>
        <v>0</v>
      </c>
      <c r="H21" s="133">
        <f>IF(SER_hh_fech!H21=0,0,SER_hh_fech!H21/SER_summary!H$26)</f>
        <v>0</v>
      </c>
      <c r="I21" s="133">
        <f>IF(SER_hh_fech!I21=0,0,SER_hh_fech!I21/SER_summary!I$26)</f>
        <v>0</v>
      </c>
      <c r="J21" s="133">
        <f>IF(SER_hh_fech!J21=0,0,SER_hh_fech!J21/SER_summary!J$26)</f>
        <v>0</v>
      </c>
      <c r="K21" s="133">
        <f>IF(SER_hh_fech!K21=0,0,SER_hh_fech!K21/SER_summary!K$26)</f>
        <v>0</v>
      </c>
      <c r="L21" s="133">
        <f>IF(SER_hh_fech!L21=0,0,SER_hh_fech!L21/SER_summary!L$26)</f>
        <v>0</v>
      </c>
      <c r="M21" s="133">
        <f>IF(SER_hh_fech!M21=0,0,SER_hh_fech!M21/SER_summary!M$26)</f>
        <v>0</v>
      </c>
      <c r="N21" s="133">
        <f>IF(SER_hh_fech!N21=0,0,SER_hh_fech!N21/SER_summary!N$26)</f>
        <v>0</v>
      </c>
      <c r="O21" s="133">
        <f>IF(SER_hh_fech!O21=0,0,SER_hh_fech!O21/SER_summary!O$26)</f>
        <v>0</v>
      </c>
      <c r="P21" s="133">
        <f>IF(SER_hh_fech!P21=0,0,SER_hh_fech!P21/SER_summary!P$26)</f>
        <v>0</v>
      </c>
      <c r="Q21" s="133">
        <f>IF(SER_hh_fech!Q21=0,0,SER_hh_fech!Q21/SER_summary!Q$26)</f>
        <v>0</v>
      </c>
      <c r="R21" s="133">
        <f>IF(SER_hh_fech!R21=0,0,SER_hh_fech!R21/SER_summary!R$26)</f>
        <v>0</v>
      </c>
      <c r="S21" s="133">
        <f>IF(SER_hh_fech!S21=0,0,SER_hh_fech!S21/SER_summary!S$26)</f>
        <v>0</v>
      </c>
      <c r="T21" s="133">
        <f>IF(SER_hh_fech!T21=0,0,SER_hh_fech!T21/SER_summary!T$26)</f>
        <v>0</v>
      </c>
      <c r="U21" s="133">
        <f>IF(SER_hh_fech!U21=0,0,SER_hh_fech!U21/SER_summary!U$26)</f>
        <v>0</v>
      </c>
      <c r="V21" s="133">
        <f>IF(SER_hh_fech!V21=0,0,SER_hh_fech!V21/SER_summary!V$26)</f>
        <v>0</v>
      </c>
      <c r="W21" s="133">
        <f>IF(SER_hh_fech!W21=0,0,SER_hh_fech!W21/SER_summary!W$26)</f>
        <v>0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21.397680324938182</v>
      </c>
      <c r="C22" s="133">
        <f>IF(SER_hh_fech!C22=0,0,SER_hh_fech!C22/SER_summary!C$26)</f>
        <v>15.894954763827519</v>
      </c>
      <c r="D22" s="133">
        <f>IF(SER_hh_fech!D22=0,0,SER_hh_fech!D22/SER_summary!D$26)</f>
        <v>17.688524731150224</v>
      </c>
      <c r="E22" s="133">
        <f>IF(SER_hh_fech!E22=0,0,SER_hh_fech!E22/SER_summary!E$26)</f>
        <v>16.535049149026495</v>
      </c>
      <c r="F22" s="133">
        <f>IF(SER_hh_fech!F22=0,0,SER_hh_fech!F22/SER_summary!F$26)</f>
        <v>20.68613288217313</v>
      </c>
      <c r="G22" s="133">
        <f>IF(SER_hh_fech!G22=0,0,SER_hh_fech!G22/SER_summary!G$26)</f>
        <v>18.457875470457697</v>
      </c>
      <c r="H22" s="133">
        <f>IF(SER_hh_fech!H22=0,0,SER_hh_fech!H22/SER_summary!H$26)</f>
        <v>20.018807482646856</v>
      </c>
      <c r="I22" s="133">
        <f>IF(SER_hh_fech!I22=0,0,SER_hh_fech!I22/SER_summary!I$26)</f>
        <v>19.611982839562781</v>
      </c>
      <c r="J22" s="133">
        <f>IF(SER_hh_fech!J22=0,0,SER_hh_fech!J22/SER_summary!J$26)</f>
        <v>21.532478907923949</v>
      </c>
      <c r="K22" s="133">
        <f>IF(SER_hh_fech!K22=0,0,SER_hh_fech!K22/SER_summary!K$26)</f>
        <v>18.572735088872108</v>
      </c>
      <c r="L22" s="133">
        <f>IF(SER_hh_fech!L22=0,0,SER_hh_fech!L22/SER_summary!L$26)</f>
        <v>19.738507644715689</v>
      </c>
      <c r="M22" s="133">
        <f>IF(SER_hh_fech!M22=0,0,SER_hh_fech!M22/SER_summary!M$26)</f>
        <v>19.567205299215093</v>
      </c>
      <c r="N22" s="133">
        <f>IF(SER_hh_fech!N22=0,0,SER_hh_fech!N22/SER_summary!N$26)</f>
        <v>17.280753452617137</v>
      </c>
      <c r="O22" s="133">
        <f>IF(SER_hh_fech!O22=0,0,SER_hh_fech!O22/SER_summary!O$26)</f>
        <v>18.196193087217768</v>
      </c>
      <c r="P22" s="133">
        <f>IF(SER_hh_fech!P22=0,0,SER_hh_fech!P22/SER_summary!P$26)</f>
        <v>18.673840729149148</v>
      </c>
      <c r="Q22" s="133">
        <f>IF(SER_hh_fech!Q22=0,0,SER_hh_fech!Q22/SER_summary!Q$26)</f>
        <v>18.509057567287861</v>
      </c>
      <c r="R22" s="133">
        <f>IF(SER_hh_fech!R22=0,0,SER_hh_fech!R22/SER_summary!R$26)</f>
        <v>18.651905134524728</v>
      </c>
      <c r="S22" s="133">
        <f>IF(SER_hh_fech!S22=0,0,SER_hh_fech!S22/SER_summary!S$26)</f>
        <v>20.861273207339284</v>
      </c>
      <c r="T22" s="133">
        <f>IF(SER_hh_fech!T22=0,0,SER_hh_fech!T22/SER_summary!T$26)</f>
        <v>15.270880560155263</v>
      </c>
      <c r="U22" s="133">
        <f>IF(SER_hh_fech!U22=0,0,SER_hh_fech!U22/SER_summary!U$26)</f>
        <v>17.008686043437073</v>
      </c>
      <c r="V22" s="133">
        <f>IF(SER_hh_fech!V22=0,0,SER_hh_fech!V22/SER_summary!V$26)</f>
        <v>16.141645428271708</v>
      </c>
      <c r="W22" s="133">
        <f>IF(SER_hh_fech!W22=0,0,SER_hh_fech!W22/SER_summary!W$26)</f>
        <v>17.074455174762249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17.743085488231706</v>
      </c>
      <c r="C23" s="133">
        <f>IF(SER_hh_fech!C23=0,0,SER_hh_fech!C23/SER_summary!C$26)</f>
        <v>17.567171157255963</v>
      </c>
      <c r="D23" s="133">
        <f>IF(SER_hh_fech!D23=0,0,SER_hh_fech!D23/SER_summary!D$26)</f>
        <v>17.464244437256731</v>
      </c>
      <c r="E23" s="133">
        <f>IF(SER_hh_fech!E23=0,0,SER_hh_fech!E23/SER_summary!E$26)</f>
        <v>16.467193081655569</v>
      </c>
      <c r="F23" s="133">
        <f>IF(SER_hh_fech!F23=0,0,SER_hh_fech!F23/SER_summary!F$26)</f>
        <v>18.026188493190613</v>
      </c>
      <c r="G23" s="133">
        <f>IF(SER_hh_fech!G23=0,0,SER_hh_fech!G23/SER_summary!G$26)</f>
        <v>16.077221019019881</v>
      </c>
      <c r="H23" s="133">
        <f>IF(SER_hh_fech!H23=0,0,SER_hh_fech!H23/SER_summary!H$26)</f>
        <v>15.449806668268808</v>
      </c>
      <c r="I23" s="133">
        <f>IF(SER_hh_fech!I23=0,0,SER_hh_fech!I23/SER_summary!I$26)</f>
        <v>18.277122343169051</v>
      </c>
      <c r="J23" s="133">
        <f>IF(SER_hh_fech!J23=0,0,SER_hh_fech!J23/SER_summary!J$26)</f>
        <v>18.063048170956741</v>
      </c>
      <c r="K23" s="133">
        <f>IF(SER_hh_fech!K23=0,0,SER_hh_fech!K23/SER_summary!K$26)</f>
        <v>17.040394221629015</v>
      </c>
      <c r="L23" s="133">
        <f>IF(SER_hh_fech!L23=0,0,SER_hh_fech!L23/SER_summary!L$26)</f>
        <v>17.006792289177305</v>
      </c>
      <c r="M23" s="133">
        <f>IF(SER_hh_fech!M23=0,0,SER_hh_fech!M23/SER_summary!M$26)</f>
        <v>17.270915441831246</v>
      </c>
      <c r="N23" s="133">
        <f>IF(SER_hh_fech!N23=0,0,SER_hh_fech!N23/SER_summary!N$26)</f>
        <v>17.27206324783484</v>
      </c>
      <c r="O23" s="133">
        <f>IF(SER_hh_fech!O23=0,0,SER_hh_fech!O23/SER_summary!O$26)</f>
        <v>17.478759081588958</v>
      </c>
      <c r="P23" s="133">
        <f>IF(SER_hh_fech!P23=0,0,SER_hh_fech!P23/SER_summary!P$26)</f>
        <v>16.369216310169531</v>
      </c>
      <c r="Q23" s="133">
        <f>IF(SER_hh_fech!Q23=0,0,SER_hh_fech!Q23/SER_summary!Q$26)</f>
        <v>16.972237497841963</v>
      </c>
      <c r="R23" s="133">
        <f>IF(SER_hh_fech!R23=0,0,SER_hh_fech!R23/SER_summary!R$26)</f>
        <v>17.191386168276473</v>
      </c>
      <c r="S23" s="133">
        <f>IF(SER_hh_fech!S23=0,0,SER_hh_fech!S23/SER_summary!S$26)</f>
        <v>16.340602212462468</v>
      </c>
      <c r="T23" s="133">
        <f>IF(SER_hh_fech!T23=0,0,SER_hh_fech!T23/SER_summary!T$26)</f>
        <v>15.848362635583634</v>
      </c>
      <c r="U23" s="133">
        <f>IF(SER_hh_fech!U23=0,0,SER_hh_fech!U23/SER_summary!U$26)</f>
        <v>15.128953660369827</v>
      </c>
      <c r="V23" s="133">
        <f>IF(SER_hh_fech!V23=0,0,SER_hh_fech!V23/SER_summary!V$26)</f>
        <v>13.98651728886861</v>
      </c>
      <c r="W23" s="133">
        <f>IF(SER_hh_fech!W23=0,0,SER_hh_fech!W23/SER_summary!W$26)</f>
        <v>14.347791813968183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23.36125602483035</v>
      </c>
      <c r="C24" s="133">
        <f>IF(SER_hh_fech!C24=0,0,SER_hh_fech!C24/SER_summary!C$26)</f>
        <v>19.467617877215584</v>
      </c>
      <c r="D24" s="133">
        <f>IF(SER_hh_fech!D24=0,0,SER_hh_fech!D24/SER_summary!D$26)</f>
        <v>19.420614753639715</v>
      </c>
      <c r="E24" s="133">
        <f>IF(SER_hh_fech!E24=0,0,SER_hh_fech!E24/SER_summary!E$26)</f>
        <v>19.503255937558997</v>
      </c>
      <c r="F24" s="133">
        <f>IF(SER_hh_fech!F24=0,0,SER_hh_fech!F24/SER_summary!F$26)</f>
        <v>19.250641014595328</v>
      </c>
      <c r="G24" s="133">
        <f>IF(SER_hh_fech!G24=0,0,SER_hh_fech!G24/SER_summary!G$26)</f>
        <v>19.12418371191929</v>
      </c>
      <c r="H24" s="133">
        <f>IF(SER_hh_fech!H24=0,0,SER_hh_fech!H24/SER_summary!H$26)</f>
        <v>19.51233637380221</v>
      </c>
      <c r="I24" s="133">
        <f>IF(SER_hh_fech!I24=0,0,SER_hh_fech!I24/SER_summary!I$26)</f>
        <v>18.128208657128589</v>
      </c>
      <c r="J24" s="133">
        <f>IF(SER_hh_fech!J24=0,0,SER_hh_fech!J24/SER_summary!J$26)</f>
        <v>17.945986757729468</v>
      </c>
      <c r="K24" s="133">
        <f>IF(SER_hh_fech!K24=0,0,SER_hh_fech!K24/SER_summary!K$26)</f>
        <v>17.484800907162668</v>
      </c>
      <c r="L24" s="133">
        <f>IF(SER_hh_fech!L24=0,0,SER_hh_fech!L24/SER_summary!L$26)</f>
        <v>17.204823943085856</v>
      </c>
      <c r="M24" s="133">
        <f>IF(SER_hh_fech!M24=0,0,SER_hh_fech!M24/SER_summary!M$26)</f>
        <v>17.067992864001319</v>
      </c>
      <c r="N24" s="133">
        <f>IF(SER_hh_fech!N24=0,0,SER_hh_fech!N24/SER_summary!N$26)</f>
        <v>16.605275322598452</v>
      </c>
      <c r="O24" s="133">
        <f>IF(SER_hh_fech!O24=0,0,SER_hh_fech!O24/SER_summary!O$26)</f>
        <v>16.475819636504056</v>
      </c>
      <c r="P24" s="133">
        <f>IF(SER_hh_fech!P24=0,0,SER_hh_fech!P24/SER_summary!P$26)</f>
        <v>16.592807522832715</v>
      </c>
      <c r="Q24" s="133">
        <f>IF(SER_hh_fech!Q24=0,0,SER_hh_fech!Q24/SER_summary!Q$26)</f>
        <v>17.055478243649951</v>
      </c>
      <c r="R24" s="133">
        <f>IF(SER_hh_fech!R24=0,0,SER_hh_fech!R24/SER_summary!R$26)</f>
        <v>17.031381122602173</v>
      </c>
      <c r="S24" s="133">
        <f>IF(SER_hh_fech!S24=0,0,SER_hh_fech!S24/SER_summary!S$26)</f>
        <v>15.736836662161458</v>
      </c>
      <c r="T24" s="133">
        <f>IF(SER_hh_fech!T24=0,0,SER_hh_fech!T24/SER_summary!T$26)</f>
        <v>16.259261673228391</v>
      </c>
      <c r="U24" s="133">
        <f>IF(SER_hh_fech!U24=0,0,SER_hh_fech!U24/SER_summary!U$26)</f>
        <v>15.225024835881337</v>
      </c>
      <c r="V24" s="133">
        <f>IF(SER_hh_fech!V24=0,0,SER_hh_fech!V24/SER_summary!V$26)</f>
        <v>15.612477140445179</v>
      </c>
      <c r="W24" s="133">
        <f>IF(SER_hh_fech!W24=0,0,SER_hh_fech!W24/SER_summary!W$26)</f>
        <v>14.782402924107471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12.142185362697532</v>
      </c>
      <c r="C25" s="133">
        <f>IF(SER_hh_fech!C25=0,0,SER_hh_fech!C25/SER_summary!C$26)</f>
        <v>12.200277585789522</v>
      </c>
      <c r="D25" s="133">
        <f>IF(SER_hh_fech!D25=0,0,SER_hh_fech!D25/SER_summary!D$26)</f>
        <v>11.897682080127549</v>
      </c>
      <c r="E25" s="133">
        <f>IF(SER_hh_fech!E25=0,0,SER_hh_fech!E25/SER_summary!E$26)</f>
        <v>11.79332600157605</v>
      </c>
      <c r="F25" s="133">
        <f>IF(SER_hh_fech!F25=0,0,SER_hh_fech!F25/SER_summary!F$26)</f>
        <v>12.186960575197935</v>
      </c>
      <c r="G25" s="133">
        <f>IF(SER_hh_fech!G25=0,0,SER_hh_fech!G25/SER_summary!G$26)</f>
        <v>12.600859785559303</v>
      </c>
      <c r="H25" s="133">
        <f>IF(SER_hh_fech!H25=0,0,SER_hh_fech!H25/SER_summary!H$26)</f>
        <v>13.203039178554958</v>
      </c>
      <c r="I25" s="133">
        <f>IF(SER_hh_fech!I25=0,0,SER_hh_fech!I25/SER_summary!I$26)</f>
        <v>11.796466247276609</v>
      </c>
      <c r="J25" s="133">
        <f>IF(SER_hh_fech!J25=0,0,SER_hh_fech!J25/SER_summary!J$26)</f>
        <v>11.821954912697437</v>
      </c>
      <c r="K25" s="133">
        <f>IF(SER_hh_fech!K25=0,0,SER_hh_fech!K25/SER_summary!K$26)</f>
        <v>12.725788885879808</v>
      </c>
      <c r="L25" s="133">
        <f>IF(SER_hh_fech!L25=0,0,SER_hh_fech!L25/SER_summary!L$26)</f>
        <v>13.059585650379816</v>
      </c>
      <c r="M25" s="133">
        <f>IF(SER_hh_fech!M25=0,0,SER_hh_fech!M25/SER_summary!M$26)</f>
        <v>12.767880349929293</v>
      </c>
      <c r="N25" s="133">
        <f>IF(SER_hh_fech!N25=0,0,SER_hh_fech!N25/SER_summary!N$26)</f>
        <v>12.859126112526448</v>
      </c>
      <c r="O25" s="133">
        <f>IF(SER_hh_fech!O25=0,0,SER_hh_fech!O25/SER_summary!O$26)</f>
        <v>13.123099405997063</v>
      </c>
      <c r="P25" s="133">
        <f>IF(SER_hh_fech!P25=0,0,SER_hh_fech!P25/SER_summary!P$26)</f>
        <v>12.835058535586208</v>
      </c>
      <c r="Q25" s="133">
        <f>IF(SER_hh_fech!Q25=0,0,SER_hh_fech!Q25/SER_summary!Q$26)</f>
        <v>13.383010073870494</v>
      </c>
      <c r="R25" s="133">
        <f>IF(SER_hh_fech!R25=0,0,SER_hh_fech!R25/SER_summary!R$26)</f>
        <v>13.388762636095031</v>
      </c>
      <c r="S25" s="133">
        <f>IF(SER_hh_fech!S25=0,0,SER_hh_fech!S25/SER_summary!S$26)</f>
        <v>13.618482194341006</v>
      </c>
      <c r="T25" s="133">
        <f>IF(SER_hh_fech!T25=0,0,SER_hh_fech!T25/SER_summary!T$26)</f>
        <v>13.339637718219585</v>
      </c>
      <c r="U25" s="133">
        <f>IF(SER_hh_fech!U25=0,0,SER_hh_fech!U25/SER_summary!U$26)</f>
        <v>13.181026295398194</v>
      </c>
      <c r="V25" s="133">
        <f>IF(SER_hh_fech!V25=0,0,SER_hh_fech!V25/SER_summary!V$26)</f>
        <v>11.571186828179835</v>
      </c>
      <c r="W25" s="133">
        <f>IF(SER_hh_fech!W25=0,0,SER_hh_fech!W25/SER_summary!W$26)</f>
        <v>12.999258081406001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13.858975964616736</v>
      </c>
      <c r="C26" s="65">
        <f>IF(SER_hh_fech!C26=0,0,SER_hh_fech!C26/SER_summary!C$26)</f>
        <v>14.71978555039183</v>
      </c>
      <c r="D26" s="65">
        <f>IF(SER_hh_fech!D26=0,0,SER_hh_fech!D26/SER_summary!D$26)</f>
        <v>14.795487512514203</v>
      </c>
      <c r="E26" s="65">
        <f>IF(SER_hh_fech!E26=0,0,SER_hh_fech!E26/SER_summary!E$26)</f>
        <v>14.565940638011693</v>
      </c>
      <c r="F26" s="65">
        <f>IF(SER_hh_fech!F26=0,0,SER_hh_fech!F26/SER_summary!F$26)</f>
        <v>14.66572313768836</v>
      </c>
      <c r="G26" s="65">
        <f>IF(SER_hh_fech!G26=0,0,SER_hh_fech!G26/SER_summary!G$26)</f>
        <v>14.916078492752568</v>
      </c>
      <c r="H26" s="65">
        <f>IF(SER_hh_fech!H26=0,0,SER_hh_fech!H26/SER_summary!H$26)</f>
        <v>15.190618521297772</v>
      </c>
      <c r="I26" s="65">
        <f>IF(SER_hh_fech!I26=0,0,SER_hh_fech!I26/SER_summary!I$26)</f>
        <v>15.677694224546617</v>
      </c>
      <c r="J26" s="65">
        <f>IF(SER_hh_fech!J26=0,0,SER_hh_fech!J26/SER_summary!J$26)</f>
        <v>16.009475108368811</v>
      </c>
      <c r="K26" s="65">
        <f>IF(SER_hh_fech!K26=0,0,SER_hh_fech!K26/SER_summary!K$26)</f>
        <v>14.937596183281601</v>
      </c>
      <c r="L26" s="65">
        <f>IF(SER_hh_fech!L26=0,0,SER_hh_fech!L26/SER_summary!L$26)</f>
        <v>14.841902139736181</v>
      </c>
      <c r="M26" s="65">
        <f>IF(SER_hh_fech!M26=0,0,SER_hh_fech!M26/SER_summary!M$26)</f>
        <v>15.680808306824119</v>
      </c>
      <c r="N26" s="65">
        <f>IF(SER_hh_fech!N26=0,0,SER_hh_fech!N26/SER_summary!N$26)</f>
        <v>16.059789808847768</v>
      </c>
      <c r="O26" s="65">
        <f>IF(SER_hh_fech!O26=0,0,SER_hh_fech!O26/SER_summary!O$26)</f>
        <v>15.5883947723575</v>
      </c>
      <c r="P26" s="65">
        <f>IF(SER_hh_fech!P26=0,0,SER_hh_fech!P26/SER_summary!P$26)</f>
        <v>16.549342772783678</v>
      </c>
      <c r="Q26" s="65">
        <f>IF(SER_hh_fech!Q26=0,0,SER_hh_fech!Q26/SER_summary!Q$26)</f>
        <v>15.121500937730673</v>
      </c>
      <c r="R26" s="65">
        <f>IF(SER_hh_fech!R26=0,0,SER_hh_fech!R26/SER_summary!R$26)</f>
        <v>15.547477695625926</v>
      </c>
      <c r="S26" s="65">
        <f>IF(SER_hh_fech!S26=0,0,SER_hh_fech!S26/SER_summary!S$26)</f>
        <v>15.09587696665127</v>
      </c>
      <c r="T26" s="65">
        <f>IF(SER_hh_fech!T26=0,0,SER_hh_fech!T26/SER_summary!T$26)</f>
        <v>15.242904387517404</v>
      </c>
      <c r="U26" s="65">
        <f>IF(SER_hh_fech!U26=0,0,SER_hh_fech!U26/SER_summary!U$26)</f>
        <v>15.08310152096357</v>
      </c>
      <c r="V26" s="65">
        <f>IF(SER_hh_fech!V26=0,0,SER_hh_fech!V26/SER_summary!V$26)</f>
        <v>12.352245343582752</v>
      </c>
      <c r="W26" s="65">
        <f>IF(SER_hh_fech!W26=0,0,SER_hh_fech!W26/SER_summary!W$26)</f>
        <v>14.151866315871423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0</v>
      </c>
      <c r="E27" s="146">
        <f>IF(SER_hh_fech!E27=0,0,SER_hh_fech!E27/SER_summary!E$26)</f>
        <v>0</v>
      </c>
      <c r="F27" s="146">
        <f>IF(SER_hh_fech!F27=0,0,SER_hh_fech!F27/SER_summary!F$26)</f>
        <v>0</v>
      </c>
      <c r="G27" s="146">
        <f>IF(SER_hh_fech!G27=0,0,SER_hh_fech!G27/SER_summary!G$26)</f>
        <v>0</v>
      </c>
      <c r="H27" s="146">
        <f>IF(SER_hh_fech!H27=0,0,SER_hh_fech!H27/SER_summary!H$26)</f>
        <v>0</v>
      </c>
      <c r="I27" s="146">
        <f>IF(SER_hh_fech!I27=0,0,SER_hh_fech!I27/SER_summary!I$26)</f>
        <v>0</v>
      </c>
      <c r="J27" s="146">
        <f>IF(SER_hh_fech!J27=0,0,SER_hh_fech!J27/SER_summary!J$26)</f>
        <v>0</v>
      </c>
      <c r="K27" s="146">
        <f>IF(SER_hh_fech!K27=0,0,SER_hh_fech!K27/SER_summary!K$26)</f>
        <v>0</v>
      </c>
      <c r="L27" s="146">
        <f>IF(SER_hh_fech!L27=0,0,SER_hh_fech!L27/SER_summary!L$26)</f>
        <v>0</v>
      </c>
      <c r="M27" s="146">
        <f>IF(SER_hh_fech!M27=0,0,SER_hh_fech!M27/SER_summary!M$26)</f>
        <v>0</v>
      </c>
      <c r="N27" s="146">
        <f>IF(SER_hh_fech!N27=0,0,SER_hh_fech!N27/SER_summary!N$26)</f>
        <v>0</v>
      </c>
      <c r="O27" s="146">
        <f>IF(SER_hh_fech!O27=0,0,SER_hh_fech!O27/SER_summary!O$26)</f>
        <v>0</v>
      </c>
      <c r="P27" s="146">
        <f>IF(SER_hh_fech!P27=0,0,SER_hh_fech!P27/SER_summary!P$26)</f>
        <v>0</v>
      </c>
      <c r="Q27" s="146">
        <f>IF(SER_hh_fech!Q27=0,0,SER_hh_fech!Q27/SER_summary!Q$26)</f>
        <v>0</v>
      </c>
      <c r="R27" s="146">
        <f>IF(SER_hh_fech!R27=0,0,SER_hh_fech!R27/SER_summary!R$26)</f>
        <v>0</v>
      </c>
      <c r="S27" s="146">
        <f>IF(SER_hh_fech!S27=0,0,SER_hh_fech!S27/SER_summary!S$26)</f>
        <v>0</v>
      </c>
      <c r="T27" s="146">
        <f>IF(SER_hh_fech!T27=0,0,SER_hh_fech!T27/SER_summary!T$26)</f>
        <v>0</v>
      </c>
      <c r="U27" s="146">
        <f>IF(SER_hh_fech!U27=0,0,SER_hh_fech!U27/SER_summary!U$26)</f>
        <v>0</v>
      </c>
      <c r="V27" s="146">
        <f>IF(SER_hh_fech!V27=0,0,SER_hh_fech!V27/SER_summary!V$26)</f>
        <v>0</v>
      </c>
      <c r="W27" s="146">
        <f>IF(SER_hh_fech!W27=0,0,SER_hh_fech!W27/SER_summary!W$26)</f>
        <v>0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0</v>
      </c>
      <c r="E28" s="147">
        <f>IF(SER_hh_fech!E28=0,0,SER_hh_fech!E28/SER_summary!E$26)</f>
        <v>0</v>
      </c>
      <c r="F28" s="147">
        <f>IF(SER_hh_fech!F28=0,0,SER_hh_fech!F28/SER_summary!F$26)</f>
        <v>0</v>
      </c>
      <c r="G28" s="147">
        <f>IF(SER_hh_fech!G28=0,0,SER_hh_fech!G28/SER_summary!G$26)</f>
        <v>0</v>
      </c>
      <c r="H28" s="147">
        <f>IF(SER_hh_fech!H28=0,0,SER_hh_fech!H28/SER_summary!H$26)</f>
        <v>0</v>
      </c>
      <c r="I28" s="147">
        <f>IF(SER_hh_fech!I28=0,0,SER_hh_fech!I28/SER_summary!I$26)</f>
        <v>0</v>
      </c>
      <c r="J28" s="147">
        <f>IF(SER_hh_fech!J28=0,0,SER_hh_fech!J28/SER_summary!J$26)</f>
        <v>0</v>
      </c>
      <c r="K28" s="147">
        <f>IF(SER_hh_fech!K28=0,0,SER_hh_fech!K28/SER_summary!K$26)</f>
        <v>0</v>
      </c>
      <c r="L28" s="147">
        <f>IF(SER_hh_fech!L28=0,0,SER_hh_fech!L28/SER_summary!L$26)</f>
        <v>0</v>
      </c>
      <c r="M28" s="147">
        <f>IF(SER_hh_fech!M28=0,0,SER_hh_fech!M28/SER_summary!M$26)</f>
        <v>0</v>
      </c>
      <c r="N28" s="147">
        <f>IF(SER_hh_fech!N28=0,0,SER_hh_fech!N28/SER_summary!N$26)</f>
        <v>0</v>
      </c>
      <c r="O28" s="147">
        <f>IF(SER_hh_fech!O28=0,0,SER_hh_fech!O28/SER_summary!O$26)</f>
        <v>0</v>
      </c>
      <c r="P28" s="147">
        <f>IF(SER_hh_fech!P28=0,0,SER_hh_fech!P28/SER_summary!P$26)</f>
        <v>0</v>
      </c>
      <c r="Q28" s="147">
        <f>IF(SER_hh_fech!Q28=0,0,SER_hh_fech!Q28/SER_summary!Q$26)</f>
        <v>0</v>
      </c>
      <c r="R28" s="147">
        <f>IF(SER_hh_fech!R28=0,0,SER_hh_fech!R28/SER_summary!R$26)</f>
        <v>0</v>
      </c>
      <c r="S28" s="147">
        <f>IF(SER_hh_fech!S28=0,0,SER_hh_fech!S28/SER_summary!S$26)</f>
        <v>0</v>
      </c>
      <c r="T28" s="147">
        <f>IF(SER_hh_fech!T28=0,0,SER_hh_fech!T28/SER_summary!T$26)</f>
        <v>0</v>
      </c>
      <c r="U28" s="147">
        <f>IF(SER_hh_fech!U28=0,0,SER_hh_fech!U28/SER_summary!U$26)</f>
        <v>0</v>
      </c>
      <c r="V28" s="147">
        <f>IF(SER_hh_fech!V28=0,0,SER_hh_fech!V28/SER_summary!V$26)</f>
        <v>0</v>
      </c>
      <c r="W28" s="147">
        <f>IF(SER_hh_fech!W28=0,0,SER_hh_fech!W28/SER_summary!W$26)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14.092307007852533</v>
      </c>
      <c r="C29" s="131">
        <f>IF(SER_hh_fech!C29=0,0,SER_hh_fech!C29/SER_summary!C$26)</f>
        <v>13.745442563740065</v>
      </c>
      <c r="D29" s="131">
        <f>IF(SER_hh_fech!D29=0,0,SER_hh_fech!D29/SER_summary!D$26)</f>
        <v>13.655931123660318</v>
      </c>
      <c r="E29" s="131">
        <f>IF(SER_hh_fech!E29=0,0,SER_hh_fech!E29/SER_summary!E$26)</f>
        <v>13.240073037769216</v>
      </c>
      <c r="F29" s="131">
        <f>IF(SER_hh_fech!F29=0,0,SER_hh_fech!F29/SER_summary!F$26)</f>
        <v>12.921721962218182</v>
      </c>
      <c r="G29" s="131">
        <f>IF(SER_hh_fech!G29=0,0,SER_hh_fech!G29/SER_summary!G$26)</f>
        <v>12.86029789068745</v>
      </c>
      <c r="H29" s="131">
        <f>IF(SER_hh_fech!H29=0,0,SER_hh_fech!H29/SER_summary!H$26)</f>
        <v>13.376720603077622</v>
      </c>
      <c r="I29" s="131">
        <f>IF(SER_hh_fech!I29=0,0,SER_hh_fech!I29/SER_summary!I$26)</f>
        <v>12.913906708969231</v>
      </c>
      <c r="J29" s="131">
        <f>IF(SER_hh_fech!J29=0,0,SER_hh_fech!J29/SER_summary!J$26)</f>
        <v>12.588400981317198</v>
      </c>
      <c r="K29" s="131">
        <f>IF(SER_hh_fech!K29=0,0,SER_hh_fech!K29/SER_summary!K$26)</f>
        <v>12.395334008311663</v>
      </c>
      <c r="L29" s="131">
        <f>IF(SER_hh_fech!L29=0,0,SER_hh_fech!L29/SER_summary!L$26)</f>
        <v>12.081710347253505</v>
      </c>
      <c r="M29" s="131">
        <f>IF(SER_hh_fech!M29=0,0,SER_hh_fech!M29/SER_summary!M$26)</f>
        <v>11.799549591680497</v>
      </c>
      <c r="N29" s="131">
        <f>IF(SER_hh_fech!N29=0,0,SER_hh_fech!N29/SER_summary!N$26)</f>
        <v>11.956137092043704</v>
      </c>
      <c r="O29" s="131">
        <f>IF(SER_hh_fech!O29=0,0,SER_hh_fech!O29/SER_summary!O$26)</f>
        <v>11.316867417892464</v>
      </c>
      <c r="P29" s="131">
        <f>IF(SER_hh_fech!P29=0,0,SER_hh_fech!P29/SER_summary!P$26)</f>
        <v>11.086259950634769</v>
      </c>
      <c r="Q29" s="131">
        <f>IF(SER_hh_fech!Q29=0,0,SER_hh_fech!Q29/SER_summary!Q$26)</f>
        <v>10.51117951493349</v>
      </c>
      <c r="R29" s="131">
        <f>IF(SER_hh_fech!R29=0,0,SER_hh_fech!R29/SER_summary!R$26)</f>
        <v>10.912809656857686</v>
      </c>
      <c r="S29" s="131">
        <f>IF(SER_hh_fech!S29=0,0,SER_hh_fech!S29/SER_summary!S$26)</f>
        <v>10.38570284730433</v>
      </c>
      <c r="T29" s="131">
        <f>IF(SER_hh_fech!T29=0,0,SER_hh_fech!T29/SER_summary!T$26)</f>
        <v>10.794973921015625</v>
      </c>
      <c r="U29" s="131">
        <f>IF(SER_hh_fech!U29=0,0,SER_hh_fech!U29/SER_summary!U$26)</f>
        <v>10.930623812528987</v>
      </c>
      <c r="V29" s="131">
        <f>IF(SER_hh_fech!V29=0,0,SER_hh_fech!V29/SER_summary!V$26)</f>
        <v>10.055491696770511</v>
      </c>
      <c r="W29" s="131">
        <f>IF(SER_hh_fech!W29=0,0,SER_hh_fech!W29/SER_summary!W$26)</f>
        <v>11.56565256196324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0</v>
      </c>
      <c r="C30" s="133">
        <f>IF(SER_hh_fech!C30=0,0,SER_hh_fech!C30/SER_summary!C$26)</f>
        <v>0</v>
      </c>
      <c r="D30" s="133">
        <f>IF(SER_hh_fech!D30=0,0,SER_hh_fech!D30/SER_summary!D$26)</f>
        <v>0</v>
      </c>
      <c r="E30" s="133">
        <f>IF(SER_hh_fech!E30=0,0,SER_hh_fech!E30/SER_summary!E$26)</f>
        <v>0</v>
      </c>
      <c r="F30" s="133">
        <f>IF(SER_hh_fech!F30=0,0,SER_hh_fech!F30/SER_summary!F$26)</f>
        <v>0</v>
      </c>
      <c r="G30" s="133">
        <f>IF(SER_hh_fech!G30=0,0,SER_hh_fech!G30/SER_summary!G$26)</f>
        <v>0</v>
      </c>
      <c r="H30" s="133">
        <f>IF(SER_hh_fech!H30=0,0,SER_hh_fech!H30/SER_summary!H$26)</f>
        <v>0</v>
      </c>
      <c r="I30" s="133">
        <f>IF(SER_hh_fech!I30=0,0,SER_hh_fech!I30/SER_summary!I$26)</f>
        <v>0</v>
      </c>
      <c r="J30" s="133">
        <f>IF(SER_hh_fech!J30=0,0,SER_hh_fech!J30/SER_summary!J$26)</f>
        <v>0</v>
      </c>
      <c r="K30" s="133">
        <f>IF(SER_hh_fech!K30=0,0,SER_hh_fech!K30/SER_summary!K$26)</f>
        <v>0</v>
      </c>
      <c r="L30" s="133">
        <f>IF(SER_hh_fech!L30=0,0,SER_hh_fech!L30/SER_summary!L$26)</f>
        <v>0</v>
      </c>
      <c r="M30" s="133">
        <f>IF(SER_hh_fech!M30=0,0,SER_hh_fech!M30/SER_summary!M$26)</f>
        <v>0</v>
      </c>
      <c r="N30" s="133">
        <f>IF(SER_hh_fech!N30=0,0,SER_hh_fech!N30/SER_summary!N$26)</f>
        <v>0</v>
      </c>
      <c r="O30" s="133">
        <f>IF(SER_hh_fech!O30=0,0,SER_hh_fech!O30/SER_summary!O$26)</f>
        <v>0</v>
      </c>
      <c r="P30" s="133">
        <f>IF(SER_hh_fech!P30=0,0,SER_hh_fech!P30/SER_summary!P$26)</f>
        <v>0</v>
      </c>
      <c r="Q30" s="133">
        <f>IF(SER_hh_fech!Q30=0,0,SER_hh_fech!Q30/SER_summary!Q$26)</f>
        <v>0</v>
      </c>
      <c r="R30" s="133">
        <f>IF(SER_hh_fech!R30=0,0,SER_hh_fech!R30/SER_summary!R$26)</f>
        <v>0</v>
      </c>
      <c r="S30" s="133">
        <f>IF(SER_hh_fech!S30=0,0,SER_hh_fech!S30/SER_summary!S$26)</f>
        <v>0</v>
      </c>
      <c r="T30" s="133">
        <f>IF(SER_hh_fech!T30=0,0,SER_hh_fech!T30/SER_summary!T$26)</f>
        <v>0</v>
      </c>
      <c r="U30" s="133">
        <f>IF(SER_hh_fech!U30=0,0,SER_hh_fech!U30/SER_summary!U$26)</f>
        <v>0</v>
      </c>
      <c r="V30" s="133">
        <f>IF(SER_hh_fech!V30=0,0,SER_hh_fech!V30/SER_summary!V$26)</f>
        <v>0</v>
      </c>
      <c r="W30" s="133">
        <f>IF(SER_hh_fech!W30=0,0,SER_hh_fech!W30/SER_summary!W$26)</f>
        <v>0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16.66996480116995</v>
      </c>
      <c r="C31" s="133">
        <f>IF(SER_hh_fech!C31=0,0,SER_hh_fech!C31/SER_summary!C$26)</f>
        <v>16.53132432291736</v>
      </c>
      <c r="D31" s="133">
        <f>IF(SER_hh_fech!D31=0,0,SER_hh_fech!D31/SER_summary!D$26)</f>
        <v>17.125012611275494</v>
      </c>
      <c r="E31" s="133">
        <f>IF(SER_hh_fech!E31=0,0,SER_hh_fech!E31/SER_summary!E$26)</f>
        <v>16.828399123924619</v>
      </c>
      <c r="F31" s="133">
        <f>IF(SER_hh_fech!F31=0,0,SER_hh_fech!F31/SER_summary!F$26)</f>
        <v>15.222009544551861</v>
      </c>
      <c r="G31" s="133">
        <f>IF(SER_hh_fech!G31=0,0,SER_hh_fech!G31/SER_summary!G$26)</f>
        <v>15.335003258783953</v>
      </c>
      <c r="H31" s="133">
        <f>IF(SER_hh_fech!H31=0,0,SER_hh_fech!H31/SER_summary!H$26)</f>
        <v>14.668075431012371</v>
      </c>
      <c r="I31" s="133">
        <f>IF(SER_hh_fech!I31=0,0,SER_hh_fech!I31/SER_summary!I$26)</f>
        <v>16.374446594968287</v>
      </c>
      <c r="J31" s="133">
        <f>IF(SER_hh_fech!J31=0,0,SER_hh_fech!J31/SER_summary!J$26)</f>
        <v>16.039339069186656</v>
      </c>
      <c r="K31" s="133">
        <f>IF(SER_hh_fech!K31=0,0,SER_hh_fech!K31/SER_summary!K$26)</f>
        <v>15.286940642755296</v>
      </c>
      <c r="L31" s="133">
        <f>IF(SER_hh_fech!L31=0,0,SER_hh_fech!L31/SER_summary!L$26)</f>
        <v>14.609091965775569</v>
      </c>
      <c r="M31" s="133">
        <f>IF(SER_hh_fech!M31=0,0,SER_hh_fech!M31/SER_summary!M$26)</f>
        <v>14.882809716611803</v>
      </c>
      <c r="N31" s="133">
        <f>IF(SER_hh_fech!N31=0,0,SER_hh_fech!N31/SER_summary!N$26)</f>
        <v>14.598552804521708</v>
      </c>
      <c r="O31" s="133">
        <f>IF(SER_hh_fech!O31=0,0,SER_hh_fech!O31/SER_summary!O$26)</f>
        <v>13.327987690113801</v>
      </c>
      <c r="P31" s="133">
        <f>IF(SER_hh_fech!P31=0,0,SER_hh_fech!P31/SER_summary!P$26)</f>
        <v>12.47558498958273</v>
      </c>
      <c r="Q31" s="133">
        <f>IF(SER_hh_fech!Q31=0,0,SER_hh_fech!Q31/SER_summary!Q$26)</f>
        <v>13.610367779628973</v>
      </c>
      <c r="R31" s="133">
        <f>IF(SER_hh_fech!R31=0,0,SER_hh_fech!R31/SER_summary!R$26)</f>
        <v>14.091621342579707</v>
      </c>
      <c r="S31" s="133">
        <f>IF(SER_hh_fech!S31=0,0,SER_hh_fech!S31/SER_summary!S$26)</f>
        <v>13.348558748330866</v>
      </c>
      <c r="T31" s="133">
        <f>IF(SER_hh_fech!T31=0,0,SER_hh_fech!T31/SER_summary!T$26)</f>
        <v>15.371533663104582</v>
      </c>
      <c r="U31" s="133">
        <f>IF(SER_hh_fech!U31=0,0,SER_hh_fech!U31/SER_summary!U$26)</f>
        <v>12.623977554679731</v>
      </c>
      <c r="V31" s="133">
        <f>IF(SER_hh_fech!V31=0,0,SER_hh_fech!V31/SER_summary!V$26)</f>
        <v>12.829181386110417</v>
      </c>
      <c r="W31" s="133">
        <f>IF(SER_hh_fech!W31=0,0,SER_hh_fech!W31/SER_summary!W$26)</f>
        <v>14.796565573169921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22.595941752356556</v>
      </c>
      <c r="H32" s="133">
        <f>IF(SER_hh_fech!H32=0,0,SER_hh_fech!H32/SER_summary!H$26)</f>
        <v>15.363839843622584</v>
      </c>
      <c r="I32" s="133">
        <f>IF(SER_hh_fech!I32=0,0,SER_hh_fech!I32/SER_summary!I$26)</f>
        <v>12.225773167069088</v>
      </c>
      <c r="J32" s="133">
        <f>IF(SER_hh_fech!J32=0,0,SER_hh_fech!J32/SER_summary!J$26)</f>
        <v>20.668026128575384</v>
      </c>
      <c r="K32" s="133">
        <f>IF(SER_hh_fech!K32=0,0,SER_hh_fech!K32/SER_summary!K$26)</f>
        <v>9.989133502334715</v>
      </c>
      <c r="L32" s="133">
        <f>IF(SER_hh_fech!L32=0,0,SER_hh_fech!L32/SER_summary!L$26)</f>
        <v>17.269249407813732</v>
      </c>
      <c r="M32" s="133">
        <f>IF(SER_hh_fech!M32=0,0,SER_hh_fech!M32/SER_summary!M$26)</f>
        <v>18.153587255019293</v>
      </c>
      <c r="N32" s="133">
        <f>IF(SER_hh_fech!N32=0,0,SER_hh_fech!N32/SER_summary!N$26)</f>
        <v>9.0361099370285025</v>
      </c>
      <c r="O32" s="133">
        <f>IF(SER_hh_fech!O32=0,0,SER_hh_fech!O32/SER_summary!O$26)</f>
        <v>9.436491523776402</v>
      </c>
      <c r="P32" s="133">
        <f>IF(SER_hh_fech!P32=0,0,SER_hh_fech!P32/SER_summary!P$26)</f>
        <v>8.679410751135535</v>
      </c>
      <c r="Q32" s="133">
        <f>IF(SER_hh_fech!Q32=0,0,SER_hh_fech!Q32/SER_summary!Q$26)</f>
        <v>15.552206632410016</v>
      </c>
      <c r="R32" s="133">
        <f>IF(SER_hh_fech!R32=0,0,SER_hh_fech!R32/SER_summary!R$26)</f>
        <v>13.368647372897506</v>
      </c>
      <c r="S32" s="133">
        <f>IF(SER_hh_fech!S32=0,0,SER_hh_fech!S32/SER_summary!S$26)</f>
        <v>13.035808221942686</v>
      </c>
      <c r="T32" s="133">
        <f>IF(SER_hh_fech!T32=0,0,SER_hh_fech!T32/SER_summary!T$26)</f>
        <v>12.998486680869545</v>
      </c>
      <c r="U32" s="133">
        <f>IF(SER_hh_fech!U32=0,0,SER_hh_fech!U32/SER_summary!U$26)</f>
        <v>14.664057595655631</v>
      </c>
      <c r="V32" s="133">
        <f>IF(SER_hh_fech!V32=0,0,SER_hh_fech!V32/SER_summary!V$26)</f>
        <v>12.702082685776558</v>
      </c>
      <c r="W32" s="133">
        <f>IF(SER_hh_fech!W32=0,0,SER_hh_fech!W32/SER_summary!W$26)</f>
        <v>16.729839696137329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13.33875866669174</v>
      </c>
      <c r="C33" s="68">
        <f>IF(SER_hh_fech!C33=0,0,SER_hh_fech!C33/SER_summary!C$26)</f>
        <v>12.894404119743875</v>
      </c>
      <c r="D33" s="68">
        <f>IF(SER_hh_fech!D33=0,0,SER_hh_fech!D33/SER_summary!D$26)</f>
        <v>12.537972535908066</v>
      </c>
      <c r="E33" s="68">
        <f>IF(SER_hh_fech!E33=0,0,SER_hh_fech!E33/SER_summary!E$26)</f>
        <v>12.107007303123918</v>
      </c>
      <c r="F33" s="68">
        <f>IF(SER_hh_fech!F33=0,0,SER_hh_fech!F33/SER_summary!F$26)</f>
        <v>12.234349412961423</v>
      </c>
      <c r="G33" s="68">
        <f>IF(SER_hh_fech!G33=0,0,SER_hh_fech!G33/SER_summary!G$26)</f>
        <v>11.986444481752534</v>
      </c>
      <c r="H33" s="68">
        <f>IF(SER_hh_fech!H33=0,0,SER_hh_fech!H33/SER_summary!H$26)</f>
        <v>12.917858915835359</v>
      </c>
      <c r="I33" s="68">
        <f>IF(SER_hh_fech!I33=0,0,SER_hh_fech!I33/SER_summary!I$26)</f>
        <v>11.708817906145166</v>
      </c>
      <c r="J33" s="68">
        <f>IF(SER_hh_fech!J33=0,0,SER_hh_fech!J33/SER_summary!J$26)</f>
        <v>11.060983194281111</v>
      </c>
      <c r="K33" s="68">
        <f>IF(SER_hh_fech!K33=0,0,SER_hh_fech!K33/SER_summary!K$26)</f>
        <v>11.327255354613053</v>
      </c>
      <c r="L33" s="68">
        <f>IF(SER_hh_fech!L33=0,0,SER_hh_fech!L33/SER_summary!L$26)</f>
        <v>10.971912851392984</v>
      </c>
      <c r="M33" s="68">
        <f>IF(SER_hh_fech!M33=0,0,SER_hh_fech!M33/SER_summary!M$26)</f>
        <v>10.596362575342253</v>
      </c>
      <c r="N33" s="68">
        <f>IF(SER_hh_fech!N33=0,0,SER_hh_fech!N33/SER_summary!N$26)</f>
        <v>11.298493477206721</v>
      </c>
      <c r="O33" s="68">
        <f>IF(SER_hh_fech!O33=0,0,SER_hh_fech!O33/SER_summary!O$26)</f>
        <v>10.875432602311307</v>
      </c>
      <c r="P33" s="68">
        <f>IF(SER_hh_fech!P33=0,0,SER_hh_fech!P33/SER_summary!P$26)</f>
        <v>10.839080992523696</v>
      </c>
      <c r="Q33" s="68">
        <f>IF(SER_hh_fech!Q33=0,0,SER_hh_fech!Q33/SER_summary!Q$26)</f>
        <v>9.6250957349015156</v>
      </c>
      <c r="R33" s="68">
        <f>IF(SER_hh_fech!R33=0,0,SER_hh_fech!R33/SER_summary!R$26)</f>
        <v>10.053437384048353</v>
      </c>
      <c r="S33" s="68">
        <f>IF(SER_hh_fech!S33=0,0,SER_hh_fech!S33/SER_summary!S$26)</f>
        <v>9.589233264135963</v>
      </c>
      <c r="T33" s="68">
        <f>IF(SER_hh_fech!T33=0,0,SER_hh_fech!T33/SER_summary!T$26)</f>
        <v>9.7623380332121883</v>
      </c>
      <c r="U33" s="68">
        <f>IF(SER_hh_fech!U33=0,0,SER_hh_fech!U33/SER_summary!U$26)</f>
        <v>10.4702995866667</v>
      </c>
      <c r="V33" s="68">
        <f>IF(SER_hh_fech!V33=0,0,SER_hh_fech!V33/SER_summary!V$26)</f>
        <v>9.5847084170265546</v>
      </c>
      <c r="W33" s="68">
        <f>IF(SER_hh_fech!W33=0,0,SER_hh_fech!W33/SER_summary!W$26)</f>
        <v>10.891120976803039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99.148466548425219</v>
      </c>
      <c r="C3" s="126">
        <f>IF(SER_hh_tesh!C3=0,0,SER_hh_tesh!C3/SER_summary!C$26)</f>
        <v>97.186331054538869</v>
      </c>
      <c r="D3" s="126">
        <f>IF(SER_hh_tesh!D3=0,0,SER_hh_tesh!D3/SER_summary!D$26)</f>
        <v>94.95988853681493</v>
      </c>
      <c r="E3" s="126">
        <f>IF(SER_hh_tesh!E3=0,0,SER_hh_tesh!E3/SER_summary!E$26)</f>
        <v>93.753934983333153</v>
      </c>
      <c r="F3" s="126">
        <f>IF(SER_hh_tesh!F3=0,0,SER_hh_tesh!F3/SER_summary!F$26)</f>
        <v>92.740593306700859</v>
      </c>
      <c r="G3" s="126">
        <f>IF(SER_hh_tesh!G3=0,0,SER_hh_tesh!G3/SER_summary!G$26)</f>
        <v>89.566241926468066</v>
      </c>
      <c r="H3" s="126">
        <f>IF(SER_hh_tesh!H3=0,0,SER_hh_tesh!H3/SER_summary!H$26)</f>
        <v>94.405067751407714</v>
      </c>
      <c r="I3" s="126">
        <f>IF(SER_hh_tesh!I3=0,0,SER_hh_tesh!I3/SER_summary!I$26)</f>
        <v>87.901799228817325</v>
      </c>
      <c r="J3" s="126">
        <f>IF(SER_hh_tesh!J3=0,0,SER_hh_tesh!J3/SER_summary!J$26)</f>
        <v>78.503528545644784</v>
      </c>
      <c r="K3" s="126">
        <f>IF(SER_hh_tesh!K3=0,0,SER_hh_tesh!K3/SER_summary!K$26)</f>
        <v>76.938388923195731</v>
      </c>
      <c r="L3" s="126">
        <f>IF(SER_hh_tesh!L3=0,0,SER_hh_tesh!L3/SER_summary!L$26)</f>
        <v>79.02404001344209</v>
      </c>
      <c r="M3" s="126">
        <f>IF(SER_hh_tesh!M3=0,0,SER_hh_tesh!M3/SER_summary!M$26)</f>
        <v>72.655749940293703</v>
      </c>
      <c r="N3" s="126">
        <f>IF(SER_hh_tesh!N3=0,0,SER_hh_tesh!N3/SER_summary!N$26)</f>
        <v>77.903686396856102</v>
      </c>
      <c r="O3" s="126">
        <f>IF(SER_hh_tesh!O3=0,0,SER_hh_tesh!O3/SER_summary!O$26)</f>
        <v>71.766034675351889</v>
      </c>
      <c r="P3" s="126">
        <f>IF(SER_hh_tesh!P3=0,0,SER_hh_tesh!P3/SER_summary!P$26)</f>
        <v>69.17693738783754</v>
      </c>
      <c r="Q3" s="126">
        <f>IF(SER_hh_tesh!Q3=0,0,SER_hh_tesh!Q3/SER_summary!Q$26)</f>
        <v>66.767789798820274</v>
      </c>
      <c r="R3" s="126">
        <f>IF(SER_hh_tesh!R3=0,0,SER_hh_tesh!R3/SER_summary!R$26)</f>
        <v>70.558502165452936</v>
      </c>
      <c r="S3" s="126">
        <f>IF(SER_hh_tesh!S3=0,0,SER_hh_tesh!S3/SER_summary!S$26)</f>
        <v>75.373820233133529</v>
      </c>
      <c r="T3" s="126">
        <f>IF(SER_hh_tesh!T3=0,0,SER_hh_tesh!T3/SER_summary!T$26)</f>
        <v>78.674284844005115</v>
      </c>
      <c r="U3" s="126">
        <f>IF(SER_hh_tesh!U3=0,0,SER_hh_tesh!U3/SER_summary!U$26)</f>
        <v>73.787541089875305</v>
      </c>
      <c r="V3" s="126">
        <f>IF(SER_hh_tesh!V3=0,0,SER_hh_tesh!V3/SER_summary!V$26)</f>
        <v>67.079860051814251</v>
      </c>
      <c r="W3" s="126">
        <f>IF(SER_hh_tesh!W3=0,0,SER_hh_tesh!W3/SER_summary!W$26)</f>
        <v>80.706476850674392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79.835255539553941</v>
      </c>
      <c r="C4" s="131">
        <f>IF(SER_hh_tesh!C4=0,0,SER_hh_tesh!C4/SER_summary!C$26)</f>
        <v>77.926586234212934</v>
      </c>
      <c r="D4" s="131">
        <f>IF(SER_hh_tesh!D4=0,0,SER_hh_tesh!D4/SER_summary!D$26)</f>
        <v>75.65045721502392</v>
      </c>
      <c r="E4" s="131">
        <f>IF(SER_hh_tesh!E4=0,0,SER_hh_tesh!E4/SER_summary!E$26)</f>
        <v>74.846155464162706</v>
      </c>
      <c r="F4" s="131">
        <f>IF(SER_hh_tesh!F4=0,0,SER_hh_tesh!F4/SER_summary!F$26)</f>
        <v>73.578119488813144</v>
      </c>
      <c r="G4" s="131">
        <f>IF(SER_hh_tesh!G4=0,0,SER_hh_tesh!G4/SER_summary!G$26)</f>
        <v>70.186494964919717</v>
      </c>
      <c r="H4" s="131">
        <f>IF(SER_hh_tesh!H4=0,0,SER_hh_tesh!H4/SER_summary!H$26)</f>
        <v>74.021428332915463</v>
      </c>
      <c r="I4" s="131">
        <f>IF(SER_hh_tesh!I4=0,0,SER_hh_tesh!I4/SER_summary!I$26)</f>
        <v>68.37776801517316</v>
      </c>
      <c r="J4" s="131">
        <f>IF(SER_hh_tesh!J4=0,0,SER_hh_tesh!J4/SER_summary!J$26)</f>
        <v>59.067858223806027</v>
      </c>
      <c r="K4" s="131">
        <f>IF(SER_hh_tesh!K4=0,0,SER_hh_tesh!K4/SER_summary!K$26)</f>
        <v>57.315263440102981</v>
      </c>
      <c r="L4" s="131">
        <f>IF(SER_hh_tesh!L4=0,0,SER_hh_tesh!L4/SER_summary!L$26)</f>
        <v>58.885480471059942</v>
      </c>
      <c r="M4" s="131">
        <f>IF(SER_hh_tesh!M4=0,0,SER_hh_tesh!M4/SER_summary!M$26)</f>
        <v>52.974521896800248</v>
      </c>
      <c r="N4" s="131">
        <f>IF(SER_hh_tesh!N4=0,0,SER_hh_tesh!N4/SER_summary!N$26)</f>
        <v>57.580677556233582</v>
      </c>
      <c r="O4" s="131">
        <f>IF(SER_hh_tesh!O4=0,0,SER_hh_tesh!O4/SER_summary!O$26)</f>
        <v>51.746348889370807</v>
      </c>
      <c r="P4" s="131">
        <f>IF(SER_hh_tesh!P4=0,0,SER_hh_tesh!P4/SER_summary!P$26)</f>
        <v>48.965607387134959</v>
      </c>
      <c r="Q4" s="131">
        <f>IF(SER_hh_tesh!Q4=0,0,SER_hh_tesh!Q4/SER_summary!Q$26)</f>
        <v>46.897099841479125</v>
      </c>
      <c r="R4" s="131">
        <f>IF(SER_hh_tesh!R4=0,0,SER_hh_tesh!R4/SER_summary!R$26)</f>
        <v>50.222664475731023</v>
      </c>
      <c r="S4" s="131">
        <f>IF(SER_hh_tesh!S4=0,0,SER_hh_tesh!S4/SER_summary!S$26)</f>
        <v>55.18331735284778</v>
      </c>
      <c r="T4" s="131">
        <f>IF(SER_hh_tesh!T4=0,0,SER_hh_tesh!T4/SER_summary!T$26)</f>
        <v>57.90359292039625</v>
      </c>
      <c r="U4" s="131">
        <f>IF(SER_hh_tesh!U4=0,0,SER_hh_tesh!U4/SER_summary!U$26)</f>
        <v>52.640505836495436</v>
      </c>
      <c r="V4" s="131">
        <f>IF(SER_hh_tesh!V4=0,0,SER_hh_tesh!V4/SER_summary!V$26)</f>
        <v>47.64701281058101</v>
      </c>
      <c r="W4" s="131">
        <f>IF(SER_hh_tesh!W4=0,0,SER_hh_tesh!W4/SER_summary!W$26)</f>
        <v>58.313442164509574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83.094771638167231</v>
      </c>
      <c r="C5" s="133">
        <f>IF(SER_hh_tesh!C5=0,0,SER_hh_tesh!C5/SER_summary!C$26)</f>
        <v>70.091560148354858</v>
      </c>
      <c r="D5" s="133">
        <f>IF(SER_hh_tesh!D5=0,0,SER_hh_tesh!D5/SER_summary!D$26)</f>
        <v>77.004801882143241</v>
      </c>
      <c r="E5" s="133">
        <f>IF(SER_hh_tesh!E5=0,0,SER_hh_tesh!E5/SER_summary!E$26)</f>
        <v>73.86814493914207</v>
      </c>
      <c r="F5" s="133">
        <f>IF(SER_hh_tesh!F5=0,0,SER_hh_tesh!F5/SER_summary!F$26)</f>
        <v>66.064260750884401</v>
      </c>
      <c r="G5" s="133">
        <f>IF(SER_hh_tesh!G5=0,0,SER_hh_tesh!G5/SER_summary!G$26)</f>
        <v>69.255761900310176</v>
      </c>
      <c r="H5" s="133">
        <f>IF(SER_hh_tesh!H5=0,0,SER_hh_tesh!H5/SER_summary!H$26)</f>
        <v>88.56332917915546</v>
      </c>
      <c r="I5" s="133">
        <f>IF(SER_hh_tesh!I5=0,0,SER_hh_tesh!I5/SER_summary!I$26)</f>
        <v>66.150528605495055</v>
      </c>
      <c r="J5" s="133">
        <f>IF(SER_hh_tesh!J5=0,0,SER_hh_tesh!J5/SER_summary!J$26)</f>
        <v>49.42539842575524</v>
      </c>
      <c r="K5" s="133">
        <f>IF(SER_hh_tesh!K5=0,0,SER_hh_tesh!K5/SER_summary!K$26)</f>
        <v>58.225615807509499</v>
      </c>
      <c r="L5" s="133">
        <f>IF(SER_hh_tesh!L5=0,0,SER_hh_tesh!L5/SER_summary!L$26)</f>
        <v>56.403353460975879</v>
      </c>
      <c r="M5" s="133">
        <f>IF(SER_hh_tesh!M5=0,0,SER_hh_tesh!M5/SER_summary!M$26)</f>
        <v>67.11310928608367</v>
      </c>
      <c r="N5" s="133">
        <f>IF(SER_hh_tesh!N5=0,0,SER_hh_tesh!N5/SER_summary!N$26)</f>
        <v>47.319958754576845</v>
      </c>
      <c r="O5" s="133">
        <f>IF(SER_hh_tesh!O5=0,0,SER_hh_tesh!O5/SER_summary!O$26)</f>
        <v>56.274999088813367</v>
      </c>
      <c r="P5" s="133">
        <f>IF(SER_hh_tesh!P5=0,0,SER_hh_tesh!P5/SER_summary!P$26)</f>
        <v>51.478808791864893</v>
      </c>
      <c r="Q5" s="133">
        <f>IF(SER_hh_tesh!Q5=0,0,SER_hh_tesh!Q5/SER_summary!Q$26)</f>
        <v>41.047855644692824</v>
      </c>
      <c r="R5" s="133">
        <f>IF(SER_hh_tesh!R5=0,0,SER_hh_tesh!R5/SER_summary!R$26)</f>
        <v>51.267019047706469</v>
      </c>
      <c r="S5" s="133">
        <f>IF(SER_hh_tesh!S5=0,0,SER_hh_tesh!S5/SER_summary!S$26)</f>
        <v>55.174085079555049</v>
      </c>
      <c r="T5" s="133">
        <f>IF(SER_hh_tesh!T5=0,0,SER_hh_tesh!T5/SER_summary!T$26)</f>
        <v>59.882165295221313</v>
      </c>
      <c r="U5" s="133">
        <f>IF(SER_hh_tesh!U5=0,0,SER_hh_tesh!U5/SER_summary!U$26)</f>
        <v>55.437301355357228</v>
      </c>
      <c r="V5" s="133">
        <f>IF(SER_hh_tesh!V5=0,0,SER_hh_tesh!V5/SER_summary!V$26)</f>
        <v>43.28903735075869</v>
      </c>
      <c r="W5" s="133">
        <f>IF(SER_hh_tesh!W5=0,0,SER_hh_tesh!W5/SER_summary!W$26)</f>
        <v>58.008210989516563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85.731887906460216</v>
      </c>
      <c r="C7" s="133">
        <f>IF(SER_hh_tesh!C7=0,0,SER_hh_tesh!C7/SER_summary!C$26)</f>
        <v>68.29746527893235</v>
      </c>
      <c r="D7" s="133">
        <f>IF(SER_hh_tesh!D7=0,0,SER_hh_tesh!D7/SER_summary!D$26)</f>
        <v>82.916369357492684</v>
      </c>
      <c r="E7" s="133">
        <f>IF(SER_hh_tesh!E7=0,0,SER_hh_tesh!E7/SER_summary!E$26)</f>
        <v>65.425515635062226</v>
      </c>
      <c r="F7" s="133">
        <f>IF(SER_hh_tesh!F7=0,0,SER_hh_tesh!F7/SER_summary!F$26)</f>
        <v>76.278478110819748</v>
      </c>
      <c r="G7" s="133">
        <f>IF(SER_hh_tesh!G7=0,0,SER_hh_tesh!G7/SER_summary!G$26)</f>
        <v>65.263398732597224</v>
      </c>
      <c r="H7" s="133">
        <f>IF(SER_hh_tesh!H7=0,0,SER_hh_tesh!H7/SER_summary!H$26)</f>
        <v>57.855356730966065</v>
      </c>
      <c r="I7" s="133">
        <f>IF(SER_hh_tesh!I7=0,0,SER_hh_tesh!I7/SER_summary!I$26)</f>
        <v>58.75007773003216</v>
      </c>
      <c r="J7" s="133">
        <f>IF(SER_hh_tesh!J7=0,0,SER_hh_tesh!J7/SER_summary!J$26)</f>
        <v>99.449041264097986</v>
      </c>
      <c r="K7" s="133">
        <f>IF(SER_hh_tesh!K7=0,0,SER_hh_tesh!K7/SER_summary!K$26)</f>
        <v>31.99394738242955</v>
      </c>
      <c r="L7" s="133">
        <f>IF(SER_hh_tesh!L7=0,0,SER_hh_tesh!L7/SER_summary!L$26)</f>
        <v>49.894802902688191</v>
      </c>
      <c r="M7" s="133">
        <f>IF(SER_hh_tesh!M7=0,0,SER_hh_tesh!M7/SER_summary!M$26)</f>
        <v>68.965959883333795</v>
      </c>
      <c r="N7" s="133">
        <f>IF(SER_hh_tesh!N7=0,0,SER_hh_tesh!N7/SER_summary!N$26)</f>
        <v>44.94759390996218</v>
      </c>
      <c r="O7" s="133">
        <f>IF(SER_hh_tesh!O7=0,0,SER_hh_tesh!O7/SER_summary!O$26)</f>
        <v>47.710783175303561</v>
      </c>
      <c r="P7" s="133">
        <f>IF(SER_hh_tesh!P7=0,0,SER_hh_tesh!P7/SER_summary!P$26)</f>
        <v>67.536538201181656</v>
      </c>
      <c r="Q7" s="133">
        <f>IF(SER_hh_tesh!Q7=0,0,SER_hh_tesh!Q7/SER_summary!Q$26)</f>
        <v>36.742524652129532</v>
      </c>
      <c r="R7" s="133">
        <f>IF(SER_hh_tesh!R7=0,0,SER_hh_tesh!R7/SER_summary!R$26)</f>
        <v>43.873208139017343</v>
      </c>
      <c r="S7" s="133">
        <f>IF(SER_hh_tesh!S7=0,0,SER_hh_tesh!S7/SER_summary!S$26)</f>
        <v>58.14193173212383</v>
      </c>
      <c r="T7" s="133">
        <f>IF(SER_hh_tesh!T7=0,0,SER_hh_tesh!T7/SER_summary!T$26)</f>
        <v>44.220417636681638</v>
      </c>
      <c r="U7" s="133">
        <f>IF(SER_hh_tesh!U7=0,0,SER_hh_tesh!U7/SER_summary!U$26)</f>
        <v>51.086943368096975</v>
      </c>
      <c r="V7" s="133">
        <f>IF(SER_hh_tesh!V7=0,0,SER_hh_tesh!V7/SER_summary!V$26)</f>
        <v>50.260827268467935</v>
      </c>
      <c r="W7" s="133">
        <f>IF(SER_hh_tesh!W7=0,0,SER_hh_tesh!W7/SER_summary!W$26)</f>
        <v>56.411055773740891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0</v>
      </c>
      <c r="C8" s="133">
        <f>IF(SER_hh_tesh!C8=0,0,SER_hh_tesh!C8/SER_summary!C$26)</f>
        <v>0</v>
      </c>
      <c r="D8" s="133">
        <f>IF(SER_hh_tesh!D8=0,0,SER_hh_tesh!D8/SER_summary!D$26)</f>
        <v>0</v>
      </c>
      <c r="E8" s="133">
        <f>IF(SER_hh_tesh!E8=0,0,SER_hh_tesh!E8/SER_summary!E$26)</f>
        <v>0</v>
      </c>
      <c r="F8" s="133">
        <f>IF(SER_hh_tesh!F8=0,0,SER_hh_tesh!F8/SER_summary!F$26)</f>
        <v>0</v>
      </c>
      <c r="G8" s="133">
        <f>IF(SER_hh_tesh!G8=0,0,SER_hh_tesh!G8/SER_summary!G$26)</f>
        <v>0</v>
      </c>
      <c r="H8" s="133">
        <f>IF(SER_hh_tesh!H8=0,0,SER_hh_tesh!H8/SER_summary!H$26)</f>
        <v>0</v>
      </c>
      <c r="I8" s="133">
        <f>IF(SER_hh_tesh!I8=0,0,SER_hh_tesh!I8/SER_summary!I$26)</f>
        <v>0</v>
      </c>
      <c r="J8" s="133">
        <f>IF(SER_hh_tesh!J8=0,0,SER_hh_tesh!J8/SER_summary!J$26)</f>
        <v>0</v>
      </c>
      <c r="K8" s="133">
        <f>IF(SER_hh_tesh!K8=0,0,SER_hh_tesh!K8/SER_summary!K$26)</f>
        <v>0</v>
      </c>
      <c r="L8" s="133">
        <f>IF(SER_hh_tesh!L8=0,0,SER_hh_tesh!L8/SER_summary!L$26)</f>
        <v>0</v>
      </c>
      <c r="M8" s="133">
        <f>IF(SER_hh_tesh!M8=0,0,SER_hh_tesh!M8/SER_summary!M$26)</f>
        <v>0</v>
      </c>
      <c r="N8" s="133">
        <f>IF(SER_hh_tesh!N8=0,0,SER_hh_tesh!N8/SER_summary!N$26)</f>
        <v>0</v>
      </c>
      <c r="O8" s="133">
        <f>IF(SER_hh_tesh!O8=0,0,SER_hh_tesh!O8/SER_summary!O$26)</f>
        <v>0</v>
      </c>
      <c r="P8" s="133">
        <f>IF(SER_hh_tesh!P8=0,0,SER_hh_tesh!P8/SER_summary!P$26)</f>
        <v>0</v>
      </c>
      <c r="Q8" s="133">
        <f>IF(SER_hh_tesh!Q8=0,0,SER_hh_tesh!Q8/SER_summary!Q$26)</f>
        <v>0</v>
      </c>
      <c r="R8" s="133">
        <f>IF(SER_hh_tesh!R8=0,0,SER_hh_tesh!R8/SER_summary!R$26)</f>
        <v>0</v>
      </c>
      <c r="S8" s="133">
        <f>IF(SER_hh_tesh!S8=0,0,SER_hh_tesh!S8/SER_summary!S$26)</f>
        <v>0</v>
      </c>
      <c r="T8" s="133">
        <f>IF(SER_hh_tesh!T8=0,0,SER_hh_tesh!T8/SER_summary!T$26)</f>
        <v>0</v>
      </c>
      <c r="U8" s="133">
        <f>IF(SER_hh_tesh!U8=0,0,SER_hh_tesh!U8/SER_summary!U$26)</f>
        <v>0</v>
      </c>
      <c r="V8" s="133">
        <f>IF(SER_hh_tesh!V8=0,0,SER_hh_tesh!V8/SER_summary!V$26)</f>
        <v>0</v>
      </c>
      <c r="W8" s="133">
        <f>IF(SER_hh_tesh!W8=0,0,SER_hh_tesh!W8/SER_summary!W$26)</f>
        <v>0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74.244245803558044</v>
      </c>
      <c r="C9" s="133">
        <f>IF(SER_hh_tesh!C9=0,0,SER_hh_tesh!C9/SER_summary!C$26)</f>
        <v>74.357620930706005</v>
      </c>
      <c r="D9" s="133">
        <f>IF(SER_hh_tesh!D9=0,0,SER_hh_tesh!D9/SER_summary!D$26)</f>
        <v>73.782629934954826</v>
      </c>
      <c r="E9" s="133">
        <f>IF(SER_hh_tesh!E9=0,0,SER_hh_tesh!E9/SER_summary!E$26)</f>
        <v>66.50843383836883</v>
      </c>
      <c r="F9" s="133">
        <f>IF(SER_hh_tesh!F9=0,0,SER_hh_tesh!F9/SER_summary!F$26)</f>
        <v>79.78756785804832</v>
      </c>
      <c r="G9" s="133">
        <f>IF(SER_hh_tesh!G9=0,0,SER_hh_tesh!G9/SER_summary!G$26)</f>
        <v>67.676131234485524</v>
      </c>
      <c r="H9" s="133">
        <f>IF(SER_hh_tesh!H9=0,0,SER_hh_tesh!H9/SER_summary!H$26)</f>
        <v>63.70226642322374</v>
      </c>
      <c r="I9" s="133">
        <f>IF(SER_hh_tesh!I9=0,0,SER_hh_tesh!I9/SER_summary!I$26)</f>
        <v>73.562916225875227</v>
      </c>
      <c r="J9" s="133">
        <f>IF(SER_hh_tesh!J9=0,0,SER_hh_tesh!J9/SER_summary!J$26)</f>
        <v>61.95405969960629</v>
      </c>
      <c r="K9" s="133">
        <f>IF(SER_hh_tesh!K9=0,0,SER_hh_tesh!K9/SER_summary!K$26)</f>
        <v>53.455657097654033</v>
      </c>
      <c r="L9" s="133">
        <f>IF(SER_hh_tesh!L9=0,0,SER_hh_tesh!L9/SER_summary!L$26)</f>
        <v>59.098126411726909</v>
      </c>
      <c r="M9" s="133">
        <f>IF(SER_hh_tesh!M9=0,0,SER_hh_tesh!M9/SER_summary!M$26)</f>
        <v>51.17141780140615</v>
      </c>
      <c r="N9" s="133">
        <f>IF(SER_hh_tesh!N9=0,0,SER_hh_tesh!N9/SER_summary!N$26)</f>
        <v>54.576070265639999</v>
      </c>
      <c r="O9" s="133">
        <f>IF(SER_hh_tesh!O9=0,0,SER_hh_tesh!O9/SER_summary!O$26)</f>
        <v>53.280522322381763</v>
      </c>
      <c r="P9" s="133">
        <f>IF(SER_hh_tesh!P9=0,0,SER_hh_tesh!P9/SER_summary!P$26)</f>
        <v>45.315198747800821</v>
      </c>
      <c r="Q9" s="133">
        <f>IF(SER_hh_tesh!Q9=0,0,SER_hh_tesh!Q9/SER_summary!Q$26)</f>
        <v>48.261401530786912</v>
      </c>
      <c r="R9" s="133">
        <f>IF(SER_hh_tesh!R9=0,0,SER_hh_tesh!R9/SER_summary!R$26)</f>
        <v>50.525544033400791</v>
      </c>
      <c r="S9" s="133">
        <f>IF(SER_hh_tesh!S9=0,0,SER_hh_tesh!S9/SER_summary!S$26)</f>
        <v>52.800361731670549</v>
      </c>
      <c r="T9" s="133">
        <f>IF(SER_hh_tesh!T9=0,0,SER_hh_tesh!T9/SER_summary!T$26)</f>
        <v>54.120260496129319</v>
      </c>
      <c r="U9" s="133">
        <f>IF(SER_hh_tesh!U9=0,0,SER_hh_tesh!U9/SER_summary!U$26)</f>
        <v>53.51565645762561</v>
      </c>
      <c r="V9" s="133">
        <f>IF(SER_hh_tesh!V9=0,0,SER_hh_tesh!V9/SER_summary!V$26)</f>
        <v>51.661588655586854</v>
      </c>
      <c r="W9" s="133">
        <f>IF(SER_hh_tesh!W9=0,0,SER_hh_tesh!W9/SER_summary!W$26)</f>
        <v>54.690761750464354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78.491848754950695</v>
      </c>
      <c r="C10" s="133">
        <f>IF(SER_hh_tesh!C10=0,0,SER_hh_tesh!C10/SER_summary!C$26)</f>
        <v>77.241063151560382</v>
      </c>
      <c r="D10" s="133">
        <f>IF(SER_hh_tesh!D10=0,0,SER_hh_tesh!D10/SER_summary!D$26)</f>
        <v>79.087848966430471</v>
      </c>
      <c r="E10" s="133">
        <f>IF(SER_hh_tesh!E10=0,0,SER_hh_tesh!E10/SER_summary!E$26)</f>
        <v>71.893025507095714</v>
      </c>
      <c r="F10" s="133">
        <f>IF(SER_hh_tesh!F10=0,0,SER_hh_tesh!F10/SER_summary!F$26)</f>
        <v>69.935583767220635</v>
      </c>
      <c r="G10" s="133">
        <f>IF(SER_hh_tesh!G10=0,0,SER_hh_tesh!G10/SER_summary!G$26)</f>
        <v>70.942305224377435</v>
      </c>
      <c r="H10" s="133">
        <f>IF(SER_hh_tesh!H10=0,0,SER_hh_tesh!H10/SER_summary!H$26)</f>
        <v>69.849143945427642</v>
      </c>
      <c r="I10" s="133">
        <f>IF(SER_hh_tesh!I10=0,0,SER_hh_tesh!I10/SER_summary!I$26)</f>
        <v>63.833491193785328</v>
      </c>
      <c r="J10" s="133">
        <f>IF(SER_hh_tesh!J10=0,0,SER_hh_tesh!J10/SER_summary!J$26)</f>
        <v>61.654431121487107</v>
      </c>
      <c r="K10" s="133">
        <f>IF(SER_hh_tesh!K10=0,0,SER_hh_tesh!K10/SER_summary!K$26)</f>
        <v>57.265550838442607</v>
      </c>
      <c r="L10" s="133">
        <f>IF(SER_hh_tesh!L10=0,0,SER_hh_tesh!L10/SER_summary!L$26)</f>
        <v>54.572957139356447</v>
      </c>
      <c r="M10" s="133">
        <f>IF(SER_hh_tesh!M10=0,0,SER_hh_tesh!M10/SER_summary!M$26)</f>
        <v>54.808014081261959</v>
      </c>
      <c r="N10" s="133">
        <f>IF(SER_hh_tesh!N10=0,0,SER_hh_tesh!N10/SER_summary!N$26)</f>
        <v>54.816776697080407</v>
      </c>
      <c r="O10" s="133">
        <f>IF(SER_hh_tesh!O10=0,0,SER_hh_tesh!O10/SER_summary!O$26)</f>
        <v>53.636685095293693</v>
      </c>
      <c r="P10" s="133">
        <f>IF(SER_hh_tesh!P10=0,0,SER_hh_tesh!P10/SER_summary!P$26)</f>
        <v>49.419593817034865</v>
      </c>
      <c r="Q10" s="133">
        <f>IF(SER_hh_tesh!Q10=0,0,SER_hh_tesh!Q10/SER_summary!Q$26)</f>
        <v>48.215229057747202</v>
      </c>
      <c r="R10" s="133">
        <f>IF(SER_hh_tesh!R10=0,0,SER_hh_tesh!R10/SER_summary!R$26)</f>
        <v>52.63757843906501</v>
      </c>
      <c r="S10" s="133">
        <f>IF(SER_hh_tesh!S10=0,0,SER_hh_tesh!S10/SER_summary!S$26)</f>
        <v>50.65119878971057</v>
      </c>
      <c r="T10" s="133">
        <f>IF(SER_hh_tesh!T10=0,0,SER_hh_tesh!T10/SER_summary!T$26)</f>
        <v>53.639120498514806</v>
      </c>
      <c r="U10" s="133">
        <f>IF(SER_hh_tesh!U10=0,0,SER_hh_tesh!U10/SER_summary!U$26)</f>
        <v>51.273680217812888</v>
      </c>
      <c r="V10" s="133">
        <f>IF(SER_hh_tesh!V10=0,0,SER_hh_tesh!V10/SER_summary!V$26)</f>
        <v>55.025520957975203</v>
      </c>
      <c r="W10" s="133">
        <f>IF(SER_hh_tesh!W10=0,0,SER_hh_tesh!W10/SER_summary!W$26)</f>
        <v>53.088516674288293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0</v>
      </c>
      <c r="H11" s="133">
        <f>IF(SER_hh_tesh!H11=0,0,SER_hh_tesh!H11/SER_summary!H$26)</f>
        <v>0</v>
      </c>
      <c r="I11" s="133">
        <f>IF(SER_hh_tesh!I11=0,0,SER_hh_tesh!I11/SER_summary!I$26)</f>
        <v>0</v>
      </c>
      <c r="J11" s="133">
        <f>IF(SER_hh_tesh!J11=0,0,SER_hh_tesh!J11/SER_summary!J$26)</f>
        <v>0</v>
      </c>
      <c r="K11" s="133">
        <f>IF(SER_hh_tesh!K11=0,0,SER_hh_tesh!K11/SER_summary!K$26)</f>
        <v>0</v>
      </c>
      <c r="L11" s="133">
        <f>IF(SER_hh_tesh!L11=0,0,SER_hh_tesh!L11/SER_summary!L$26)</f>
        <v>0</v>
      </c>
      <c r="M11" s="133">
        <f>IF(SER_hh_tesh!M11=0,0,SER_hh_tesh!M11/SER_summary!M$26)</f>
        <v>0</v>
      </c>
      <c r="N11" s="133">
        <f>IF(SER_hh_tesh!N11=0,0,SER_hh_tesh!N11/SER_summary!N$26)</f>
        <v>0</v>
      </c>
      <c r="O11" s="133">
        <f>IF(SER_hh_tesh!O11=0,0,SER_hh_tesh!O11/SER_summary!O$26)</f>
        <v>0</v>
      </c>
      <c r="P11" s="133">
        <f>IF(SER_hh_tesh!P11=0,0,SER_hh_tesh!P11/SER_summary!P$26)</f>
        <v>0</v>
      </c>
      <c r="Q11" s="133">
        <f>IF(SER_hh_tesh!Q11=0,0,SER_hh_tesh!Q11/SER_summary!Q$26)</f>
        <v>0</v>
      </c>
      <c r="R11" s="133">
        <f>IF(SER_hh_tesh!R11=0,0,SER_hh_tesh!R11/SER_summary!R$26)</f>
        <v>0</v>
      </c>
      <c r="S11" s="133">
        <f>IF(SER_hh_tesh!S11=0,0,SER_hh_tesh!S11/SER_summary!S$26)</f>
        <v>0</v>
      </c>
      <c r="T11" s="133">
        <f>IF(SER_hh_tesh!T11=0,0,SER_hh_tesh!T11/SER_summary!T$26)</f>
        <v>0</v>
      </c>
      <c r="U11" s="133">
        <f>IF(SER_hh_tesh!U11=0,0,SER_hh_tesh!U11/SER_summary!U$26)</f>
        <v>0</v>
      </c>
      <c r="V11" s="133">
        <f>IF(SER_hh_tesh!V11=0,0,SER_hh_tesh!V11/SER_summary!V$26)</f>
        <v>0</v>
      </c>
      <c r="W11" s="133">
        <f>IF(SER_hh_tesh!W11=0,0,SER_hh_tesh!W11/SER_summary!W$26)</f>
        <v>0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79.024292924135906</v>
      </c>
      <c r="C12" s="133">
        <f>IF(SER_hh_tesh!C12=0,0,SER_hh_tesh!C12/SER_summary!C$26)</f>
        <v>79.139043821047736</v>
      </c>
      <c r="D12" s="133">
        <f>IF(SER_hh_tesh!D12=0,0,SER_hh_tesh!D12/SER_summary!D$26)</f>
        <v>75.338195259700072</v>
      </c>
      <c r="E12" s="133">
        <f>IF(SER_hh_tesh!E12=0,0,SER_hh_tesh!E12/SER_summary!E$26)</f>
        <v>75.031545167627357</v>
      </c>
      <c r="F12" s="133">
        <f>IF(SER_hh_tesh!F12=0,0,SER_hh_tesh!F12/SER_summary!F$26)</f>
        <v>73.162273415875518</v>
      </c>
      <c r="G12" s="133">
        <f>IF(SER_hh_tesh!G12=0,0,SER_hh_tesh!G12/SER_summary!G$26)</f>
        <v>69.810036716051059</v>
      </c>
      <c r="H12" s="133">
        <f>IF(SER_hh_tesh!H12=0,0,SER_hh_tesh!H12/SER_summary!H$26)</f>
        <v>73.670578236016425</v>
      </c>
      <c r="I12" s="133">
        <f>IF(SER_hh_tesh!I12=0,0,SER_hh_tesh!I12/SER_summary!I$26)</f>
        <v>68.089119357751358</v>
      </c>
      <c r="J12" s="133">
        <f>IF(SER_hh_tesh!J12=0,0,SER_hh_tesh!J12/SER_summary!J$26)</f>
        <v>53.851961646568071</v>
      </c>
      <c r="K12" s="133">
        <f>IF(SER_hh_tesh!K12=0,0,SER_hh_tesh!K12/SER_summary!K$26)</f>
        <v>58.549547585823234</v>
      </c>
      <c r="L12" s="133">
        <f>IF(SER_hh_tesh!L12=0,0,SER_hh_tesh!L12/SER_summary!L$26)</f>
        <v>61.844907252652149</v>
      </c>
      <c r="M12" s="133">
        <f>IF(SER_hh_tesh!M12=0,0,SER_hh_tesh!M12/SER_summary!M$26)</f>
        <v>48.974697114037248</v>
      </c>
      <c r="N12" s="133">
        <f>IF(SER_hh_tesh!N12=0,0,SER_hh_tesh!N12/SER_summary!N$26)</f>
        <v>59.486413419307446</v>
      </c>
      <c r="O12" s="133">
        <f>IF(SER_hh_tesh!O12=0,0,SER_hh_tesh!O12/SER_summary!O$26)</f>
        <v>49.72866039785832</v>
      </c>
      <c r="P12" s="133">
        <f>IF(SER_hh_tesh!P12=0,0,SER_hh_tesh!P12/SER_summary!P$26)</f>
        <v>48.110888171471849</v>
      </c>
      <c r="Q12" s="133">
        <f>IF(SER_hh_tesh!Q12=0,0,SER_hh_tesh!Q12/SER_summary!Q$26)</f>
        <v>48.752854699802612</v>
      </c>
      <c r="R12" s="133">
        <f>IF(SER_hh_tesh!R12=0,0,SER_hh_tesh!R12/SER_summary!R$26)</f>
        <v>48.049497212988122</v>
      </c>
      <c r="S12" s="133">
        <f>IF(SER_hh_tesh!S12=0,0,SER_hh_tesh!S12/SER_summary!S$26)</f>
        <v>57.008671070370255</v>
      </c>
      <c r="T12" s="133">
        <f>IF(SER_hh_tesh!T12=0,0,SER_hh_tesh!T12/SER_summary!T$26)</f>
        <v>58.37768411426687</v>
      </c>
      <c r="U12" s="133">
        <f>IF(SER_hh_tesh!U12=0,0,SER_hh_tesh!U12/SER_summary!U$26)</f>
        <v>50.560565839424719</v>
      </c>
      <c r="V12" s="133">
        <f>IF(SER_hh_tesh!V12=0,0,SER_hh_tesh!V12/SER_summary!V$26)</f>
        <v>45.815257685196741</v>
      </c>
      <c r="W12" s="133">
        <f>IF(SER_hh_tesh!W12=0,0,SER_hh_tesh!W12/SER_summary!W$26)</f>
        <v>59.062942873077887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65.022894173493498</v>
      </c>
      <c r="C13" s="133">
        <f>IF(SER_hh_tesh!C13=0,0,SER_hh_tesh!C13/SER_summary!C$26)</f>
        <v>75.910912836329217</v>
      </c>
      <c r="D13" s="133">
        <f>IF(SER_hh_tesh!D13=0,0,SER_hh_tesh!D13/SER_summary!D$26)</f>
        <v>59.576068588501194</v>
      </c>
      <c r="E13" s="133">
        <f>IF(SER_hh_tesh!E13=0,0,SER_hh_tesh!E13/SER_summary!E$26)</f>
        <v>73.485426853192109</v>
      </c>
      <c r="F13" s="133">
        <f>IF(SER_hh_tesh!F13=0,0,SER_hh_tesh!F13/SER_summary!F$26)</f>
        <v>69.712066504506581</v>
      </c>
      <c r="G13" s="133">
        <f>IF(SER_hh_tesh!G13=0,0,SER_hh_tesh!G13/SER_summary!G$26)</f>
        <v>71.407106576413454</v>
      </c>
      <c r="H13" s="133">
        <f>IF(SER_hh_tesh!H13=0,0,SER_hh_tesh!H13/SER_summary!H$26)</f>
        <v>63.853708751231927</v>
      </c>
      <c r="I13" s="133">
        <f>IF(SER_hh_tesh!I13=0,0,SER_hh_tesh!I13/SER_summary!I$26)</f>
        <v>55.008095915823368</v>
      </c>
      <c r="J13" s="133">
        <f>IF(SER_hh_tesh!J13=0,0,SER_hh_tesh!J13/SER_summary!J$26)</f>
        <v>66.432578925784668</v>
      </c>
      <c r="K13" s="133">
        <f>IF(SER_hh_tesh!K13=0,0,SER_hh_tesh!K13/SER_summary!K$26)</f>
        <v>54.352867536910743</v>
      </c>
      <c r="L13" s="133">
        <f>IF(SER_hh_tesh!L13=0,0,SER_hh_tesh!L13/SER_summary!L$26)</f>
        <v>43.183444182902427</v>
      </c>
      <c r="M13" s="133">
        <f>IF(SER_hh_tesh!M13=0,0,SER_hh_tesh!M13/SER_summary!M$26)</f>
        <v>50.477341526125734</v>
      </c>
      <c r="N13" s="133">
        <f>IF(SER_hh_tesh!N13=0,0,SER_hh_tesh!N13/SER_summary!N$26)</f>
        <v>50.100799503348284</v>
      </c>
      <c r="O13" s="133">
        <f>IF(SER_hh_tesh!O13=0,0,SER_hh_tesh!O13/SER_summary!O$26)</f>
        <v>46.503093575421119</v>
      </c>
      <c r="P13" s="133">
        <f>IF(SER_hh_tesh!P13=0,0,SER_hh_tesh!P13/SER_summary!P$26)</f>
        <v>54.378614127506218</v>
      </c>
      <c r="Q13" s="133">
        <f>IF(SER_hh_tesh!Q13=0,0,SER_hh_tesh!Q13/SER_summary!Q$26)</f>
        <v>51.125006905363648</v>
      </c>
      <c r="R13" s="133">
        <f>IF(SER_hh_tesh!R13=0,0,SER_hh_tesh!R13/SER_summary!R$26)</f>
        <v>51.755779508740339</v>
      </c>
      <c r="S13" s="133">
        <f>IF(SER_hh_tesh!S13=0,0,SER_hh_tesh!S13/SER_summary!S$26)</f>
        <v>53.479382352238297</v>
      </c>
      <c r="T13" s="133">
        <f>IF(SER_hh_tesh!T13=0,0,SER_hh_tesh!T13/SER_summary!T$26)</f>
        <v>55.068805278125708</v>
      </c>
      <c r="U13" s="133">
        <f>IF(SER_hh_tesh!U13=0,0,SER_hh_tesh!U13/SER_summary!U$26)</f>
        <v>49.216333109869431</v>
      </c>
      <c r="V13" s="133">
        <f>IF(SER_hh_tesh!V13=0,0,SER_hh_tesh!V13/SER_summary!V$26)</f>
        <v>41.318964798799314</v>
      </c>
      <c r="W13" s="133">
        <f>IF(SER_hh_tesh!W13=0,0,SER_hh_tesh!W13/SER_summary!W$26)</f>
        <v>67.46285181028577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77.125191973469825</v>
      </c>
      <c r="C14" s="65">
        <f>IF(SER_hh_tesh!C14=0,0,SER_hh_tesh!C14/SER_summary!C$26)</f>
        <v>80.20732636877959</v>
      </c>
      <c r="D14" s="65">
        <f>IF(SER_hh_tesh!D14=0,0,SER_hh_tesh!D14/SER_summary!D$26)</f>
        <v>66.471915994923819</v>
      </c>
      <c r="E14" s="65">
        <f>IF(SER_hh_tesh!E14=0,0,SER_hh_tesh!E14/SER_summary!E$26)</f>
        <v>81.057188224925284</v>
      </c>
      <c r="F14" s="65">
        <f>IF(SER_hh_tesh!F14=0,0,SER_hh_tesh!F14/SER_summary!F$26)</f>
        <v>76.465321680298885</v>
      </c>
      <c r="G14" s="65">
        <f>IF(SER_hh_tesh!G14=0,0,SER_hh_tesh!G14/SER_summary!G$26)</f>
        <v>71.889606596546031</v>
      </c>
      <c r="H14" s="65">
        <f>IF(SER_hh_tesh!H14=0,0,SER_hh_tesh!H14/SER_summary!H$26)</f>
        <v>67.644905180580324</v>
      </c>
      <c r="I14" s="65">
        <f>IF(SER_hh_tesh!I14=0,0,SER_hh_tesh!I14/SER_summary!I$26)</f>
        <v>65.752067103392989</v>
      </c>
      <c r="J14" s="65">
        <f>IF(SER_hh_tesh!J14=0,0,SER_hh_tesh!J14/SER_summary!J$26)</f>
        <v>94.497138850332632</v>
      </c>
      <c r="K14" s="65">
        <f>IF(SER_hh_tesh!K14=0,0,SER_hh_tesh!K14/SER_summary!K$26)</f>
        <v>50.720040972633193</v>
      </c>
      <c r="L14" s="65">
        <f>IF(SER_hh_tesh!L14=0,0,SER_hh_tesh!L14/SER_summary!L$26)</f>
        <v>32.709206482827732</v>
      </c>
      <c r="M14" s="65">
        <f>IF(SER_hh_tesh!M14=0,0,SER_hh_tesh!M14/SER_summary!M$26)</f>
        <v>53.341152343490165</v>
      </c>
      <c r="N14" s="65">
        <f>IF(SER_hh_tesh!N14=0,0,SER_hh_tesh!N14/SER_summary!N$26)</f>
        <v>72.228674428318314</v>
      </c>
      <c r="O14" s="65">
        <f>IF(SER_hh_tesh!O14=0,0,SER_hh_tesh!O14/SER_summary!O$26)</f>
        <v>48.629797841422075</v>
      </c>
      <c r="P14" s="65">
        <f>IF(SER_hh_tesh!P14=0,0,SER_hh_tesh!P14/SER_summary!P$26)</f>
        <v>53.14166034399404</v>
      </c>
      <c r="Q14" s="65">
        <f>IF(SER_hh_tesh!Q14=0,0,SER_hh_tesh!Q14/SER_summary!Q$26)</f>
        <v>23.005846093580313</v>
      </c>
      <c r="R14" s="65">
        <f>IF(SER_hh_tesh!R14=0,0,SER_hh_tesh!R14/SER_summary!R$26)</f>
        <v>63.963656125825985</v>
      </c>
      <c r="S14" s="65">
        <f>IF(SER_hh_tesh!S14=0,0,SER_hh_tesh!S14/SER_summary!S$26)</f>
        <v>39.045352891037467</v>
      </c>
      <c r="T14" s="65">
        <f>IF(SER_hh_tesh!T14=0,0,SER_hh_tesh!T14/SER_summary!T$26)</f>
        <v>62.178691763243769</v>
      </c>
      <c r="U14" s="65">
        <f>IF(SER_hh_tesh!U14=0,0,SER_hh_tesh!U14/SER_summary!U$26)</f>
        <v>61.12536087216025</v>
      </c>
      <c r="V14" s="65">
        <f>IF(SER_hh_tesh!V14=0,0,SER_hh_tesh!V14/SER_summary!V$26)</f>
        <v>44.617045940192149</v>
      </c>
      <c r="W14" s="65">
        <f>IF(SER_hh_tesh!W14=0,0,SER_hh_tesh!W14/SER_summary!W$26)</f>
        <v>61.376717563958266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0.61240907065786798</v>
      </c>
      <c r="C15" s="135">
        <f>IF(SER_hh_tesh!C15=0,0,SER_hh_tesh!C15/SER_summary!C$26)</f>
        <v>0.56573246246753284</v>
      </c>
      <c r="D15" s="135">
        <f>IF(SER_hh_tesh!D15=0,0,SER_hh_tesh!D15/SER_summary!D$26)</f>
        <v>0.56680955541375466</v>
      </c>
      <c r="E15" s="135">
        <f>IF(SER_hh_tesh!E15=0,0,SER_hh_tesh!E15/SER_summary!E$26)</f>
        <v>0.5237559179502459</v>
      </c>
      <c r="F15" s="135">
        <f>IF(SER_hh_tesh!F15=0,0,SER_hh_tesh!F15/SER_summary!F$26)</f>
        <v>0.53554762711119053</v>
      </c>
      <c r="G15" s="135">
        <f>IF(SER_hh_tesh!G15=0,0,SER_hh_tesh!G15/SER_summary!G$26)</f>
        <v>0.49901707014813546</v>
      </c>
      <c r="H15" s="135">
        <f>IF(SER_hh_tesh!H15=0,0,SER_hh_tesh!H15/SER_summary!H$26)</f>
        <v>0.5276948749866297</v>
      </c>
      <c r="I15" s="135">
        <f>IF(SER_hh_tesh!I15=0,0,SER_hh_tesh!I15/SER_summary!I$26)</f>
        <v>0.49377049758693103</v>
      </c>
      <c r="J15" s="135">
        <f>IF(SER_hh_tesh!J15=0,0,SER_hh_tesh!J15/SER_summary!J$26)</f>
        <v>0.41032888028184289</v>
      </c>
      <c r="K15" s="135">
        <f>IF(SER_hh_tesh!K15=0,0,SER_hh_tesh!K15/SER_summary!K$26)</f>
        <v>0.39815883851247108</v>
      </c>
      <c r="L15" s="135">
        <f>IF(SER_hh_tesh!L15=0,0,SER_hh_tesh!L15/SER_summary!L$26)</f>
        <v>0.4168534925987703</v>
      </c>
      <c r="M15" s="135">
        <f>IF(SER_hh_tesh!M15=0,0,SER_hh_tesh!M15/SER_summary!M$26)</f>
        <v>0.37842141785614875</v>
      </c>
      <c r="N15" s="135">
        <f>IF(SER_hh_tesh!N15=0,0,SER_hh_tesh!N15/SER_summary!N$26)</f>
        <v>0.38671109105623841</v>
      </c>
      <c r="O15" s="135">
        <f>IF(SER_hh_tesh!O15=0,0,SER_hh_tesh!O15/SER_summary!O$26)</f>
        <v>0.37386720662981826</v>
      </c>
      <c r="P15" s="135">
        <f>IF(SER_hh_tesh!P15=0,0,SER_hh_tesh!P15/SER_summary!P$26)</f>
        <v>0.34187444794111121</v>
      </c>
      <c r="Q15" s="135">
        <f>IF(SER_hh_tesh!Q15=0,0,SER_hh_tesh!Q15/SER_summary!Q$26)</f>
        <v>0.33766164596615456</v>
      </c>
      <c r="R15" s="135">
        <f>IF(SER_hh_tesh!R15=0,0,SER_hh_tesh!R15/SER_summary!R$26)</f>
        <v>0.35583953690935566</v>
      </c>
      <c r="S15" s="135">
        <f>IF(SER_hh_tesh!S15=0,0,SER_hh_tesh!S15/SER_summary!S$26)</f>
        <v>0.38743730153878547</v>
      </c>
      <c r="T15" s="135">
        <f>IF(SER_hh_tesh!T15=0,0,SER_hh_tesh!T15/SER_summary!T$26)</f>
        <v>0.40438848865262106</v>
      </c>
      <c r="U15" s="135">
        <f>IF(SER_hh_tesh!U15=0,0,SER_hh_tesh!U15/SER_summary!U$26)</f>
        <v>0.38565585245213735</v>
      </c>
      <c r="V15" s="135">
        <f>IF(SER_hh_tesh!V15=0,0,SER_hh_tesh!V15/SER_summary!V$26)</f>
        <v>0.36032360002982117</v>
      </c>
      <c r="W15" s="135">
        <f>IF(SER_hh_tesh!W15=0,0,SER_hh_tesh!W15/SER_summary!W$26)</f>
        <v>0.41269981978519304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20.791843034265007</v>
      </c>
      <c r="C16" s="131">
        <f>IF(SER_hh_tesh!C16=0,0,SER_hh_tesh!C16/SER_summary!C$26)</f>
        <v>21.816625057333567</v>
      </c>
      <c r="D16" s="131">
        <f>IF(SER_hh_tesh!D16=0,0,SER_hh_tesh!D16/SER_summary!D$26)</f>
        <v>23.447485334273388</v>
      </c>
      <c r="E16" s="131">
        <f>IF(SER_hh_tesh!E16=0,0,SER_hh_tesh!E16/SER_summary!E$26)</f>
        <v>21.028415333517462</v>
      </c>
      <c r="F16" s="131">
        <f>IF(SER_hh_tesh!F16=0,0,SER_hh_tesh!F16/SER_summary!F$26)</f>
        <v>20.911486212716117</v>
      </c>
      <c r="G16" s="131">
        <f>IF(SER_hh_tesh!G16=0,0,SER_hh_tesh!G16/SER_summary!G$26)</f>
        <v>20.955826660746794</v>
      </c>
      <c r="H16" s="131">
        <f>IF(SER_hh_tesh!H16=0,0,SER_hh_tesh!H16/SER_summary!H$26)</f>
        <v>23.14411678311728</v>
      </c>
      <c r="I16" s="131">
        <f>IF(SER_hh_tesh!I16=0,0,SER_hh_tesh!I16/SER_summary!I$26)</f>
        <v>21.352660950936123</v>
      </c>
      <c r="J16" s="131">
        <f>IF(SER_hh_tesh!J16=0,0,SER_hh_tesh!J16/SER_summary!J$26)</f>
        <v>21.040822815272723</v>
      </c>
      <c r="K16" s="131">
        <f>IF(SER_hh_tesh!K16=0,0,SER_hh_tesh!K16/SER_summary!K$26)</f>
        <v>21.087389216139247</v>
      </c>
      <c r="L16" s="131">
        <f>IF(SER_hh_tesh!L16=0,0,SER_hh_tesh!L16/SER_summary!L$26)</f>
        <v>26.816838645136603</v>
      </c>
      <c r="M16" s="131">
        <f>IF(SER_hh_tesh!M16=0,0,SER_hh_tesh!M16/SER_summary!M$26)</f>
        <v>21.295409554580711</v>
      </c>
      <c r="N16" s="131">
        <f>IF(SER_hh_tesh!N16=0,0,SER_hh_tesh!N16/SER_summary!N$26)</f>
        <v>23.33340794744031</v>
      </c>
      <c r="O16" s="131">
        <f>IF(SER_hh_tesh!O16=0,0,SER_hh_tesh!O16/SER_summary!O$26)</f>
        <v>21.713315772059616</v>
      </c>
      <c r="P16" s="131">
        <f>IF(SER_hh_tesh!P16=0,0,SER_hh_tesh!P16/SER_summary!P$26)</f>
        <v>23.988550521666724</v>
      </c>
      <c r="Q16" s="131">
        <f>IF(SER_hh_tesh!Q16=0,0,SER_hh_tesh!Q16/SER_summary!Q$26)</f>
        <v>23.280240085747344</v>
      </c>
      <c r="R16" s="131">
        <f>IF(SER_hh_tesh!R16=0,0,SER_hh_tesh!R16/SER_summary!R$26)</f>
        <v>22.094767001698632</v>
      </c>
      <c r="S16" s="131">
        <f>IF(SER_hh_tesh!S16=0,0,SER_hh_tesh!S16/SER_summary!S$26)</f>
        <v>21.990718496762682</v>
      </c>
      <c r="T16" s="131">
        <f>IF(SER_hh_tesh!T16=0,0,SER_hh_tesh!T16/SER_summary!T$26)</f>
        <v>23.426540092308343</v>
      </c>
      <c r="U16" s="131">
        <f>IF(SER_hh_tesh!U16=0,0,SER_hh_tesh!U16/SER_summary!U$26)</f>
        <v>22.838374874813525</v>
      </c>
      <c r="V16" s="131">
        <f>IF(SER_hh_tesh!V16=0,0,SER_hh_tesh!V16/SER_summary!V$26)</f>
        <v>22.113695040997218</v>
      </c>
      <c r="W16" s="131">
        <f>IF(SER_hh_tesh!W16=0,0,SER_hh_tesh!W16/SER_summary!W$26)</f>
        <v>26.109755145696766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0</v>
      </c>
      <c r="C17" s="133">
        <f>IF(SER_hh_tesh!C17=0,0,SER_hh_tesh!C17/SER_summary!C$26)</f>
        <v>0</v>
      </c>
      <c r="D17" s="133">
        <f>IF(SER_hh_tesh!D17=0,0,SER_hh_tesh!D17/SER_summary!D$26)</f>
        <v>0</v>
      </c>
      <c r="E17" s="133">
        <f>IF(SER_hh_tesh!E17=0,0,SER_hh_tesh!E17/SER_summary!E$26)</f>
        <v>0</v>
      </c>
      <c r="F17" s="133">
        <f>IF(SER_hh_tesh!F17=0,0,SER_hh_tesh!F17/SER_summary!F$26)</f>
        <v>0</v>
      </c>
      <c r="G17" s="133">
        <f>IF(SER_hh_tesh!G17=0,0,SER_hh_tesh!G17/SER_summary!G$26)</f>
        <v>0</v>
      </c>
      <c r="H17" s="133">
        <f>IF(SER_hh_tesh!H17=0,0,SER_hh_tesh!H17/SER_summary!H$26)</f>
        <v>0</v>
      </c>
      <c r="I17" s="133">
        <f>IF(SER_hh_tesh!I17=0,0,SER_hh_tesh!I17/SER_summary!I$26)</f>
        <v>0</v>
      </c>
      <c r="J17" s="133">
        <f>IF(SER_hh_tesh!J17=0,0,SER_hh_tesh!J17/SER_summary!J$26)</f>
        <v>0</v>
      </c>
      <c r="K17" s="133">
        <f>IF(SER_hh_tesh!K17=0,0,SER_hh_tesh!K17/SER_summary!K$26)</f>
        <v>0</v>
      </c>
      <c r="L17" s="133">
        <f>IF(SER_hh_tesh!L17=0,0,SER_hh_tesh!L17/SER_summary!L$26)</f>
        <v>0</v>
      </c>
      <c r="M17" s="133">
        <f>IF(SER_hh_tesh!M17=0,0,SER_hh_tesh!M17/SER_summary!M$26)</f>
        <v>0</v>
      </c>
      <c r="N17" s="133">
        <f>IF(SER_hh_tesh!N17=0,0,SER_hh_tesh!N17/SER_summary!N$26)</f>
        <v>0</v>
      </c>
      <c r="O17" s="133">
        <f>IF(SER_hh_tesh!O17=0,0,SER_hh_tesh!O17/SER_summary!O$26)</f>
        <v>0</v>
      </c>
      <c r="P17" s="133">
        <f>IF(SER_hh_tesh!P17=0,0,SER_hh_tesh!P17/SER_summary!P$26)</f>
        <v>0</v>
      </c>
      <c r="Q17" s="133">
        <f>IF(SER_hh_tesh!Q17=0,0,SER_hh_tesh!Q17/SER_summary!Q$26)</f>
        <v>0</v>
      </c>
      <c r="R17" s="133">
        <f>IF(SER_hh_tesh!R17=0,0,SER_hh_tesh!R17/SER_summary!R$26)</f>
        <v>0</v>
      </c>
      <c r="S17" s="133">
        <f>IF(SER_hh_tesh!S17=0,0,SER_hh_tesh!S17/SER_summary!S$26)</f>
        <v>0</v>
      </c>
      <c r="T17" s="133">
        <f>IF(SER_hh_tesh!T17=0,0,SER_hh_tesh!T17/SER_summary!T$26)</f>
        <v>0</v>
      </c>
      <c r="U17" s="133">
        <f>IF(SER_hh_tesh!U17=0,0,SER_hh_tesh!U17/SER_summary!U$26)</f>
        <v>0</v>
      </c>
      <c r="V17" s="133">
        <f>IF(SER_hh_tesh!V17=0,0,SER_hh_tesh!V17/SER_summary!V$26)</f>
        <v>0</v>
      </c>
      <c r="W17" s="133">
        <f>IF(SER_hh_tesh!W17=0,0,SER_hh_tesh!W17/SER_summary!W$26)</f>
        <v>0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20.791843034265007</v>
      </c>
      <c r="C18" s="133">
        <f>IF(SER_hh_tesh!C18=0,0,SER_hh_tesh!C18/SER_summary!C$26)</f>
        <v>21.816625057333567</v>
      </c>
      <c r="D18" s="133">
        <f>IF(SER_hh_tesh!D18=0,0,SER_hh_tesh!D18/SER_summary!D$26)</f>
        <v>23.447485334273388</v>
      </c>
      <c r="E18" s="133">
        <f>IF(SER_hh_tesh!E18=0,0,SER_hh_tesh!E18/SER_summary!E$26)</f>
        <v>21.028415333517462</v>
      </c>
      <c r="F18" s="133">
        <f>IF(SER_hh_tesh!F18=0,0,SER_hh_tesh!F18/SER_summary!F$26)</f>
        <v>20.911486212716117</v>
      </c>
      <c r="G18" s="133">
        <f>IF(SER_hh_tesh!G18=0,0,SER_hh_tesh!G18/SER_summary!G$26)</f>
        <v>20.955826660746794</v>
      </c>
      <c r="H18" s="133">
        <f>IF(SER_hh_tesh!H18=0,0,SER_hh_tesh!H18/SER_summary!H$26)</f>
        <v>23.14411678311728</v>
      </c>
      <c r="I18" s="133">
        <f>IF(SER_hh_tesh!I18=0,0,SER_hh_tesh!I18/SER_summary!I$26)</f>
        <v>21.352660950936123</v>
      </c>
      <c r="J18" s="133">
        <f>IF(SER_hh_tesh!J18=0,0,SER_hh_tesh!J18/SER_summary!J$26)</f>
        <v>21.040822815272723</v>
      </c>
      <c r="K18" s="133">
        <f>IF(SER_hh_tesh!K18=0,0,SER_hh_tesh!K18/SER_summary!K$26)</f>
        <v>21.087389216139247</v>
      </c>
      <c r="L18" s="133">
        <f>IF(SER_hh_tesh!L18=0,0,SER_hh_tesh!L18/SER_summary!L$26)</f>
        <v>26.816838645136603</v>
      </c>
      <c r="M18" s="133">
        <f>IF(SER_hh_tesh!M18=0,0,SER_hh_tesh!M18/SER_summary!M$26)</f>
        <v>21.295409554580711</v>
      </c>
      <c r="N18" s="133">
        <f>IF(SER_hh_tesh!N18=0,0,SER_hh_tesh!N18/SER_summary!N$26)</f>
        <v>23.33340794744031</v>
      </c>
      <c r="O18" s="133">
        <f>IF(SER_hh_tesh!O18=0,0,SER_hh_tesh!O18/SER_summary!O$26)</f>
        <v>21.713315772059616</v>
      </c>
      <c r="P18" s="133">
        <f>IF(SER_hh_tesh!P18=0,0,SER_hh_tesh!P18/SER_summary!P$26)</f>
        <v>23.988550521666724</v>
      </c>
      <c r="Q18" s="133">
        <f>IF(SER_hh_tesh!Q18=0,0,SER_hh_tesh!Q18/SER_summary!Q$26)</f>
        <v>23.280240085747344</v>
      </c>
      <c r="R18" s="133">
        <f>IF(SER_hh_tesh!R18=0,0,SER_hh_tesh!R18/SER_summary!R$26)</f>
        <v>22.094767001698632</v>
      </c>
      <c r="S18" s="133">
        <f>IF(SER_hh_tesh!S18=0,0,SER_hh_tesh!S18/SER_summary!S$26)</f>
        <v>21.990718496762682</v>
      </c>
      <c r="T18" s="133">
        <f>IF(SER_hh_tesh!T18=0,0,SER_hh_tesh!T18/SER_summary!T$26)</f>
        <v>23.426540092308343</v>
      </c>
      <c r="U18" s="133">
        <f>IF(SER_hh_tesh!U18=0,0,SER_hh_tesh!U18/SER_summary!U$26)</f>
        <v>22.838374874813525</v>
      </c>
      <c r="V18" s="133">
        <f>IF(SER_hh_tesh!V18=0,0,SER_hh_tesh!V18/SER_summary!V$26)</f>
        <v>22.113695040997218</v>
      </c>
      <c r="W18" s="133">
        <f>IF(SER_hh_tesh!W18=0,0,SER_hh_tesh!W18/SER_summary!W$26)</f>
        <v>26.109755145696766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8.6833975968906358</v>
      </c>
      <c r="C19" s="131">
        <f>IF(SER_hh_tesh!C19=0,0,SER_hh_tesh!C19/SER_summary!C$26)</f>
        <v>8.7584007805712698</v>
      </c>
      <c r="D19" s="131">
        <f>IF(SER_hh_tesh!D19=0,0,SER_hh_tesh!D19/SER_summary!D$26)</f>
        <v>8.7315965985322528</v>
      </c>
      <c r="E19" s="131">
        <f>IF(SER_hh_tesh!E19=0,0,SER_hh_tesh!E19/SER_summary!E$26)</f>
        <v>8.6667363487229157</v>
      </c>
      <c r="F19" s="131">
        <f>IF(SER_hh_tesh!F19=0,0,SER_hh_tesh!F19/SER_summary!F$26)</f>
        <v>8.9716658329192178</v>
      </c>
      <c r="G19" s="131">
        <f>IF(SER_hh_tesh!G19=0,0,SER_hh_tesh!G19/SER_summary!G$26)</f>
        <v>9.1816720545946033</v>
      </c>
      <c r="H19" s="131">
        <f>IF(SER_hh_tesh!H19=0,0,SER_hh_tesh!H19/SER_summary!H$26)</f>
        <v>9.5333149880400132</v>
      </c>
      <c r="I19" s="131">
        <f>IF(SER_hh_tesh!I19=0,0,SER_hh_tesh!I19/SER_summary!I$26)</f>
        <v>9.1893580553179532</v>
      </c>
      <c r="J19" s="131">
        <f>IF(SER_hh_tesh!J19=0,0,SER_hh_tesh!J19/SER_summary!J$26)</f>
        <v>9.3189928659141543</v>
      </c>
      <c r="K19" s="131">
        <f>IF(SER_hh_tesh!K19=0,0,SER_hh_tesh!K19/SER_summary!K$26)</f>
        <v>9.4750978702492183</v>
      </c>
      <c r="L19" s="131">
        <f>IF(SER_hh_tesh!L19=0,0,SER_hh_tesh!L19/SER_summary!L$26)</f>
        <v>9.6627058427812234</v>
      </c>
      <c r="M19" s="131">
        <f>IF(SER_hh_tesh!M19=0,0,SER_hh_tesh!M19/SER_summary!M$26)</f>
        <v>9.7632167438354447</v>
      </c>
      <c r="N19" s="131">
        <f>IF(SER_hh_tesh!N19=0,0,SER_hh_tesh!N19/SER_summary!N$26)</f>
        <v>9.9361558925266174</v>
      </c>
      <c r="O19" s="131">
        <f>IF(SER_hh_tesh!O19=0,0,SER_hh_tesh!O19/SER_summary!O$26)</f>
        <v>10.075136514325166</v>
      </c>
      <c r="P19" s="131">
        <f>IF(SER_hh_tesh!P19=0,0,SER_hh_tesh!P19/SER_summary!P$26)</f>
        <v>10.091150465609992</v>
      </c>
      <c r="Q19" s="131">
        <f>IF(SER_hh_tesh!Q19=0,0,SER_hh_tesh!Q19/SER_summary!Q$26)</f>
        <v>10.247252490012627</v>
      </c>
      <c r="R19" s="131">
        <f>IF(SER_hh_tesh!R19=0,0,SER_hh_tesh!R19/SER_summary!R$26)</f>
        <v>10.423284204536001</v>
      </c>
      <c r="S19" s="131">
        <f>IF(SER_hh_tesh!S19=0,0,SER_hh_tesh!S19/SER_summary!S$26)</f>
        <v>10.557531648344705</v>
      </c>
      <c r="T19" s="131">
        <f>IF(SER_hh_tesh!T19=0,0,SER_hh_tesh!T19/SER_summary!T$26)</f>
        <v>10.563417305233582</v>
      </c>
      <c r="U19" s="131">
        <f>IF(SER_hh_tesh!U19=0,0,SER_hh_tesh!U19/SER_summary!U$26)</f>
        <v>10.57338094012734</v>
      </c>
      <c r="V19" s="131">
        <f>IF(SER_hh_tesh!V19=0,0,SER_hh_tesh!V19/SER_summary!V$26)</f>
        <v>9.3819334898745108</v>
      </c>
      <c r="W19" s="131">
        <f>IF(SER_hh_tesh!W19=0,0,SER_hh_tesh!W19/SER_summary!W$26)</f>
        <v>10.597434118285236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0</v>
      </c>
      <c r="C21" s="133">
        <f>IF(SER_hh_tesh!C21=0,0,SER_hh_tesh!C21/SER_summary!C$26)</f>
        <v>0</v>
      </c>
      <c r="D21" s="133">
        <f>IF(SER_hh_tesh!D21=0,0,SER_hh_tesh!D21/SER_summary!D$26)</f>
        <v>0</v>
      </c>
      <c r="E21" s="133">
        <f>IF(SER_hh_tesh!E21=0,0,SER_hh_tesh!E21/SER_summary!E$26)</f>
        <v>0</v>
      </c>
      <c r="F21" s="133">
        <f>IF(SER_hh_tesh!F21=0,0,SER_hh_tesh!F21/SER_summary!F$26)</f>
        <v>0</v>
      </c>
      <c r="G21" s="133">
        <f>IF(SER_hh_tesh!G21=0,0,SER_hh_tesh!G21/SER_summary!G$26)</f>
        <v>0</v>
      </c>
      <c r="H21" s="133">
        <f>IF(SER_hh_tesh!H21=0,0,SER_hh_tesh!H21/SER_summary!H$26)</f>
        <v>0</v>
      </c>
      <c r="I21" s="133">
        <f>IF(SER_hh_tesh!I21=0,0,SER_hh_tesh!I21/SER_summary!I$26)</f>
        <v>0</v>
      </c>
      <c r="J21" s="133">
        <f>IF(SER_hh_tesh!J21=0,0,SER_hh_tesh!J21/SER_summary!J$26)</f>
        <v>0</v>
      </c>
      <c r="K21" s="133">
        <f>IF(SER_hh_tesh!K21=0,0,SER_hh_tesh!K21/SER_summary!K$26)</f>
        <v>0</v>
      </c>
      <c r="L21" s="133">
        <f>IF(SER_hh_tesh!L21=0,0,SER_hh_tesh!L21/SER_summary!L$26)</f>
        <v>0</v>
      </c>
      <c r="M21" s="133">
        <f>IF(SER_hh_tesh!M21=0,0,SER_hh_tesh!M21/SER_summary!M$26)</f>
        <v>0</v>
      </c>
      <c r="N21" s="133">
        <f>IF(SER_hh_tesh!N21=0,0,SER_hh_tesh!N21/SER_summary!N$26)</f>
        <v>0</v>
      </c>
      <c r="O21" s="133">
        <f>IF(SER_hh_tesh!O21=0,0,SER_hh_tesh!O21/SER_summary!O$26)</f>
        <v>0</v>
      </c>
      <c r="P21" s="133">
        <f>IF(SER_hh_tesh!P21=0,0,SER_hh_tesh!P21/SER_summary!P$26)</f>
        <v>0</v>
      </c>
      <c r="Q21" s="133">
        <f>IF(SER_hh_tesh!Q21=0,0,SER_hh_tesh!Q21/SER_summary!Q$26)</f>
        <v>0</v>
      </c>
      <c r="R21" s="133">
        <f>IF(SER_hh_tesh!R21=0,0,SER_hh_tesh!R21/SER_summary!R$26)</f>
        <v>0</v>
      </c>
      <c r="S21" s="133">
        <f>IF(SER_hh_tesh!S21=0,0,SER_hh_tesh!S21/SER_summary!S$26)</f>
        <v>0</v>
      </c>
      <c r="T21" s="133">
        <f>IF(SER_hh_tesh!T21=0,0,SER_hh_tesh!T21/SER_summary!T$26)</f>
        <v>0</v>
      </c>
      <c r="U21" s="133">
        <f>IF(SER_hh_tesh!U21=0,0,SER_hh_tesh!U21/SER_summary!U$26)</f>
        <v>0</v>
      </c>
      <c r="V21" s="133">
        <f>IF(SER_hh_tesh!V21=0,0,SER_hh_tesh!V21/SER_summary!V$26)</f>
        <v>0</v>
      </c>
      <c r="W21" s="133">
        <f>IF(SER_hh_tesh!W21=0,0,SER_hh_tesh!W21/SER_summary!W$26)</f>
        <v>0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10.099305211220784</v>
      </c>
      <c r="C22" s="133">
        <f>IF(SER_hh_tesh!C22=0,0,SER_hh_tesh!C22/SER_summary!C$26)</f>
        <v>7.5021215870466404</v>
      </c>
      <c r="D22" s="133">
        <f>IF(SER_hh_tesh!D22=0,0,SER_hh_tesh!D22/SER_summary!D$26)</f>
        <v>8.3486530915181945</v>
      </c>
      <c r="E22" s="133">
        <f>IF(SER_hh_tesh!E22=0,0,SER_hh_tesh!E22/SER_summary!E$26)</f>
        <v>7.8042341741095971</v>
      </c>
      <c r="F22" s="133">
        <f>IF(SER_hh_tesh!F22=0,0,SER_hh_tesh!F22/SER_summary!F$26)</f>
        <v>9.7634681163758472</v>
      </c>
      <c r="G22" s="133">
        <f>IF(SER_hh_tesh!G22=0,0,SER_hh_tesh!G22/SER_summary!G$26)</f>
        <v>8.7117722620429063</v>
      </c>
      <c r="H22" s="133">
        <f>IF(SER_hh_tesh!H22=0,0,SER_hh_tesh!H22/SER_summary!H$26)</f>
        <v>9.4485029994719802</v>
      </c>
      <c r="I22" s="133">
        <f>IF(SER_hh_tesh!I22=0,0,SER_hh_tesh!I22/SER_summary!I$26)</f>
        <v>9.256489371099212</v>
      </c>
      <c r="J22" s="133">
        <f>IF(SER_hh_tesh!J22=0,0,SER_hh_tesh!J22/SER_summary!J$26)</f>
        <v>10.187548359916326</v>
      </c>
      <c r="K22" s="133">
        <f>IF(SER_hh_tesh!K22=0,0,SER_hh_tesh!K22/SER_summary!K$26)</f>
        <v>8.8269558320788413</v>
      </c>
      <c r="L22" s="133">
        <f>IF(SER_hh_tesh!L22=0,0,SER_hh_tesh!L22/SER_summary!L$26)</f>
        <v>9.4841491637208648</v>
      </c>
      <c r="M22" s="133">
        <f>IF(SER_hh_tesh!M22=0,0,SER_hh_tesh!M22/SER_summary!M$26)</f>
        <v>9.6065184884325028</v>
      </c>
      <c r="N22" s="133">
        <f>IF(SER_hh_tesh!N22=0,0,SER_hh_tesh!N22/SER_summary!N$26)</f>
        <v>8.8837829664168222</v>
      </c>
      <c r="O22" s="133">
        <f>IF(SER_hh_tesh!O22=0,0,SER_hh_tesh!O22/SER_summary!O$26)</f>
        <v>9.9944168594687515</v>
      </c>
      <c r="P22" s="133">
        <f>IF(SER_hh_tesh!P22=0,0,SER_hh_tesh!P22/SER_summary!P$26)</f>
        <v>10.259489690442578</v>
      </c>
      <c r="Q22" s="133">
        <f>IF(SER_hh_tesh!Q22=0,0,SER_hh_tesh!Q22/SER_summary!Q$26)</f>
        <v>10.201428395896055</v>
      </c>
      <c r="R22" s="133">
        <f>IF(SER_hh_tesh!R22=0,0,SER_hh_tesh!R22/SER_summary!R$26)</f>
        <v>10.286107088869496</v>
      </c>
      <c r="S22" s="133">
        <f>IF(SER_hh_tesh!S22=0,0,SER_hh_tesh!S22/SER_summary!S$26)</f>
        <v>11.566949342040166</v>
      </c>
      <c r="T22" s="133">
        <f>IF(SER_hh_tesh!T22=0,0,SER_hh_tesh!T22/SER_summary!T$26)</f>
        <v>8.5132702859437988</v>
      </c>
      <c r="U22" s="133">
        <f>IF(SER_hh_tesh!U22=0,0,SER_hh_tesh!U22/SER_summary!U$26)</f>
        <v>9.8844711488828629</v>
      </c>
      <c r="V22" s="133">
        <f>IF(SER_hh_tesh!V22=0,0,SER_hh_tesh!V22/SER_summary!V$26)</f>
        <v>9.8845134603819815</v>
      </c>
      <c r="W22" s="133">
        <f>IF(SER_hh_tesh!W22=0,0,SER_hh_tesh!W22/SER_summary!W$26)</f>
        <v>10.797973917811087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8.5554935201332434</v>
      </c>
      <c r="C23" s="133">
        <f>IF(SER_hh_tesh!C23=0,0,SER_hh_tesh!C23/SER_summary!C$26)</f>
        <v>8.5737013030028262</v>
      </c>
      <c r="D23" s="133">
        <f>IF(SER_hh_tesh!D23=0,0,SER_hh_tesh!D23/SER_summary!D$26)</f>
        <v>8.6721518292780608</v>
      </c>
      <c r="E23" s="133">
        <f>IF(SER_hh_tesh!E23=0,0,SER_hh_tesh!E23/SER_summary!E$26)</f>
        <v>8.3133498426108279</v>
      </c>
      <c r="F23" s="133">
        <f>IF(SER_hh_tesh!F23=0,0,SER_hh_tesh!F23/SER_summary!F$26)</f>
        <v>9.2687966016198278</v>
      </c>
      <c r="G23" s="133">
        <f>IF(SER_hh_tesh!G23=0,0,SER_hh_tesh!G23/SER_summary!G$26)</f>
        <v>8.4279920171002285</v>
      </c>
      <c r="H23" s="133">
        <f>IF(SER_hh_tesh!H23=0,0,SER_hh_tesh!H23/SER_summary!H$26)</f>
        <v>8.2751683299368501</v>
      </c>
      <c r="I23" s="133">
        <f>IF(SER_hh_tesh!I23=0,0,SER_hh_tesh!I23/SER_summary!I$26)</f>
        <v>9.9973991598649263</v>
      </c>
      <c r="J23" s="133">
        <f>IF(SER_hh_tesh!J23=0,0,SER_hh_tesh!J23/SER_summary!J$26)</f>
        <v>10.019966073739825</v>
      </c>
      <c r="K23" s="133">
        <f>IF(SER_hh_tesh!K23=0,0,SER_hh_tesh!K23/SER_summary!K$26)</f>
        <v>9.5452749156779664</v>
      </c>
      <c r="L23" s="133">
        <f>IF(SER_hh_tesh!L23=0,0,SER_hh_tesh!L23/SER_summary!L$26)</f>
        <v>9.6001933723516171</v>
      </c>
      <c r="M23" s="133">
        <f>IF(SER_hh_tesh!M23=0,0,SER_hh_tesh!M23/SER_summary!M$26)</f>
        <v>9.8344619538257341</v>
      </c>
      <c r="N23" s="133">
        <f>IF(SER_hh_tesh!N23=0,0,SER_hh_tesh!N23/SER_summary!N$26)</f>
        <v>9.9350716251721565</v>
      </c>
      <c r="O23" s="133">
        <f>IF(SER_hh_tesh!O23=0,0,SER_hh_tesh!O23/SER_summary!O$26)</f>
        <v>10.180944773773547</v>
      </c>
      <c r="P23" s="133">
        <f>IF(SER_hh_tesh!P23=0,0,SER_hh_tesh!P23/SER_summary!P$26)</f>
        <v>9.629861665057339</v>
      </c>
      <c r="Q23" s="133">
        <f>IF(SER_hh_tesh!Q23=0,0,SER_hh_tesh!Q23/SER_summary!Q$26)</f>
        <v>10.190047007293821</v>
      </c>
      <c r="R23" s="133">
        <f>IF(SER_hh_tesh!R23=0,0,SER_hh_tesh!R23/SER_summary!R$26)</f>
        <v>10.596793856281579</v>
      </c>
      <c r="S23" s="133">
        <f>IF(SER_hh_tesh!S23=0,0,SER_hh_tesh!S23/SER_summary!S$26)</f>
        <v>10.379406614792535</v>
      </c>
      <c r="T23" s="133">
        <f>IF(SER_hh_tesh!T23=0,0,SER_hh_tesh!T23/SER_summary!T$26)</f>
        <v>10.428451160827686</v>
      </c>
      <c r="U23" s="133">
        <f>IF(SER_hh_tesh!U23=0,0,SER_hh_tesh!U23/SER_summary!U$26)</f>
        <v>10.306925098751359</v>
      </c>
      <c r="V23" s="133">
        <f>IF(SER_hh_tesh!V23=0,0,SER_hh_tesh!V23/SER_summary!V$26)</f>
        <v>9.8863893854210101</v>
      </c>
      <c r="W23" s="133">
        <f>IF(SER_hh_tesh!W23=0,0,SER_hh_tesh!W23/SER_summary!W$26)</f>
        <v>10.416311141152358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9.9133440698891864</v>
      </c>
      <c r="C24" s="133">
        <f>IF(SER_hh_tesh!C24=0,0,SER_hh_tesh!C24/SER_summary!C$26)</f>
        <v>8.4553634210442343</v>
      </c>
      <c r="D24" s="133">
        <f>IF(SER_hh_tesh!D24=0,0,SER_hh_tesh!D24/SER_summary!D$26)</f>
        <v>8.6257809221230257</v>
      </c>
      <c r="E24" s="133">
        <f>IF(SER_hh_tesh!E24=0,0,SER_hh_tesh!E24/SER_summary!E$26)</f>
        <v>8.8865166619464109</v>
      </c>
      <c r="F24" s="133">
        <f>IF(SER_hh_tesh!F24=0,0,SER_hh_tesh!F24/SER_summary!F$26)</f>
        <v>9.0245819590296392</v>
      </c>
      <c r="G24" s="133">
        <f>IF(SER_hh_tesh!G24=0,0,SER_hh_tesh!G24/SER_summary!G$26)</f>
        <v>9.228591509350057</v>
      </c>
      <c r="H24" s="133">
        <f>IF(SER_hh_tesh!H24=0,0,SER_hh_tesh!H24/SER_summary!H$26)</f>
        <v>9.6940089827345322</v>
      </c>
      <c r="I24" s="133">
        <f>IF(SER_hh_tesh!I24=0,0,SER_hh_tesh!I24/SER_summary!I$26)</f>
        <v>9.2627093137373588</v>
      </c>
      <c r="J24" s="133">
        <f>IF(SER_hh_tesh!J24=0,0,SER_hh_tesh!J24/SER_summary!J$26)</f>
        <v>9.4306964096762762</v>
      </c>
      <c r="K24" s="133">
        <f>IF(SER_hh_tesh!K24=0,0,SER_hh_tesh!K24/SER_summary!K$26)</f>
        <v>9.4531276577931997</v>
      </c>
      <c r="L24" s="133">
        <f>IF(SER_hh_tesh!L24=0,0,SER_hh_tesh!L24/SER_summary!L$26)</f>
        <v>9.5868787073281361</v>
      </c>
      <c r="M24" s="133">
        <f>IF(SER_hh_tesh!M24=0,0,SER_hh_tesh!M24/SER_summary!M$26)</f>
        <v>9.8237180707809078</v>
      </c>
      <c r="N24" s="133">
        <f>IF(SER_hh_tesh!N24=0,0,SER_hh_tesh!N24/SER_summary!N$26)</f>
        <v>9.8827539316533297</v>
      </c>
      <c r="O24" s="133">
        <f>IF(SER_hh_tesh!O24=0,0,SER_hh_tesh!O24/SER_summary!O$26)</f>
        <v>10.099887076064539</v>
      </c>
      <c r="P24" s="133">
        <f>IF(SER_hh_tesh!P24=0,0,SER_hh_tesh!P24/SER_summary!P$26)</f>
        <v>10.252890312666423</v>
      </c>
      <c r="Q24" s="133">
        <f>IF(SER_hh_tesh!Q24=0,0,SER_hh_tesh!Q24/SER_summary!Q$26)</f>
        <v>10.615126074634158</v>
      </c>
      <c r="R24" s="133">
        <f>IF(SER_hh_tesh!R24=0,0,SER_hh_tesh!R24/SER_summary!R$26)</f>
        <v>10.674339511894086</v>
      </c>
      <c r="S24" s="133">
        <f>IF(SER_hh_tesh!S24=0,0,SER_hh_tesh!S24/SER_summary!S$26)</f>
        <v>9.9471868793188296</v>
      </c>
      <c r="T24" s="133">
        <f>IF(SER_hh_tesh!T24=0,0,SER_hh_tesh!T24/SER_summary!T$26)</f>
        <v>10.44368419634505</v>
      </c>
      <c r="U24" s="133">
        <f>IF(SER_hh_tesh!U24=0,0,SER_hh_tesh!U24/SER_summary!U$26)</f>
        <v>9.9678450069384379</v>
      </c>
      <c r="V24" s="133">
        <f>IF(SER_hh_tesh!V24=0,0,SER_hh_tesh!V24/SER_summary!V$26)</f>
        <v>10.453637456263401</v>
      </c>
      <c r="W24" s="133">
        <f>IF(SER_hh_tesh!W24=0,0,SER_hh_tesh!W24/SER_summary!W$26)</f>
        <v>10.121456409108365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8.7639873546543736</v>
      </c>
      <c r="C25" s="133">
        <f>IF(SER_hh_tesh!C25=0,0,SER_hh_tesh!C25/SER_summary!C$26)</f>
        <v>8.8427699907622301</v>
      </c>
      <c r="D25" s="133">
        <f>IF(SER_hh_tesh!D25=0,0,SER_hh_tesh!D25/SER_summary!D$26)</f>
        <v>8.6587660748740216</v>
      </c>
      <c r="E25" s="133">
        <f>IF(SER_hh_tesh!E25=0,0,SER_hh_tesh!E25/SER_summary!E$26)</f>
        <v>8.631013390788759</v>
      </c>
      <c r="F25" s="133">
        <f>IF(SER_hh_tesh!F25=0,0,SER_hh_tesh!F25/SER_summary!F$26)</f>
        <v>8.9625085454786664</v>
      </c>
      <c r="G25" s="133">
        <f>IF(SER_hh_tesh!G25=0,0,SER_hh_tesh!G25/SER_summary!G$26)</f>
        <v>9.3111562011513502</v>
      </c>
      <c r="H25" s="133">
        <f>IF(SER_hh_tesh!H25=0,0,SER_hh_tesh!H25/SER_summary!H$26)</f>
        <v>9.794505970595683</v>
      </c>
      <c r="I25" s="133">
        <f>IF(SER_hh_tesh!I25=0,0,SER_hh_tesh!I25/SER_summary!I$26)</f>
        <v>8.8026492339054059</v>
      </c>
      <c r="J25" s="133">
        <f>IF(SER_hh_tesh!J25=0,0,SER_hh_tesh!J25/SER_summary!J$26)</f>
        <v>8.8627154421798</v>
      </c>
      <c r="K25" s="133">
        <f>IF(SER_hh_tesh!K25=0,0,SER_hh_tesh!K25/SER_summary!K$26)</f>
        <v>9.5766492639211656</v>
      </c>
      <c r="L25" s="133">
        <f>IF(SER_hh_tesh!L25=0,0,SER_hh_tesh!L25/SER_summary!L$26)</f>
        <v>9.8756811442914803</v>
      </c>
      <c r="M25" s="133">
        <f>IF(SER_hh_tesh!M25=0,0,SER_hh_tesh!M25/SER_summary!M$26)</f>
        <v>9.709134190807319</v>
      </c>
      <c r="N25" s="133">
        <f>IF(SER_hh_tesh!N25=0,0,SER_hh_tesh!N25/SER_summary!N$26)</f>
        <v>9.8348822748314433</v>
      </c>
      <c r="O25" s="133">
        <f>IF(SER_hh_tesh!O25=0,0,SER_hh_tesh!O25/SER_summary!O$26)</f>
        <v>10.103650510252145</v>
      </c>
      <c r="P25" s="133">
        <f>IF(SER_hh_tesh!P25=0,0,SER_hh_tesh!P25/SER_summary!P$26)</f>
        <v>9.9291609667561964</v>
      </c>
      <c r="Q25" s="133">
        <f>IF(SER_hh_tesh!Q25=0,0,SER_hh_tesh!Q25/SER_summary!Q$26)</f>
        <v>10.415175773640753</v>
      </c>
      <c r="R25" s="133">
        <f>IF(SER_hh_tesh!R25=0,0,SER_hh_tesh!R25/SER_summary!R$26)</f>
        <v>10.486316765935396</v>
      </c>
      <c r="S25" s="133">
        <f>IF(SER_hh_tesh!S25=0,0,SER_hh_tesh!S25/SER_summary!S$26)</f>
        <v>10.747118789858209</v>
      </c>
      <c r="T25" s="133">
        <f>IF(SER_hh_tesh!T25=0,0,SER_hh_tesh!T25/SER_summary!T$26)</f>
        <v>10.598435766707109</v>
      </c>
      <c r="U25" s="133">
        <f>IF(SER_hh_tesh!U25=0,0,SER_hh_tesh!U25/SER_summary!U$26)</f>
        <v>10.547153164280992</v>
      </c>
      <c r="V25" s="133">
        <f>IF(SER_hh_tesh!V25=0,0,SER_hh_tesh!V25/SER_summary!V$26)</f>
        <v>9.3230668282382236</v>
      </c>
      <c r="W25" s="133">
        <f>IF(SER_hh_tesh!W25=0,0,SER_hh_tesh!W25/SER_summary!W$26)</f>
        <v>10.560262227547922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8.2425132005845683</v>
      </c>
      <c r="C26" s="65">
        <f>IF(SER_hh_tesh!C26=0,0,SER_hh_tesh!C26/SER_summary!C$26)</f>
        <v>8.7984330710432044</v>
      </c>
      <c r="D26" s="65">
        <f>IF(SER_hh_tesh!D26=0,0,SER_hh_tesh!D26/SER_summary!D$26)</f>
        <v>8.8922457385758502</v>
      </c>
      <c r="E26" s="65">
        <f>IF(SER_hh_tesh!E26=0,0,SER_hh_tesh!E26/SER_summary!E$26)</f>
        <v>8.7975095786735107</v>
      </c>
      <c r="F26" s="65">
        <f>IF(SER_hh_tesh!F26=0,0,SER_hh_tesh!F26/SER_summary!F$26)</f>
        <v>8.8966984015171011</v>
      </c>
      <c r="G26" s="65">
        <f>IF(SER_hh_tesh!G26=0,0,SER_hh_tesh!G26/SER_summary!G$26)</f>
        <v>9.0944117308797789</v>
      </c>
      <c r="H26" s="65">
        <f>IF(SER_hh_tesh!H26=0,0,SER_hh_tesh!H26/SER_summary!H$26)</f>
        <v>9.3063372101336039</v>
      </c>
      <c r="I26" s="65">
        <f>IF(SER_hh_tesh!I26=0,0,SER_hh_tesh!I26/SER_summary!I$26)</f>
        <v>9.6709877092756376</v>
      </c>
      <c r="J26" s="65">
        <f>IF(SER_hh_tesh!J26=0,0,SER_hh_tesh!J26/SER_summary!J$26)</f>
        <v>9.9216476223090488</v>
      </c>
      <c r="K26" s="65">
        <f>IF(SER_hh_tesh!K26=0,0,SER_hh_tesh!K26/SER_summary!K$26)</f>
        <v>9.289352496805904</v>
      </c>
      <c r="L26" s="65">
        <f>IF(SER_hh_tesh!L26=0,0,SER_hh_tesh!L26/SER_summary!L$26)</f>
        <v>9.2675605014357281</v>
      </c>
      <c r="M26" s="65">
        <f>IF(SER_hh_tesh!M26=0,0,SER_hh_tesh!M26/SER_summary!M$26)</f>
        <v>9.8539323879047078</v>
      </c>
      <c r="N26" s="65">
        <f>IF(SER_hh_tesh!N26=0,0,SER_hh_tesh!N26/SER_summary!N$26)</f>
        <v>10.185279616320988</v>
      </c>
      <c r="O26" s="65">
        <f>IF(SER_hh_tesh!O26=0,0,SER_hh_tesh!O26/SER_summary!O$26)</f>
        <v>9.974803764848728</v>
      </c>
      <c r="P26" s="65">
        <f>IF(SER_hh_tesh!P26=0,0,SER_hh_tesh!P26/SER_summary!P$26)</f>
        <v>10.624616777590692</v>
      </c>
      <c r="Q26" s="65">
        <f>IF(SER_hh_tesh!Q26=0,0,SER_hh_tesh!Q26/SER_summary!Q$26)</f>
        <v>9.727581262808128</v>
      </c>
      <c r="R26" s="65">
        <f>IF(SER_hh_tesh!R26=0,0,SER_hh_tesh!R26/SER_summary!R$26)</f>
        <v>10.12964262331346</v>
      </c>
      <c r="S26" s="65">
        <f>IF(SER_hh_tesh!S26=0,0,SER_hh_tesh!S26/SER_summary!S$26)</f>
        <v>10.101399212278006</v>
      </c>
      <c r="T26" s="65">
        <f>IF(SER_hh_tesh!T26=0,0,SER_hh_tesh!T26/SER_summary!T$26)</f>
        <v>10.576034598057065</v>
      </c>
      <c r="U26" s="65">
        <f>IF(SER_hh_tesh!U26=0,0,SER_hh_tesh!U26/SER_summary!U$26)</f>
        <v>10.843732039855793</v>
      </c>
      <c r="V26" s="65">
        <f>IF(SER_hh_tesh!V26=0,0,SER_hh_tesh!V26/SER_summary!V$26)</f>
        <v>9.1726571050299981</v>
      </c>
      <c r="W26" s="65">
        <f>IF(SER_hh_tesh!W26=0,0,SER_hh_tesh!W26/SER_summary!W$26)</f>
        <v>10.816940778783351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0</v>
      </c>
      <c r="E27" s="146">
        <f>IF(SER_hh_tesh!E27=0,0,SER_hh_tesh!E27/SER_summary!E$26)</f>
        <v>0</v>
      </c>
      <c r="F27" s="146">
        <f>IF(SER_hh_tesh!F27=0,0,SER_hh_tesh!F27/SER_summary!F$26)</f>
        <v>0</v>
      </c>
      <c r="G27" s="146">
        <f>IF(SER_hh_tesh!G27=0,0,SER_hh_tesh!G27/SER_summary!G$26)</f>
        <v>0</v>
      </c>
      <c r="H27" s="146">
        <f>IF(SER_hh_tesh!H27=0,0,SER_hh_tesh!H27/SER_summary!H$26)</f>
        <v>0</v>
      </c>
      <c r="I27" s="146">
        <f>IF(SER_hh_tesh!I27=0,0,SER_hh_tesh!I27/SER_summary!I$26)</f>
        <v>0</v>
      </c>
      <c r="J27" s="146">
        <f>IF(SER_hh_tesh!J27=0,0,SER_hh_tesh!J27/SER_summary!J$26)</f>
        <v>0</v>
      </c>
      <c r="K27" s="146">
        <f>IF(SER_hh_tesh!K27=0,0,SER_hh_tesh!K27/SER_summary!K$26)</f>
        <v>0</v>
      </c>
      <c r="L27" s="146">
        <f>IF(SER_hh_tesh!L27=0,0,SER_hh_tesh!L27/SER_summary!L$26)</f>
        <v>0</v>
      </c>
      <c r="M27" s="146">
        <f>IF(SER_hh_tesh!M27=0,0,SER_hh_tesh!M27/SER_summary!M$26)</f>
        <v>0</v>
      </c>
      <c r="N27" s="146">
        <f>IF(SER_hh_tesh!N27=0,0,SER_hh_tesh!N27/SER_summary!N$26)</f>
        <v>0</v>
      </c>
      <c r="O27" s="146">
        <f>IF(SER_hh_tesh!O27=0,0,SER_hh_tesh!O27/SER_summary!O$26)</f>
        <v>0</v>
      </c>
      <c r="P27" s="146">
        <f>IF(SER_hh_tesh!P27=0,0,SER_hh_tesh!P27/SER_summary!P$26)</f>
        <v>0</v>
      </c>
      <c r="Q27" s="146">
        <f>IF(SER_hh_tesh!Q27=0,0,SER_hh_tesh!Q27/SER_summary!Q$26)</f>
        <v>0</v>
      </c>
      <c r="R27" s="146">
        <f>IF(SER_hh_tesh!R27=0,0,SER_hh_tesh!R27/SER_summary!R$26)</f>
        <v>0</v>
      </c>
      <c r="S27" s="146">
        <f>IF(SER_hh_tesh!S27=0,0,SER_hh_tesh!S27/SER_summary!S$26)</f>
        <v>0</v>
      </c>
      <c r="T27" s="146">
        <f>IF(SER_hh_tesh!T27=0,0,SER_hh_tesh!T27/SER_summary!T$26)</f>
        <v>0</v>
      </c>
      <c r="U27" s="146">
        <f>IF(SER_hh_tesh!U27=0,0,SER_hh_tesh!U27/SER_summary!U$26)</f>
        <v>0</v>
      </c>
      <c r="V27" s="146">
        <f>IF(SER_hh_tesh!V27=0,0,SER_hh_tesh!V27/SER_summary!V$26)</f>
        <v>0</v>
      </c>
      <c r="W27" s="146">
        <f>IF(SER_hh_tesh!W27=0,0,SER_hh_tesh!W27/SER_summary!W$26)</f>
        <v>0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0</v>
      </c>
      <c r="E28" s="147">
        <f>IF(SER_hh_tesh!E28=0,0,SER_hh_tesh!E28/SER_summary!E$26)</f>
        <v>0</v>
      </c>
      <c r="F28" s="147">
        <f>IF(SER_hh_tesh!F28=0,0,SER_hh_tesh!F28/SER_summary!F$26)</f>
        <v>0</v>
      </c>
      <c r="G28" s="147">
        <f>IF(SER_hh_tesh!G28=0,0,SER_hh_tesh!G28/SER_summary!G$26)</f>
        <v>0</v>
      </c>
      <c r="H28" s="147">
        <f>IF(SER_hh_tesh!H28=0,0,SER_hh_tesh!H28/SER_summary!H$26)</f>
        <v>0</v>
      </c>
      <c r="I28" s="147">
        <f>IF(SER_hh_tesh!I28=0,0,SER_hh_tesh!I28/SER_summary!I$26)</f>
        <v>0</v>
      </c>
      <c r="J28" s="147">
        <f>IF(SER_hh_tesh!J28=0,0,SER_hh_tesh!J28/SER_summary!J$26)</f>
        <v>0</v>
      </c>
      <c r="K28" s="147">
        <f>IF(SER_hh_tesh!K28=0,0,SER_hh_tesh!K28/SER_summary!K$26)</f>
        <v>0</v>
      </c>
      <c r="L28" s="147">
        <f>IF(SER_hh_tesh!L28=0,0,SER_hh_tesh!L28/SER_summary!L$26)</f>
        <v>0</v>
      </c>
      <c r="M28" s="147">
        <f>IF(SER_hh_tesh!M28=0,0,SER_hh_tesh!M28/SER_summary!M$26)</f>
        <v>0</v>
      </c>
      <c r="N28" s="147">
        <f>IF(SER_hh_tesh!N28=0,0,SER_hh_tesh!N28/SER_summary!N$26)</f>
        <v>0</v>
      </c>
      <c r="O28" s="147">
        <f>IF(SER_hh_tesh!O28=0,0,SER_hh_tesh!O28/SER_summary!O$26)</f>
        <v>0</v>
      </c>
      <c r="P28" s="147">
        <f>IF(SER_hh_tesh!P28=0,0,SER_hh_tesh!P28/SER_summary!P$26)</f>
        <v>0</v>
      </c>
      <c r="Q28" s="147">
        <f>IF(SER_hh_tesh!Q28=0,0,SER_hh_tesh!Q28/SER_summary!Q$26)</f>
        <v>0</v>
      </c>
      <c r="R28" s="147">
        <f>IF(SER_hh_tesh!R28=0,0,SER_hh_tesh!R28/SER_summary!R$26)</f>
        <v>0</v>
      </c>
      <c r="S28" s="147">
        <f>IF(SER_hh_tesh!S28=0,0,SER_hh_tesh!S28/SER_summary!S$26)</f>
        <v>0</v>
      </c>
      <c r="T28" s="147">
        <f>IF(SER_hh_tesh!T28=0,0,SER_hh_tesh!T28/SER_summary!T$26)</f>
        <v>0</v>
      </c>
      <c r="U28" s="147">
        <f>IF(SER_hh_tesh!U28=0,0,SER_hh_tesh!U28/SER_summary!U$26)</f>
        <v>0</v>
      </c>
      <c r="V28" s="147">
        <f>IF(SER_hh_tesh!V28=0,0,SER_hh_tesh!V28/SER_summary!V$26)</f>
        <v>0</v>
      </c>
      <c r="W28" s="147">
        <f>IF(SER_hh_tesh!W28=0,0,SER_hh_tesh!W28/SER_summary!W$26)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9.6219391448531901</v>
      </c>
      <c r="C29" s="131">
        <f>IF(SER_hh_tesh!C29=0,0,SER_hh_tesh!C29/SER_summary!C$26)</f>
        <v>9.3757254792283931</v>
      </c>
      <c r="D29" s="131">
        <f>IF(SER_hh_tesh!D29=0,0,SER_hh_tesh!D29/SER_summary!D$26)</f>
        <v>9.2827659283141628</v>
      </c>
      <c r="E29" s="131">
        <f>IF(SER_hh_tesh!E29=0,0,SER_hh_tesh!E29/SER_summary!E$26)</f>
        <v>9.0294160159253689</v>
      </c>
      <c r="F29" s="131">
        <f>IF(SER_hh_tesh!F29=0,0,SER_hh_tesh!F29/SER_summary!F$26)</f>
        <v>8.9146324421728345</v>
      </c>
      <c r="G29" s="131">
        <f>IF(SER_hh_tesh!G29=0,0,SER_hh_tesh!G29/SER_summary!G$26)</f>
        <v>8.8513919560500103</v>
      </c>
      <c r="H29" s="131">
        <f>IF(SER_hh_tesh!H29=0,0,SER_hh_tesh!H29/SER_summary!H$26)</f>
        <v>9.254457606115432</v>
      </c>
      <c r="I29" s="131">
        <f>IF(SER_hh_tesh!I29=0,0,SER_hh_tesh!I29/SER_summary!I$26)</f>
        <v>8.8348438065897898</v>
      </c>
      <c r="J29" s="131">
        <f>IF(SER_hh_tesh!J29=0,0,SER_hh_tesh!J29/SER_summary!J$26)</f>
        <v>8.5591793820469295</v>
      </c>
      <c r="K29" s="131">
        <f>IF(SER_hh_tesh!K29=0,0,SER_hh_tesh!K29/SER_summary!K$26)</f>
        <v>8.4898662777135137</v>
      </c>
      <c r="L29" s="131">
        <f>IF(SER_hh_tesh!L29=0,0,SER_hh_tesh!L29/SER_summary!L$26)</f>
        <v>8.3033674113033467</v>
      </c>
      <c r="M29" s="131">
        <f>IF(SER_hh_tesh!M29=0,0,SER_hh_tesh!M29/SER_summary!M$26)</f>
        <v>8.152449708623891</v>
      </c>
      <c r="N29" s="131">
        <f>IF(SER_hh_tesh!N29=0,0,SER_hh_tesh!N29/SER_summary!N$26)</f>
        <v>8.4130506317197682</v>
      </c>
      <c r="O29" s="131">
        <f>IF(SER_hh_tesh!O29=0,0,SER_hh_tesh!O29/SER_summary!O$26)</f>
        <v>8.0620328678505935</v>
      </c>
      <c r="P29" s="131">
        <f>IF(SER_hh_tesh!P29=0,0,SER_hh_tesh!P29/SER_summary!P$26)</f>
        <v>7.9783483592656435</v>
      </c>
      <c r="Q29" s="131">
        <f>IF(SER_hh_tesh!Q29=0,0,SER_hh_tesh!Q29/SER_summary!Q$26)</f>
        <v>7.4807182673982568</v>
      </c>
      <c r="R29" s="131">
        <f>IF(SER_hh_tesh!R29=0,0,SER_hh_tesh!R29/SER_summary!R$26)</f>
        <v>7.8018467165658523</v>
      </c>
      <c r="S29" s="131">
        <f>IF(SER_hh_tesh!S29=0,0,SER_hh_tesh!S29/SER_summary!S$26)</f>
        <v>7.485982816033748</v>
      </c>
      <c r="T29" s="131">
        <f>IF(SER_hh_tesh!T29=0,0,SER_hh_tesh!T29/SER_summary!T$26)</f>
        <v>7.8473890474247785</v>
      </c>
      <c r="U29" s="131">
        <f>IF(SER_hh_tesh!U29=0,0,SER_hh_tesh!U29/SER_summary!U$26)</f>
        <v>8.1959953071207821</v>
      </c>
      <c r="V29" s="131">
        <f>IF(SER_hh_tesh!V29=0,0,SER_hh_tesh!V29/SER_summary!V$26)</f>
        <v>7.6696594081173171</v>
      </c>
      <c r="W29" s="131">
        <f>IF(SER_hh_tesh!W29=0,0,SER_hh_tesh!W29/SER_summary!W$26)</f>
        <v>8.8892839954962959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0</v>
      </c>
      <c r="C30" s="133">
        <f>IF(SER_hh_tesh!C30=0,0,SER_hh_tesh!C30/SER_summary!C$26)</f>
        <v>0</v>
      </c>
      <c r="D30" s="133">
        <f>IF(SER_hh_tesh!D30=0,0,SER_hh_tesh!D30/SER_summary!D$26)</f>
        <v>0</v>
      </c>
      <c r="E30" s="133">
        <f>IF(SER_hh_tesh!E30=0,0,SER_hh_tesh!E30/SER_summary!E$26)</f>
        <v>0</v>
      </c>
      <c r="F30" s="133">
        <f>IF(SER_hh_tesh!F30=0,0,SER_hh_tesh!F30/SER_summary!F$26)</f>
        <v>0</v>
      </c>
      <c r="G30" s="133">
        <f>IF(SER_hh_tesh!G30=0,0,SER_hh_tesh!G30/SER_summary!G$26)</f>
        <v>0</v>
      </c>
      <c r="H30" s="133">
        <f>IF(SER_hh_tesh!H30=0,0,SER_hh_tesh!H30/SER_summary!H$26)</f>
        <v>0</v>
      </c>
      <c r="I30" s="133">
        <f>IF(SER_hh_tesh!I30=0,0,SER_hh_tesh!I30/SER_summary!I$26)</f>
        <v>0</v>
      </c>
      <c r="J30" s="133">
        <f>IF(SER_hh_tesh!J30=0,0,SER_hh_tesh!J30/SER_summary!J$26)</f>
        <v>0</v>
      </c>
      <c r="K30" s="133">
        <f>IF(SER_hh_tesh!K30=0,0,SER_hh_tesh!K30/SER_summary!K$26)</f>
        <v>0</v>
      </c>
      <c r="L30" s="133">
        <f>IF(SER_hh_tesh!L30=0,0,SER_hh_tesh!L30/SER_summary!L$26)</f>
        <v>0</v>
      </c>
      <c r="M30" s="133">
        <f>IF(SER_hh_tesh!M30=0,0,SER_hh_tesh!M30/SER_summary!M$26)</f>
        <v>0</v>
      </c>
      <c r="N30" s="133">
        <f>IF(SER_hh_tesh!N30=0,0,SER_hh_tesh!N30/SER_summary!N$26)</f>
        <v>0</v>
      </c>
      <c r="O30" s="133">
        <f>IF(SER_hh_tesh!O30=0,0,SER_hh_tesh!O30/SER_summary!O$26)</f>
        <v>0</v>
      </c>
      <c r="P30" s="133">
        <f>IF(SER_hh_tesh!P30=0,0,SER_hh_tesh!P30/SER_summary!P$26)</f>
        <v>0</v>
      </c>
      <c r="Q30" s="133">
        <f>IF(SER_hh_tesh!Q30=0,0,SER_hh_tesh!Q30/SER_summary!Q$26)</f>
        <v>0</v>
      </c>
      <c r="R30" s="133">
        <f>IF(SER_hh_tesh!R30=0,0,SER_hh_tesh!R30/SER_summary!R$26)</f>
        <v>0</v>
      </c>
      <c r="S30" s="133">
        <f>IF(SER_hh_tesh!S30=0,0,SER_hh_tesh!S30/SER_summary!S$26)</f>
        <v>0</v>
      </c>
      <c r="T30" s="133">
        <f>IF(SER_hh_tesh!T30=0,0,SER_hh_tesh!T30/SER_summary!T$26)</f>
        <v>0</v>
      </c>
      <c r="U30" s="133">
        <f>IF(SER_hh_tesh!U30=0,0,SER_hh_tesh!U30/SER_summary!U$26)</f>
        <v>0</v>
      </c>
      <c r="V30" s="133">
        <f>IF(SER_hh_tesh!V30=0,0,SER_hh_tesh!V30/SER_summary!V$26)</f>
        <v>0</v>
      </c>
      <c r="W30" s="133">
        <f>IF(SER_hh_tesh!W30=0,0,SER_hh_tesh!W30/SER_summary!W$26)</f>
        <v>0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9.3055531347258302</v>
      </c>
      <c r="C31" s="133">
        <f>IF(SER_hh_tesh!C31=0,0,SER_hh_tesh!C31/SER_summary!C$26)</f>
        <v>9.2474144739128299</v>
      </c>
      <c r="D31" s="133">
        <f>IF(SER_hh_tesh!D31=0,0,SER_hh_tesh!D31/SER_summary!D$26)</f>
        <v>9.6018888073159037</v>
      </c>
      <c r="E31" s="133">
        <f>IF(SER_hh_tesh!E31=0,0,SER_hh_tesh!E31/SER_summary!E$26)</f>
        <v>9.4548173822411776</v>
      </c>
      <c r="F31" s="133">
        <f>IF(SER_hh_tesh!F31=0,0,SER_hh_tesh!F31/SER_summary!F$26)</f>
        <v>8.5669953074845768</v>
      </c>
      <c r="G31" s="133">
        <f>IF(SER_hh_tesh!G31=0,0,SER_hh_tesh!G31/SER_summary!G$26)</f>
        <v>8.6513679066658185</v>
      </c>
      <c r="H31" s="133">
        <f>IF(SER_hh_tesh!H31=0,0,SER_hh_tesh!H31/SER_summary!H$26)</f>
        <v>8.2982782968823123</v>
      </c>
      <c r="I31" s="133">
        <f>IF(SER_hh_tesh!I31=0,0,SER_hh_tesh!I31/SER_summary!I$26)</f>
        <v>9.294261811030907</v>
      </c>
      <c r="J31" s="133">
        <f>IF(SER_hh_tesh!J31=0,0,SER_hh_tesh!J31/SER_summary!J$26)</f>
        <v>9.1279396243165785</v>
      </c>
      <c r="K31" s="133">
        <f>IF(SER_hh_tesh!K31=0,0,SER_hh_tesh!K31/SER_summary!K$26)</f>
        <v>8.7189465751158899</v>
      </c>
      <c r="L31" s="133">
        <f>IF(SER_hh_tesh!L31=0,0,SER_hh_tesh!L31/SER_summary!L$26)</f>
        <v>8.3433433384745559</v>
      </c>
      <c r="M31" s="133">
        <f>IF(SER_hh_tesh!M31=0,0,SER_hh_tesh!M31/SER_summary!M$26)</f>
        <v>8.5028072518240805</v>
      </c>
      <c r="N31" s="133">
        <f>IF(SER_hh_tesh!N31=0,0,SER_hh_tesh!N31/SER_summary!N$26)</f>
        <v>8.3447722978356733</v>
      </c>
      <c r="O31" s="133">
        <f>IF(SER_hh_tesh!O31=0,0,SER_hh_tesh!O31/SER_summary!O$26)</f>
        <v>7.624789845041815</v>
      </c>
      <c r="P31" s="133">
        <f>IF(SER_hh_tesh!P31=0,0,SER_hh_tesh!P31/SER_summary!P$26)</f>
        <v>7.1469529895966302</v>
      </c>
      <c r="Q31" s="133">
        <f>IF(SER_hh_tesh!Q31=0,0,SER_hh_tesh!Q31/SER_summary!Q$26)</f>
        <v>7.8094038257870606</v>
      </c>
      <c r="R31" s="133">
        <f>IF(SER_hh_tesh!R31=0,0,SER_hh_tesh!R31/SER_summary!R$26)</f>
        <v>8.1037213886373145</v>
      </c>
      <c r="S31" s="133">
        <f>IF(SER_hh_tesh!S31=0,0,SER_hh_tesh!S31/SER_summary!S$26)</f>
        <v>7.6991786117366505</v>
      </c>
      <c r="T31" s="133">
        <f>IF(SER_hh_tesh!T31=0,0,SER_hh_tesh!T31/SER_summary!T$26)</f>
        <v>8.8914485299538928</v>
      </c>
      <c r="U31" s="133">
        <f>IF(SER_hh_tesh!U31=0,0,SER_hh_tesh!U31/SER_summary!U$26)</f>
        <v>7.3138260760908782</v>
      </c>
      <c r="V31" s="133">
        <f>IF(SER_hh_tesh!V31=0,0,SER_hh_tesh!V31/SER_summary!V$26)</f>
        <v>7.441249084529046</v>
      </c>
      <c r="W31" s="133">
        <f>IF(SER_hh_tesh!W31=0,0,SER_hh_tesh!W31/SER_summary!W$26)</f>
        <v>8.5880110598084247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12.799188942203168</v>
      </c>
      <c r="H32" s="133">
        <f>IF(SER_hh_tesh!H32=0,0,SER_hh_tesh!H32/SER_summary!H$26)</f>
        <v>8.7044484915250937</v>
      </c>
      <c r="I32" s="133">
        <f>IF(SER_hh_tesh!I32=0,0,SER_hh_tesh!I32/SER_summary!I$26)</f>
        <v>6.9280970908281345</v>
      </c>
      <c r="J32" s="133">
        <f>IF(SER_hh_tesh!J32=0,0,SER_hh_tesh!J32/SER_summary!J$26)</f>
        <v>11.716584670035322</v>
      </c>
      <c r="K32" s="133">
        <f>IF(SER_hh_tesh!K32=0,0,SER_hh_tesh!K32/SER_summary!K$26)</f>
        <v>5.6632428964889865</v>
      </c>
      <c r="L32" s="133">
        <f>IF(SER_hh_tesh!L32=0,0,SER_hh_tesh!L32/SER_summary!L$26)</f>
        <v>9.7939734584237588</v>
      </c>
      <c r="M32" s="133">
        <f>IF(SER_hh_tesh!M32=0,0,SER_hh_tesh!M32/SER_summary!M$26)</f>
        <v>10.295756314182798</v>
      </c>
      <c r="N32" s="133">
        <f>IF(SER_hh_tesh!N32=0,0,SER_hh_tesh!N32/SER_summary!N$26)</f>
        <v>5.1252934871954769</v>
      </c>
      <c r="O32" s="133">
        <f>IF(SER_hh_tesh!O32=0,0,SER_hh_tesh!O32/SER_summary!O$26)</f>
        <v>5.3528989341480591</v>
      </c>
      <c r="P32" s="133">
        <f>IF(SER_hh_tesh!P32=0,0,SER_hh_tesh!P32/SER_summary!P$26)</f>
        <v>4.9252986898144169</v>
      </c>
      <c r="Q32" s="133">
        <f>IF(SER_hh_tesh!Q32=0,0,SER_hh_tesh!Q32/SER_summary!Q$26)</f>
        <v>8.8290725557422238</v>
      </c>
      <c r="R32" s="133">
        <f>IF(SER_hh_tesh!R32=0,0,SER_hh_tesh!R32/SER_summary!R$26)</f>
        <v>7.5963515248392053</v>
      </c>
      <c r="S32" s="133">
        <f>IF(SER_hh_tesh!S32=0,0,SER_hh_tesh!S32/SER_summary!S$26)</f>
        <v>7.4195532445320067</v>
      </c>
      <c r="T32" s="133">
        <f>IF(SER_hh_tesh!T32=0,0,SER_hh_tesh!T32/SER_summary!T$26)</f>
        <v>7.4101474778076275</v>
      </c>
      <c r="U32" s="133">
        <f>IF(SER_hh_tesh!U32=0,0,SER_hh_tesh!U32/SER_summary!U$26)</f>
        <v>8.3786700402500234</v>
      </c>
      <c r="V32" s="133">
        <f>IF(SER_hh_tesh!V32=0,0,SER_hh_tesh!V32/SER_summary!V$26)</f>
        <v>7.2736287495092551</v>
      </c>
      <c r="W32" s="133">
        <f>IF(SER_hh_tesh!W32=0,0,SER_hh_tesh!W32/SER_summary!W$26)</f>
        <v>9.5986879414706667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9.7144309231319212</v>
      </c>
      <c r="C33" s="68">
        <f>IF(SER_hh_tesh!C33=0,0,SER_hh_tesh!C33/SER_summary!C$26)</f>
        <v>9.4149222606250262</v>
      </c>
      <c r="D33" s="68">
        <f>IF(SER_hh_tesh!D33=0,0,SER_hh_tesh!D33/SER_summary!D$26)</f>
        <v>9.1799242497886233</v>
      </c>
      <c r="E33" s="68">
        <f>IF(SER_hh_tesh!E33=0,0,SER_hh_tesh!E33/SER_summary!E$26)</f>
        <v>8.895089396752315</v>
      </c>
      <c r="F33" s="68">
        <f>IF(SER_hh_tesh!F33=0,0,SER_hh_tesh!F33/SER_summary!F$26)</f>
        <v>9.0185134635382429</v>
      </c>
      <c r="G33" s="68">
        <f>IF(SER_hh_tesh!G33=0,0,SER_hh_tesh!G33/SER_summary!G$26)</f>
        <v>8.8624177829084694</v>
      </c>
      <c r="H33" s="68">
        <f>IF(SER_hh_tesh!H33=0,0,SER_hh_tesh!H33/SER_summary!H$26)</f>
        <v>9.5774548912057966</v>
      </c>
      <c r="I33" s="68">
        <f>IF(SER_hh_tesh!I33=0,0,SER_hh_tesh!I33/SER_summary!I$26)</f>
        <v>8.7132471977444883</v>
      </c>
      <c r="J33" s="68">
        <f>IF(SER_hh_tesh!J33=0,0,SER_hh_tesh!J33/SER_summary!J$26)</f>
        <v>8.2568446228325207</v>
      </c>
      <c r="K33" s="68">
        <f>IF(SER_hh_tesh!K33=0,0,SER_hh_tesh!K33/SER_summary!K$26)</f>
        <v>8.4819014673023752</v>
      </c>
      <c r="L33" s="68">
        <f>IF(SER_hh_tesh!L33=0,0,SER_hh_tesh!L33/SER_summary!L$26)</f>
        <v>8.2394581957645769</v>
      </c>
      <c r="M33" s="68">
        <f>IF(SER_hh_tesh!M33=0,0,SER_hh_tesh!M33/SER_summary!M$26)</f>
        <v>7.9735503892701285</v>
      </c>
      <c r="N33" s="68">
        <f>IF(SER_hh_tesh!N33=0,0,SER_hh_tesh!N33/SER_summary!N$26)</f>
        <v>8.52568044980986</v>
      </c>
      <c r="O33" s="68">
        <f>IF(SER_hh_tesh!O33=0,0,SER_hh_tesh!O33/SER_summary!O$26)</f>
        <v>8.2393808276189375</v>
      </c>
      <c r="P33" s="68">
        <f>IF(SER_hh_tesh!P33=0,0,SER_hh_tesh!P33/SER_summary!P$26)</f>
        <v>8.2499540266102489</v>
      </c>
      <c r="Q33" s="68">
        <f>IF(SER_hh_tesh!Q33=0,0,SER_hh_tesh!Q33/SER_summary!Q$26)</f>
        <v>7.3616702686067441</v>
      </c>
      <c r="R33" s="68">
        <f>IF(SER_hh_tesh!R33=0,0,SER_hh_tesh!R33/SER_summary!R$26)</f>
        <v>7.7359969606003807</v>
      </c>
      <c r="S33" s="68">
        <f>IF(SER_hh_tesh!S33=0,0,SER_hh_tesh!S33/SER_summary!S$26)</f>
        <v>7.4394313006959027</v>
      </c>
      <c r="T33" s="68">
        <f>IF(SER_hh_tesh!T33=0,0,SER_hh_tesh!T33/SER_summary!T$26)</f>
        <v>7.6552659516593593</v>
      </c>
      <c r="U33" s="68">
        <f>IF(SER_hh_tesh!U33=0,0,SER_hh_tesh!U33/SER_summary!U$26)</f>
        <v>8.3229363368392359</v>
      </c>
      <c r="V33" s="68">
        <f>IF(SER_hh_tesh!V33=0,0,SER_hh_tesh!V33/SER_summary!V$26)</f>
        <v>7.7189815255515004</v>
      </c>
      <c r="W33" s="68">
        <f>IF(SER_hh_tesh!W33=0,0,SER_hh_tesh!W33/SER_summary!W$26)</f>
        <v>8.872917875591682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11.911650651458327</v>
      </c>
      <c r="C3" s="126">
        <f>IF(SER_hh_emih!C3=0,0,SER_hh_emih!C3/SER_summary!C$26)</f>
        <v>9.8387206507601359</v>
      </c>
      <c r="D3" s="126">
        <f>IF(SER_hh_emih!D3=0,0,SER_hh_emih!D3/SER_summary!D$26)</f>
        <v>10.708953163194284</v>
      </c>
      <c r="E3" s="126">
        <f>IF(SER_hh_emih!E3=0,0,SER_hh_emih!E3/SER_summary!E$26)</f>
        <v>9.6618800415953263</v>
      </c>
      <c r="F3" s="126">
        <f>IF(SER_hh_emih!F3=0,0,SER_hh_emih!F3/SER_summary!F$26)</f>
        <v>9.9170212501066555</v>
      </c>
      <c r="G3" s="126">
        <f>IF(SER_hh_emih!G3=0,0,SER_hh_emih!G3/SER_summary!G$26)</f>
        <v>9.8564090498106331</v>
      </c>
      <c r="H3" s="126">
        <f>IF(SER_hh_emih!H3=0,0,SER_hh_emih!H3/SER_summary!H$26)</f>
        <v>11.517016774637225</v>
      </c>
      <c r="I3" s="126">
        <f>IF(SER_hh_emih!I3=0,0,SER_hh_emih!I3/SER_summary!I$26)</f>
        <v>9.8935196905125125</v>
      </c>
      <c r="J3" s="126">
        <f>IF(SER_hh_emih!J3=0,0,SER_hh_emih!J3/SER_summary!J$26)</f>
        <v>8.3260330968575929</v>
      </c>
      <c r="K3" s="126">
        <f>IF(SER_hh_emih!K3=0,0,SER_hh_emih!K3/SER_summary!K$26)</f>
        <v>8.4007798733340255</v>
      </c>
      <c r="L3" s="126">
        <f>IF(SER_hh_emih!L3=0,0,SER_hh_emih!L3/SER_summary!L$26)</f>
        <v>8.6935028177156042</v>
      </c>
      <c r="M3" s="126">
        <f>IF(SER_hh_emih!M3=0,0,SER_hh_emih!M3/SER_summary!M$26)</f>
        <v>9.1083524176676569</v>
      </c>
      <c r="N3" s="126">
        <f>IF(SER_hh_emih!N3=0,0,SER_hh_emih!N3/SER_summary!N$26)</f>
        <v>7.4552343812507216</v>
      </c>
      <c r="O3" s="126">
        <f>IF(SER_hh_emih!O3=0,0,SER_hh_emih!O3/SER_summary!O$26)</f>
        <v>7.9896654808364849</v>
      </c>
      <c r="P3" s="126">
        <f>IF(SER_hh_emih!P3=0,0,SER_hh_emih!P3/SER_summary!P$26)</f>
        <v>6.9029252412048709</v>
      </c>
      <c r="Q3" s="126">
        <f>IF(SER_hh_emih!Q3=0,0,SER_hh_emih!Q3/SER_summary!Q$26)</f>
        <v>6.1400237846948631</v>
      </c>
      <c r="R3" s="126">
        <f>IF(SER_hh_emih!R3=0,0,SER_hh_emih!R3/SER_summary!R$26)</f>
        <v>6.9131207911979686</v>
      </c>
      <c r="S3" s="126">
        <f>IF(SER_hh_emih!S3=0,0,SER_hh_emih!S3/SER_summary!S$26)</f>
        <v>7.1853659816915663</v>
      </c>
      <c r="T3" s="126">
        <f>IF(SER_hh_emih!T3=0,0,SER_hh_emih!T3/SER_summary!T$26)</f>
        <v>7.4411870419302666</v>
      </c>
      <c r="U3" s="126">
        <f>IF(SER_hh_emih!U3=0,0,SER_hh_emih!U3/SER_summary!U$26)</f>
        <v>6.8331424338805995</v>
      </c>
      <c r="V3" s="126">
        <f>IF(SER_hh_emih!V3=0,0,SER_hh_emih!V3/SER_summary!V$26)</f>
        <v>5.6485582430772077</v>
      </c>
      <c r="W3" s="126">
        <f>IF(SER_hh_emih!W3=0,0,SER_hh_emih!W3/SER_summary!W$26)</f>
        <v>6.2600191648969634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10.757811883460086</v>
      </c>
      <c r="C4" s="131">
        <f>IF(SER_hh_emih!C4=0,0,SER_hh_emih!C4/SER_summary!C$26)</f>
        <v>8.7777868079990231</v>
      </c>
      <c r="D4" s="131">
        <f>IF(SER_hh_emih!D4=0,0,SER_hh_emih!D4/SER_summary!D$26)</f>
        <v>9.6151231780090516</v>
      </c>
      <c r="E4" s="131">
        <f>IF(SER_hh_emih!E4=0,0,SER_hh_emih!E4/SER_summary!E$26)</f>
        <v>8.6325396401081687</v>
      </c>
      <c r="F4" s="131">
        <f>IF(SER_hh_emih!F4=0,0,SER_hh_emih!F4/SER_summary!F$26)</f>
        <v>8.9437968367251575</v>
      </c>
      <c r="G4" s="131">
        <f>IF(SER_hh_emih!G4=0,0,SER_hh_emih!G4/SER_summary!G$26)</f>
        <v>8.9078900888729713</v>
      </c>
      <c r="H4" s="131">
        <f>IF(SER_hh_emih!H4=0,0,SER_hh_emih!H4/SER_summary!H$26)</f>
        <v>10.541295191085288</v>
      </c>
      <c r="I4" s="131">
        <f>IF(SER_hh_emih!I4=0,0,SER_hh_emih!I4/SER_summary!I$26)</f>
        <v>8.7370497230354403</v>
      </c>
      <c r="J4" s="131">
        <f>IF(SER_hh_emih!J4=0,0,SER_hh_emih!J4/SER_summary!J$26)</f>
        <v>7.1317256950495711</v>
      </c>
      <c r="K4" s="131">
        <f>IF(SER_hh_emih!K4=0,0,SER_hh_emih!K4/SER_summary!K$26)</f>
        <v>7.2472427814888123</v>
      </c>
      <c r="L4" s="131">
        <f>IF(SER_hh_emih!L4=0,0,SER_hh_emih!L4/SER_summary!L$26)</f>
        <v>7.6218291270020977</v>
      </c>
      <c r="M4" s="131">
        <f>IF(SER_hh_emih!M4=0,0,SER_hh_emih!M4/SER_summary!M$26)</f>
        <v>8.1013254522746827</v>
      </c>
      <c r="N4" s="131">
        <f>IF(SER_hh_emih!N4=0,0,SER_hh_emih!N4/SER_summary!N$26)</f>
        <v>6.5502133036990644</v>
      </c>
      <c r="O4" s="131">
        <f>IF(SER_hh_emih!O4=0,0,SER_hh_emih!O4/SER_summary!O$26)</f>
        <v>7.1972553586610832</v>
      </c>
      <c r="P4" s="131">
        <f>IF(SER_hh_emih!P4=0,0,SER_hh_emih!P4/SER_summary!P$26)</f>
        <v>6.2227804344723507</v>
      </c>
      <c r="Q4" s="131">
        <f>IF(SER_hh_emih!Q4=0,0,SER_hh_emih!Q4/SER_summary!Q$26)</f>
        <v>5.3834297239665911</v>
      </c>
      <c r="R4" s="131">
        <f>IF(SER_hh_emih!R4=0,0,SER_hh_emih!R4/SER_summary!R$26)</f>
        <v>6.1198915787412247</v>
      </c>
      <c r="S4" s="131">
        <f>IF(SER_hh_emih!S4=0,0,SER_hh_emih!S4/SER_summary!S$26)</f>
        <v>6.4315094264729842</v>
      </c>
      <c r="T4" s="131">
        <f>IF(SER_hh_emih!T4=0,0,SER_hh_emih!T4/SER_summary!T$26)</f>
        <v>6.6697906852287856</v>
      </c>
      <c r="U4" s="131">
        <f>IF(SER_hh_emih!U4=0,0,SER_hh_emih!U4/SER_summary!U$26)</f>
        <v>6.2186968439868613</v>
      </c>
      <c r="V4" s="131">
        <f>IF(SER_hh_emih!V4=0,0,SER_hh_emih!V4/SER_summary!V$26)</f>
        <v>5.102182266469609</v>
      </c>
      <c r="W4" s="131">
        <f>IF(SER_hh_emih!W4=0,0,SER_hh_emih!W4/SER_summary!W$26)</f>
        <v>5.6922902868217999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58.690133307040149</v>
      </c>
      <c r="C5" s="133">
        <f>IF(SER_hh_emih!C5=0,0,SER_hh_emih!C5/SER_summary!C$26)</f>
        <v>49.105819172503608</v>
      </c>
      <c r="D5" s="133">
        <f>IF(SER_hh_emih!D5=0,0,SER_hh_emih!D5/SER_summary!D$26)</f>
        <v>52.745662454805519</v>
      </c>
      <c r="E5" s="133">
        <f>IF(SER_hh_emih!E5=0,0,SER_hh_emih!E5/SER_summary!E$26)</f>
        <v>49.605835911781433</v>
      </c>
      <c r="F5" s="133">
        <f>IF(SER_hh_emih!F5=0,0,SER_hh_emih!F5/SER_summary!F$26)</f>
        <v>43.379535087811455</v>
      </c>
      <c r="G5" s="133">
        <f>IF(SER_hh_emih!G5=0,0,SER_hh_emih!G5/SER_summary!G$26)</f>
        <v>44.418722927672967</v>
      </c>
      <c r="H5" s="133">
        <f>IF(SER_hh_emih!H5=0,0,SER_hh_emih!H5/SER_summary!H$26)</f>
        <v>55.81594634303854</v>
      </c>
      <c r="I5" s="133">
        <f>IF(SER_hh_emih!I5=0,0,SER_hh_emih!I5/SER_summary!I$26)</f>
        <v>41.2351409616968</v>
      </c>
      <c r="J5" s="133">
        <f>IF(SER_hh_emih!J5=0,0,SER_hh_emih!J5/SER_summary!J$26)</f>
        <v>30.463588384747545</v>
      </c>
      <c r="K5" s="133">
        <f>IF(SER_hh_emih!K5=0,0,SER_hh_emih!K5/SER_summary!K$26)</f>
        <v>35.154816589270702</v>
      </c>
      <c r="L5" s="133">
        <f>IF(SER_hh_emih!L5=0,0,SER_hh_emih!L5/SER_summary!L$26)</f>
        <v>33.540510172870171</v>
      </c>
      <c r="M5" s="133">
        <f>IF(SER_hh_emih!M5=0,0,SER_hh_emih!M5/SER_summary!M$26)</f>
        <v>39.062232847370787</v>
      </c>
      <c r="N5" s="133">
        <f>IF(SER_hh_emih!N5=0,0,SER_hh_emih!N5/SER_summary!N$26)</f>
        <v>27.40794609071116</v>
      </c>
      <c r="O5" s="133">
        <f>IF(SER_hh_emih!O5=0,0,SER_hh_emih!O5/SER_summary!O$26)</f>
        <v>32.06843010812355</v>
      </c>
      <c r="P5" s="133">
        <f>IF(SER_hh_emih!P5=0,0,SER_hh_emih!P5/SER_summary!P$26)</f>
        <v>29.318992836802021</v>
      </c>
      <c r="Q5" s="133">
        <f>IF(SER_hh_emih!Q5=0,0,SER_hh_emih!Q5/SER_summary!Q$26)</f>
        <v>23.243059196850247</v>
      </c>
      <c r="R5" s="133">
        <f>IF(SER_hh_emih!R5=0,0,SER_hh_emih!R5/SER_summary!R$26)</f>
        <v>28.755072221318219</v>
      </c>
      <c r="S5" s="133">
        <f>IF(SER_hh_emih!S5=0,0,SER_hh_emih!S5/SER_summary!S$26)</f>
        <v>30.58263992392823</v>
      </c>
      <c r="T5" s="133">
        <f>IF(SER_hh_emih!T5=0,0,SER_hh_emih!T5/SER_summary!T$26)</f>
        <v>32.801263601042486</v>
      </c>
      <c r="U5" s="133">
        <f>IF(SER_hh_emih!U5=0,0,SER_hh_emih!U5/SER_summary!U$26)</f>
        <v>29.988711048555924</v>
      </c>
      <c r="V5" s="133">
        <f>IF(SER_hh_emih!V5=0,0,SER_hh_emih!V5/SER_summary!V$26)</f>
        <v>23.222230338740179</v>
      </c>
      <c r="W5" s="133">
        <f>IF(SER_hh_emih!W5=0,0,SER_hh_emih!W5/SER_summary!W$26)</f>
        <v>30.731246348761804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54.581584933007477</v>
      </c>
      <c r="C7" s="133">
        <f>IF(SER_hh_emih!C7=0,0,SER_hh_emih!C7/SER_summary!C$26)</f>
        <v>43.065757885113655</v>
      </c>
      <c r="D7" s="133">
        <f>IF(SER_hh_emih!D7=0,0,SER_hh_emih!D7/SER_summary!D$26)</f>
        <v>52.039232033047476</v>
      </c>
      <c r="E7" s="133">
        <f>IF(SER_hh_emih!E7=0,0,SER_hh_emih!E7/SER_summary!E$26)</f>
        <v>41.834313332863999</v>
      </c>
      <c r="F7" s="133">
        <f>IF(SER_hh_emih!F7=0,0,SER_hh_emih!F7/SER_summary!F$26)</f>
        <v>47.861096826485522</v>
      </c>
      <c r="G7" s="133">
        <f>IF(SER_hh_emih!G7=0,0,SER_hh_emih!G7/SER_summary!G$26)</f>
        <v>41.000086844539069</v>
      </c>
      <c r="H7" s="133">
        <f>IF(SER_hh_emih!H7=0,0,SER_hh_emih!H7/SER_summary!H$26)</f>
        <v>36.33281224693301</v>
      </c>
      <c r="I7" s="133">
        <f>IF(SER_hh_emih!I7=0,0,SER_hh_emih!I7/SER_summary!I$26)</f>
        <v>37.324126461224708</v>
      </c>
      <c r="J7" s="133">
        <f>IF(SER_hh_emih!J7=0,0,SER_hh_emih!J7/SER_summary!J$26)</f>
        <v>61.515686917851653</v>
      </c>
      <c r="K7" s="133">
        <f>IF(SER_hh_emih!K7=0,0,SER_hh_emih!K7/SER_summary!K$26)</f>
        <v>19.496747572228838</v>
      </c>
      <c r="L7" s="133">
        <f>IF(SER_hh_emih!L7=0,0,SER_hh_emih!L7/SER_summary!L$26)</f>
        <v>28.959526053503669</v>
      </c>
      <c r="M7" s="133">
        <f>IF(SER_hh_emih!M7=0,0,SER_hh_emih!M7/SER_summary!M$26)</f>
        <v>37.637087493825113</v>
      </c>
      <c r="N7" s="133">
        <f>IF(SER_hh_emih!N7=0,0,SER_hh_emih!N7/SER_summary!N$26)</f>
        <v>22.763022368192097</v>
      </c>
      <c r="O7" s="133">
        <f>IF(SER_hh_emih!O7=0,0,SER_hh_emih!O7/SER_summary!O$26)</f>
        <v>22.537963392366326</v>
      </c>
      <c r="P7" s="133">
        <f>IF(SER_hh_emih!P7=0,0,SER_hh_emih!P7/SER_summary!P$26)</f>
        <v>31.894599951564139</v>
      </c>
      <c r="Q7" s="133">
        <f>IF(SER_hh_emih!Q7=0,0,SER_hh_emih!Q7/SER_summary!Q$26)</f>
        <v>17.350666617775811</v>
      </c>
      <c r="R7" s="133">
        <f>IF(SER_hh_emih!R7=0,0,SER_hh_emih!R7/SER_summary!R$26)</f>
        <v>20.717939637505516</v>
      </c>
      <c r="S7" s="133">
        <f>IF(SER_hh_emih!S7=0,0,SER_hh_emih!S7/SER_summary!S$26)</f>
        <v>27.037544009484687</v>
      </c>
      <c r="T7" s="133">
        <f>IF(SER_hh_emih!T7=0,0,SER_hh_emih!T7/SER_summary!T$26)</f>
        <v>20.415451823940082</v>
      </c>
      <c r="U7" s="133">
        <f>IF(SER_hh_emih!U7=0,0,SER_hh_emih!U7/SER_summary!U$26)</f>
        <v>23.163611953271893</v>
      </c>
      <c r="V7" s="133">
        <f>IF(SER_hh_emih!V7=0,0,SER_hh_emih!V7/SER_summary!V$26)</f>
        <v>22.200161725294404</v>
      </c>
      <c r="W7" s="133">
        <f>IF(SER_hh_emih!W7=0,0,SER_hh_emih!W7/SER_summary!W$26)</f>
        <v>24.708397561039732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0</v>
      </c>
      <c r="C8" s="133">
        <f>IF(SER_hh_emih!C8=0,0,SER_hh_emih!C8/SER_summary!C$26)</f>
        <v>0</v>
      </c>
      <c r="D8" s="133">
        <f>IF(SER_hh_emih!D8=0,0,SER_hh_emih!D8/SER_summary!D$26)</f>
        <v>0</v>
      </c>
      <c r="E8" s="133">
        <f>IF(SER_hh_emih!E8=0,0,SER_hh_emih!E8/SER_summary!E$26)</f>
        <v>0</v>
      </c>
      <c r="F8" s="133">
        <f>IF(SER_hh_emih!F8=0,0,SER_hh_emih!F8/SER_summary!F$26)</f>
        <v>0</v>
      </c>
      <c r="G8" s="133">
        <f>IF(SER_hh_emih!G8=0,0,SER_hh_emih!G8/SER_summary!G$26)</f>
        <v>0</v>
      </c>
      <c r="H8" s="133">
        <f>IF(SER_hh_emih!H8=0,0,SER_hh_emih!H8/SER_summary!H$26)</f>
        <v>0</v>
      </c>
      <c r="I8" s="133">
        <f>IF(SER_hh_emih!I8=0,0,SER_hh_emih!I8/SER_summary!I$26)</f>
        <v>0</v>
      </c>
      <c r="J8" s="133">
        <f>IF(SER_hh_emih!J8=0,0,SER_hh_emih!J8/SER_summary!J$26)</f>
        <v>0</v>
      </c>
      <c r="K8" s="133">
        <f>IF(SER_hh_emih!K8=0,0,SER_hh_emih!K8/SER_summary!K$26)</f>
        <v>0</v>
      </c>
      <c r="L8" s="133">
        <f>IF(SER_hh_emih!L8=0,0,SER_hh_emih!L8/SER_summary!L$26)</f>
        <v>0</v>
      </c>
      <c r="M8" s="133">
        <f>IF(SER_hh_emih!M8=0,0,SER_hh_emih!M8/SER_summary!M$26)</f>
        <v>0</v>
      </c>
      <c r="N8" s="133">
        <f>IF(SER_hh_emih!N8=0,0,SER_hh_emih!N8/SER_summary!N$26)</f>
        <v>0</v>
      </c>
      <c r="O8" s="133">
        <f>IF(SER_hh_emih!O8=0,0,SER_hh_emih!O8/SER_summary!O$26)</f>
        <v>0</v>
      </c>
      <c r="P8" s="133">
        <f>IF(SER_hh_emih!P8=0,0,SER_hh_emih!P8/SER_summary!P$26)</f>
        <v>0</v>
      </c>
      <c r="Q8" s="133">
        <f>IF(SER_hh_emih!Q8=0,0,SER_hh_emih!Q8/SER_summary!Q$26)</f>
        <v>0</v>
      </c>
      <c r="R8" s="133">
        <f>IF(SER_hh_emih!R8=0,0,SER_hh_emih!R8/SER_summary!R$26)</f>
        <v>0</v>
      </c>
      <c r="S8" s="133">
        <f>IF(SER_hh_emih!S8=0,0,SER_hh_emih!S8/SER_summary!S$26)</f>
        <v>0</v>
      </c>
      <c r="T8" s="133">
        <f>IF(SER_hh_emih!T8=0,0,SER_hh_emih!T8/SER_summary!T$26)</f>
        <v>0</v>
      </c>
      <c r="U8" s="133">
        <f>IF(SER_hh_emih!U8=0,0,SER_hh_emih!U8/SER_summary!U$26)</f>
        <v>0</v>
      </c>
      <c r="V8" s="133">
        <f>IF(SER_hh_emih!V8=0,0,SER_hh_emih!V8/SER_summary!V$26)</f>
        <v>0</v>
      </c>
      <c r="W8" s="133">
        <f>IF(SER_hh_emih!W8=0,0,SER_hh_emih!W8/SER_summary!W$26)</f>
        <v>0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32.195227293517988</v>
      </c>
      <c r="C9" s="133">
        <f>IF(SER_hh_emih!C9=0,0,SER_hh_emih!C9/SER_summary!C$26)</f>
        <v>31.301088389601151</v>
      </c>
      <c r="D9" s="133">
        <f>IF(SER_hh_emih!D9=0,0,SER_hh_emih!D9/SER_summary!D$26)</f>
        <v>29.329787411050763</v>
      </c>
      <c r="E9" s="133">
        <f>IF(SER_hh_emih!E9=0,0,SER_hh_emih!E9/SER_summary!E$26)</f>
        <v>25.63305269104433</v>
      </c>
      <c r="F9" s="133">
        <f>IF(SER_hh_emih!F9=0,0,SER_hh_emih!F9/SER_summary!F$26)</f>
        <v>30.441919205852557</v>
      </c>
      <c r="G9" s="133">
        <f>IF(SER_hh_emih!G9=0,0,SER_hh_emih!G9/SER_summary!G$26)</f>
        <v>25.195269891194314</v>
      </c>
      <c r="H9" s="133">
        <f>IF(SER_hh_emih!H9=0,0,SER_hh_emih!H9/SER_summary!H$26)</f>
        <v>23.261861625277934</v>
      </c>
      <c r="I9" s="133">
        <f>IF(SER_hh_emih!I9=0,0,SER_hh_emih!I9/SER_summary!I$26)</f>
        <v>26.405201728099559</v>
      </c>
      <c r="J9" s="133">
        <f>IF(SER_hh_emih!J9=0,0,SER_hh_emih!J9/SER_summary!J$26)</f>
        <v>21.89731092745464</v>
      </c>
      <c r="K9" s="133">
        <f>IF(SER_hh_emih!K9=0,0,SER_hh_emih!K9/SER_summary!K$26)</f>
        <v>18.565663192210057</v>
      </c>
      <c r="L9" s="133">
        <f>IF(SER_hh_emih!L9=0,0,SER_hh_emih!L9/SER_summary!L$26)</f>
        <v>20.204305552446908</v>
      </c>
      <c r="M9" s="133">
        <f>IF(SER_hh_emih!M9=0,0,SER_hh_emih!M9/SER_summary!M$26)</f>
        <v>17.173376678183722</v>
      </c>
      <c r="N9" s="133">
        <f>IF(SER_hh_emih!N9=0,0,SER_hh_emih!N9/SER_summary!N$26)</f>
        <v>18.094302440947491</v>
      </c>
      <c r="O9" s="133">
        <f>IF(SER_hh_emih!O9=0,0,SER_hh_emih!O9/SER_summary!O$26)</f>
        <v>17.301101096579206</v>
      </c>
      <c r="P9" s="133">
        <f>IF(SER_hh_emih!P9=0,0,SER_hh_emih!P9/SER_summary!P$26)</f>
        <v>13.881489907203935</v>
      </c>
      <c r="Q9" s="133">
        <f>IF(SER_hh_emih!Q9=0,0,SER_hh_emih!Q9/SER_summary!Q$26)</f>
        <v>14.656207405644853</v>
      </c>
      <c r="R9" s="133">
        <f>IF(SER_hh_emih!R9=0,0,SER_hh_emih!R9/SER_summary!R$26)</f>
        <v>15.043235029100359</v>
      </c>
      <c r="S9" s="133">
        <f>IF(SER_hh_emih!S9=0,0,SER_hh_emih!S9/SER_summary!S$26)</f>
        <v>15.621694411032458</v>
      </c>
      <c r="T9" s="133">
        <f>IF(SER_hh_emih!T9=0,0,SER_hh_emih!T9/SER_summary!T$26)</f>
        <v>15.774247295122848</v>
      </c>
      <c r="U9" s="133">
        <f>IF(SER_hh_emih!U9=0,0,SER_hh_emih!U9/SER_summary!U$26)</f>
        <v>15.350071526579928</v>
      </c>
      <c r="V9" s="133">
        <f>IF(SER_hh_emih!V9=0,0,SER_hh_emih!V9/SER_summary!V$26)</f>
        <v>14.589582698568947</v>
      </c>
      <c r="W9" s="133">
        <f>IF(SER_hh_emih!W9=0,0,SER_hh_emih!W9/SER_summary!W$26)</f>
        <v>15.096858627213576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0</v>
      </c>
      <c r="C16" s="131">
        <f>IF(SER_hh_emih!C16=0,0,SER_hh_emih!C16/SER_summary!C$26)</f>
        <v>0</v>
      </c>
      <c r="D16" s="131">
        <f>IF(SER_hh_emih!D16=0,0,SER_hh_emih!D16/SER_summary!D$26)</f>
        <v>0</v>
      </c>
      <c r="E16" s="131">
        <f>IF(SER_hh_emih!E16=0,0,SER_hh_emih!E16/SER_summary!E$26)</f>
        <v>0</v>
      </c>
      <c r="F16" s="131">
        <f>IF(SER_hh_emih!F16=0,0,SER_hh_emih!F16/SER_summary!F$26)</f>
        <v>0</v>
      </c>
      <c r="G16" s="131">
        <f>IF(SER_hh_emih!G16=0,0,SER_hh_emih!G16/SER_summary!G$26)</f>
        <v>0</v>
      </c>
      <c r="H16" s="131">
        <f>IF(SER_hh_emih!H16=0,0,SER_hh_emih!H16/SER_summary!H$26)</f>
        <v>0</v>
      </c>
      <c r="I16" s="131">
        <f>IF(SER_hh_emih!I16=0,0,SER_hh_emih!I16/SER_summary!I$26)</f>
        <v>0</v>
      </c>
      <c r="J16" s="131">
        <f>IF(SER_hh_emih!J16=0,0,SER_hh_emih!J16/SER_summary!J$26)</f>
        <v>0</v>
      </c>
      <c r="K16" s="131">
        <f>IF(SER_hh_emih!K16=0,0,SER_hh_emih!K16/SER_summary!K$26)</f>
        <v>0</v>
      </c>
      <c r="L16" s="131">
        <f>IF(SER_hh_emih!L16=0,0,SER_hh_emih!L16/SER_summary!L$26)</f>
        <v>0</v>
      </c>
      <c r="M16" s="131">
        <f>IF(SER_hh_emih!M16=0,0,SER_hh_emih!M16/SER_summary!M$26)</f>
        <v>0</v>
      </c>
      <c r="N16" s="131">
        <f>IF(SER_hh_emih!N16=0,0,SER_hh_emih!N16/SER_summary!N$26)</f>
        <v>0</v>
      </c>
      <c r="O16" s="131">
        <f>IF(SER_hh_emih!O16=0,0,SER_hh_emih!O16/SER_summary!O$26)</f>
        <v>0</v>
      </c>
      <c r="P16" s="131">
        <f>IF(SER_hh_emih!P16=0,0,SER_hh_emih!P16/SER_summary!P$26)</f>
        <v>0</v>
      </c>
      <c r="Q16" s="131">
        <f>IF(SER_hh_emih!Q16=0,0,SER_hh_emih!Q16/SER_summary!Q$26)</f>
        <v>0</v>
      </c>
      <c r="R16" s="131">
        <f>IF(SER_hh_emih!R16=0,0,SER_hh_emih!R16/SER_summary!R$26)</f>
        <v>0</v>
      </c>
      <c r="S16" s="131">
        <f>IF(SER_hh_emih!S16=0,0,SER_hh_emih!S16/SER_summary!S$26)</f>
        <v>0</v>
      </c>
      <c r="T16" s="131">
        <f>IF(SER_hh_emih!T16=0,0,SER_hh_emih!T16/SER_summary!T$26)</f>
        <v>0</v>
      </c>
      <c r="U16" s="131">
        <f>IF(SER_hh_emih!U16=0,0,SER_hh_emih!U16/SER_summary!U$26)</f>
        <v>0</v>
      </c>
      <c r="V16" s="131">
        <f>IF(SER_hh_emih!V16=0,0,SER_hh_emih!V16/SER_summary!V$26)</f>
        <v>0</v>
      </c>
      <c r="W16" s="131">
        <f>IF(SER_hh_emih!W16=0,0,SER_hh_emih!W16/SER_summary!W$26)</f>
        <v>0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0</v>
      </c>
      <c r="C17" s="133">
        <f>IF(SER_hh_emih!C17=0,0,SER_hh_emih!C17/SER_summary!C$26)</f>
        <v>0</v>
      </c>
      <c r="D17" s="133">
        <f>IF(SER_hh_emih!D17=0,0,SER_hh_emih!D17/SER_summary!D$26)</f>
        <v>0</v>
      </c>
      <c r="E17" s="133">
        <f>IF(SER_hh_emih!E17=0,0,SER_hh_emih!E17/SER_summary!E$26)</f>
        <v>0</v>
      </c>
      <c r="F17" s="133">
        <f>IF(SER_hh_emih!F17=0,0,SER_hh_emih!F17/SER_summary!F$26)</f>
        <v>0</v>
      </c>
      <c r="G17" s="133">
        <f>IF(SER_hh_emih!G17=0,0,SER_hh_emih!G17/SER_summary!G$26)</f>
        <v>0</v>
      </c>
      <c r="H17" s="133">
        <f>IF(SER_hh_emih!H17=0,0,SER_hh_emih!H17/SER_summary!H$26)</f>
        <v>0</v>
      </c>
      <c r="I17" s="133">
        <f>IF(SER_hh_emih!I17=0,0,SER_hh_emih!I17/SER_summary!I$26)</f>
        <v>0</v>
      </c>
      <c r="J17" s="133">
        <f>IF(SER_hh_emih!J17=0,0,SER_hh_emih!J17/SER_summary!J$26)</f>
        <v>0</v>
      </c>
      <c r="K17" s="133">
        <f>IF(SER_hh_emih!K17=0,0,SER_hh_emih!K17/SER_summary!K$26)</f>
        <v>0</v>
      </c>
      <c r="L17" s="133">
        <f>IF(SER_hh_emih!L17=0,0,SER_hh_emih!L17/SER_summary!L$26)</f>
        <v>0</v>
      </c>
      <c r="M17" s="133">
        <f>IF(SER_hh_emih!M17=0,0,SER_hh_emih!M17/SER_summary!M$26)</f>
        <v>0</v>
      </c>
      <c r="N17" s="133">
        <f>IF(SER_hh_emih!N17=0,0,SER_hh_emih!N17/SER_summary!N$26)</f>
        <v>0</v>
      </c>
      <c r="O17" s="133">
        <f>IF(SER_hh_emih!O17=0,0,SER_hh_emih!O17/SER_summary!O$26)</f>
        <v>0</v>
      </c>
      <c r="P17" s="133">
        <f>IF(SER_hh_emih!P17=0,0,SER_hh_emih!P17/SER_summary!P$26)</f>
        <v>0</v>
      </c>
      <c r="Q17" s="133">
        <f>IF(SER_hh_emih!Q17=0,0,SER_hh_emih!Q17/SER_summary!Q$26)</f>
        <v>0</v>
      </c>
      <c r="R17" s="133">
        <f>IF(SER_hh_emih!R17=0,0,SER_hh_emih!R17/SER_summary!R$26)</f>
        <v>0</v>
      </c>
      <c r="S17" s="133">
        <f>IF(SER_hh_emih!S17=0,0,SER_hh_emih!S17/SER_summary!S$26)</f>
        <v>0</v>
      </c>
      <c r="T17" s="133">
        <f>IF(SER_hh_emih!T17=0,0,SER_hh_emih!T17/SER_summary!T$26)</f>
        <v>0</v>
      </c>
      <c r="U17" s="133">
        <f>IF(SER_hh_emih!U17=0,0,SER_hh_emih!U17/SER_summary!U$26)</f>
        <v>0</v>
      </c>
      <c r="V17" s="133">
        <f>IF(SER_hh_emih!V17=0,0,SER_hh_emih!V17/SER_summary!V$26)</f>
        <v>0</v>
      </c>
      <c r="W17" s="133">
        <f>IF(SER_hh_emih!W17=0,0,SER_hh_emih!W17/SER_summary!W$26)</f>
        <v>0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0.39226907045179765</v>
      </c>
      <c r="C19" s="131">
        <f>IF(SER_hh_emih!C19=0,0,SER_hh_emih!C19/SER_summary!C$26)</f>
        <v>0.27968674895027995</v>
      </c>
      <c r="D19" s="131">
        <f>IF(SER_hh_emih!D19=0,0,SER_hh_emih!D19/SER_summary!D$26)</f>
        <v>0.26832537211151619</v>
      </c>
      <c r="E19" s="131">
        <f>IF(SER_hh_emih!E19=0,0,SER_hh_emih!E19/SER_summary!E$26)</f>
        <v>0.23226953355614305</v>
      </c>
      <c r="F19" s="131">
        <f>IF(SER_hh_emih!F19=0,0,SER_hh_emih!F19/SER_summary!F$26)</f>
        <v>0.27013819239565434</v>
      </c>
      <c r="G19" s="131">
        <f>IF(SER_hh_emih!G19=0,0,SER_hh_emih!G19/SER_summary!G$26)</f>
        <v>0.24183045724871394</v>
      </c>
      <c r="H19" s="131">
        <f>IF(SER_hh_emih!H19=0,0,SER_hh_emih!H19/SER_summary!H$26)</f>
        <v>0.26327322434178629</v>
      </c>
      <c r="I19" s="131">
        <f>IF(SER_hh_emih!I19=0,0,SER_hh_emih!I19/SER_summary!I$26)</f>
        <v>0.31630980678118809</v>
      </c>
      <c r="J19" s="131">
        <f>IF(SER_hh_emih!J19=0,0,SER_hh_emih!J19/SER_summary!J$26)</f>
        <v>0.33418698059723217</v>
      </c>
      <c r="K19" s="131">
        <f>IF(SER_hh_emih!K19=0,0,SER_hh_emih!K19/SER_summary!K$26)</f>
        <v>0.316169740344519</v>
      </c>
      <c r="L19" s="131">
        <f>IF(SER_hh_emih!L19=0,0,SER_hh_emih!L19/SER_summary!L$26)</f>
        <v>0.31028509398918991</v>
      </c>
      <c r="M19" s="131">
        <f>IF(SER_hh_emih!M19=0,0,SER_hh_emih!M19/SER_summary!M$26)</f>
        <v>0.30175740047335231</v>
      </c>
      <c r="N19" s="131">
        <f>IF(SER_hh_emih!N19=0,0,SER_hh_emih!N19/SER_summary!N$26)</f>
        <v>0.29184294492920776</v>
      </c>
      <c r="O19" s="131">
        <f>IF(SER_hh_emih!O19=0,0,SER_hh_emih!O19/SER_summary!O$26)</f>
        <v>0.29211234743055359</v>
      </c>
      <c r="P19" s="131">
        <f>IF(SER_hh_emih!P19=0,0,SER_hh_emih!P19/SER_summary!P$26)</f>
        <v>0.26126259085306724</v>
      </c>
      <c r="Q19" s="131">
        <f>IF(SER_hh_emih!Q19=0,0,SER_hh_emih!Q19/SER_summary!Q$26)</f>
        <v>0.2802290319356443</v>
      </c>
      <c r="R19" s="131">
        <f>IF(SER_hh_emih!R19=0,0,SER_hh_emih!R19/SER_summary!R$26)</f>
        <v>0.2933444802451956</v>
      </c>
      <c r="S19" s="131">
        <f>IF(SER_hh_emih!S19=0,0,SER_hh_emih!S19/SER_summary!S$26)</f>
        <v>0.29571115269999809</v>
      </c>
      <c r="T19" s="131">
        <f>IF(SER_hh_emih!T19=0,0,SER_hh_emih!T19/SER_summary!T$26)</f>
        <v>0.29756709233407641</v>
      </c>
      <c r="U19" s="131">
        <f>IF(SER_hh_emih!U19=0,0,SER_hh_emih!U19/SER_summary!U$26)</f>
        <v>0.30734612095353153</v>
      </c>
      <c r="V19" s="131">
        <f>IF(SER_hh_emih!V19=0,0,SER_hh_emih!V19/SER_summary!V$26)</f>
        <v>0.31198916562285445</v>
      </c>
      <c r="W19" s="131">
        <f>IF(SER_hh_emih!W19=0,0,SER_hh_emih!W19/SER_summary!W$26)</f>
        <v>0.32523033686780012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0</v>
      </c>
      <c r="C21" s="133">
        <f>IF(SER_hh_emih!C21=0,0,SER_hh_emih!C21/SER_summary!C$26)</f>
        <v>0</v>
      </c>
      <c r="D21" s="133">
        <f>IF(SER_hh_emih!D21=0,0,SER_hh_emih!D21/SER_summary!D$26)</f>
        <v>0</v>
      </c>
      <c r="E21" s="133">
        <f>IF(SER_hh_emih!E21=0,0,SER_hh_emih!E21/SER_summary!E$26)</f>
        <v>0</v>
      </c>
      <c r="F21" s="133">
        <f>IF(SER_hh_emih!F21=0,0,SER_hh_emih!F21/SER_summary!F$26)</f>
        <v>0</v>
      </c>
      <c r="G21" s="133">
        <f>IF(SER_hh_emih!G21=0,0,SER_hh_emih!G21/SER_summary!G$26)</f>
        <v>0</v>
      </c>
      <c r="H21" s="133">
        <f>IF(SER_hh_emih!H21=0,0,SER_hh_emih!H21/SER_summary!H$26)</f>
        <v>0</v>
      </c>
      <c r="I21" s="133">
        <f>IF(SER_hh_emih!I21=0,0,SER_hh_emih!I21/SER_summary!I$26)</f>
        <v>0</v>
      </c>
      <c r="J21" s="133">
        <f>IF(SER_hh_emih!J21=0,0,SER_hh_emih!J21/SER_summary!J$26)</f>
        <v>0</v>
      </c>
      <c r="K21" s="133">
        <f>IF(SER_hh_emih!K21=0,0,SER_hh_emih!K21/SER_summary!K$26)</f>
        <v>0</v>
      </c>
      <c r="L21" s="133">
        <f>IF(SER_hh_emih!L21=0,0,SER_hh_emih!L21/SER_summary!L$26)</f>
        <v>0</v>
      </c>
      <c r="M21" s="133">
        <f>IF(SER_hh_emih!M21=0,0,SER_hh_emih!M21/SER_summary!M$26)</f>
        <v>0</v>
      </c>
      <c r="N21" s="133">
        <f>IF(SER_hh_emih!N21=0,0,SER_hh_emih!N21/SER_summary!N$26)</f>
        <v>0</v>
      </c>
      <c r="O21" s="133">
        <f>IF(SER_hh_emih!O21=0,0,SER_hh_emih!O21/SER_summary!O$26)</f>
        <v>0</v>
      </c>
      <c r="P21" s="133">
        <f>IF(SER_hh_emih!P21=0,0,SER_hh_emih!P21/SER_summary!P$26)</f>
        <v>0</v>
      </c>
      <c r="Q21" s="133">
        <f>IF(SER_hh_emih!Q21=0,0,SER_hh_emih!Q21/SER_summary!Q$26)</f>
        <v>0</v>
      </c>
      <c r="R21" s="133">
        <f>IF(SER_hh_emih!R21=0,0,SER_hh_emih!R21/SER_summary!R$26)</f>
        <v>0</v>
      </c>
      <c r="S21" s="133">
        <f>IF(SER_hh_emih!S21=0,0,SER_hh_emih!S21/SER_summary!S$26)</f>
        <v>0</v>
      </c>
      <c r="T21" s="133">
        <f>IF(SER_hh_emih!T21=0,0,SER_hh_emih!T21/SER_summary!T$26)</f>
        <v>0</v>
      </c>
      <c r="U21" s="133">
        <f>IF(SER_hh_emih!U21=0,0,SER_hh_emih!U21/SER_summary!U$26)</f>
        <v>0</v>
      </c>
      <c r="V21" s="133">
        <f>IF(SER_hh_emih!V21=0,0,SER_hh_emih!V21/SER_summary!V$26)</f>
        <v>0</v>
      </c>
      <c r="W21" s="133">
        <f>IF(SER_hh_emih!W21=0,0,SER_hh_emih!W21/SER_summary!W$26)</f>
        <v>0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5.7719893206018016</v>
      </c>
      <c r="C22" s="133">
        <f>IF(SER_hh_emih!C22=0,0,SER_hh_emih!C22/SER_summary!C$26)</f>
        <v>4.24660506646625</v>
      </c>
      <c r="D22" s="133">
        <f>IF(SER_hh_emih!D22=0,0,SER_hh_emih!D22/SER_summary!D$26)</f>
        <v>4.7036747485526744</v>
      </c>
      <c r="E22" s="133">
        <f>IF(SER_hh_emih!E22=0,0,SER_hh_emih!E22/SER_summary!E$26)</f>
        <v>4.4796702824896899</v>
      </c>
      <c r="F22" s="133">
        <f>IF(SER_hh_emih!F22=0,0,SER_hh_emih!F22/SER_summary!F$26)</f>
        <v>5.4993961655747734</v>
      </c>
      <c r="G22" s="133">
        <f>IF(SER_hh_emih!G22=0,0,SER_hh_emih!G22/SER_summary!G$26)</f>
        <v>4.9130577632836223</v>
      </c>
      <c r="H22" s="133">
        <f>IF(SER_hh_emih!H22=0,0,SER_hh_emih!H22/SER_summary!H$26)</f>
        <v>5.3265831478973782</v>
      </c>
      <c r="I22" s="133">
        <f>IF(SER_hh_emih!I22=0,0,SER_hh_emih!I22/SER_summary!I$26)</f>
        <v>5.2790743680369534</v>
      </c>
      <c r="J22" s="133">
        <f>IF(SER_hh_emih!J22=0,0,SER_hh_emih!J22/SER_summary!J$26)</f>
        <v>5.7411341437556462</v>
      </c>
      <c r="K22" s="133">
        <f>IF(SER_hh_emih!K22=0,0,SER_hh_emih!K22/SER_summary!K$26)</f>
        <v>5.024502961363301</v>
      </c>
      <c r="L22" s="133">
        <f>IF(SER_hh_emih!L22=0,0,SER_hh_emih!L22/SER_summary!L$26)</f>
        <v>5.3206318698137416</v>
      </c>
      <c r="M22" s="133">
        <f>IF(SER_hh_emih!M22=0,0,SER_hh_emih!M22/SER_summary!M$26)</f>
        <v>5.2633442415368616</v>
      </c>
      <c r="N22" s="133">
        <f>IF(SER_hh_emih!N22=0,0,SER_hh_emih!N22/SER_summary!N$26)</f>
        <v>4.609813791020148</v>
      </c>
      <c r="O22" s="133">
        <f>IF(SER_hh_emih!O22=0,0,SER_hh_emih!O22/SER_summary!O$26)</f>
        <v>4.854016467946213</v>
      </c>
      <c r="P22" s="133">
        <f>IF(SER_hh_emih!P22=0,0,SER_hh_emih!P22/SER_summary!P$26)</f>
        <v>4.9814337529078268</v>
      </c>
      <c r="Q22" s="133">
        <f>IF(SER_hh_emih!Q22=0,0,SER_hh_emih!Q22/SER_summary!Q$26)</f>
        <v>4.9374761966497118</v>
      </c>
      <c r="R22" s="133">
        <f>IF(SER_hh_emih!R22=0,0,SER_hh_emih!R22/SER_summary!R$26)</f>
        <v>4.9755822136858168</v>
      </c>
      <c r="S22" s="133">
        <f>IF(SER_hh_emih!S22=0,0,SER_hh_emih!S22/SER_summary!S$26)</f>
        <v>5.4801460273088018</v>
      </c>
      <c r="T22" s="133">
        <f>IF(SER_hh_emih!T22=0,0,SER_hh_emih!T22/SER_summary!T$26)</f>
        <v>3.9826649699704721</v>
      </c>
      <c r="U22" s="133">
        <f>IF(SER_hh_emih!U22=0,0,SER_hh_emih!U22/SER_summary!U$26)</f>
        <v>4.4642147500756444</v>
      </c>
      <c r="V22" s="133">
        <f>IF(SER_hh_emih!V22=0,0,SER_hh_emih!V22/SER_summary!V$26)</f>
        <v>4.2449459618511094</v>
      </c>
      <c r="W22" s="133">
        <f>IF(SER_hh_emih!W22=0,0,SER_hh_emih!W22/SER_summary!W$26)</f>
        <v>4.4944392291253425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3.5833935452032755</v>
      </c>
      <c r="C23" s="133">
        <f>IF(SER_hh_emih!C23=0,0,SER_hh_emih!C23/SER_summary!C$26)</f>
        <v>3.5478658869194151</v>
      </c>
      <c r="D23" s="133">
        <f>IF(SER_hh_emih!D23=0,0,SER_hh_emih!D23/SER_summary!D$26)</f>
        <v>3.4541820571676074</v>
      </c>
      <c r="E23" s="133">
        <f>IF(SER_hh_emih!E23=0,0,SER_hh_emih!E23/SER_summary!E$26)</f>
        <v>3.2500395623185079</v>
      </c>
      <c r="F23" s="133">
        <f>IF(SER_hh_emih!F23=0,0,SER_hh_emih!F23/SER_summary!F$26)</f>
        <v>3.6189244134973824</v>
      </c>
      <c r="G23" s="133">
        <f>IF(SER_hh_emih!G23=0,0,SER_hh_emih!G23/SER_summary!G$26)</f>
        <v>3.212069182152514</v>
      </c>
      <c r="H23" s="133">
        <f>IF(SER_hh_emih!H23=0,0,SER_hh_emih!H23/SER_summary!H$26)</f>
        <v>3.084656075842207</v>
      </c>
      <c r="I23" s="133">
        <f>IF(SER_hh_emih!I23=0,0,SER_hh_emih!I23/SER_summary!I$26)</f>
        <v>3.6548713454504433</v>
      </c>
      <c r="J23" s="133">
        <f>IF(SER_hh_emih!J23=0,0,SER_hh_emih!J23/SER_summary!J$26)</f>
        <v>3.6041045563546943</v>
      </c>
      <c r="K23" s="133">
        <f>IF(SER_hh_emih!K23=0,0,SER_hh_emih!K23/SER_summary!K$26)</f>
        <v>3.3740484008102238</v>
      </c>
      <c r="L23" s="133">
        <f>IF(SER_hh_emih!L23=0,0,SER_hh_emih!L23/SER_summary!L$26)</f>
        <v>3.3503357609635245</v>
      </c>
      <c r="M23" s="133">
        <f>IF(SER_hh_emih!M23=0,0,SER_hh_emih!M23/SER_summary!M$26)</f>
        <v>3.3793349595585198</v>
      </c>
      <c r="N23" s="133">
        <f>IF(SER_hh_emih!N23=0,0,SER_hh_emih!N23/SER_summary!N$26)</f>
        <v>3.3872402726782869</v>
      </c>
      <c r="O23" s="133">
        <f>IF(SER_hh_emih!O23=0,0,SER_hh_emih!O23/SER_summary!O$26)</f>
        <v>3.4163907876374218</v>
      </c>
      <c r="P23" s="133">
        <f>IF(SER_hh_emih!P23=0,0,SER_hh_emih!P23/SER_summary!P$26)</f>
        <v>3.0529070551259516</v>
      </c>
      <c r="Q23" s="133">
        <f>IF(SER_hh_emih!Q23=0,0,SER_hh_emih!Q23/SER_summary!Q$26)</f>
        <v>3.1910095510020007</v>
      </c>
      <c r="R23" s="133">
        <f>IF(SER_hh_emih!R23=0,0,SER_hh_emih!R23/SER_summary!R$26)</f>
        <v>3.2140427795642248</v>
      </c>
      <c r="S23" s="133">
        <f>IF(SER_hh_emih!S23=0,0,SER_hh_emih!S23/SER_summary!S$26)</f>
        <v>3.0860412870488076</v>
      </c>
      <c r="T23" s="133">
        <f>IF(SER_hh_emih!T23=0,0,SER_hh_emih!T23/SER_summary!T$26)</f>
        <v>3.0016621936524079</v>
      </c>
      <c r="U23" s="133">
        <f>IF(SER_hh_emih!U23=0,0,SER_hh_emih!U23/SER_summary!U$26)</f>
        <v>2.8703444172632251</v>
      </c>
      <c r="V23" s="133">
        <f>IF(SER_hh_emih!V23=0,0,SER_hh_emih!V23/SER_summary!V$26)</f>
        <v>2.6469385790644235</v>
      </c>
      <c r="W23" s="133">
        <f>IF(SER_hh_emih!W23=0,0,SER_hh_emih!W23/SER_summary!W$26)</f>
        <v>2.6844407416619642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0.76156969754644155</v>
      </c>
      <c r="C29" s="131">
        <f>IF(SER_hh_emih!C29=0,0,SER_hh_emih!C29/SER_summary!C$26)</f>
        <v>0.78124709381083279</v>
      </c>
      <c r="D29" s="131">
        <f>IF(SER_hh_emih!D29=0,0,SER_hh_emih!D29/SER_summary!D$26)</f>
        <v>0.8255046130737147</v>
      </c>
      <c r="E29" s="131">
        <f>IF(SER_hh_emih!E29=0,0,SER_hh_emih!E29/SER_summary!E$26)</f>
        <v>0.79707086793101167</v>
      </c>
      <c r="F29" s="131">
        <f>IF(SER_hh_emih!F29=0,0,SER_hh_emih!F29/SER_summary!F$26)</f>
        <v>0.70308622098584339</v>
      </c>
      <c r="G29" s="131">
        <f>IF(SER_hh_emih!G29=0,0,SER_hh_emih!G29/SER_summary!G$26)</f>
        <v>0.70668850368894731</v>
      </c>
      <c r="H29" s="131">
        <f>IF(SER_hh_emih!H29=0,0,SER_hh_emih!H29/SER_summary!H$26)</f>
        <v>0.71244835921014993</v>
      </c>
      <c r="I29" s="131">
        <f>IF(SER_hh_emih!I29=0,0,SER_hh_emih!I29/SER_summary!I$26)</f>
        <v>0.84016016069588351</v>
      </c>
      <c r="J29" s="131">
        <f>IF(SER_hh_emih!J29=0,0,SER_hh_emih!J29/SER_summary!J$26)</f>
        <v>0.86012042121078969</v>
      </c>
      <c r="K29" s="131">
        <f>IF(SER_hh_emih!K29=0,0,SER_hh_emih!K29/SER_summary!K$26)</f>
        <v>0.83736735150069119</v>
      </c>
      <c r="L29" s="131">
        <f>IF(SER_hh_emih!L29=0,0,SER_hh_emih!L29/SER_summary!L$26)</f>
        <v>0.76138859672431614</v>
      </c>
      <c r="M29" s="131">
        <f>IF(SER_hh_emih!M29=0,0,SER_hh_emih!M29/SER_summary!M$26)</f>
        <v>0.70526956491962156</v>
      </c>
      <c r="N29" s="131">
        <f>IF(SER_hh_emih!N29=0,0,SER_hh_emih!N29/SER_summary!N$26)</f>
        <v>0.61317813262244958</v>
      </c>
      <c r="O29" s="131">
        <f>IF(SER_hh_emih!O29=0,0,SER_hh_emih!O29/SER_summary!O$26)</f>
        <v>0.50029777474484727</v>
      </c>
      <c r="P29" s="131">
        <f>IF(SER_hh_emih!P29=0,0,SER_hh_emih!P29/SER_summary!P$26)</f>
        <v>0.4188822158794544</v>
      </c>
      <c r="Q29" s="131">
        <f>IF(SER_hh_emih!Q29=0,0,SER_hh_emih!Q29/SER_summary!Q$26)</f>
        <v>0.47636502879262677</v>
      </c>
      <c r="R29" s="131">
        <f>IF(SER_hh_emih!R29=0,0,SER_hh_emih!R29/SER_summary!R$26)</f>
        <v>0.49988473221154828</v>
      </c>
      <c r="S29" s="131">
        <f>IF(SER_hh_emih!S29=0,0,SER_hh_emih!S29/SER_summary!S$26)</f>
        <v>0.45814540251858377</v>
      </c>
      <c r="T29" s="131">
        <f>IF(SER_hh_emih!T29=0,0,SER_hh_emih!T29/SER_summary!T$26)</f>
        <v>0.47382926436740458</v>
      </c>
      <c r="U29" s="131">
        <f>IF(SER_hh_emih!U29=0,0,SER_hh_emih!U29/SER_summary!U$26)</f>
        <v>0.30709946894020584</v>
      </c>
      <c r="V29" s="131">
        <f>IF(SER_hh_emih!V29=0,0,SER_hh_emih!V29/SER_summary!V$26)</f>
        <v>0.23438681098474407</v>
      </c>
      <c r="W29" s="131">
        <f>IF(SER_hh_emih!W29=0,0,SER_hh_emih!W29/SER_summary!W$26)</f>
        <v>0.24249854120736533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0</v>
      </c>
      <c r="C30" s="133">
        <f>IF(SER_hh_emih!C30=0,0,SER_hh_emih!C30/SER_summary!C$26)</f>
        <v>0</v>
      </c>
      <c r="D30" s="133">
        <f>IF(SER_hh_emih!D30=0,0,SER_hh_emih!D30/SER_summary!D$26)</f>
        <v>0</v>
      </c>
      <c r="E30" s="133">
        <f>IF(SER_hh_emih!E30=0,0,SER_hh_emih!E30/SER_summary!E$26)</f>
        <v>0</v>
      </c>
      <c r="F30" s="133">
        <f>IF(SER_hh_emih!F30=0,0,SER_hh_emih!F30/SER_summary!F$26)</f>
        <v>0</v>
      </c>
      <c r="G30" s="133">
        <f>IF(SER_hh_emih!G30=0,0,SER_hh_emih!G30/SER_summary!G$26)</f>
        <v>0</v>
      </c>
      <c r="H30" s="133">
        <f>IF(SER_hh_emih!H30=0,0,SER_hh_emih!H30/SER_summary!H$26)</f>
        <v>0</v>
      </c>
      <c r="I30" s="133">
        <f>IF(SER_hh_emih!I30=0,0,SER_hh_emih!I30/SER_summary!I$26)</f>
        <v>0</v>
      </c>
      <c r="J30" s="133">
        <f>IF(SER_hh_emih!J30=0,0,SER_hh_emih!J30/SER_summary!J$26)</f>
        <v>0</v>
      </c>
      <c r="K30" s="133">
        <f>IF(SER_hh_emih!K30=0,0,SER_hh_emih!K30/SER_summary!K$26)</f>
        <v>0</v>
      </c>
      <c r="L30" s="133">
        <f>IF(SER_hh_emih!L30=0,0,SER_hh_emih!L30/SER_summary!L$26)</f>
        <v>0</v>
      </c>
      <c r="M30" s="133">
        <f>IF(SER_hh_emih!M30=0,0,SER_hh_emih!M30/SER_summary!M$26)</f>
        <v>0</v>
      </c>
      <c r="N30" s="133">
        <f>IF(SER_hh_emih!N30=0,0,SER_hh_emih!N30/SER_summary!N$26)</f>
        <v>0</v>
      </c>
      <c r="O30" s="133">
        <f>IF(SER_hh_emih!O30=0,0,SER_hh_emih!O30/SER_summary!O$26)</f>
        <v>0</v>
      </c>
      <c r="P30" s="133">
        <f>IF(SER_hh_emih!P30=0,0,SER_hh_emih!P30/SER_summary!P$26)</f>
        <v>0</v>
      </c>
      <c r="Q30" s="133">
        <f>IF(SER_hh_emih!Q30=0,0,SER_hh_emih!Q30/SER_summary!Q$26)</f>
        <v>0</v>
      </c>
      <c r="R30" s="133">
        <f>IF(SER_hh_emih!R30=0,0,SER_hh_emih!R30/SER_summary!R$26)</f>
        <v>0</v>
      </c>
      <c r="S30" s="133">
        <f>IF(SER_hh_emih!S30=0,0,SER_hh_emih!S30/SER_summary!S$26)</f>
        <v>0</v>
      </c>
      <c r="T30" s="133">
        <f>IF(SER_hh_emih!T30=0,0,SER_hh_emih!T30/SER_summary!T$26)</f>
        <v>0</v>
      </c>
      <c r="U30" s="133">
        <f>IF(SER_hh_emih!U30=0,0,SER_hh_emih!U30/SER_summary!U$26)</f>
        <v>0</v>
      </c>
      <c r="V30" s="133">
        <f>IF(SER_hh_emih!V30=0,0,SER_hh_emih!V30/SER_summary!V$26)</f>
        <v>0</v>
      </c>
      <c r="W30" s="133">
        <f>IF(SER_hh_emih!W30=0,0,SER_hh_emih!W30/SER_summary!W$26)</f>
        <v>0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3.3666660912442841</v>
      </c>
      <c r="C31" s="133">
        <f>IF(SER_hh_emih!C31=0,0,SER_hh_emih!C31/SER_summary!C$26)</f>
        <v>3.3386662602563901</v>
      </c>
      <c r="D31" s="133">
        <f>IF(SER_hh_emih!D31=0,0,SER_hh_emih!D31/SER_summary!D$26)</f>
        <v>3.3870867705244114</v>
      </c>
      <c r="E31" s="133">
        <f>IF(SER_hh_emih!E31=0,0,SER_hh_emih!E31/SER_summary!E$26)</f>
        <v>3.321328817366513</v>
      </c>
      <c r="F31" s="133">
        <f>IF(SER_hh_emih!F31=0,0,SER_hh_emih!F31/SER_summary!F$26)</f>
        <v>3.0559594993738202</v>
      </c>
      <c r="G31" s="133">
        <f>IF(SER_hh_emih!G31=0,0,SER_hh_emih!G31/SER_summary!G$26)</f>
        <v>3.0637814406778108</v>
      </c>
      <c r="H31" s="133">
        <f>IF(SER_hh_emih!H31=0,0,SER_hh_emih!H31/SER_summary!H$26)</f>
        <v>2.9285782644847842</v>
      </c>
      <c r="I31" s="133">
        <f>IF(SER_hh_emih!I31=0,0,SER_hh_emih!I31/SER_summary!I$26)</f>
        <v>3.2743937767602342</v>
      </c>
      <c r="J31" s="133">
        <f>IF(SER_hh_emih!J31=0,0,SER_hh_emih!J31/SER_summary!J$26)</f>
        <v>3.2003156096943313</v>
      </c>
      <c r="K31" s="133">
        <f>IF(SER_hh_emih!K31=0,0,SER_hh_emih!K31/SER_summary!K$26)</f>
        <v>3.0268594117089931</v>
      </c>
      <c r="L31" s="133">
        <f>IF(SER_hh_emih!L31=0,0,SER_hh_emih!L31/SER_summary!L$26)</f>
        <v>2.8779891243388915</v>
      </c>
      <c r="M31" s="133">
        <f>IF(SER_hh_emih!M31=0,0,SER_hh_emih!M31/SER_summary!M$26)</f>
        <v>2.912063309046621</v>
      </c>
      <c r="N31" s="133">
        <f>IF(SER_hh_emih!N31=0,0,SER_hh_emih!N31/SER_summary!N$26)</f>
        <v>2.8629356709016913</v>
      </c>
      <c r="O31" s="133">
        <f>IF(SER_hh_emih!O31=0,0,SER_hh_emih!O31/SER_summary!O$26)</f>
        <v>2.6050827836063051</v>
      </c>
      <c r="P31" s="133">
        <f>IF(SER_hh_emih!P31=0,0,SER_hh_emih!P31/SER_summary!P$26)</f>
        <v>2.3267333456800099</v>
      </c>
      <c r="Q31" s="133">
        <f>IF(SER_hh_emih!Q31=0,0,SER_hh_emih!Q31/SER_summary!Q$26)</f>
        <v>2.5589327030668887</v>
      </c>
      <c r="R31" s="133">
        <f>IF(SER_hh_emih!R31=0,0,SER_hh_emih!R31/SER_summary!R$26)</f>
        <v>2.6345213460475767</v>
      </c>
      <c r="S31" s="133">
        <f>IF(SER_hh_emih!S31=0,0,SER_hh_emih!S31/SER_summary!S$26)</f>
        <v>2.5209721700787795</v>
      </c>
      <c r="T31" s="133">
        <f>IF(SER_hh_emih!T31=0,0,SER_hh_emih!T31/SER_summary!T$26)</f>
        <v>2.9113513184888817</v>
      </c>
      <c r="U31" s="133">
        <f>IF(SER_hh_emih!U31=0,0,SER_hh_emih!U31/SER_summary!U$26)</f>
        <v>2.3950872156247627</v>
      </c>
      <c r="V31" s="133">
        <f>IF(SER_hh_emih!V31=0,0,SER_hh_emih!V31/SER_summary!V$26)</f>
        <v>2.427913571860874</v>
      </c>
      <c r="W31" s="133">
        <f>IF(SER_hh_emih!W31=0,0,SER_hh_emih!W31/SER_summary!W$26)</f>
        <v>2.7684053390446155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1430.4073603229244</v>
      </c>
      <c r="D3" s="125">
        <f t="shared" si="0"/>
        <v>1692.9520181609766</v>
      </c>
      <c r="E3" s="125">
        <f t="shared" si="0"/>
        <v>2500.4577777075992</v>
      </c>
      <c r="F3" s="125">
        <f t="shared" si="0"/>
        <v>2128.6431703628045</v>
      </c>
      <c r="G3" s="125">
        <f t="shared" si="0"/>
        <v>2368.6040275337491</v>
      </c>
      <c r="H3" s="125">
        <f t="shared" si="0"/>
        <v>1719.7985081907289</v>
      </c>
      <c r="I3" s="125">
        <f t="shared" si="0"/>
        <v>4367.4557708359407</v>
      </c>
      <c r="J3" s="125">
        <f t="shared" si="0"/>
        <v>2149.7718337600877</v>
      </c>
      <c r="K3" s="125">
        <f t="shared" si="0"/>
        <v>186.57951958380116</v>
      </c>
      <c r="L3" s="125">
        <f t="shared" si="0"/>
        <v>608.79466196254896</v>
      </c>
      <c r="M3" s="125">
        <f t="shared" si="0"/>
        <v>1155.6559257884699</v>
      </c>
      <c r="N3" s="125">
        <f t="shared" si="0"/>
        <v>660.80570255669852</v>
      </c>
      <c r="O3" s="125">
        <f t="shared" si="0"/>
        <v>796.349430246427</v>
      </c>
      <c r="P3" s="125">
        <f t="shared" si="0"/>
        <v>1035.23277246927</v>
      </c>
      <c r="Q3" s="125">
        <f t="shared" si="0"/>
        <v>586.96904591365785</v>
      </c>
      <c r="R3" s="125">
        <f t="shared" si="0"/>
        <v>621.70006661046068</v>
      </c>
      <c r="S3" s="125">
        <f t="shared" si="0"/>
        <v>679.63803024878348</v>
      </c>
      <c r="T3" s="125">
        <f t="shared" si="0"/>
        <v>622.3465465459941</v>
      </c>
      <c r="U3" s="125">
        <f t="shared" si="0"/>
        <v>531.79432110721905</v>
      </c>
      <c r="V3" s="125">
        <f t="shared" si="0"/>
        <v>424.32142992977072</v>
      </c>
      <c r="W3" s="125">
        <f t="shared" si="0"/>
        <v>339.16559761725426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1430.4073603229244</v>
      </c>
      <c r="D4" s="140">
        <f t="shared" si="1"/>
        <v>1692.9520181609766</v>
      </c>
      <c r="E4" s="140">
        <f t="shared" si="1"/>
        <v>2500.4577777075992</v>
      </c>
      <c r="F4" s="140">
        <f t="shared" si="1"/>
        <v>2128.6431703628045</v>
      </c>
      <c r="G4" s="140">
        <f t="shared" si="1"/>
        <v>2368.6040275337491</v>
      </c>
      <c r="H4" s="140">
        <f t="shared" si="1"/>
        <v>1719.7985081907289</v>
      </c>
      <c r="I4" s="140">
        <f t="shared" si="1"/>
        <v>4367.4557708359407</v>
      </c>
      <c r="J4" s="140">
        <f t="shared" si="1"/>
        <v>2149.7718337600877</v>
      </c>
      <c r="K4" s="140">
        <f t="shared" si="1"/>
        <v>186.57951958380116</v>
      </c>
      <c r="L4" s="140">
        <f t="shared" si="1"/>
        <v>608.79466196254896</v>
      </c>
      <c r="M4" s="140">
        <f t="shared" si="1"/>
        <v>1155.6559257884699</v>
      </c>
      <c r="N4" s="140">
        <f t="shared" si="1"/>
        <v>660.80570255669852</v>
      </c>
      <c r="O4" s="140">
        <f t="shared" si="1"/>
        <v>796.349430246427</v>
      </c>
      <c r="P4" s="140">
        <f t="shared" si="1"/>
        <v>1035.23277246927</v>
      </c>
      <c r="Q4" s="140">
        <f t="shared" si="1"/>
        <v>586.96904591365785</v>
      </c>
      <c r="R4" s="140">
        <f t="shared" ref="R4:W4" si="2">SUM(R5:R14)</f>
        <v>621.70006661046068</v>
      </c>
      <c r="S4" s="140">
        <f t="shared" si="2"/>
        <v>679.63803024878348</v>
      </c>
      <c r="T4" s="140">
        <f t="shared" si="2"/>
        <v>622.3465465459941</v>
      </c>
      <c r="U4" s="140">
        <f t="shared" si="2"/>
        <v>531.79432110721905</v>
      </c>
      <c r="V4" s="140">
        <f t="shared" si="2"/>
        <v>424.32142992977072</v>
      </c>
      <c r="W4" s="140">
        <f t="shared" si="2"/>
        <v>339.16559761725426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89.10642546594039</v>
      </c>
      <c r="D5" s="141">
        <v>247.52727515335789</v>
      </c>
      <c r="E5" s="141">
        <v>288.03931487818738</v>
      </c>
      <c r="F5" s="141">
        <v>381.23816236268601</v>
      </c>
      <c r="G5" s="141">
        <v>473.07128542936437</v>
      </c>
      <c r="H5" s="141">
        <v>274.55801806087641</v>
      </c>
      <c r="I5" s="141">
        <v>319.99035329188098</v>
      </c>
      <c r="J5" s="141">
        <v>229.03271184280254</v>
      </c>
      <c r="K5" s="141">
        <v>43.32530919971817</v>
      </c>
      <c r="L5" s="141">
        <v>111.9050021598695</v>
      </c>
      <c r="M5" s="141">
        <v>140.58296144898171</v>
      </c>
      <c r="N5" s="141">
        <v>81.276464148620107</v>
      </c>
      <c r="O5" s="141">
        <v>83.394166649116343</v>
      </c>
      <c r="P5" s="141">
        <v>6.0361989937730813</v>
      </c>
      <c r="Q5" s="141">
        <v>0</v>
      </c>
      <c r="R5" s="141">
        <v>57.922617417373225</v>
      </c>
      <c r="S5" s="141">
        <v>61.699750638867684</v>
      </c>
      <c r="T5" s="141">
        <v>59.215600783905124</v>
      </c>
      <c r="U5" s="141">
        <v>19.051095409066086</v>
      </c>
      <c r="V5" s="141">
        <v>0</v>
      </c>
      <c r="W5" s="141">
        <v>11.812794153022249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0</v>
      </c>
      <c r="D7" s="141">
        <v>0</v>
      </c>
      <c r="E7" s="141">
        <v>0</v>
      </c>
      <c r="F7" s="141">
        <v>0</v>
      </c>
      <c r="G7" s="141">
        <v>0</v>
      </c>
      <c r="H7" s="141">
        <v>0</v>
      </c>
      <c r="I7" s="141">
        <v>0</v>
      </c>
      <c r="J7" s="141">
        <v>19.24241644970002</v>
      </c>
      <c r="K7" s="141">
        <v>3.3928521434940748</v>
      </c>
      <c r="L7" s="141">
        <v>11.599482987675708</v>
      </c>
      <c r="M7" s="141">
        <v>25.728022671600073</v>
      </c>
      <c r="N7" s="141">
        <v>12.879994840424333</v>
      </c>
      <c r="O7" s="141">
        <v>14.929825649116841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4.0283572375238528</v>
      </c>
      <c r="V7" s="141">
        <v>4.758013864823524</v>
      </c>
      <c r="W7" s="141">
        <v>1.3873454321182552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141.42405046960002</v>
      </c>
      <c r="D9" s="141">
        <v>245.89151326670884</v>
      </c>
      <c r="E9" s="141">
        <v>306.2415698105774</v>
      </c>
      <c r="F9" s="141">
        <v>359.88166709437678</v>
      </c>
      <c r="G9" s="141">
        <v>324.79635371404976</v>
      </c>
      <c r="H9" s="141">
        <v>318.64435098573199</v>
      </c>
      <c r="I9" s="141">
        <v>625.15573511927209</v>
      </c>
      <c r="J9" s="141">
        <v>315.75446391322112</v>
      </c>
      <c r="K9" s="141">
        <v>24.025017812455758</v>
      </c>
      <c r="L9" s="141">
        <v>68.703322705112114</v>
      </c>
      <c r="M9" s="141">
        <v>139.4226942847244</v>
      </c>
      <c r="N9" s="141">
        <v>111.13039175279489</v>
      </c>
      <c r="O9" s="141">
        <v>184.32230165341031</v>
      </c>
      <c r="P9" s="141">
        <v>249.50382533261504</v>
      </c>
      <c r="Q9" s="141">
        <v>195.34729713988557</v>
      </c>
      <c r="R9" s="141">
        <v>131.82666338938841</v>
      </c>
      <c r="S9" s="141">
        <v>135.27461652527492</v>
      </c>
      <c r="T9" s="141">
        <v>157.79964215714605</v>
      </c>
      <c r="U9" s="141">
        <v>156.44720405183872</v>
      </c>
      <c r="V9" s="141">
        <v>81.580531466805155</v>
      </c>
      <c r="W9" s="141">
        <v>63.024526554040349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95.581956064007315</v>
      </c>
      <c r="D10" s="141">
        <v>48.86523925181617</v>
      </c>
      <c r="E10" s="141">
        <v>30.083919674329117</v>
      </c>
      <c r="F10" s="141">
        <v>44.526122037756899</v>
      </c>
      <c r="G10" s="141">
        <v>86.545533918846033</v>
      </c>
      <c r="H10" s="141">
        <v>103.37799383049688</v>
      </c>
      <c r="I10" s="141">
        <v>230.42174279646173</v>
      </c>
      <c r="J10" s="141">
        <v>207.99731300186349</v>
      </c>
      <c r="K10" s="141">
        <v>26.558940458190985</v>
      </c>
      <c r="L10" s="141">
        <v>63.605802177246055</v>
      </c>
      <c r="M10" s="141">
        <v>157.02866158263259</v>
      </c>
      <c r="N10" s="141">
        <v>85.52172598109513</v>
      </c>
      <c r="O10" s="141">
        <v>113.94073892923545</v>
      </c>
      <c r="P10" s="141">
        <v>83.009424958251444</v>
      </c>
      <c r="Q10" s="141">
        <v>22.659895145070635</v>
      </c>
      <c r="R10" s="141">
        <v>0</v>
      </c>
      <c r="S10" s="141">
        <v>0</v>
      </c>
      <c r="T10" s="141">
        <v>0.8731695682946442</v>
      </c>
      <c r="U10" s="141">
        <v>28.1270434236074</v>
      </c>
      <c r="V10" s="141">
        <v>28.043450324395899</v>
      </c>
      <c r="W10" s="141">
        <v>26.907128183684257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993.21707600924208</v>
      </c>
      <c r="D12" s="141">
        <v>902.3506466225308</v>
      </c>
      <c r="E12" s="141">
        <v>1500.8442864181893</v>
      </c>
      <c r="F12" s="141">
        <v>1103.4277822650736</v>
      </c>
      <c r="G12" s="141">
        <v>1291.8676232631847</v>
      </c>
      <c r="H12" s="141">
        <v>825.79213221967893</v>
      </c>
      <c r="I12" s="141">
        <v>3042.3172123103259</v>
      </c>
      <c r="J12" s="141">
        <v>1329.4124201877207</v>
      </c>
      <c r="K12" s="141">
        <v>88.351055223670045</v>
      </c>
      <c r="L12" s="141">
        <v>349.52091624101121</v>
      </c>
      <c r="M12" s="141">
        <v>680.58306897268028</v>
      </c>
      <c r="N12" s="141">
        <v>327.95481903999223</v>
      </c>
      <c r="O12" s="141">
        <v>374.57130409842324</v>
      </c>
      <c r="P12" s="141">
        <v>658.39668460715222</v>
      </c>
      <c r="Q12" s="141">
        <v>343.09180100956218</v>
      </c>
      <c r="R12" s="141">
        <v>385.57896464442484</v>
      </c>
      <c r="S12" s="141">
        <v>429.01437770522801</v>
      </c>
      <c r="T12" s="141">
        <v>284.7290557005922</v>
      </c>
      <c r="U12" s="141">
        <v>246.18536445862995</v>
      </c>
      <c r="V12" s="141">
        <v>269.40405325155228</v>
      </c>
      <c r="W12" s="141">
        <v>205.13963799495193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0.30603301863331628</v>
      </c>
      <c r="D13" s="141">
        <v>0.90819928230910141</v>
      </c>
      <c r="E13" s="141">
        <v>1.4988931644069634</v>
      </c>
      <c r="F13" s="141">
        <v>1.6027129254429016</v>
      </c>
      <c r="G13" s="141">
        <v>2.0891632171053134</v>
      </c>
      <c r="H13" s="141">
        <v>2.6302845608593892</v>
      </c>
      <c r="I13" s="141">
        <v>5.8524220228153787</v>
      </c>
      <c r="J13" s="141">
        <v>5.9931994177438979</v>
      </c>
      <c r="K13" s="141">
        <v>0.92634474627212315</v>
      </c>
      <c r="L13" s="141">
        <v>3.4601356916344184</v>
      </c>
      <c r="M13" s="141">
        <v>12.310516827850664</v>
      </c>
      <c r="N13" s="141">
        <v>11.628283159431142</v>
      </c>
      <c r="O13" s="141">
        <v>19.154591334863895</v>
      </c>
      <c r="P13" s="141">
        <v>38.286638577478207</v>
      </c>
      <c r="Q13" s="141">
        <v>13.626481898975102</v>
      </c>
      <c r="R13" s="141">
        <v>5.147786312446077</v>
      </c>
      <c r="S13" s="141">
        <v>1.4366451989829092</v>
      </c>
      <c r="T13" s="141">
        <v>3.1704549075721702</v>
      </c>
      <c r="U13" s="141">
        <v>9.7986783131992876</v>
      </c>
      <c r="V13" s="141">
        <v>10.893506452628269</v>
      </c>
      <c r="W13" s="141">
        <v>15.989060818173767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110.77181929550127</v>
      </c>
      <c r="D14" s="142">
        <v>247.40914458425362</v>
      </c>
      <c r="E14" s="142">
        <v>373.74979376190896</v>
      </c>
      <c r="F14" s="142">
        <v>237.96672367746842</v>
      </c>
      <c r="G14" s="142">
        <v>190.23406799119923</v>
      </c>
      <c r="H14" s="142">
        <v>194.79572853308539</v>
      </c>
      <c r="I14" s="142">
        <v>143.71830529518382</v>
      </c>
      <c r="J14" s="142">
        <v>42.339308947035704</v>
      </c>
      <c r="K14" s="142">
        <v>0</v>
      </c>
      <c r="L14" s="142">
        <v>0</v>
      </c>
      <c r="M14" s="142">
        <v>0</v>
      </c>
      <c r="N14" s="142">
        <v>30.414023634340772</v>
      </c>
      <c r="O14" s="142">
        <v>6.0365019322609283</v>
      </c>
      <c r="P14" s="142">
        <v>0</v>
      </c>
      <c r="Q14" s="142">
        <v>12.243570720164332</v>
      </c>
      <c r="R14" s="142">
        <v>41.224034846828118</v>
      </c>
      <c r="S14" s="142">
        <v>52.212640180429908</v>
      </c>
      <c r="T14" s="142">
        <v>116.55862342848393</v>
      </c>
      <c r="U14" s="142">
        <v>68.156578213353811</v>
      </c>
      <c r="V14" s="142">
        <v>29.641874569565545</v>
      </c>
      <c r="W14" s="142">
        <v>14.905104481263471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1319.3295080087898</v>
      </c>
      <c r="D15" s="144">
        <f t="shared" si="3"/>
        <v>1444.6346742944138</v>
      </c>
      <c r="E15" s="144">
        <f t="shared" si="3"/>
        <v>2125.2090907812831</v>
      </c>
      <c r="F15" s="144">
        <f t="shared" si="3"/>
        <v>1889.0737337598932</v>
      </c>
      <c r="G15" s="144">
        <f t="shared" si="3"/>
        <v>2176.280796325445</v>
      </c>
      <c r="H15" s="144">
        <f t="shared" si="3"/>
        <v>1522.3724950967842</v>
      </c>
      <c r="I15" s="144">
        <f t="shared" si="3"/>
        <v>4217.8850435179411</v>
      </c>
      <c r="J15" s="144">
        <f t="shared" si="3"/>
        <v>2101.4393253953081</v>
      </c>
      <c r="K15" s="144">
        <f t="shared" si="3"/>
        <v>185.65317483752904</v>
      </c>
      <c r="L15" s="144">
        <f t="shared" si="3"/>
        <v>605.33452627091458</v>
      </c>
      <c r="M15" s="144">
        <f t="shared" si="3"/>
        <v>1143.3454089606191</v>
      </c>
      <c r="N15" s="144">
        <f t="shared" si="3"/>
        <v>618.76339576292662</v>
      </c>
      <c r="O15" s="144">
        <f t="shared" si="3"/>
        <v>771.15833697930225</v>
      </c>
      <c r="P15" s="144">
        <f t="shared" si="3"/>
        <v>996.94613389179176</v>
      </c>
      <c r="Q15" s="144">
        <f t="shared" si="3"/>
        <v>561.09899329451832</v>
      </c>
      <c r="R15" s="144">
        <f t="shared" ref="R15:W15" si="4">SUM(R5:R12)</f>
        <v>575.32824545118649</v>
      </c>
      <c r="S15" s="144">
        <f t="shared" si="4"/>
        <v>625.98874486937063</v>
      </c>
      <c r="T15" s="144">
        <f t="shared" si="4"/>
        <v>502.61746820993801</v>
      </c>
      <c r="U15" s="144">
        <f t="shared" si="4"/>
        <v>453.83906458066599</v>
      </c>
      <c r="V15" s="144">
        <f t="shared" si="4"/>
        <v>383.78604890757686</v>
      </c>
      <c r="W15" s="144">
        <f t="shared" si="4"/>
        <v>308.27143231781702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338.01919523902416</v>
      </c>
      <c r="D16" s="140">
        <f t="shared" si="5"/>
        <v>377.39625908497555</v>
      </c>
      <c r="E16" s="140">
        <f t="shared" si="5"/>
        <v>394.93614517675746</v>
      </c>
      <c r="F16" s="140">
        <f t="shared" si="5"/>
        <v>427.60503187406141</v>
      </c>
      <c r="G16" s="140">
        <f t="shared" si="5"/>
        <v>462.79580564452959</v>
      </c>
      <c r="H16" s="140">
        <f t="shared" si="5"/>
        <v>514.33468804582412</v>
      </c>
      <c r="I16" s="140">
        <f t="shared" si="5"/>
        <v>606.19881150999743</v>
      </c>
      <c r="J16" s="140">
        <f t="shared" si="5"/>
        <v>623.47822117807846</v>
      </c>
      <c r="K16" s="140">
        <f t="shared" si="5"/>
        <v>186.57951958380119</v>
      </c>
      <c r="L16" s="140">
        <f t="shared" si="5"/>
        <v>434.73098249497741</v>
      </c>
      <c r="M16" s="140">
        <f t="shared" si="5"/>
        <v>574.90595539892468</v>
      </c>
      <c r="N16" s="140">
        <f t="shared" si="5"/>
        <v>557.62321356645202</v>
      </c>
      <c r="O16" s="140">
        <f t="shared" si="5"/>
        <v>618.73996848615946</v>
      </c>
      <c r="P16" s="140">
        <f t="shared" si="5"/>
        <v>695.00648451900247</v>
      </c>
      <c r="Q16" s="140">
        <f t="shared" si="5"/>
        <v>586.96904591365785</v>
      </c>
      <c r="R16" s="140">
        <f t="shared" ref="R16:W16" si="6">SUM(R17:R18)</f>
        <v>621.70006661046068</v>
      </c>
      <c r="S16" s="140">
        <f t="shared" si="6"/>
        <v>679.63803024878337</v>
      </c>
      <c r="T16" s="140">
        <f t="shared" si="6"/>
        <v>622.3465465459941</v>
      </c>
      <c r="U16" s="140">
        <f t="shared" si="6"/>
        <v>531.79432110721928</v>
      </c>
      <c r="V16" s="140">
        <f t="shared" si="6"/>
        <v>424.3214299297706</v>
      </c>
      <c r="W16" s="140">
        <f t="shared" si="6"/>
        <v>339.16559761725421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338.01919523902416</v>
      </c>
      <c r="D18" s="141">
        <v>377.39625908497555</v>
      </c>
      <c r="E18" s="141">
        <v>394.93614517675746</v>
      </c>
      <c r="F18" s="141">
        <v>427.60503187406141</v>
      </c>
      <c r="G18" s="141">
        <v>462.79580564452959</v>
      </c>
      <c r="H18" s="141">
        <v>514.33468804582412</v>
      </c>
      <c r="I18" s="141">
        <v>606.19881150999743</v>
      </c>
      <c r="J18" s="141">
        <v>623.47822117807846</v>
      </c>
      <c r="K18" s="141">
        <v>186.57951958380119</v>
      </c>
      <c r="L18" s="141">
        <v>434.73098249497741</v>
      </c>
      <c r="M18" s="141">
        <v>574.90595539892468</v>
      </c>
      <c r="N18" s="141">
        <v>557.62321356645202</v>
      </c>
      <c r="O18" s="141">
        <v>618.73996848615946</v>
      </c>
      <c r="P18" s="141">
        <v>695.00648451900247</v>
      </c>
      <c r="Q18" s="141">
        <v>586.96904591365785</v>
      </c>
      <c r="R18" s="141">
        <v>621.70006661046068</v>
      </c>
      <c r="S18" s="141">
        <v>679.63803024878337</v>
      </c>
      <c r="T18" s="141">
        <v>622.3465465459941</v>
      </c>
      <c r="U18" s="141">
        <v>531.79432110721928</v>
      </c>
      <c r="V18" s="141">
        <v>424.3214299297706</v>
      </c>
      <c r="W18" s="141">
        <v>339.16559761725421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1430.4073603229244</v>
      </c>
      <c r="D19" s="140">
        <f t="shared" si="7"/>
        <v>1692.9520181609764</v>
      </c>
      <c r="E19" s="140">
        <f t="shared" si="7"/>
        <v>2500.4577777075992</v>
      </c>
      <c r="F19" s="140">
        <f t="shared" si="7"/>
        <v>2128.643170362805</v>
      </c>
      <c r="G19" s="140">
        <f t="shared" si="7"/>
        <v>2368.60402753375</v>
      </c>
      <c r="H19" s="140">
        <f t="shared" si="7"/>
        <v>1719.7985081907291</v>
      </c>
      <c r="I19" s="140">
        <f t="shared" si="7"/>
        <v>4367.4557708359398</v>
      </c>
      <c r="J19" s="140">
        <f t="shared" si="7"/>
        <v>2149.7718337600877</v>
      </c>
      <c r="K19" s="140">
        <f t="shared" si="7"/>
        <v>186.57951958380116</v>
      </c>
      <c r="L19" s="140">
        <f t="shared" si="7"/>
        <v>608.79466196254907</v>
      </c>
      <c r="M19" s="140">
        <f t="shared" si="7"/>
        <v>1155.6559257884696</v>
      </c>
      <c r="N19" s="140">
        <f t="shared" si="7"/>
        <v>660.80570255669875</v>
      </c>
      <c r="O19" s="140">
        <f t="shared" si="7"/>
        <v>796.34943024642712</v>
      </c>
      <c r="P19" s="140">
        <f t="shared" si="7"/>
        <v>1035.23277246927</v>
      </c>
      <c r="Q19" s="140">
        <f t="shared" si="7"/>
        <v>586.96904591365796</v>
      </c>
      <c r="R19" s="140">
        <f t="shared" ref="R19:W19" si="8">SUM(R20:R26)</f>
        <v>621.70006661046068</v>
      </c>
      <c r="S19" s="140">
        <f t="shared" si="8"/>
        <v>679.63803024878337</v>
      </c>
      <c r="T19" s="140">
        <f t="shared" si="8"/>
        <v>622.3465465459941</v>
      </c>
      <c r="U19" s="140">
        <f t="shared" si="8"/>
        <v>531.79432110721928</v>
      </c>
      <c r="V19" s="140">
        <f t="shared" si="8"/>
        <v>424.32142992977066</v>
      </c>
      <c r="W19" s="140">
        <f t="shared" si="8"/>
        <v>339.16559761725421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0</v>
      </c>
      <c r="D22" s="141">
        <v>0</v>
      </c>
      <c r="E22" s="141">
        <v>0</v>
      </c>
      <c r="F22" s="141">
        <v>0</v>
      </c>
      <c r="G22" s="141">
        <v>0</v>
      </c>
      <c r="H22" s="141">
        <v>0</v>
      </c>
      <c r="I22" s="141">
        <v>0</v>
      </c>
      <c r="J22" s="141">
        <v>7.5517275154744956</v>
      </c>
      <c r="K22" s="141">
        <v>1.3559933516446985</v>
      </c>
      <c r="L22" s="141">
        <v>6.177198957358331</v>
      </c>
      <c r="M22" s="141">
        <v>11.986085778676594</v>
      </c>
      <c r="N22" s="141">
        <v>10.478693992112419</v>
      </c>
      <c r="O22" s="141">
        <v>13.25518112919025</v>
      </c>
      <c r="P22" s="141">
        <v>0</v>
      </c>
      <c r="Q22" s="141">
        <v>0.74990612179445759</v>
      </c>
      <c r="R22" s="141">
        <v>0</v>
      </c>
      <c r="S22" s="141">
        <v>0.7691053028231325</v>
      </c>
      <c r="T22" s="141">
        <v>0.59595275782328982</v>
      </c>
      <c r="U22" s="141">
        <v>4.9379049312079051</v>
      </c>
      <c r="V22" s="141">
        <v>6.4842879484775056</v>
      </c>
      <c r="W22" s="141">
        <v>3.6676146388593902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56.607591206796499</v>
      </c>
      <c r="D23" s="141">
        <v>97.289927271320821</v>
      </c>
      <c r="E23" s="141">
        <v>123.57557793965157</v>
      </c>
      <c r="F23" s="141">
        <v>148.27074508988076</v>
      </c>
      <c r="G23" s="141">
        <v>195.48970879903942</v>
      </c>
      <c r="H23" s="141">
        <v>242.56671975135308</v>
      </c>
      <c r="I23" s="141">
        <v>490.81699308474936</v>
      </c>
      <c r="J23" s="141">
        <v>262.38875537935229</v>
      </c>
      <c r="K23" s="141">
        <v>22.516639075623534</v>
      </c>
      <c r="L23" s="141">
        <v>32.802498675759743</v>
      </c>
      <c r="M23" s="141">
        <v>49.909158964373923</v>
      </c>
      <c r="N23" s="141">
        <v>28.592238991666164</v>
      </c>
      <c r="O23" s="141">
        <v>40.714562616474801</v>
      </c>
      <c r="P23" s="141">
        <v>62.856199679537553</v>
      </c>
      <c r="Q23" s="141">
        <v>65.639668500271156</v>
      </c>
      <c r="R23" s="141">
        <v>76.820490627886315</v>
      </c>
      <c r="S23" s="141">
        <v>76.732199005286688</v>
      </c>
      <c r="T23" s="141">
        <v>88.644522543939473</v>
      </c>
      <c r="U23" s="141">
        <v>79.973651837603228</v>
      </c>
      <c r="V23" s="141">
        <v>82.699471001576129</v>
      </c>
      <c r="W23" s="141">
        <v>40.409397376308938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48.244888906037772</v>
      </c>
      <c r="D24" s="141">
        <v>50.529686837052125</v>
      </c>
      <c r="E24" s="141">
        <v>69.77274044523999</v>
      </c>
      <c r="F24" s="141">
        <v>74.458808384214677</v>
      </c>
      <c r="G24" s="141">
        <v>79.485179022795933</v>
      </c>
      <c r="H24" s="141">
        <v>67.990765950639016</v>
      </c>
      <c r="I24" s="141">
        <v>95.992107711522493</v>
      </c>
      <c r="J24" s="141">
        <v>67.34566729471014</v>
      </c>
      <c r="K24" s="141">
        <v>9.5701243685212845</v>
      </c>
      <c r="L24" s="141">
        <v>26.540739765137985</v>
      </c>
      <c r="M24" s="141">
        <v>45.718304621594548</v>
      </c>
      <c r="N24" s="141">
        <v>28.053008532480604</v>
      </c>
      <c r="O24" s="141">
        <v>31.850422776766237</v>
      </c>
      <c r="P24" s="141">
        <v>28.949758178467217</v>
      </c>
      <c r="Q24" s="141">
        <v>8.9178117684992202</v>
      </c>
      <c r="R24" s="141">
        <v>2.8119438251804163</v>
      </c>
      <c r="S24" s="141">
        <v>0.94654105273424527</v>
      </c>
      <c r="T24" s="141">
        <v>12.92108853576832</v>
      </c>
      <c r="U24" s="141">
        <v>14.20256093153948</v>
      </c>
      <c r="V24" s="141">
        <v>15.636019666068576</v>
      </c>
      <c r="W24" s="141">
        <v>13.736521483539882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791.92644130155088</v>
      </c>
      <c r="D25" s="141">
        <v>862.93847008493162</v>
      </c>
      <c r="E25" s="141">
        <v>1558.1136553918025</v>
      </c>
      <c r="F25" s="141">
        <v>1312.4966534308583</v>
      </c>
      <c r="G25" s="141">
        <v>1374.1627617592658</v>
      </c>
      <c r="H25" s="141">
        <v>867.88214079101374</v>
      </c>
      <c r="I25" s="141">
        <v>2421.018039433206</v>
      </c>
      <c r="J25" s="141">
        <v>1294.2026556045303</v>
      </c>
      <c r="K25" s="141">
        <v>123.05612248143028</v>
      </c>
      <c r="L25" s="141">
        <v>458.8609996612492</v>
      </c>
      <c r="M25" s="141">
        <v>813.18145459968571</v>
      </c>
      <c r="N25" s="141">
        <v>418.99698879638311</v>
      </c>
      <c r="O25" s="141">
        <v>577.67294065612157</v>
      </c>
      <c r="P25" s="141">
        <v>878.29444357802515</v>
      </c>
      <c r="Q25" s="141">
        <v>511.66165952309308</v>
      </c>
      <c r="R25" s="141">
        <v>438.40134252800817</v>
      </c>
      <c r="S25" s="141">
        <v>413.63502178279509</v>
      </c>
      <c r="T25" s="141">
        <v>281.42032310882456</v>
      </c>
      <c r="U25" s="141">
        <v>227.61466601263467</v>
      </c>
      <c r="V25" s="141">
        <v>164.82961388262169</v>
      </c>
      <c r="W25" s="141">
        <v>175.61656743123666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533.62843890853924</v>
      </c>
      <c r="D26" s="142">
        <v>682.19393396767202</v>
      </c>
      <c r="E26" s="142">
        <v>748.99580393090525</v>
      </c>
      <c r="F26" s="142">
        <v>593.41696345785112</v>
      </c>
      <c r="G26" s="142">
        <v>719.46637795264871</v>
      </c>
      <c r="H26" s="142">
        <v>541.35888169772318</v>
      </c>
      <c r="I26" s="142">
        <v>1359.6286306064621</v>
      </c>
      <c r="J26" s="142">
        <v>518.28302796602031</v>
      </c>
      <c r="K26" s="142">
        <v>30.080640306581369</v>
      </c>
      <c r="L26" s="142">
        <v>84.413224903043755</v>
      </c>
      <c r="M26" s="142">
        <v>234.86092182413893</v>
      </c>
      <c r="N26" s="142">
        <v>174.68477224405646</v>
      </c>
      <c r="O26" s="142">
        <v>132.85632306787423</v>
      </c>
      <c r="P26" s="142">
        <v>65.132371033240162</v>
      </c>
      <c r="Q26" s="142">
        <v>0</v>
      </c>
      <c r="R26" s="142">
        <v>103.66628962938583</v>
      </c>
      <c r="S26" s="142">
        <v>187.5551631051442</v>
      </c>
      <c r="T26" s="142">
        <v>238.76465959963843</v>
      </c>
      <c r="U26" s="142">
        <v>205.06553739423398</v>
      </c>
      <c r="V26" s="142">
        <v>154.67203743102675</v>
      </c>
      <c r="W26" s="142">
        <v>105.73549668730934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1430.4073603229242</v>
      </c>
      <c r="D29" s="140">
        <f t="shared" si="9"/>
        <v>1692.9520181609766</v>
      </c>
      <c r="E29" s="140">
        <f t="shared" si="9"/>
        <v>2500.4577777075992</v>
      </c>
      <c r="F29" s="140">
        <f t="shared" si="9"/>
        <v>2128.6431703628045</v>
      </c>
      <c r="G29" s="140">
        <f t="shared" si="9"/>
        <v>2368.6040275337496</v>
      </c>
      <c r="H29" s="140">
        <f t="shared" si="9"/>
        <v>1719.7985081907291</v>
      </c>
      <c r="I29" s="140">
        <f t="shared" si="9"/>
        <v>4367.4557708359407</v>
      </c>
      <c r="J29" s="140">
        <f t="shared" si="9"/>
        <v>2149.7718337600872</v>
      </c>
      <c r="K29" s="140">
        <f t="shared" si="9"/>
        <v>186.57951958380119</v>
      </c>
      <c r="L29" s="140">
        <f t="shared" si="9"/>
        <v>608.79466196254896</v>
      </c>
      <c r="M29" s="140">
        <f t="shared" si="9"/>
        <v>1155.6559257884699</v>
      </c>
      <c r="N29" s="140">
        <f t="shared" si="9"/>
        <v>660.80570255669875</v>
      </c>
      <c r="O29" s="140">
        <f t="shared" si="9"/>
        <v>796.34943024642712</v>
      </c>
      <c r="P29" s="140">
        <f t="shared" si="9"/>
        <v>1035.23277246927</v>
      </c>
      <c r="Q29" s="140">
        <f t="shared" si="9"/>
        <v>586.96904591365785</v>
      </c>
      <c r="R29" s="140">
        <f t="shared" ref="R29:W29" si="10">SUM(R30:R33)</f>
        <v>621.70006661046079</v>
      </c>
      <c r="S29" s="140">
        <f t="shared" si="10"/>
        <v>679.63803024878337</v>
      </c>
      <c r="T29" s="140">
        <f t="shared" si="10"/>
        <v>622.3465465459941</v>
      </c>
      <c r="U29" s="140">
        <f t="shared" si="10"/>
        <v>531.79432110721916</v>
      </c>
      <c r="V29" s="140">
        <f t="shared" si="10"/>
        <v>424.3214299297706</v>
      </c>
      <c r="W29" s="140">
        <f t="shared" si="10"/>
        <v>339.16559761725421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0</v>
      </c>
      <c r="D30" s="141">
        <v>0</v>
      </c>
      <c r="E30" s="141">
        <v>0</v>
      </c>
      <c r="F30" s="141">
        <v>0</v>
      </c>
      <c r="G30" s="141">
        <v>0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</v>
      </c>
      <c r="W30" s="141">
        <v>0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401.83344078267368</v>
      </c>
      <c r="D31" s="141">
        <v>502.14264703530989</v>
      </c>
      <c r="E31" s="141">
        <v>525.80510631661571</v>
      </c>
      <c r="F31" s="141">
        <v>343.49001969668603</v>
      </c>
      <c r="G31" s="141">
        <v>553.00415090041781</v>
      </c>
      <c r="H31" s="141">
        <v>572.72264095510968</v>
      </c>
      <c r="I31" s="141">
        <v>1368.6532620571618</v>
      </c>
      <c r="J31" s="141">
        <v>721.49608181136034</v>
      </c>
      <c r="K31" s="141">
        <v>59.265472415015928</v>
      </c>
      <c r="L31" s="141">
        <v>69.784235672260436</v>
      </c>
      <c r="M31" s="141">
        <v>0</v>
      </c>
      <c r="N31" s="141">
        <v>0</v>
      </c>
      <c r="O31" s="141">
        <v>9.9983683814281061</v>
      </c>
      <c r="P31" s="141">
        <v>148.57055027796014</v>
      </c>
      <c r="Q31" s="141">
        <v>169.14011560839992</v>
      </c>
      <c r="R31" s="141">
        <v>169.2033505628024</v>
      </c>
      <c r="S31" s="141">
        <v>127.21704497115074</v>
      </c>
      <c r="T31" s="141">
        <v>56.113101637568235</v>
      </c>
      <c r="U31" s="141">
        <v>0</v>
      </c>
      <c r="V31" s="141">
        <v>0</v>
      </c>
      <c r="W31" s="141">
        <v>0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161.48337909551142</v>
      </c>
      <c r="H32" s="141">
        <v>60.707687491909617</v>
      </c>
      <c r="I32" s="141">
        <v>78.910034258875498</v>
      </c>
      <c r="J32" s="141">
        <v>84.990578402657519</v>
      </c>
      <c r="K32" s="141">
        <v>1.7906434531737712</v>
      </c>
      <c r="L32" s="141">
        <v>23.605277166141992</v>
      </c>
      <c r="M32" s="141">
        <v>0</v>
      </c>
      <c r="N32" s="141">
        <v>4.8857947745652863</v>
      </c>
      <c r="O32" s="141">
        <v>3.1055771649219768</v>
      </c>
      <c r="P32" s="141">
        <v>30.315106304722541</v>
      </c>
      <c r="Q32" s="141">
        <v>24.799782444142679</v>
      </c>
      <c r="R32" s="141">
        <v>37.741711330157038</v>
      </c>
      <c r="S32" s="141">
        <v>51.18002375541554</v>
      </c>
      <c r="T32" s="141">
        <v>38.292519563760784</v>
      </c>
      <c r="U32" s="141">
        <v>41.631006847446983</v>
      </c>
      <c r="V32" s="141">
        <v>34.84211857375103</v>
      </c>
      <c r="W32" s="141">
        <v>32.152227987972765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1028.5739195402505</v>
      </c>
      <c r="D33" s="153">
        <v>1190.8093711256668</v>
      </c>
      <c r="E33" s="153">
        <v>1974.6526713909836</v>
      </c>
      <c r="F33" s="153">
        <v>1785.1531506661186</v>
      </c>
      <c r="G33" s="153">
        <v>1654.1164975378204</v>
      </c>
      <c r="H33" s="153">
        <v>1086.3681797437098</v>
      </c>
      <c r="I33" s="153">
        <v>2919.8924745199033</v>
      </c>
      <c r="J33" s="153">
        <v>1343.2851735460692</v>
      </c>
      <c r="K33" s="153">
        <v>125.52340371561149</v>
      </c>
      <c r="L33" s="153">
        <v>515.40514912414653</v>
      </c>
      <c r="M33" s="153">
        <v>1155.6559257884699</v>
      </c>
      <c r="N33" s="153">
        <v>655.91990778213346</v>
      </c>
      <c r="O33" s="153">
        <v>783.24548470007699</v>
      </c>
      <c r="P33" s="153">
        <v>856.3471158865874</v>
      </c>
      <c r="Q33" s="153">
        <v>393.02914786111523</v>
      </c>
      <c r="R33" s="153">
        <v>414.75500471750132</v>
      </c>
      <c r="S33" s="153">
        <v>501.24096152221711</v>
      </c>
      <c r="T33" s="153">
        <v>527.94092534466506</v>
      </c>
      <c r="U33" s="153">
        <v>490.16331425977222</v>
      </c>
      <c r="V33" s="153">
        <v>389.47931135601959</v>
      </c>
      <c r="W33" s="153">
        <v>307.01336962928144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15.701433978399118</v>
      </c>
      <c r="D3" s="126">
        <f t="shared" si="0"/>
        <v>18.085736606933292</v>
      </c>
      <c r="E3" s="126">
        <f t="shared" si="0"/>
        <v>25.564450069623522</v>
      </c>
      <c r="F3" s="126">
        <f t="shared" si="0"/>
        <v>21.799877816075938</v>
      </c>
      <c r="G3" s="126">
        <f t="shared" si="0"/>
        <v>23.134582396427199</v>
      </c>
      <c r="H3" s="126">
        <f t="shared" si="0"/>
        <v>17.64381784110321</v>
      </c>
      <c r="I3" s="126">
        <f t="shared" si="0"/>
        <v>40.066650745187211</v>
      </c>
      <c r="J3" s="126">
        <f t="shared" si="0"/>
        <v>17.45364866925518</v>
      </c>
      <c r="K3" s="126">
        <f t="shared" si="0"/>
        <v>1.5862822485355688</v>
      </c>
      <c r="L3" s="126">
        <f t="shared" si="0"/>
        <v>5.0291041978260527</v>
      </c>
      <c r="M3" s="126">
        <f t="shared" si="0"/>
        <v>8.42156852369693</v>
      </c>
      <c r="N3" s="126">
        <f t="shared" si="0"/>
        <v>5.07764797408554</v>
      </c>
      <c r="O3" s="126">
        <f t="shared" si="0"/>
        <v>5.6057874228105842</v>
      </c>
      <c r="P3" s="126">
        <f t="shared" si="0"/>
        <v>6.3477571750734381</v>
      </c>
      <c r="Q3" s="126">
        <f t="shared" si="0"/>
        <v>3.6168664118555296</v>
      </c>
      <c r="R3" s="126">
        <f t="shared" ref="R3:W3" si="1">SUM(R4,R16,R19,R29)</f>
        <v>3.7968512882273866</v>
      </c>
      <c r="S3" s="126">
        <f t="shared" si="1"/>
        <v>4.2344259974744531</v>
      </c>
      <c r="T3" s="126">
        <f t="shared" si="1"/>
        <v>3.9499865634278408</v>
      </c>
      <c r="U3" s="126">
        <f t="shared" si="1"/>
        <v>3.1324165370744703</v>
      </c>
      <c r="V3" s="126">
        <f t="shared" si="1"/>
        <v>2.1714002153001744</v>
      </c>
      <c r="W3" s="126">
        <f t="shared" si="1"/>
        <v>1.9733258460713496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12.528501794015837</v>
      </c>
      <c r="D4" s="131">
        <f t="shared" si="2"/>
        <v>14.339421909556791</v>
      </c>
      <c r="E4" s="131">
        <f t="shared" si="2"/>
        <v>20.423582439583903</v>
      </c>
      <c r="F4" s="131">
        <f t="shared" si="2"/>
        <v>17.37845395622719</v>
      </c>
      <c r="G4" s="131">
        <f t="shared" si="2"/>
        <v>18.036731746419033</v>
      </c>
      <c r="H4" s="131">
        <f t="shared" si="2"/>
        <v>13.752991030868827</v>
      </c>
      <c r="I4" s="131">
        <f t="shared" si="2"/>
        <v>30.889925620954124</v>
      </c>
      <c r="J4" s="131">
        <f t="shared" si="2"/>
        <v>12.816139168531448</v>
      </c>
      <c r="K4" s="131">
        <f t="shared" si="2"/>
        <v>1.1323697636431309</v>
      </c>
      <c r="L4" s="131">
        <f t="shared" si="2"/>
        <v>3.6319946783565071</v>
      </c>
      <c r="M4" s="131">
        <f t="shared" si="2"/>
        <v>6.0841161113860149</v>
      </c>
      <c r="N4" s="131">
        <f t="shared" si="2"/>
        <v>3.5904761516273918</v>
      </c>
      <c r="O4" s="131">
        <f t="shared" si="2"/>
        <v>3.9101802058081461</v>
      </c>
      <c r="P4" s="131">
        <f t="shared" si="2"/>
        <v>4.2188472771544347</v>
      </c>
      <c r="Q4" s="131">
        <f t="shared" si="2"/>
        <v>2.3344332240371903</v>
      </c>
      <c r="R4" s="131">
        <f t="shared" ref="R4:W4" si="3">SUM(R5:R15)</f>
        <v>2.4463935992792099</v>
      </c>
      <c r="S4" s="131">
        <f t="shared" si="3"/>
        <v>2.8166599825793455</v>
      </c>
      <c r="T4" s="131">
        <f t="shared" si="3"/>
        <v>2.6573923463875593</v>
      </c>
      <c r="U4" s="131">
        <f t="shared" si="3"/>
        <v>2.0345552898920438</v>
      </c>
      <c r="V4" s="131">
        <f t="shared" si="3"/>
        <v>1.3824627669756677</v>
      </c>
      <c r="W4" s="131">
        <f t="shared" si="3"/>
        <v>1.2594021036425338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0.85082715233473205</v>
      </c>
      <c r="D5" s="133">
        <v>2.5359422595194259</v>
      </c>
      <c r="E5" s="133">
        <v>2.7655020721362078</v>
      </c>
      <c r="F5" s="133">
        <v>3.199734161703232</v>
      </c>
      <c r="G5" s="133">
        <v>4.0699310792483248</v>
      </c>
      <c r="H5" s="133">
        <v>2.9469615324799396</v>
      </c>
      <c r="I5" s="133">
        <v>2.5046314430428422</v>
      </c>
      <c r="J5" s="133">
        <v>1.3053948207791106</v>
      </c>
      <c r="K5" s="133">
        <v>0.28226889647563314</v>
      </c>
      <c r="L5" s="133">
        <v>0.68573910019058704</v>
      </c>
      <c r="M5" s="133">
        <v>0.99611494732557293</v>
      </c>
      <c r="N5" s="133">
        <v>0.39405584372975616</v>
      </c>
      <c r="O5" s="133">
        <v>0.46658650908632376</v>
      </c>
      <c r="P5" s="133">
        <v>2.9886153742664932E-2</v>
      </c>
      <c r="Q5" s="133">
        <v>0</v>
      </c>
      <c r="R5" s="133">
        <v>0.26428020410990943</v>
      </c>
      <c r="S5" s="133">
        <v>0.28974630585586386</v>
      </c>
      <c r="T5" s="133">
        <v>0.28795814263237457</v>
      </c>
      <c r="U5" s="133">
        <v>8.159552145886749E-2</v>
      </c>
      <c r="V5" s="133">
        <v>0</v>
      </c>
      <c r="W5" s="133">
        <v>4.7674498870777939E-2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0</v>
      </c>
      <c r="D7" s="133">
        <v>0</v>
      </c>
      <c r="E7" s="133">
        <v>0</v>
      </c>
      <c r="F7" s="133">
        <v>0</v>
      </c>
      <c r="G7" s="133">
        <v>0</v>
      </c>
      <c r="H7" s="133">
        <v>0</v>
      </c>
      <c r="I7" s="133">
        <v>0</v>
      </c>
      <c r="J7" s="133">
        <v>0.25246086878090623</v>
      </c>
      <c r="K7" s="133">
        <v>1.3891876913187929E-2</v>
      </c>
      <c r="L7" s="133">
        <v>7.1919428137824384E-2</v>
      </c>
      <c r="M7" s="133">
        <v>0.21296241963830842</v>
      </c>
      <c r="N7" s="133">
        <v>6.6110142430586674E-2</v>
      </c>
      <c r="O7" s="133">
        <v>7.6521672139311769E-2</v>
      </c>
      <c r="P7" s="133">
        <v>0</v>
      </c>
      <c r="Q7" s="133">
        <v>0</v>
      </c>
      <c r="R7" s="133">
        <v>0</v>
      </c>
      <c r="S7" s="133">
        <v>0</v>
      </c>
      <c r="T7" s="133">
        <v>0</v>
      </c>
      <c r="U7" s="133">
        <v>1.6179728622942497E-2</v>
      </c>
      <c r="V7" s="133">
        <v>1.8062151311255256E-2</v>
      </c>
      <c r="W7" s="133">
        <v>5.6367285027018104E-3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1.459104083324323</v>
      </c>
      <c r="D9" s="133">
        <v>2.4633484647226775</v>
      </c>
      <c r="E9" s="133">
        <v>2.707359390684656</v>
      </c>
      <c r="F9" s="133">
        <v>3.7369853657731289</v>
      </c>
      <c r="G9" s="133">
        <v>2.798663370157696</v>
      </c>
      <c r="H9" s="133">
        <v>2.526011934288503</v>
      </c>
      <c r="I9" s="133">
        <v>5.6129640200829511</v>
      </c>
      <c r="J9" s="133">
        <v>2.3294755879253133</v>
      </c>
      <c r="K9" s="133">
        <v>0.14846746690259346</v>
      </c>
      <c r="L9" s="133">
        <v>0.45550609288890542</v>
      </c>
      <c r="M9" s="133">
        <v>0.77443931680921663</v>
      </c>
      <c r="N9" s="133">
        <v>0.63297076088633719</v>
      </c>
      <c r="O9" s="133">
        <v>0.98091935694253862</v>
      </c>
      <c r="P9" s="133">
        <v>1.0800355981854417</v>
      </c>
      <c r="Q9" s="133">
        <v>0.86204339631568283</v>
      </c>
      <c r="R9" s="133">
        <v>0.58685065885714927</v>
      </c>
      <c r="S9" s="133">
        <v>0.60692242662653051</v>
      </c>
      <c r="T9" s="133">
        <v>0.69989266396210759</v>
      </c>
      <c r="U9" s="133">
        <v>0.6606867542539816</v>
      </c>
      <c r="V9" s="133">
        <v>0.31921964653697826</v>
      </c>
      <c r="W9" s="133">
        <v>0.24927308590815486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1.1157330223084101</v>
      </c>
      <c r="D10" s="133">
        <v>0.57772987841257584</v>
      </c>
      <c r="E10" s="133">
        <v>0.31959465599870779</v>
      </c>
      <c r="F10" s="133">
        <v>0.45467732128290017</v>
      </c>
      <c r="G10" s="133">
        <v>0.88620674094062413</v>
      </c>
      <c r="H10" s="133">
        <v>1.0303283640098404</v>
      </c>
      <c r="I10" s="133">
        <v>2.0819887808531727</v>
      </c>
      <c r="J10" s="133">
        <v>1.7972002574109618</v>
      </c>
      <c r="K10" s="133">
        <v>0.20942440310629853</v>
      </c>
      <c r="L10" s="133">
        <v>0.47002254529385779</v>
      </c>
      <c r="M10" s="133">
        <v>1.1481516127216784</v>
      </c>
      <c r="N10" s="133">
        <v>0.6136785486115689</v>
      </c>
      <c r="O10" s="133">
        <v>0.78465066709191178</v>
      </c>
      <c r="P10" s="133">
        <v>0.51569925575937303</v>
      </c>
      <c r="Q10" s="133">
        <v>0.13393494627804181</v>
      </c>
      <c r="R10" s="133">
        <v>0</v>
      </c>
      <c r="S10" s="133">
        <v>0</v>
      </c>
      <c r="T10" s="133">
        <v>5.2452616544786017E-3</v>
      </c>
      <c r="U10" s="133">
        <v>0.15621232943628002</v>
      </c>
      <c r="V10" s="133">
        <v>0.16126657552898721</v>
      </c>
      <c r="W10" s="133">
        <v>0.14316069779684162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8.0433096888173328</v>
      </c>
      <c r="D12" s="133">
        <v>6.8642934219060656</v>
      </c>
      <c r="E12" s="133">
        <v>11.224311771185857</v>
      </c>
      <c r="F12" s="133">
        <v>7.9359113014352927</v>
      </c>
      <c r="G12" s="133">
        <v>8.7427598794477657</v>
      </c>
      <c r="H12" s="133">
        <v>5.8069600694597465</v>
      </c>
      <c r="I12" s="133">
        <v>19.567266436511428</v>
      </c>
      <c r="J12" s="133">
        <v>6.6545532138498533</v>
      </c>
      <c r="K12" s="133">
        <v>0.47100012962010568</v>
      </c>
      <c r="L12" s="133">
        <v>1.9267990530504737</v>
      </c>
      <c r="M12" s="133">
        <v>2.9049842435718416</v>
      </c>
      <c r="N12" s="133">
        <v>1.6549102867433472</v>
      </c>
      <c r="O12" s="133">
        <v>1.5327409092235793</v>
      </c>
      <c r="P12" s="133">
        <v>2.5241233142397408</v>
      </c>
      <c r="Q12" s="133">
        <v>1.2873333129963813</v>
      </c>
      <c r="R12" s="133">
        <v>1.3788961733493179</v>
      </c>
      <c r="S12" s="133">
        <v>1.7579493478351462</v>
      </c>
      <c r="T12" s="133">
        <v>1.1507937746558197</v>
      </c>
      <c r="U12" s="133">
        <v>0.82810267114517944</v>
      </c>
      <c r="V12" s="133">
        <v>0.78706712964275172</v>
      </c>
      <c r="W12" s="133">
        <v>0.7359285988292984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1.3733768415083937E-3</v>
      </c>
      <c r="D13" s="133">
        <v>2.9505019516903397E-3</v>
      </c>
      <c r="E13" s="133">
        <v>5.5596844719565074E-3</v>
      </c>
      <c r="F13" s="133">
        <v>5.2272027563887704E-3</v>
      </c>
      <c r="G13" s="133">
        <v>6.4852336629874921E-3</v>
      </c>
      <c r="H13" s="133">
        <v>6.7904830139706102E-3</v>
      </c>
      <c r="I13" s="133">
        <v>1.2202898982763404E-2</v>
      </c>
      <c r="J13" s="133">
        <v>1.4077757997519811E-2</v>
      </c>
      <c r="K13" s="133">
        <v>1.6419711085591321E-3</v>
      </c>
      <c r="L13" s="133">
        <v>4.5220088265633838E-3</v>
      </c>
      <c r="M13" s="133">
        <v>1.7519718424657587E-2</v>
      </c>
      <c r="N13" s="133">
        <v>1.5143448354304584E-2</v>
      </c>
      <c r="O13" s="133">
        <v>2.137053649291374E-2</v>
      </c>
      <c r="P13" s="133">
        <v>4.6664023790387574E-2</v>
      </c>
      <c r="Q13" s="133">
        <v>1.4571161678505756E-2</v>
      </c>
      <c r="R13" s="133">
        <v>5.3307168099640924E-3</v>
      </c>
      <c r="S13" s="133">
        <v>1.4764107903470535E-3</v>
      </c>
      <c r="T13" s="133">
        <v>3.2285797761970828E-3</v>
      </c>
      <c r="U13" s="133">
        <v>8.5816108015473076E-3</v>
      </c>
      <c r="V13" s="133">
        <v>7.6765015707410175E-3</v>
      </c>
      <c r="W13" s="133">
        <v>1.7511624932406673E-2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1.0026389787600869</v>
      </c>
      <c r="D14" s="65">
        <v>1.8272246807808732</v>
      </c>
      <c r="E14" s="65">
        <v>3.3158777798519292</v>
      </c>
      <c r="F14" s="65">
        <v>1.9589529192246276</v>
      </c>
      <c r="G14" s="65">
        <v>1.4467997625272042</v>
      </c>
      <c r="H14" s="65">
        <v>1.3689078267327159</v>
      </c>
      <c r="I14" s="65">
        <v>0.96313578039039727</v>
      </c>
      <c r="J14" s="65">
        <v>0.39901124262447124</v>
      </c>
      <c r="K14" s="65">
        <v>0</v>
      </c>
      <c r="L14" s="65">
        <v>0</v>
      </c>
      <c r="M14" s="65">
        <v>0</v>
      </c>
      <c r="N14" s="65">
        <v>0.19612940818355851</v>
      </c>
      <c r="O14" s="65">
        <v>2.5235509360923003E-2</v>
      </c>
      <c r="P14" s="65">
        <v>0</v>
      </c>
      <c r="Q14" s="65">
        <v>2.2157832885229108E-2</v>
      </c>
      <c r="R14" s="65">
        <v>0.19846579879425794</v>
      </c>
      <c r="S14" s="65">
        <v>0.14631217347174091</v>
      </c>
      <c r="T14" s="65">
        <v>0.4969100920712492</v>
      </c>
      <c r="U14" s="65">
        <v>0.27167144926784648</v>
      </c>
      <c r="V14" s="65">
        <v>8.2036741824241421E-2</v>
      </c>
      <c r="W14" s="65">
        <v>5.3975701163318394E-2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5.5515491629442942E-2</v>
      </c>
      <c r="D15" s="135">
        <v>6.7932702263482442E-2</v>
      </c>
      <c r="E15" s="135">
        <v>8.5377085254586205E-2</v>
      </c>
      <c r="F15" s="135">
        <v>8.696568405162082E-2</v>
      </c>
      <c r="G15" s="135">
        <v>8.5885680434429762E-2</v>
      </c>
      <c r="H15" s="135">
        <v>6.7030820884112163E-2</v>
      </c>
      <c r="I15" s="135">
        <v>0.14773626109056656</v>
      </c>
      <c r="J15" s="135">
        <v>6.3965419163312345E-2</v>
      </c>
      <c r="K15" s="135">
        <v>5.675019516752893E-3</v>
      </c>
      <c r="L15" s="135">
        <v>1.7486449968296021E-2</v>
      </c>
      <c r="M15" s="135">
        <v>2.9943852894738776E-2</v>
      </c>
      <c r="N15" s="135">
        <v>1.7477712687932852E-2</v>
      </c>
      <c r="O15" s="135">
        <v>2.2155045470643887E-2</v>
      </c>
      <c r="P15" s="135">
        <v>2.2438931436826719E-2</v>
      </c>
      <c r="Q15" s="135">
        <v>1.4392573883349295E-2</v>
      </c>
      <c r="R15" s="135">
        <v>1.2570047358611374E-2</v>
      </c>
      <c r="S15" s="135">
        <v>1.4253317999717508E-2</v>
      </c>
      <c r="T15" s="135">
        <v>1.3363831635332812E-2</v>
      </c>
      <c r="U15" s="135">
        <v>1.1525224905399164E-2</v>
      </c>
      <c r="V15" s="135">
        <v>7.134020560712875E-3</v>
      </c>
      <c r="W15" s="135">
        <v>6.241167639034241E-3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0.21463396456623154</v>
      </c>
      <c r="D16" s="131">
        <f t="shared" si="4"/>
        <v>0.2471753862643398</v>
      </c>
      <c r="E16" s="131">
        <f t="shared" si="4"/>
        <v>0.22296755703551618</v>
      </c>
      <c r="F16" s="131">
        <f t="shared" si="4"/>
        <v>0.23113745283033763</v>
      </c>
      <c r="G16" s="131">
        <f t="shared" si="4"/>
        <v>0.24165707313697851</v>
      </c>
      <c r="H16" s="131">
        <f t="shared" si="4"/>
        <v>0.28629357526707977</v>
      </c>
      <c r="I16" s="131">
        <f t="shared" si="4"/>
        <v>0.30093385289076791</v>
      </c>
      <c r="J16" s="131">
        <f t="shared" si="4"/>
        <v>0.29496242560175862</v>
      </c>
      <c r="K16" s="131">
        <f t="shared" si="4"/>
        <v>8.5100971435854086E-2</v>
      </c>
      <c r="L16" s="131">
        <f t="shared" si="4"/>
        <v>0.24304279056416292</v>
      </c>
      <c r="M16" s="131">
        <f t="shared" si="4"/>
        <v>0.24555671954134647</v>
      </c>
      <c r="N16" s="131">
        <f t="shared" si="4"/>
        <v>0.24949281374288212</v>
      </c>
      <c r="O16" s="131">
        <f t="shared" si="4"/>
        <v>0.24498332580065149</v>
      </c>
      <c r="P16" s="131">
        <f t="shared" si="4"/>
        <v>0.28885676475694005</v>
      </c>
      <c r="Q16" s="131">
        <f t="shared" si="4"/>
        <v>0.22669641330787524</v>
      </c>
      <c r="R16" s="131">
        <f t="shared" ref="R16:W16" si="5">SUM(R17:R18)</f>
        <v>0.22159999486871404</v>
      </c>
      <c r="S16" s="131">
        <f t="shared" si="5"/>
        <v>0.23555922432133941</v>
      </c>
      <c r="T16" s="131">
        <f t="shared" si="5"/>
        <v>0.2247169339602815</v>
      </c>
      <c r="U16" s="131">
        <f t="shared" si="5"/>
        <v>0.18261047000999245</v>
      </c>
      <c r="V16" s="131">
        <f t="shared" si="5"/>
        <v>0.13698214602968617</v>
      </c>
      <c r="W16" s="131">
        <f t="shared" si="5"/>
        <v>0.12476851643632686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0.21463396456623154</v>
      </c>
      <c r="D18" s="133">
        <v>0.2471753862643398</v>
      </c>
      <c r="E18" s="133">
        <v>0.22296755703551618</v>
      </c>
      <c r="F18" s="133">
        <v>0.23113745283033763</v>
      </c>
      <c r="G18" s="133">
        <v>0.24165707313697851</v>
      </c>
      <c r="H18" s="133">
        <v>0.28629357526707977</v>
      </c>
      <c r="I18" s="133">
        <v>0.30093385289076791</v>
      </c>
      <c r="J18" s="133">
        <v>0.29496242560175862</v>
      </c>
      <c r="K18" s="133">
        <v>8.5100971435854086E-2</v>
      </c>
      <c r="L18" s="133">
        <v>0.24304279056416292</v>
      </c>
      <c r="M18" s="133">
        <v>0.24555671954134647</v>
      </c>
      <c r="N18" s="133">
        <v>0.24949281374288212</v>
      </c>
      <c r="O18" s="133">
        <v>0.24498332580065149</v>
      </c>
      <c r="P18" s="133">
        <v>0.28885676475694005</v>
      </c>
      <c r="Q18" s="133">
        <v>0.22669641330787524</v>
      </c>
      <c r="R18" s="133">
        <v>0.22159999486871404</v>
      </c>
      <c r="S18" s="133">
        <v>0.23555922432133941</v>
      </c>
      <c r="T18" s="133">
        <v>0.2247169339602815</v>
      </c>
      <c r="U18" s="133">
        <v>0.18261047000999245</v>
      </c>
      <c r="V18" s="133">
        <v>0.13698214602968617</v>
      </c>
      <c r="W18" s="133">
        <v>0.12476851643632686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1.4401538068712068</v>
      </c>
      <c r="D19" s="131">
        <f t="shared" si="6"/>
        <v>1.7034624106756242</v>
      </c>
      <c r="E19" s="131">
        <f t="shared" si="6"/>
        <v>2.4174301278936845</v>
      </c>
      <c r="F19" s="131">
        <f t="shared" si="6"/>
        <v>2.1230543770324335</v>
      </c>
      <c r="G19" s="131">
        <f t="shared" si="6"/>
        <v>2.4099925815173315</v>
      </c>
      <c r="H19" s="131">
        <f t="shared" si="6"/>
        <v>1.8162486575757706</v>
      </c>
      <c r="I19" s="131">
        <f t="shared" si="6"/>
        <v>4.4658072742369308</v>
      </c>
      <c r="J19" s="131">
        <f t="shared" si="6"/>
        <v>2.1808098330246217</v>
      </c>
      <c r="K19" s="131">
        <f t="shared" si="6"/>
        <v>0.18896597347806615</v>
      </c>
      <c r="L19" s="131">
        <f t="shared" si="6"/>
        <v>0.61132930832298371</v>
      </c>
      <c r="M19" s="131">
        <f t="shared" si="6"/>
        <v>1.156140673696068</v>
      </c>
      <c r="N19" s="131">
        <f t="shared" si="6"/>
        <v>0.66937575518046166</v>
      </c>
      <c r="O19" s="131">
        <f t="shared" si="6"/>
        <v>0.79085275259033927</v>
      </c>
      <c r="P19" s="131">
        <f t="shared" si="6"/>
        <v>0.97504496997777657</v>
      </c>
      <c r="Q19" s="131">
        <f t="shared" si="6"/>
        <v>0.56436739205463204</v>
      </c>
      <c r="R19" s="131">
        <f t="shared" ref="R19:W19" si="7">SUM(R20:R27)</f>
        <v>0.5967033811803677</v>
      </c>
      <c r="S19" s="131">
        <f t="shared" si="7"/>
        <v>0.64776062097247067</v>
      </c>
      <c r="T19" s="131">
        <f t="shared" si="7"/>
        <v>0.58893048044623519</v>
      </c>
      <c r="U19" s="131">
        <f t="shared" si="7"/>
        <v>0.49649861700221609</v>
      </c>
      <c r="V19" s="131">
        <f t="shared" si="7"/>
        <v>0.3482197635725367</v>
      </c>
      <c r="W19" s="131">
        <f t="shared" si="7"/>
        <v>0.30628974295777384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1.1438323771449353E-2</v>
      </c>
      <c r="K22" s="133">
        <v>1.7564046755793987E-3</v>
      </c>
      <c r="L22" s="133">
        <v>8.4725319506159559E-3</v>
      </c>
      <c r="M22" s="133">
        <v>1.6216395270582232E-2</v>
      </c>
      <c r="N22" s="133">
        <v>1.2579842176795527E-2</v>
      </c>
      <c r="O22" s="133">
        <v>1.6912981472026765E-2</v>
      </c>
      <c r="P22" s="133">
        <v>0</v>
      </c>
      <c r="Q22" s="133">
        <v>8.6047795905570389E-4</v>
      </c>
      <c r="R22" s="133">
        <v>0</v>
      </c>
      <c r="S22" s="133">
        <v>9.2635047036338436E-4</v>
      </c>
      <c r="T22" s="133">
        <v>5.1080970279982895E-4</v>
      </c>
      <c r="U22" s="133">
        <v>4.7799482250730479E-3</v>
      </c>
      <c r="V22" s="133">
        <v>6.1463958490196365E-3</v>
      </c>
      <c r="W22" s="133">
        <v>3.7476482558575584E-3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7.0139483499280217E-2</v>
      </c>
      <c r="D23" s="133">
        <v>0.12020740755957693</v>
      </c>
      <c r="E23" s="133">
        <v>0.14425521354389642</v>
      </c>
      <c r="F23" s="133">
        <v>0.19020810905643637</v>
      </c>
      <c r="G23" s="133">
        <v>0.22471592408664798</v>
      </c>
      <c r="H23" s="133">
        <v>0.26969919003384957</v>
      </c>
      <c r="I23" s="133">
        <v>0.64983898178574995</v>
      </c>
      <c r="J23" s="133">
        <v>0.34251728718663671</v>
      </c>
      <c r="K23" s="133">
        <v>2.748807298927133E-2</v>
      </c>
      <c r="L23" s="133">
        <v>3.9507714127668993E-2</v>
      </c>
      <c r="M23" s="133">
        <v>5.9937838418562359E-2</v>
      </c>
      <c r="N23" s="133">
        <v>3.3444437303285161E-2</v>
      </c>
      <c r="O23" s="133">
        <v>4.658912269547149E-2</v>
      </c>
      <c r="P23" s="133">
        <v>6.4638934209730464E-2</v>
      </c>
      <c r="Q23" s="133">
        <v>6.8334648419761446E-2</v>
      </c>
      <c r="R23" s="133">
        <v>8.073685062121988E-2</v>
      </c>
      <c r="S23" s="133">
        <v>7.6882015604307533E-2</v>
      </c>
      <c r="T23" s="133">
        <v>8.7125575256046917E-2</v>
      </c>
      <c r="U23" s="133">
        <v>7.6105013780801672E-2</v>
      </c>
      <c r="V23" s="133">
        <v>7.4241303232723405E-2</v>
      </c>
      <c r="W23" s="133">
        <v>3.7772220350268296E-2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5.8678878372105628E-2</v>
      </c>
      <c r="D24" s="133">
        <v>6.1266467777868608E-2</v>
      </c>
      <c r="E24" s="133">
        <v>8.5192390119128117E-2</v>
      </c>
      <c r="F24" s="133">
        <v>9.0269076845973989E-2</v>
      </c>
      <c r="G24" s="133">
        <v>9.6370488760202447E-2</v>
      </c>
      <c r="H24" s="133">
        <v>8.4694464055245666E-2</v>
      </c>
      <c r="I24" s="133">
        <v>0.11181504585180022</v>
      </c>
      <c r="J24" s="133">
        <v>7.816117602132136E-2</v>
      </c>
      <c r="K24" s="133">
        <v>1.0890434198396314E-2</v>
      </c>
      <c r="L24" s="133">
        <v>2.9978543442567937E-2</v>
      </c>
      <c r="M24" s="133">
        <v>5.1891635172033893E-2</v>
      </c>
      <c r="N24" s="133">
        <v>3.1473243866950371E-2</v>
      </c>
      <c r="O24" s="133">
        <v>3.5974317015432238E-2</v>
      </c>
      <c r="P24" s="133">
        <v>3.2744347290969256E-2</v>
      </c>
      <c r="Q24" s="133">
        <v>1.0277769915318065E-2</v>
      </c>
      <c r="R24" s="133">
        <v>3.1890624131200624E-3</v>
      </c>
      <c r="S24" s="133">
        <v>9.7703917988184496E-4</v>
      </c>
      <c r="T24" s="133">
        <v>1.3681130219323592E-2</v>
      </c>
      <c r="U24" s="133">
        <v>1.4045648810530043E-2</v>
      </c>
      <c r="V24" s="133">
        <v>1.5914473168011364E-2</v>
      </c>
      <c r="W24" s="133">
        <v>1.3312898246401039E-2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0.72422273974128182</v>
      </c>
      <c r="D25" s="133">
        <v>0.76822512826736344</v>
      </c>
      <c r="E25" s="133">
        <v>1.3746689760642354</v>
      </c>
      <c r="F25" s="133">
        <v>1.1953610247065085</v>
      </c>
      <c r="G25" s="133">
        <v>1.2924204485655066</v>
      </c>
      <c r="H25" s="133">
        <v>0.85317752966002136</v>
      </c>
      <c r="I25" s="133">
        <v>2.1268550040574294</v>
      </c>
      <c r="J25" s="133">
        <v>1.1371487082758838</v>
      </c>
      <c r="K25" s="133">
        <v>0.11593217633023657</v>
      </c>
      <c r="L25" s="133">
        <v>0.44227239003673707</v>
      </c>
      <c r="M25" s="133">
        <v>0.76319979775942459</v>
      </c>
      <c r="N25" s="133">
        <v>0.39343546159781301</v>
      </c>
      <c r="O25" s="133">
        <v>0.54890362788369362</v>
      </c>
      <c r="P25" s="133">
        <v>0.80658257166860436</v>
      </c>
      <c r="Q25" s="133">
        <v>0.48489449576049687</v>
      </c>
      <c r="R25" s="133">
        <v>0.41268942111261253</v>
      </c>
      <c r="S25" s="133">
        <v>0.39376331683062571</v>
      </c>
      <c r="T25" s="133">
        <v>0.26071052527265443</v>
      </c>
      <c r="U25" s="133">
        <v>0.20711320028539423</v>
      </c>
      <c r="V25" s="133">
        <v>0.13087237396747309</v>
      </c>
      <c r="W25" s="133">
        <v>0.15590626820788403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0.58711270525853898</v>
      </c>
      <c r="D26" s="65">
        <v>0.75376340707081513</v>
      </c>
      <c r="E26" s="65">
        <v>0.81331354816642454</v>
      </c>
      <c r="F26" s="65">
        <v>0.64721616642351465</v>
      </c>
      <c r="G26" s="65">
        <v>0.79648572010497432</v>
      </c>
      <c r="H26" s="65">
        <v>0.60867747382665405</v>
      </c>
      <c r="I26" s="65">
        <v>1.5772982425419511</v>
      </c>
      <c r="J26" s="65">
        <v>0.6115443377693307</v>
      </c>
      <c r="K26" s="65">
        <v>3.2898885284582555E-2</v>
      </c>
      <c r="L26" s="65">
        <v>9.1098128765393707E-2</v>
      </c>
      <c r="M26" s="65">
        <v>0.26489500707546498</v>
      </c>
      <c r="N26" s="65">
        <v>0.19844277023561765</v>
      </c>
      <c r="O26" s="65">
        <v>0.14247270352371516</v>
      </c>
      <c r="P26" s="65">
        <v>7.107911680847244E-2</v>
      </c>
      <c r="Q26" s="65">
        <v>0</v>
      </c>
      <c r="R26" s="65">
        <v>0.10008804703341524</v>
      </c>
      <c r="S26" s="65">
        <v>0.17521189888729227</v>
      </c>
      <c r="T26" s="65">
        <v>0.22690243999541049</v>
      </c>
      <c r="U26" s="65">
        <v>0.19445480590041711</v>
      </c>
      <c r="V26" s="65">
        <v>0.1210452173553092</v>
      </c>
      <c r="W26" s="65">
        <v>9.5550707897362933E-2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1.5181444129458423</v>
      </c>
      <c r="D29" s="131">
        <f t="shared" si="8"/>
        <v>1.7956769004365358</v>
      </c>
      <c r="E29" s="131">
        <f t="shared" si="8"/>
        <v>2.5004699451104164</v>
      </c>
      <c r="F29" s="131">
        <f t="shared" si="8"/>
        <v>2.0672320299859765</v>
      </c>
      <c r="G29" s="131">
        <f t="shared" si="8"/>
        <v>2.4462009953538555</v>
      </c>
      <c r="H29" s="131">
        <f t="shared" si="8"/>
        <v>1.7882845773915321</v>
      </c>
      <c r="I29" s="131">
        <f t="shared" si="8"/>
        <v>4.4099839971053836</v>
      </c>
      <c r="J29" s="131">
        <f t="shared" si="8"/>
        <v>2.1617372420973533</v>
      </c>
      <c r="K29" s="131">
        <f t="shared" si="8"/>
        <v>0.1798455399785176</v>
      </c>
      <c r="L29" s="131">
        <f t="shared" si="8"/>
        <v>0.54273742058239915</v>
      </c>
      <c r="M29" s="131">
        <f t="shared" si="8"/>
        <v>0.93575501907350112</v>
      </c>
      <c r="N29" s="131">
        <f t="shared" si="8"/>
        <v>0.56830325353480504</v>
      </c>
      <c r="O29" s="131">
        <f t="shared" si="8"/>
        <v>0.65977113861144709</v>
      </c>
      <c r="P29" s="131">
        <f t="shared" si="8"/>
        <v>0.86500816318428642</v>
      </c>
      <c r="Q29" s="131">
        <f t="shared" si="8"/>
        <v>0.49136938245583217</v>
      </c>
      <c r="R29" s="131">
        <f t="shared" ref="R29:W29" si="9">SUM(R30:R33)</f>
        <v>0.53215431289909487</v>
      </c>
      <c r="S29" s="131">
        <f t="shared" si="9"/>
        <v>0.53444616960129743</v>
      </c>
      <c r="T29" s="131">
        <f t="shared" si="9"/>
        <v>0.47894680263376488</v>
      </c>
      <c r="U29" s="131">
        <f t="shared" si="9"/>
        <v>0.4187521601702181</v>
      </c>
      <c r="V29" s="131">
        <f t="shared" si="9"/>
        <v>0.30373553872228387</v>
      </c>
      <c r="W29" s="131">
        <f t="shared" si="9"/>
        <v>0.2828654830347152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0.50886166762061302</v>
      </c>
      <c r="D31" s="133">
        <v>0.65881287929947219</v>
      </c>
      <c r="E31" s="133">
        <v>0.67782366721249365</v>
      </c>
      <c r="F31" s="133">
        <v>0.40035547768601215</v>
      </c>
      <c r="G31" s="133">
        <v>0.64952363090191478</v>
      </c>
      <c r="H31" s="133">
        <v>0.64388120307082253</v>
      </c>
      <c r="I31" s="133">
        <v>1.7198430059813192</v>
      </c>
      <c r="J31" s="133">
        <v>0.88862831972200473</v>
      </c>
      <c r="K31" s="133">
        <v>6.9589992374805898E-2</v>
      </c>
      <c r="L31" s="133">
        <v>7.826776278748411E-2</v>
      </c>
      <c r="M31" s="133">
        <v>0</v>
      </c>
      <c r="N31" s="133">
        <v>0</v>
      </c>
      <c r="O31" s="133">
        <v>1.0237996692547066E-2</v>
      </c>
      <c r="P31" s="133">
        <v>0.14259740761448181</v>
      </c>
      <c r="Q31" s="133">
        <v>0.17738728097243403</v>
      </c>
      <c r="R31" s="133">
        <v>0.18300386703578195</v>
      </c>
      <c r="S31" s="133">
        <v>0.12941703797069171</v>
      </c>
      <c r="T31" s="133">
        <v>6.5162964195071518E-2</v>
      </c>
      <c r="U31" s="133">
        <v>0</v>
      </c>
      <c r="V31" s="133">
        <v>0</v>
      </c>
      <c r="W31" s="133">
        <v>0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0.2823716358739724</v>
      </c>
      <c r="H32" s="133">
        <v>7.2146694359871893E-2</v>
      </c>
      <c r="I32" s="133">
        <v>7.4593801051473882E-2</v>
      </c>
      <c r="J32" s="133">
        <v>0.13578788021659921</v>
      </c>
      <c r="K32" s="133">
        <v>1.3819950391713448E-3</v>
      </c>
      <c r="L32" s="133">
        <v>3.148866506834451E-2</v>
      </c>
      <c r="M32" s="133">
        <v>0</v>
      </c>
      <c r="N32" s="133">
        <v>3.4096349551205741E-3</v>
      </c>
      <c r="O32" s="133">
        <v>2.2635249881471043E-3</v>
      </c>
      <c r="P32" s="133">
        <v>2.0330384543736472E-2</v>
      </c>
      <c r="Q32" s="133">
        <v>2.9813768958590225E-2</v>
      </c>
      <c r="R32" s="133">
        <v>3.8962398111792543E-2</v>
      </c>
      <c r="S32" s="133">
        <v>5.1444090627061692E-2</v>
      </c>
      <c r="T32" s="133">
        <v>3.8301403031122512E-2</v>
      </c>
      <c r="U32" s="133">
        <v>4.6906393017597102E-2</v>
      </c>
      <c r="V32" s="133">
        <v>3.3960967420211825E-2</v>
      </c>
      <c r="W32" s="133">
        <v>4.1223856571518176E-2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1.0092827453252293</v>
      </c>
      <c r="D33" s="68">
        <v>1.1368640211370635</v>
      </c>
      <c r="E33" s="68">
        <v>1.8226462778979227</v>
      </c>
      <c r="F33" s="68">
        <v>1.6668765522999642</v>
      </c>
      <c r="G33" s="68">
        <v>1.5143057285779684</v>
      </c>
      <c r="H33" s="68">
        <v>1.0722566799608377</v>
      </c>
      <c r="I33" s="68">
        <v>2.6155471900725908</v>
      </c>
      <c r="J33" s="68">
        <v>1.1373210421587496</v>
      </c>
      <c r="K33" s="68">
        <v>0.10887355256454037</v>
      </c>
      <c r="L33" s="68">
        <v>0.43298099272657053</v>
      </c>
      <c r="M33" s="68">
        <v>0.93575501907350112</v>
      </c>
      <c r="N33" s="68">
        <v>0.56489361857968445</v>
      </c>
      <c r="O33" s="68">
        <v>0.64726961693075291</v>
      </c>
      <c r="P33" s="68">
        <v>0.70208037102606813</v>
      </c>
      <c r="Q33" s="68">
        <v>0.28416833252480794</v>
      </c>
      <c r="R33" s="68">
        <v>0.31018804775152037</v>
      </c>
      <c r="S33" s="68">
        <v>0.3535850410035441</v>
      </c>
      <c r="T33" s="68">
        <v>0.37548243540757081</v>
      </c>
      <c r="U33" s="68">
        <v>0.37184576715262102</v>
      </c>
      <c r="V33" s="68">
        <v>0.26977457130207205</v>
      </c>
      <c r="W33" s="68">
        <v>0.24164162646319701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11.190527071675149</v>
      </c>
      <c r="D3" s="126">
        <f t="shared" si="0"/>
        <v>12.638259440169186</v>
      </c>
      <c r="E3" s="126">
        <f t="shared" si="0"/>
        <v>18.185353701340318</v>
      </c>
      <c r="F3" s="126">
        <f t="shared" si="0"/>
        <v>15.331604582905134</v>
      </c>
      <c r="G3" s="126">
        <f t="shared" si="0"/>
        <v>16.308639896225067</v>
      </c>
      <c r="H3" s="126">
        <f t="shared" si="0"/>
        <v>12.605243992860725</v>
      </c>
      <c r="I3" s="126">
        <f t="shared" si="0"/>
        <v>28.80577922454712</v>
      </c>
      <c r="J3" s="126">
        <f t="shared" si="0"/>
        <v>12.700747965021545</v>
      </c>
      <c r="K3" s="126">
        <f t="shared" si="0"/>
        <v>1.3049646416337286</v>
      </c>
      <c r="L3" s="126">
        <f t="shared" si="0"/>
        <v>4.2200826372589919</v>
      </c>
      <c r="M3" s="126">
        <f t="shared" si="0"/>
        <v>6.6340035068442456</v>
      </c>
      <c r="N3" s="126">
        <f t="shared" si="0"/>
        <v>4.398069873245543</v>
      </c>
      <c r="O3" s="126">
        <f t="shared" si="0"/>
        <v>4.8050141761766936</v>
      </c>
      <c r="P3" s="126">
        <f t="shared" si="0"/>
        <v>5.8258965064789408</v>
      </c>
      <c r="Q3" s="126">
        <f t="shared" si="0"/>
        <v>3.5755179956875187</v>
      </c>
      <c r="R3" s="126">
        <f t="shared" ref="R3:W3" si="1">SUM(R4,R16,R19,R29)</f>
        <v>3.761359608073064</v>
      </c>
      <c r="S3" s="126">
        <f t="shared" si="1"/>
        <v>4.2211050946352566</v>
      </c>
      <c r="T3" s="126">
        <f t="shared" si="1"/>
        <v>4.0045765452660982</v>
      </c>
      <c r="U3" s="126">
        <f t="shared" si="1"/>
        <v>3.2050685295977024</v>
      </c>
      <c r="V3" s="126">
        <f t="shared" si="1"/>
        <v>2.2919722121220727</v>
      </c>
      <c r="W3" s="126">
        <f t="shared" si="1"/>
        <v>2.1283260860243565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8.6139575447987653</v>
      </c>
      <c r="D4" s="131">
        <f t="shared" si="2"/>
        <v>9.5999824954577822</v>
      </c>
      <c r="E4" s="131">
        <f t="shared" si="2"/>
        <v>14.140375868512834</v>
      </c>
      <c r="F4" s="131">
        <f t="shared" si="2"/>
        <v>11.713850571194822</v>
      </c>
      <c r="G4" s="131">
        <f t="shared" si="2"/>
        <v>12.2463619393315</v>
      </c>
      <c r="H4" s="131">
        <f t="shared" si="2"/>
        <v>9.2553211866318978</v>
      </c>
      <c r="I4" s="131">
        <f t="shared" si="2"/>
        <v>21.762490086350358</v>
      </c>
      <c r="J4" s="131">
        <f t="shared" si="2"/>
        <v>8.751542466203432</v>
      </c>
      <c r="K4" s="131">
        <f t="shared" si="2"/>
        <v>0.75431149084321425</v>
      </c>
      <c r="L4" s="131">
        <f t="shared" si="2"/>
        <v>2.5166898029098679</v>
      </c>
      <c r="M4" s="131">
        <f t="shared" si="2"/>
        <v>4.1679461981898731</v>
      </c>
      <c r="N4" s="131">
        <f t="shared" si="2"/>
        <v>2.5146805303591115</v>
      </c>
      <c r="O4" s="131">
        <f t="shared" si="2"/>
        <v>2.7124877926397581</v>
      </c>
      <c r="P4" s="131">
        <f t="shared" si="2"/>
        <v>3.196466861372095</v>
      </c>
      <c r="Q4" s="131">
        <f t="shared" si="2"/>
        <v>1.7832646916002837</v>
      </c>
      <c r="R4" s="131">
        <f t="shared" ref="R4:W4" si="3">SUM(R5:R15)</f>
        <v>1.906793576616062</v>
      </c>
      <c r="S4" s="131">
        <f t="shared" si="3"/>
        <v>2.2193110886500111</v>
      </c>
      <c r="T4" s="131">
        <f t="shared" si="3"/>
        <v>2.1018555922329814</v>
      </c>
      <c r="U4" s="131">
        <f t="shared" si="3"/>
        <v>1.5875191686310584</v>
      </c>
      <c r="V4" s="131">
        <f t="shared" si="3"/>
        <v>1.092482537404966</v>
      </c>
      <c r="W4" s="131">
        <f t="shared" si="3"/>
        <v>1.0275799958096581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0.47861635506318734</v>
      </c>
      <c r="D5" s="133">
        <v>1.4470066353381645</v>
      </c>
      <c r="E5" s="133">
        <v>1.6002611661866446</v>
      </c>
      <c r="F5" s="133">
        <v>1.877287217088766</v>
      </c>
      <c r="G5" s="133">
        <v>2.4205326714066393</v>
      </c>
      <c r="H5" s="133">
        <v>1.7763000942473239</v>
      </c>
      <c r="I5" s="133">
        <v>1.5297300613596179</v>
      </c>
      <c r="J5" s="133">
        <v>0.80769308806814433</v>
      </c>
      <c r="K5" s="133">
        <v>0.17688883775176839</v>
      </c>
      <c r="L5" s="133">
        <v>0.43514049870293681</v>
      </c>
      <c r="M5" s="133">
        <v>0.6395255933044941</v>
      </c>
      <c r="N5" s="133">
        <v>0.25571334919575517</v>
      </c>
      <c r="O5" s="133">
        <v>0.30574827877528066</v>
      </c>
      <c r="P5" s="133">
        <v>1.9771299103655104E-2</v>
      </c>
      <c r="Q5" s="133">
        <v>0</v>
      </c>
      <c r="R5" s="133">
        <v>0.17956021691407334</v>
      </c>
      <c r="S5" s="133">
        <v>0.20035301351177667</v>
      </c>
      <c r="T5" s="133">
        <v>0.20274420702460771</v>
      </c>
      <c r="U5" s="133">
        <v>5.843230210123105E-2</v>
      </c>
      <c r="V5" s="133">
        <v>0</v>
      </c>
      <c r="W5" s="133">
        <v>3.5031356746576869E-2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0</v>
      </c>
      <c r="D7" s="133">
        <v>0</v>
      </c>
      <c r="E7" s="133">
        <v>0</v>
      </c>
      <c r="F7" s="133">
        <v>0</v>
      </c>
      <c r="G7" s="133">
        <v>0</v>
      </c>
      <c r="H7" s="133">
        <v>0</v>
      </c>
      <c r="I7" s="133">
        <v>0</v>
      </c>
      <c r="J7" s="133">
        <v>0.13413598302071994</v>
      </c>
      <c r="K7" s="133">
        <v>7.4923335307227031E-3</v>
      </c>
      <c r="L7" s="133">
        <v>3.9409469760920017E-2</v>
      </c>
      <c r="M7" s="133">
        <v>0.11964418088264066</v>
      </c>
      <c r="N7" s="133">
        <v>3.8489071378229767E-2</v>
      </c>
      <c r="O7" s="133">
        <v>4.6669510732612683E-2</v>
      </c>
      <c r="P7" s="133">
        <v>0</v>
      </c>
      <c r="Q7" s="133">
        <v>0</v>
      </c>
      <c r="R7" s="133">
        <v>0</v>
      </c>
      <c r="S7" s="133">
        <v>0</v>
      </c>
      <c r="T7" s="133">
        <v>0</v>
      </c>
      <c r="U7" s="133">
        <v>1.1356948816990096E-2</v>
      </c>
      <c r="V7" s="133">
        <v>1.2760483780911396E-2</v>
      </c>
      <c r="W7" s="133">
        <v>3.9987972171685038E-3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0.80624376570931544</v>
      </c>
      <c r="D9" s="133">
        <v>1.3788451089790861</v>
      </c>
      <c r="E9" s="133">
        <v>1.5348832019621634</v>
      </c>
      <c r="F9" s="133">
        <v>2.1451306724183556</v>
      </c>
      <c r="G9" s="133">
        <v>1.6263575169400157</v>
      </c>
      <c r="H9" s="133">
        <v>1.4857940832519014</v>
      </c>
      <c r="I9" s="133">
        <v>3.3413031105805602</v>
      </c>
      <c r="J9" s="133">
        <v>1.4034217947940879</v>
      </c>
      <c r="K9" s="133">
        <v>9.0536966937594138E-2</v>
      </c>
      <c r="L9" s="133">
        <v>0.28120569498491804</v>
      </c>
      <c r="M9" s="133">
        <v>0.48556014259125263</v>
      </c>
      <c r="N9" s="133">
        <v>0.40468770689974876</v>
      </c>
      <c r="O9" s="133">
        <v>0.6423101506800436</v>
      </c>
      <c r="P9" s="133">
        <v>0.72575334291917626</v>
      </c>
      <c r="Q9" s="133">
        <v>0.59181748729336747</v>
      </c>
      <c r="R9" s="133">
        <v>0.40774524914392896</v>
      </c>
      <c r="S9" s="133">
        <v>0.42556749781536746</v>
      </c>
      <c r="T9" s="133">
        <v>0.49431942313682042</v>
      </c>
      <c r="U9" s="133">
        <v>0.46942898876101263</v>
      </c>
      <c r="V9" s="133">
        <v>0.22798530235169273</v>
      </c>
      <c r="W9" s="133">
        <v>0.17866422985518138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0.56581722702605608</v>
      </c>
      <c r="D10" s="133">
        <v>0.29312875580989878</v>
      </c>
      <c r="E10" s="133">
        <v>0.16223807372088234</v>
      </c>
      <c r="F10" s="133">
        <v>0.23092874028472021</v>
      </c>
      <c r="G10" s="133">
        <v>0.45033188439624594</v>
      </c>
      <c r="H10" s="133">
        <v>0.52383864952279435</v>
      </c>
      <c r="I10" s="133">
        <v>1.0590719173387111</v>
      </c>
      <c r="J10" s="133">
        <v>0.91467954352064917</v>
      </c>
      <c r="K10" s="133">
        <v>0.10664107488168829</v>
      </c>
      <c r="L10" s="133">
        <v>0.23946339149369342</v>
      </c>
      <c r="M10" s="133">
        <v>0.58522806766292734</v>
      </c>
      <c r="N10" s="133">
        <v>0.31292905727220566</v>
      </c>
      <c r="O10" s="133">
        <v>0.40024806346715841</v>
      </c>
      <c r="P10" s="133">
        <v>0.26313519368371313</v>
      </c>
      <c r="Q10" s="133">
        <v>6.83644797715975E-2</v>
      </c>
      <c r="R10" s="133">
        <v>0</v>
      </c>
      <c r="S10" s="133">
        <v>0</v>
      </c>
      <c r="T10" s="133">
        <v>2.681890959076672E-3</v>
      </c>
      <c r="U10" s="133">
        <v>7.99143154118621E-2</v>
      </c>
      <c r="V10" s="133">
        <v>8.2537400843500044E-2</v>
      </c>
      <c r="W10" s="133">
        <v>7.3297429781994425E-2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6.0250061136163318</v>
      </c>
      <c r="D12" s="133">
        <v>5.1598256792838884</v>
      </c>
      <c r="E12" s="133">
        <v>8.4674150612617307</v>
      </c>
      <c r="F12" s="133">
        <v>6.0081376993346911</v>
      </c>
      <c r="G12" s="133">
        <v>6.6431686538156534</v>
      </c>
      <c r="H12" s="133">
        <v>4.4288064279840453</v>
      </c>
      <c r="I12" s="133">
        <v>14.980077392807896</v>
      </c>
      <c r="J12" s="133">
        <v>5.1146390112547673</v>
      </c>
      <c r="K12" s="133">
        <v>0.36351425368965701</v>
      </c>
      <c r="L12" s="133">
        <v>1.4936171462408809</v>
      </c>
      <c r="M12" s="133">
        <v>2.2655160423043363</v>
      </c>
      <c r="N12" s="133">
        <v>1.3011223384444279</v>
      </c>
      <c r="O12" s="133">
        <v>1.2178103659071313</v>
      </c>
      <c r="P12" s="133">
        <v>2.0299499754267085</v>
      </c>
      <c r="Q12" s="133">
        <v>1.0470665308212137</v>
      </c>
      <c r="R12" s="133">
        <v>1.1311986293075491</v>
      </c>
      <c r="S12" s="133">
        <v>1.4541397147504223</v>
      </c>
      <c r="T12" s="133">
        <v>0.95948339752963097</v>
      </c>
      <c r="U12" s="133">
        <v>0.69565171785616708</v>
      </c>
      <c r="V12" s="133">
        <v>0.6658785075046133</v>
      </c>
      <c r="W12" s="133">
        <v>0.62666137628150564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1.7822191341373371E-3</v>
      </c>
      <c r="D13" s="133">
        <v>4.1221575053684697E-3</v>
      </c>
      <c r="E13" s="133">
        <v>8.3359881665581413E-3</v>
      </c>
      <c r="F13" s="133">
        <v>8.384670426831815E-3</v>
      </c>
      <c r="G13" s="133">
        <v>1.1099493538488997E-2</v>
      </c>
      <c r="H13" s="133">
        <v>1.2370007114725514E-2</v>
      </c>
      <c r="I13" s="133">
        <v>2.3607791973781277E-2</v>
      </c>
      <c r="J13" s="133">
        <v>2.8868193199249086E-2</v>
      </c>
      <c r="K13" s="133">
        <v>3.5630045350308493E-3</v>
      </c>
      <c r="L13" s="133">
        <v>1.0367151758222727E-2</v>
      </c>
      <c r="M13" s="133">
        <v>4.2528318549483052E-2</v>
      </c>
      <c r="N13" s="133">
        <v>3.9021394371304058E-2</v>
      </c>
      <c r="O13" s="133">
        <v>5.8535571743767334E-2</v>
      </c>
      <c r="P13" s="133">
        <v>0.13541811880201546</v>
      </c>
      <c r="Q13" s="133">
        <v>4.4231035046333939E-2</v>
      </c>
      <c r="R13" s="133">
        <v>1.6462155235612501E-2</v>
      </c>
      <c r="S13" s="133">
        <v>4.6086085652543027E-3</v>
      </c>
      <c r="T13" s="133">
        <v>1.0147002290116272E-2</v>
      </c>
      <c r="U13" s="133">
        <v>2.7116855149778678E-2</v>
      </c>
      <c r="V13" s="133">
        <v>2.4414448910032124E-2</v>
      </c>
      <c r="W13" s="133">
        <v>5.6105286599986377E-2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0.68097637262029476</v>
      </c>
      <c r="D14" s="65">
        <v>1.2491214562778947</v>
      </c>
      <c r="E14" s="65">
        <v>2.2818652919602678</v>
      </c>
      <c r="F14" s="65">
        <v>1.3570158875898377</v>
      </c>
      <c r="G14" s="65">
        <v>1.0089860388000274</v>
      </c>
      <c r="H14" s="65">
        <v>0.96118110362699438</v>
      </c>
      <c r="I14" s="65">
        <v>0.68096355119922214</v>
      </c>
      <c r="J14" s="65">
        <v>0.28413943318250318</v>
      </c>
      <c r="K14" s="65">
        <v>0</v>
      </c>
      <c r="L14" s="65">
        <v>0</v>
      </c>
      <c r="M14" s="65">
        <v>0</v>
      </c>
      <c r="N14" s="65">
        <v>0.14523990010950741</v>
      </c>
      <c r="O14" s="65">
        <v>1.9010805863120143E-2</v>
      </c>
      <c r="P14" s="65">
        <v>0</v>
      </c>
      <c r="Q14" s="65">
        <v>1.7392584784421562E-2</v>
      </c>
      <c r="R14" s="65">
        <v>0.15925727865628669</v>
      </c>
      <c r="S14" s="65">
        <v>0.120388936007473</v>
      </c>
      <c r="T14" s="65">
        <v>0.41911583965739696</v>
      </c>
      <c r="U14" s="65">
        <v>0.2340928156286175</v>
      </c>
      <c r="V14" s="65">
        <v>7.1772373453503346E-2</v>
      </c>
      <c r="W14" s="65">
        <v>4.7580351688210697E-2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5.5515491629442942E-2</v>
      </c>
      <c r="D15" s="135">
        <v>6.7932702263482442E-2</v>
      </c>
      <c r="E15" s="135">
        <v>8.5377085254586205E-2</v>
      </c>
      <c r="F15" s="135">
        <v>8.696568405162082E-2</v>
      </c>
      <c r="G15" s="135">
        <v>8.5885680434429762E-2</v>
      </c>
      <c r="H15" s="135">
        <v>6.7030820884112163E-2</v>
      </c>
      <c r="I15" s="135">
        <v>0.14773626109056656</v>
      </c>
      <c r="J15" s="135">
        <v>6.3965419163312345E-2</v>
      </c>
      <c r="K15" s="135">
        <v>5.675019516752893E-3</v>
      </c>
      <c r="L15" s="135">
        <v>1.7486449968296021E-2</v>
      </c>
      <c r="M15" s="135">
        <v>2.9943852894738776E-2</v>
      </c>
      <c r="N15" s="135">
        <v>1.7477712687932852E-2</v>
      </c>
      <c r="O15" s="135">
        <v>2.2155045470643887E-2</v>
      </c>
      <c r="P15" s="135">
        <v>2.2438931436826719E-2</v>
      </c>
      <c r="Q15" s="135">
        <v>1.4392573883349295E-2</v>
      </c>
      <c r="R15" s="135">
        <v>1.2570047358611374E-2</v>
      </c>
      <c r="S15" s="135">
        <v>1.4253317999717508E-2</v>
      </c>
      <c r="T15" s="135">
        <v>1.3363831635332812E-2</v>
      </c>
      <c r="U15" s="135">
        <v>1.1525224905399164E-2</v>
      </c>
      <c r="V15" s="135">
        <v>7.134020560712875E-3</v>
      </c>
      <c r="W15" s="135">
        <v>6.241167639034241E-3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0.56707962781388677</v>
      </c>
      <c r="D16" s="131">
        <f t="shared" si="4"/>
        <v>0.67688302138979783</v>
      </c>
      <c r="E16" s="131">
        <f t="shared" si="4"/>
        <v>0.63231039727026672</v>
      </c>
      <c r="F16" s="131">
        <f t="shared" si="4"/>
        <v>0.67801916885665137</v>
      </c>
      <c r="G16" s="131">
        <f t="shared" si="4"/>
        <v>0.73266711071649915</v>
      </c>
      <c r="H16" s="131">
        <f t="shared" si="4"/>
        <v>0.89641694159891727</v>
      </c>
      <c r="I16" s="131">
        <f t="shared" si="4"/>
        <v>0.97243561300584802</v>
      </c>
      <c r="J16" s="131">
        <f t="shared" si="4"/>
        <v>0.98326097501604703</v>
      </c>
      <c r="K16" s="131">
        <f t="shared" si="4"/>
        <v>0.29259060018582123</v>
      </c>
      <c r="L16" s="131">
        <f t="shared" si="4"/>
        <v>0.86170825050278133</v>
      </c>
      <c r="M16" s="131">
        <f t="shared" si="4"/>
        <v>0.90210418394380254</v>
      </c>
      <c r="N16" s="131">
        <f t="shared" si="4"/>
        <v>0.95524176890337009</v>
      </c>
      <c r="O16" s="131">
        <f t="shared" si="4"/>
        <v>0.98332914685647455</v>
      </c>
      <c r="P16" s="131">
        <f t="shared" si="4"/>
        <v>1.2174237210958334</v>
      </c>
      <c r="Q16" s="131">
        <f t="shared" si="4"/>
        <v>0.99455408157527836</v>
      </c>
      <c r="R16" s="131">
        <f t="shared" ref="R16:W16" si="5">SUM(R17:R18)</f>
        <v>0.99618154501446488</v>
      </c>
      <c r="S16" s="131">
        <f t="shared" si="5"/>
        <v>1.0792284801131036</v>
      </c>
      <c r="T16" s="131">
        <f t="shared" si="5"/>
        <v>1.0457302729851241</v>
      </c>
      <c r="U16" s="131">
        <f t="shared" si="5"/>
        <v>0.86175309837332725</v>
      </c>
      <c r="V16" s="131">
        <f t="shared" si="5"/>
        <v>0.65558244100759377</v>
      </c>
      <c r="W16" s="131">
        <f t="shared" si="5"/>
        <v>0.60529118479776833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0.56707962781388677</v>
      </c>
      <c r="D18" s="133">
        <v>0.67688302138979783</v>
      </c>
      <c r="E18" s="133">
        <v>0.63231039727026672</v>
      </c>
      <c r="F18" s="133">
        <v>0.67801916885665137</v>
      </c>
      <c r="G18" s="133">
        <v>0.73266711071649915</v>
      </c>
      <c r="H18" s="133">
        <v>0.89641694159891727</v>
      </c>
      <c r="I18" s="133">
        <v>0.97243561300584802</v>
      </c>
      <c r="J18" s="133">
        <v>0.98326097501604703</v>
      </c>
      <c r="K18" s="133">
        <v>0.29259060018582123</v>
      </c>
      <c r="L18" s="133">
        <v>0.86170825050278133</v>
      </c>
      <c r="M18" s="133">
        <v>0.90210418394380254</v>
      </c>
      <c r="N18" s="133">
        <v>0.95524176890337009</v>
      </c>
      <c r="O18" s="133">
        <v>0.98332914685647455</v>
      </c>
      <c r="P18" s="133">
        <v>1.2174237210958334</v>
      </c>
      <c r="Q18" s="133">
        <v>0.99455408157527836</v>
      </c>
      <c r="R18" s="133">
        <v>0.99618154501446488</v>
      </c>
      <c r="S18" s="133">
        <v>1.0792284801131036</v>
      </c>
      <c r="T18" s="133">
        <v>1.0457302729851241</v>
      </c>
      <c r="U18" s="133">
        <v>0.86175309837332725</v>
      </c>
      <c r="V18" s="133">
        <v>0.65558244100759377</v>
      </c>
      <c r="W18" s="133">
        <v>0.60529118479776833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0.97252708897166595</v>
      </c>
      <c r="D19" s="131">
        <f t="shared" si="6"/>
        <v>1.142326690595489</v>
      </c>
      <c r="E19" s="131">
        <f t="shared" si="6"/>
        <v>1.6686869567447611</v>
      </c>
      <c r="F19" s="131">
        <f t="shared" si="6"/>
        <v>1.4661411541518161</v>
      </c>
      <c r="G19" s="131">
        <f t="shared" si="6"/>
        <v>1.6649923512860236</v>
      </c>
      <c r="H19" s="131">
        <f t="shared" si="6"/>
        <v>1.2396526459361432</v>
      </c>
      <c r="I19" s="131">
        <f t="shared" si="6"/>
        <v>3.0753112430263956</v>
      </c>
      <c r="J19" s="131">
        <f t="shared" si="6"/>
        <v>1.5209245711210126</v>
      </c>
      <c r="K19" s="131">
        <f t="shared" si="6"/>
        <v>0.13489871304344789</v>
      </c>
      <c r="L19" s="131">
        <f t="shared" si="6"/>
        <v>0.45010468458884079</v>
      </c>
      <c r="M19" s="131">
        <f t="shared" si="6"/>
        <v>0.8508651899522125</v>
      </c>
      <c r="N19" s="131">
        <f t="shared" si="6"/>
        <v>0.49345417760289229</v>
      </c>
      <c r="O19" s="131">
        <f t="shared" si="6"/>
        <v>0.60260347782240631</v>
      </c>
      <c r="P19" s="131">
        <f t="shared" si="6"/>
        <v>0.77156174294037161</v>
      </c>
      <c r="Q19" s="131">
        <f t="shared" si="6"/>
        <v>0.45463179488533989</v>
      </c>
      <c r="R19" s="131">
        <f t="shared" ref="R19:W19" si="7">SUM(R20:R27)</f>
        <v>0.48179139822606853</v>
      </c>
      <c r="S19" s="131">
        <f t="shared" si="7"/>
        <v>0.52881379541596751</v>
      </c>
      <c r="T19" s="131">
        <f t="shared" si="7"/>
        <v>0.48366416703437026</v>
      </c>
      <c r="U19" s="131">
        <f t="shared" si="7"/>
        <v>0.41309897315645383</v>
      </c>
      <c r="V19" s="131">
        <f t="shared" si="7"/>
        <v>0.29164317353202956</v>
      </c>
      <c r="W19" s="131">
        <f t="shared" si="7"/>
        <v>0.26076434164582329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5.8387285334716172E-3</v>
      </c>
      <c r="K22" s="133">
        <v>9.0568124928114453E-4</v>
      </c>
      <c r="L22" s="133">
        <v>4.4210376640532673E-3</v>
      </c>
      <c r="M22" s="133">
        <v>8.672062355221501E-3</v>
      </c>
      <c r="N22" s="133">
        <v>6.9992187385973046E-3</v>
      </c>
      <c r="O22" s="133">
        <v>9.9480413743997815E-3</v>
      </c>
      <c r="P22" s="133">
        <v>0</v>
      </c>
      <c r="Q22" s="133">
        <v>5.6974900244143858E-4</v>
      </c>
      <c r="R22" s="133">
        <v>0</v>
      </c>
      <c r="S22" s="133">
        <v>6.5656118401298145E-4</v>
      </c>
      <c r="T22" s="133">
        <v>3.726283554119585E-4</v>
      </c>
      <c r="U22" s="133">
        <v>3.5694556361838309E-3</v>
      </c>
      <c r="V22" s="133">
        <v>4.6668183340394147E-3</v>
      </c>
      <c r="W22" s="133">
        <v>2.8675767266493368E-3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3.7486656215200399E-2</v>
      </c>
      <c r="D23" s="133">
        <v>6.5047269335000962E-2</v>
      </c>
      <c r="E23" s="133">
        <v>7.9063419562703019E-2</v>
      </c>
      <c r="F23" s="133">
        <v>0.10558285200250868</v>
      </c>
      <c r="G23" s="133">
        <v>0.12637245905992889</v>
      </c>
      <c r="H23" s="133">
        <v>0.15369473247797644</v>
      </c>
      <c r="I23" s="133">
        <v>0.37539070783427064</v>
      </c>
      <c r="J23" s="133">
        <v>0.20069703405221065</v>
      </c>
      <c r="K23" s="133">
        <v>1.6352226056328099E-2</v>
      </c>
      <c r="L23" s="133">
        <v>2.3883149708879621E-2</v>
      </c>
      <c r="M23" s="133">
        <v>3.7106801114481371E-2</v>
      </c>
      <c r="N23" s="133">
        <v>2.1401004278762025E-2</v>
      </c>
      <c r="O23" s="133">
        <v>3.1117317454998385E-2</v>
      </c>
      <c r="P23" s="133">
        <v>4.5279973443729922E-2</v>
      </c>
      <c r="Q23" s="133">
        <v>4.9848242741733648E-2</v>
      </c>
      <c r="R23" s="133">
        <v>6.04330249822174E-2</v>
      </c>
      <c r="S23" s="133">
        <v>5.8883687511440207E-2</v>
      </c>
      <c r="T23" s="133">
        <v>6.8058680248075112E-2</v>
      </c>
      <c r="U23" s="133">
        <v>6.0411704697548953E-2</v>
      </c>
      <c r="V23" s="133">
        <v>5.9634976687195952E-2</v>
      </c>
      <c r="W23" s="133">
        <v>3.0525379771389066E-2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3.1507424398346764E-2</v>
      </c>
      <c r="D24" s="133">
        <v>3.3598913588550064E-2</v>
      </c>
      <c r="E24" s="133">
        <v>4.7705594144695808E-2</v>
      </c>
      <c r="F24" s="133">
        <v>5.1601526430202639E-2</v>
      </c>
      <c r="G24" s="133">
        <v>5.6222003700102885E-2</v>
      </c>
      <c r="H24" s="133">
        <v>5.041193761705734E-2</v>
      </c>
      <c r="I24" s="133">
        <v>6.7883384437920594E-2</v>
      </c>
      <c r="J24" s="133">
        <v>4.8382250705209164E-2</v>
      </c>
      <c r="K24" s="133">
        <v>6.8705319107013633E-3</v>
      </c>
      <c r="L24" s="133">
        <v>1.9266456989734192E-2</v>
      </c>
      <c r="M24" s="133">
        <v>3.3913240627144473E-2</v>
      </c>
      <c r="N24" s="133">
        <v>2.0867115727418548E-2</v>
      </c>
      <c r="O24" s="133">
        <v>2.4133032105060882E-2</v>
      </c>
      <c r="P24" s="133">
        <v>2.2190790127155829E-2</v>
      </c>
      <c r="Q24" s="133">
        <v>7.0491386322095173E-3</v>
      </c>
      <c r="R24" s="133">
        <v>2.2256488333279095E-3</v>
      </c>
      <c r="S24" s="133">
        <v>6.9505839186308075E-4</v>
      </c>
      <c r="T24" s="133">
        <v>9.9181334015319804E-3</v>
      </c>
      <c r="U24" s="133">
        <v>1.0357794628707836E-2</v>
      </c>
      <c r="V24" s="133">
        <v>1.1902527143064428E-2</v>
      </c>
      <c r="W24" s="133">
        <v>1.0068887978098486E-2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0.54088790243115326</v>
      </c>
      <c r="D25" s="133">
        <v>0.57601244705000365</v>
      </c>
      <c r="E25" s="133">
        <v>1.0348773742706607</v>
      </c>
      <c r="F25" s="133">
        <v>0.90351730804560382</v>
      </c>
      <c r="G25" s="133">
        <v>0.98089543439355165</v>
      </c>
      <c r="H25" s="133">
        <v>0.65023431735116055</v>
      </c>
      <c r="I25" s="133">
        <v>1.6278648138603498</v>
      </c>
      <c r="J25" s="133">
        <v>0.8742207537518969</v>
      </c>
      <c r="K25" s="133">
        <v>8.9543432976587789E-2</v>
      </c>
      <c r="L25" s="133">
        <v>0.34328476446942091</v>
      </c>
      <c r="M25" s="133">
        <v>0.59640576189606509</v>
      </c>
      <c r="N25" s="133">
        <v>0.31025711060044625</v>
      </c>
      <c r="O25" s="133">
        <v>0.43798214977768618</v>
      </c>
      <c r="P25" s="133">
        <v>0.65236855923761294</v>
      </c>
      <c r="Q25" s="133">
        <v>0.39716466450895527</v>
      </c>
      <c r="R25" s="133">
        <v>0.34127061552210192</v>
      </c>
      <c r="S25" s="133">
        <v>0.32863399019348338</v>
      </c>
      <c r="T25" s="133">
        <v>0.21951504970892505</v>
      </c>
      <c r="U25" s="133">
        <v>0.17585184774948126</v>
      </c>
      <c r="V25" s="133">
        <v>0.11199640912784209</v>
      </c>
      <c r="W25" s="133">
        <v>0.13438282316104061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0.36264510592696558</v>
      </c>
      <c r="D26" s="65">
        <v>0.46766806062193439</v>
      </c>
      <c r="E26" s="65">
        <v>0.50704056876670145</v>
      </c>
      <c r="F26" s="65">
        <v>0.40543946767350098</v>
      </c>
      <c r="G26" s="65">
        <v>0.50150245413244021</v>
      </c>
      <c r="H26" s="65">
        <v>0.38531165848994897</v>
      </c>
      <c r="I26" s="65">
        <v>1.0041723368938544</v>
      </c>
      <c r="J26" s="65">
        <v>0.39178580407822433</v>
      </c>
      <c r="K26" s="65">
        <v>2.1226840850549496E-2</v>
      </c>
      <c r="L26" s="65">
        <v>5.9249275756752789E-2</v>
      </c>
      <c r="M26" s="65">
        <v>0.17476732395930009</v>
      </c>
      <c r="N26" s="65">
        <v>0.13392972825766813</v>
      </c>
      <c r="O26" s="65">
        <v>9.9422937110261053E-2</v>
      </c>
      <c r="P26" s="65">
        <v>5.1722420131872934E-2</v>
      </c>
      <c r="Q26" s="65">
        <v>0</v>
      </c>
      <c r="R26" s="65">
        <v>7.7862108888421308E-2</v>
      </c>
      <c r="S26" s="65">
        <v>0.13994449813516791</v>
      </c>
      <c r="T26" s="65">
        <v>0.18579967532042613</v>
      </c>
      <c r="U26" s="65">
        <v>0.16290817044453193</v>
      </c>
      <c r="V26" s="65">
        <v>0.1034424422398877</v>
      </c>
      <c r="W26" s="65">
        <v>8.2919674008645805E-2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1.0369628100908308</v>
      </c>
      <c r="D29" s="131">
        <f t="shared" si="8"/>
        <v>1.2190672327261161</v>
      </c>
      <c r="E29" s="131">
        <f t="shared" si="8"/>
        <v>1.7439804788124569</v>
      </c>
      <c r="F29" s="131">
        <f t="shared" si="8"/>
        <v>1.4735936887018448</v>
      </c>
      <c r="G29" s="131">
        <f t="shared" si="8"/>
        <v>1.6646184948910456</v>
      </c>
      <c r="H29" s="131">
        <f t="shared" si="8"/>
        <v>1.2138532186937667</v>
      </c>
      <c r="I29" s="131">
        <f t="shared" si="8"/>
        <v>2.995542282164517</v>
      </c>
      <c r="J29" s="131">
        <f t="shared" si="8"/>
        <v>1.4450199526810519</v>
      </c>
      <c r="K29" s="131">
        <f t="shared" si="8"/>
        <v>0.12316383756124535</v>
      </c>
      <c r="L29" s="131">
        <f t="shared" si="8"/>
        <v>0.39157989925750225</v>
      </c>
      <c r="M29" s="131">
        <f t="shared" si="8"/>
        <v>0.71308793475835663</v>
      </c>
      <c r="N29" s="131">
        <f t="shared" si="8"/>
        <v>0.43469339638016896</v>
      </c>
      <c r="O29" s="131">
        <f t="shared" si="8"/>
        <v>0.50659375885805491</v>
      </c>
      <c r="P29" s="131">
        <f t="shared" si="8"/>
        <v>0.64044418107064061</v>
      </c>
      <c r="Q29" s="131">
        <f t="shared" si="8"/>
        <v>0.34306742762661657</v>
      </c>
      <c r="R29" s="131">
        <f t="shared" ref="R29:W29" si="9">SUM(R30:R33)</f>
        <v>0.37659308821646886</v>
      </c>
      <c r="S29" s="131">
        <f t="shared" si="9"/>
        <v>0.39375173045617484</v>
      </c>
      <c r="T29" s="131">
        <f t="shared" si="9"/>
        <v>0.37332651301362207</v>
      </c>
      <c r="U29" s="131">
        <f t="shared" si="9"/>
        <v>0.34269728943686339</v>
      </c>
      <c r="V29" s="131">
        <f t="shared" si="9"/>
        <v>0.25226406017748343</v>
      </c>
      <c r="W29" s="131">
        <f t="shared" si="9"/>
        <v>0.23469056377110678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0.28756047624731745</v>
      </c>
      <c r="D31" s="133">
        <v>0.37311832123988742</v>
      </c>
      <c r="E31" s="133">
        <v>0.38471643447860332</v>
      </c>
      <c r="F31" s="133">
        <v>0.22772223974362552</v>
      </c>
      <c r="G31" s="133">
        <v>0.3702337168544772</v>
      </c>
      <c r="H31" s="133">
        <v>0.3677859566133978</v>
      </c>
      <c r="I31" s="133">
        <v>0.98439893133900958</v>
      </c>
      <c r="J31" s="133">
        <v>0.50964706849179398</v>
      </c>
      <c r="K31" s="133">
        <v>3.9987896729318621E-2</v>
      </c>
      <c r="L31" s="133">
        <v>4.5056788825797361E-2</v>
      </c>
      <c r="M31" s="133">
        <v>0</v>
      </c>
      <c r="N31" s="133">
        <v>0</v>
      </c>
      <c r="O31" s="133">
        <v>5.899562504860725E-3</v>
      </c>
      <c r="P31" s="133">
        <v>8.2170598850178397E-2</v>
      </c>
      <c r="Q31" s="133">
        <v>0.10221798102611129</v>
      </c>
      <c r="R31" s="133">
        <v>0.10610998537286251</v>
      </c>
      <c r="S31" s="133">
        <v>7.5797083105864207E-2</v>
      </c>
      <c r="T31" s="133">
        <v>3.8609981045559648E-2</v>
      </c>
      <c r="U31" s="133">
        <v>0</v>
      </c>
      <c r="V31" s="133">
        <v>0</v>
      </c>
      <c r="W31" s="133">
        <v>0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0.15994588581788347</v>
      </c>
      <c r="H32" s="133">
        <v>4.0892884344938658E-2</v>
      </c>
      <c r="I32" s="133">
        <v>4.2306684514828649E-2</v>
      </c>
      <c r="J32" s="133">
        <v>7.7060995460791995E-2</v>
      </c>
      <c r="K32" s="133">
        <v>7.8476044150453856E-4</v>
      </c>
      <c r="L32" s="133">
        <v>1.7890843700734127E-2</v>
      </c>
      <c r="M32" s="133">
        <v>0</v>
      </c>
      <c r="N32" s="133">
        <v>1.9378348172027378E-3</v>
      </c>
      <c r="O32" s="133">
        <v>1.2864537082048892E-3</v>
      </c>
      <c r="P32" s="133">
        <v>1.1554587964558143E-2</v>
      </c>
      <c r="Q32" s="133">
        <v>1.694438269212057E-2</v>
      </c>
      <c r="R32" s="133">
        <v>2.2186532740463605E-2</v>
      </c>
      <c r="S32" s="133">
        <v>2.938603784855949E-2</v>
      </c>
      <c r="T32" s="133">
        <v>2.1958546477890892E-2</v>
      </c>
      <c r="U32" s="133">
        <v>2.699322638317567E-2</v>
      </c>
      <c r="V32" s="133">
        <v>1.9611846243908961E-2</v>
      </c>
      <c r="W32" s="133">
        <v>2.3882827409425038E-2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0.74940233384351329</v>
      </c>
      <c r="D33" s="68">
        <v>0.84594891148622875</v>
      </c>
      <c r="E33" s="68">
        <v>1.3592640443338535</v>
      </c>
      <c r="F33" s="68">
        <v>1.2458714489582192</v>
      </c>
      <c r="G33" s="68">
        <v>1.134438892218685</v>
      </c>
      <c r="H33" s="68">
        <v>0.80517437773543021</v>
      </c>
      <c r="I33" s="68">
        <v>1.9688366663106789</v>
      </c>
      <c r="J33" s="68">
        <v>0.85831188872846587</v>
      </c>
      <c r="K33" s="68">
        <v>8.2391180390422203E-2</v>
      </c>
      <c r="L33" s="68">
        <v>0.32863226673097079</v>
      </c>
      <c r="M33" s="68">
        <v>0.71308793475835663</v>
      </c>
      <c r="N33" s="68">
        <v>0.43275556156296624</v>
      </c>
      <c r="O33" s="68">
        <v>0.49940774264498933</v>
      </c>
      <c r="P33" s="68">
        <v>0.54671899425590409</v>
      </c>
      <c r="Q33" s="68">
        <v>0.22390506390838472</v>
      </c>
      <c r="R33" s="68">
        <v>0.24829657010314274</v>
      </c>
      <c r="S33" s="68">
        <v>0.28856860950175112</v>
      </c>
      <c r="T33" s="68">
        <v>0.31275798549017153</v>
      </c>
      <c r="U33" s="68">
        <v>0.3157040630536877</v>
      </c>
      <c r="V33" s="68">
        <v>0.23265221393357446</v>
      </c>
      <c r="W33" s="68">
        <v>0.21080773636168174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0.71270732896563815</v>
      </c>
      <c r="D3" s="127">
        <f>IF(SER_hh_tes_in!D3=0,"",SER_hh_tes_in!D3/SER_hh_fec_in!D3)</f>
        <v>0.69879705288443839</v>
      </c>
      <c r="E3" s="127">
        <f>IF(SER_hh_tes_in!E3=0,"",SER_hh_tes_in!E3/SER_hh_fec_in!E3)</f>
        <v>0.71135321322435652</v>
      </c>
      <c r="F3" s="127">
        <f>IF(SER_hh_tes_in!F3=0,"",SER_hh_tes_in!F3/SER_hh_fec_in!F3)</f>
        <v>0.70328855566333093</v>
      </c>
      <c r="G3" s="127">
        <f>IF(SER_hh_tes_in!G3=0,"",SER_hh_tes_in!G3/SER_hh_fec_in!G3)</f>
        <v>0.70494637062235022</v>
      </c>
      <c r="H3" s="127">
        <f>IF(SER_hh_tes_in!H3=0,"",SER_hh_tes_in!H3/SER_hh_fec_in!H3)</f>
        <v>0.7144283684166941</v>
      </c>
      <c r="I3" s="127">
        <f>IF(SER_hh_tes_in!I3=0,"",SER_hh_tes_in!I3/SER_hh_fec_in!I3)</f>
        <v>0.71894652257669078</v>
      </c>
      <c r="J3" s="127">
        <f>IF(SER_hh_tes_in!J3=0,"",SER_hh_tes_in!J3/SER_hh_fec_in!J3)</f>
        <v>0.72768440603448559</v>
      </c>
      <c r="K3" s="127">
        <f>IF(SER_hh_tes_in!K3=0,"",SER_hh_tes_in!K3/SER_hh_fec_in!K3)</f>
        <v>0.82265602028797324</v>
      </c>
      <c r="L3" s="127">
        <f>IF(SER_hh_tes_in!L3=0,"",SER_hh_tes_in!L3/SER_hh_fec_in!L3)</f>
        <v>0.8391320742734304</v>
      </c>
      <c r="M3" s="127">
        <f>IF(SER_hh_tes_in!M3=0,"",SER_hh_tes_in!M3/SER_hh_fec_in!M3)</f>
        <v>0.7877396577819481</v>
      </c>
      <c r="N3" s="127">
        <f>IF(SER_hh_tes_in!N3=0,"",SER_hh_tes_in!N3/SER_hh_fec_in!N3)</f>
        <v>0.86616281705460574</v>
      </c>
      <c r="O3" s="127">
        <f>IF(SER_hh_tes_in!O3=0,"",SER_hh_tes_in!O3/SER_hh_fec_in!O3)</f>
        <v>0.85715240585551755</v>
      </c>
      <c r="P3" s="127">
        <f>IF(SER_hh_tes_in!P3=0,"",SER_hh_tes_in!P3/SER_hh_fec_in!P3)</f>
        <v>0.91778818026566056</v>
      </c>
      <c r="Q3" s="127">
        <f>IF(SER_hh_tes_in!Q3=0,"",SER_hh_tes_in!Q3/SER_hh_fec_in!Q3)</f>
        <v>0.98856788958738506</v>
      </c>
      <c r="R3" s="127">
        <f>IF(SER_hh_tes_in!R3=0,"",SER_hh_tes_in!R3/SER_hh_fec_in!R3)</f>
        <v>0.9906523386195375</v>
      </c>
      <c r="S3" s="127">
        <f>IF(SER_hh_tes_in!S3=0,"",SER_hh_tes_in!S3/SER_hh_fec_in!S3)</f>
        <v>0.99685414201425615</v>
      </c>
      <c r="T3" s="127">
        <f>IF(SER_hh_tes_in!T3=0,"",SER_hh_tes_in!T3/SER_hh_fec_in!T3)</f>
        <v>1.0138202955786471</v>
      </c>
      <c r="U3" s="127">
        <f>IF(SER_hh_tes_in!U3=0,"",SER_hh_tes_in!U3/SER_hh_fec_in!U3)</f>
        <v>1.0231935924431959</v>
      </c>
      <c r="V3" s="127">
        <f>IF(SER_hh_tes_in!V3=0,"",SER_hh_tes_in!V3/SER_hh_fec_in!V3)</f>
        <v>1.055527302600562</v>
      </c>
      <c r="W3" s="127">
        <f>IF(SER_hh_tes_in!W3=0,"",SER_hh_tes_in!W3/SER_hh_fec_in!W3)</f>
        <v>1.0785477169224704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0.68754889342899483</v>
      </c>
      <c r="D4" s="136">
        <f>IF(SER_hh_tes_in!D4=0,"",SER_hh_tes_in!D4/SER_hh_fec_in!D4)</f>
        <v>0.66948183518191096</v>
      </c>
      <c r="E4" s="136">
        <f>IF(SER_hh_tes_in!E4=0,"",SER_hh_tes_in!E4/SER_hh_fec_in!E4)</f>
        <v>0.69235531574062681</v>
      </c>
      <c r="F4" s="136">
        <f>IF(SER_hh_tes_in!F4=0,"",SER_hh_tes_in!F4/SER_hh_fec_in!F4)</f>
        <v>0.6740444576197423</v>
      </c>
      <c r="G4" s="136">
        <f>IF(SER_hh_tes_in!G4=0,"",SER_hh_tes_in!G4/SER_hh_fec_in!G4)</f>
        <v>0.67896790347080826</v>
      </c>
      <c r="H4" s="136">
        <f>IF(SER_hh_tes_in!H4=0,"",SER_hh_tes_in!H4/SER_hh_fec_in!H4)</f>
        <v>0.67296787774078881</v>
      </c>
      <c r="I4" s="136">
        <f>IF(SER_hh_tes_in!I4=0,"",SER_hh_tes_in!I4/SER_hh_fec_in!I4)</f>
        <v>0.70451740005446351</v>
      </c>
      <c r="J4" s="136">
        <f>IF(SER_hh_tes_in!J4=0,"",SER_hh_tes_in!J4/SER_hh_fec_in!J4)</f>
        <v>0.68285326424137427</v>
      </c>
      <c r="K4" s="136">
        <f>IF(SER_hh_tes_in!K4=0,"",SER_hh_tes_in!K4/SER_hh_fec_in!K4)</f>
        <v>0.66613531645034052</v>
      </c>
      <c r="L4" s="136">
        <f>IF(SER_hh_tes_in!L4=0,"",SER_hh_tes_in!L4/SER_hh_fec_in!L4)</f>
        <v>0.69292221651841202</v>
      </c>
      <c r="M4" s="136">
        <f>IF(SER_hh_tes_in!M4=0,"",SER_hh_tes_in!M4/SER_hh_fec_in!M4)</f>
        <v>0.68505369093627944</v>
      </c>
      <c r="N4" s="136">
        <f>IF(SER_hh_tes_in!N4=0,"",SER_hh_tes_in!N4/SER_hh_fec_in!N4)</f>
        <v>0.70037522160377719</v>
      </c>
      <c r="O4" s="136">
        <f>IF(SER_hh_tes_in!O4=0,"",SER_hh_tes_in!O4/SER_hh_fec_in!O4)</f>
        <v>0.69369892175574244</v>
      </c>
      <c r="P4" s="136">
        <f>IF(SER_hh_tes_in!P4=0,"",SER_hh_tes_in!P4/SER_hh_fec_in!P4)</f>
        <v>0.75766356338171981</v>
      </c>
      <c r="Q4" s="136">
        <f>IF(SER_hh_tes_in!Q4=0,"",SER_hh_tes_in!Q4/SER_hh_fec_in!Q4)</f>
        <v>0.76389620968308924</v>
      </c>
      <c r="R4" s="136">
        <f>IF(SER_hh_tes_in!R4=0,"",SER_hh_tes_in!R4/SER_hh_fec_in!R4)</f>
        <v>0.7794304142955033</v>
      </c>
      <c r="S4" s="136">
        <f>IF(SER_hh_tes_in!S4=0,"",SER_hh_tes_in!S4/SER_hh_fec_in!S4)</f>
        <v>0.78792296634174697</v>
      </c>
      <c r="T4" s="136">
        <f>IF(SER_hh_tes_in!T4=0,"",SER_hh_tes_in!T4/SER_hh_fec_in!T4)</f>
        <v>0.79094665681950549</v>
      </c>
      <c r="U4" s="136">
        <f>IF(SER_hh_tes_in!U4=0,"",SER_hh_tes_in!U4/SER_hh_fec_in!U4)</f>
        <v>0.78027821436855338</v>
      </c>
      <c r="V4" s="136">
        <f>IF(SER_hh_tes_in!V4=0,"",SER_hh_tes_in!V4/SER_hh_fec_in!V4)</f>
        <v>0.79024373278054039</v>
      </c>
      <c r="W4" s="136">
        <f>IF(SER_hh_tes_in!W4=0,"",SER_hh_tes_in!W4/SER_hh_fec_in!W4)</f>
        <v>0.81592685357410233</v>
      </c>
      <c r="DA4" s="163" t="s">
        <v>662</v>
      </c>
    </row>
    <row r="5" spans="1:105" ht="12" customHeight="1" x14ac:dyDescent="0.25">
      <c r="A5" s="132" t="s">
        <v>29</v>
      </c>
      <c r="B5" s="137"/>
      <c r="C5" s="137">
        <f>IF(SER_hh_tes_in!C5=0,"",SER_hh_tes_in!C5/SER_hh_fec_in!C5)</f>
        <v>0.5625306547279656</v>
      </c>
      <c r="D5" s="137">
        <f>IF(SER_hh_tes_in!D5=0,"",SER_hh_tes_in!D5/SER_hh_fec_in!D5)</f>
        <v>0.57059920426278943</v>
      </c>
      <c r="E5" s="137">
        <f>IF(SER_hh_tes_in!E5=0,"",SER_hh_tes_in!E5/SER_hh_fec_in!E5)</f>
        <v>0.57865122659283541</v>
      </c>
      <c r="F5" s="137">
        <f>IF(SER_hh_tes_in!F5=0,"",SER_hh_tes_in!F5/SER_hh_fec_in!F5)</f>
        <v>0.58670099521313923</v>
      </c>
      <c r="G5" s="137">
        <f>IF(SER_hh_tes_in!G5=0,"",SER_hh_tes_in!G5/SER_hh_fec_in!G5)</f>
        <v>0.59473554324995781</v>
      </c>
      <c r="H5" s="137">
        <f>IF(SER_hh_tes_in!H5=0,"",SER_hh_tes_in!H5/SER_hh_fec_in!H5)</f>
        <v>0.60275645768356001</v>
      </c>
      <c r="I5" s="137">
        <f>IF(SER_hh_tes_in!I5=0,"",SER_hh_tes_in!I5/SER_hh_fec_in!I5)</f>
        <v>0.6107605434758776</v>
      </c>
      <c r="J5" s="137">
        <f>IF(SER_hh_tes_in!J5=0,"",SER_hh_tes_in!J5/SER_hh_fec_in!J5)</f>
        <v>0.61873471168368932</v>
      </c>
      <c r="K5" s="137">
        <f>IF(SER_hh_tes_in!K5=0,"",SER_hh_tes_in!K5/SER_hh_fec_in!K5)</f>
        <v>0.62666783326245201</v>
      </c>
      <c r="L5" s="137">
        <f>IF(SER_hh_tes_in!L5=0,"",SER_hh_tes_in!L5/SER_hh_fec_in!L5)</f>
        <v>0.63455693073648345</v>
      </c>
      <c r="M5" s="137">
        <f>IF(SER_hh_tes_in!M5=0,"",SER_hh_tes_in!M5/SER_hh_fec_in!M5)</f>
        <v>0.64201987433431196</v>
      </c>
      <c r="N5" s="137">
        <f>IF(SER_hh_tes_in!N5=0,"",SER_hh_tes_in!N5/SER_hh_fec_in!N5)</f>
        <v>0.64892667692836858</v>
      </c>
      <c r="O5" s="137">
        <f>IF(SER_hh_tes_in!O5=0,"",SER_hh_tes_in!O5/SER_hh_fec_in!O5)</f>
        <v>0.65528743935181755</v>
      </c>
      <c r="P5" s="137">
        <f>IF(SER_hh_tes_in!P5=0,"",SER_hh_tes_in!P5/SER_hh_fec_in!P5)</f>
        <v>0.66155381766071675</v>
      </c>
      <c r="Q5" s="137" t="str">
        <f>IF(SER_hh_tes_in!Q5=0,"",SER_hh_tes_in!Q5/SER_hh_fec_in!Q5)</f>
        <v/>
      </c>
      <c r="R5" s="137">
        <f>IF(SER_hh_tes_in!R5=0,"",SER_hh_tes_in!R5/SER_hh_fec_in!R5)</f>
        <v>0.6794312026465571</v>
      </c>
      <c r="S5" s="137">
        <f>IF(SER_hh_tes_in!S5=0,"",SER_hh_tes_in!S5/SER_hh_fec_in!S5)</f>
        <v>0.69147736990111464</v>
      </c>
      <c r="T5" s="137">
        <f>IF(SER_hh_tes_in!T5=0,"",SER_hh_tes_in!T5/SER_hh_fec_in!T5)</f>
        <v>0.7040752700070152</v>
      </c>
      <c r="U5" s="137">
        <f>IF(SER_hh_tes_in!U5=0,"",SER_hh_tes_in!U5/SER_hh_fec_in!U5)</f>
        <v>0.71612143726156496</v>
      </c>
      <c r="V5" s="137" t="str">
        <f>IF(SER_hh_tes_in!V5=0,"",SER_hh_tes_in!V5/SER_hh_fec_in!V5)</f>
        <v/>
      </c>
      <c r="W5" s="137">
        <f>IF(SER_hh_tes_in!W5=0,"",SER_hh_tes_in!W5/SER_hh_fec_in!W5)</f>
        <v>0.73480283120604173</v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 t="str">
        <f>IF(SER_hh_tes_in!C7=0,"",SER_hh_tes_in!C7/SER_hh_fec_in!C7)</f>
        <v/>
      </c>
      <c r="D7" s="137" t="str">
        <f>IF(SER_hh_tes_in!D7=0,"",SER_hh_tes_in!D7/SER_hh_fec_in!D7)</f>
        <v/>
      </c>
      <c r="E7" s="137" t="str">
        <f>IF(SER_hh_tes_in!E7=0,"",SER_hh_tes_in!E7/SER_hh_fec_in!E7)</f>
        <v/>
      </c>
      <c r="F7" s="137" t="str">
        <f>IF(SER_hh_tes_in!F7=0,"",SER_hh_tes_in!F7/SER_hh_fec_in!F7)</f>
        <v/>
      </c>
      <c r="G7" s="137" t="str">
        <f>IF(SER_hh_tes_in!G7=0,"",SER_hh_tes_in!G7/SER_hh_fec_in!G7)</f>
        <v/>
      </c>
      <c r="H7" s="137" t="str">
        <f>IF(SER_hh_tes_in!H7=0,"",SER_hh_tes_in!H7/SER_hh_fec_in!H7)</f>
        <v/>
      </c>
      <c r="I7" s="137" t="str">
        <f>IF(SER_hh_tes_in!I7=0,"",SER_hh_tes_in!I7/SER_hh_fec_in!I7)</f>
        <v/>
      </c>
      <c r="J7" s="137">
        <f>IF(SER_hh_tes_in!J7=0,"",SER_hh_tes_in!J7/SER_hh_fec_in!J7)</f>
        <v>0.53131395637051193</v>
      </c>
      <c r="K7" s="137">
        <f>IF(SER_hh_tes_in!K7=0,"",SER_hh_tes_in!K7/SER_hh_fec_in!K7)</f>
        <v>0.53933198354284517</v>
      </c>
      <c r="L7" s="137">
        <f>IF(SER_hh_tes_in!L7=0,"",SER_hh_tes_in!L7/SER_hh_fec_in!L7)</f>
        <v>0.54796695109139093</v>
      </c>
      <c r="M7" s="137">
        <f>IF(SER_hh_tes_in!M7=0,"",SER_hh_tes_in!M7/SER_hh_fec_in!M7)</f>
        <v>0.56180889138018908</v>
      </c>
      <c r="N7" s="137">
        <f>IF(SER_hh_tes_in!N7=0,"",SER_hh_tes_in!N7/SER_hh_fec_in!N7)</f>
        <v>0.58219616481150283</v>
      </c>
      <c r="O7" s="137">
        <f>IF(SER_hh_tes_in!O7=0,"",SER_hh_tes_in!O7/SER_hh_fec_in!O7)</f>
        <v>0.6098861855455584</v>
      </c>
      <c r="P7" s="137" t="str">
        <f>IF(SER_hh_tes_in!P7=0,"",SER_hh_tes_in!P7/SER_hh_fec_in!P7)</f>
        <v/>
      </c>
      <c r="Q7" s="137" t="str">
        <f>IF(SER_hh_tes_in!Q7=0,"",SER_hh_tes_in!Q7/SER_hh_fec_in!Q7)</f>
        <v/>
      </c>
      <c r="R7" s="137" t="str">
        <f>IF(SER_hh_tes_in!R7=0,"",SER_hh_tes_in!R7/SER_hh_fec_in!R7)</f>
        <v/>
      </c>
      <c r="S7" s="137" t="str">
        <f>IF(SER_hh_tes_in!S7=0,"",SER_hh_tes_in!S7/SER_hh_fec_in!S7)</f>
        <v/>
      </c>
      <c r="T7" s="137" t="str">
        <f>IF(SER_hh_tes_in!T7=0,"",SER_hh_tes_in!T7/SER_hh_fec_in!T7)</f>
        <v/>
      </c>
      <c r="U7" s="137">
        <f>IF(SER_hh_tes_in!U7=0,"",SER_hh_tes_in!U7/SER_hh_fec_in!U7)</f>
        <v>0.70192455520460295</v>
      </c>
      <c r="V7" s="137">
        <f>IF(SER_hh_tes_in!V7=0,"",SER_hh_tes_in!V7/SER_hh_fec_in!V7)</f>
        <v>0.70647640809873091</v>
      </c>
      <c r="W7" s="137">
        <f>IF(SER_hh_tes_in!W7=0,"",SER_hh_tes_in!W7/SER_hh_fec_in!W7)</f>
        <v>0.70941809868113936</v>
      </c>
      <c r="DA7" s="164" t="s">
        <v>665</v>
      </c>
    </row>
    <row r="8" spans="1:105" ht="12" customHeight="1" x14ac:dyDescent="0.25">
      <c r="A8" s="132" t="s">
        <v>73</v>
      </c>
      <c r="B8" s="137"/>
      <c r="C8" s="137" t="str">
        <f>IF(SER_hh_tes_in!C8=0,"",SER_hh_tes_in!C8/SER_hh_fec_in!C8)</f>
        <v/>
      </c>
      <c r="D8" s="137" t="str">
        <f>IF(SER_hh_tes_in!D8=0,"",SER_hh_tes_in!D8/SER_hh_fec_in!D8)</f>
        <v/>
      </c>
      <c r="E8" s="137" t="str">
        <f>IF(SER_hh_tes_in!E8=0,"",SER_hh_tes_in!E8/SER_hh_fec_in!E8)</f>
        <v/>
      </c>
      <c r="F8" s="137" t="str">
        <f>IF(SER_hh_tes_in!F8=0,"",SER_hh_tes_in!F8/SER_hh_fec_in!F8)</f>
        <v/>
      </c>
      <c r="G8" s="137" t="str">
        <f>IF(SER_hh_tes_in!G8=0,"",SER_hh_tes_in!G8/SER_hh_fec_in!G8)</f>
        <v/>
      </c>
      <c r="H8" s="137" t="str">
        <f>IF(SER_hh_tes_in!H8=0,"",SER_hh_tes_in!H8/SER_hh_fec_in!H8)</f>
        <v/>
      </c>
      <c r="I8" s="137" t="str">
        <f>IF(SER_hh_tes_in!I8=0,"",SER_hh_tes_in!I8/SER_hh_fec_in!I8)</f>
        <v/>
      </c>
      <c r="J8" s="137" t="str">
        <f>IF(SER_hh_tes_in!J8=0,"",SER_hh_tes_in!J8/SER_hh_fec_in!J8)</f>
        <v/>
      </c>
      <c r="K8" s="137" t="str">
        <f>IF(SER_hh_tes_in!K8=0,"",SER_hh_tes_in!K8/SER_hh_fec_in!K8)</f>
        <v/>
      </c>
      <c r="L8" s="137" t="str">
        <f>IF(SER_hh_tes_in!L8=0,"",SER_hh_tes_in!L8/SER_hh_fec_in!L8)</f>
        <v/>
      </c>
      <c r="M8" s="137" t="str">
        <f>IF(SER_hh_tes_in!M8=0,"",SER_hh_tes_in!M8/SER_hh_fec_in!M8)</f>
        <v/>
      </c>
      <c r="N8" s="137" t="str">
        <f>IF(SER_hh_tes_in!N8=0,"",SER_hh_tes_in!N8/SER_hh_fec_in!N8)</f>
        <v/>
      </c>
      <c r="O8" s="137" t="str">
        <f>IF(SER_hh_tes_in!O8=0,"",SER_hh_tes_in!O8/SER_hh_fec_in!O8)</f>
        <v/>
      </c>
      <c r="P8" s="137" t="str">
        <f>IF(SER_hh_tes_in!P8=0,"",SER_hh_tes_in!P8/SER_hh_fec_in!P8)</f>
        <v/>
      </c>
      <c r="Q8" s="137" t="str">
        <f>IF(SER_hh_tes_in!Q8=0,"",SER_hh_tes_in!Q8/SER_hh_fec_in!Q8)</f>
        <v/>
      </c>
      <c r="R8" s="137" t="str">
        <f>IF(SER_hh_tes_in!R8=0,"",SER_hh_tes_in!R8/SER_hh_fec_in!R8)</f>
        <v/>
      </c>
      <c r="S8" s="137" t="str">
        <f>IF(SER_hh_tes_in!S8=0,"",SER_hh_tes_in!S8/SER_hh_fec_in!S8)</f>
        <v/>
      </c>
      <c r="T8" s="137" t="str">
        <f>IF(SER_hh_tes_in!T8=0,"",SER_hh_tes_in!T8/SER_hh_fec_in!T8)</f>
        <v/>
      </c>
      <c r="U8" s="137" t="str">
        <f>IF(SER_hh_tes_in!U8=0,"",SER_hh_tes_in!U8/SER_hh_fec_in!U8)</f>
        <v/>
      </c>
      <c r="V8" s="137" t="str">
        <f>IF(SER_hh_tes_in!V8=0,"",SER_hh_tes_in!V8/SER_hh_fec_in!V8)</f>
        <v/>
      </c>
      <c r="W8" s="137" t="str">
        <f>IF(SER_hh_tes_in!W8=0,"",SER_hh_tes_in!W8/SER_hh_fec_in!W8)</f>
        <v/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0.55256083162513314</v>
      </c>
      <c r="D9" s="137">
        <f>IF(SER_hh_tes_in!D9=0,"",SER_hh_tes_in!D9/SER_hh_fec_in!D9)</f>
        <v>0.55974423786377125</v>
      </c>
      <c r="E9" s="137">
        <f>IF(SER_hh_tes_in!E9=0,"",SER_hh_tes_in!E9/SER_hh_fec_in!E9)</f>
        <v>0.56692997879901397</v>
      </c>
      <c r="F9" s="137">
        <f>IF(SER_hh_tes_in!F9=0,"",SER_hh_tes_in!F9/SER_hh_fec_in!F9)</f>
        <v>0.57402704652405256</v>
      </c>
      <c r="G9" s="137">
        <f>IF(SER_hh_tes_in!G9=0,"",SER_hh_tes_in!G9/SER_hh_fec_in!G9)</f>
        <v>0.58111937801521862</v>
      </c>
      <c r="H9" s="137">
        <f>IF(SER_hh_tes_in!H9=0,"",SER_hh_tes_in!H9/SER_hh_fec_in!H9)</f>
        <v>0.58819757067790823</v>
      </c>
      <c r="I9" s="137">
        <f>IF(SER_hh_tes_in!I9=0,"",SER_hh_tes_in!I9/SER_hh_fec_in!I9)</f>
        <v>0.59528318703371641</v>
      </c>
      <c r="J9" s="137">
        <f>IF(SER_hh_tes_in!J9=0,"",SER_hh_tes_in!J9/SER_hh_fec_in!J9)</f>
        <v>0.60246254653563847</v>
      </c>
      <c r="K9" s="137">
        <f>IF(SER_hh_tes_in!K9=0,"",SER_hh_tes_in!K9/SER_hh_fec_in!K9)</f>
        <v>0.60981014107955134</v>
      </c>
      <c r="L9" s="137">
        <f>IF(SER_hh_tes_in!L9=0,"",SER_hh_tes_in!L9/SER_hh_fec_in!L9)</f>
        <v>0.61734782338795635</v>
      </c>
      <c r="M9" s="137">
        <f>IF(SER_hh_tes_in!M9=0,"",SER_hh_tes_in!M9/SER_hh_fec_in!M9)</f>
        <v>0.62698281460169014</v>
      </c>
      <c r="N9" s="137">
        <f>IF(SER_hh_tes_in!N9=0,"",SER_hh_tes_in!N9/SER_hh_fec_in!N9)</f>
        <v>0.6393466047832479</v>
      </c>
      <c r="O9" s="137">
        <f>IF(SER_hh_tes_in!O9=0,"",SER_hh_tes_in!O9/SER_hh_fec_in!O9)</f>
        <v>0.654804236590949</v>
      </c>
      <c r="P9" s="137">
        <f>IF(SER_hh_tes_in!P9=0,"",SER_hh_tes_in!P9/SER_hh_fec_in!P9)</f>
        <v>0.67197168698745491</v>
      </c>
      <c r="Q9" s="137">
        <f>IF(SER_hh_tes_in!Q9=0,"",SER_hh_tes_in!Q9/SER_hh_fec_in!Q9)</f>
        <v>0.68652864788797963</v>
      </c>
      <c r="R9" s="137">
        <f>IF(SER_hh_tes_in!R9=0,"",SER_hh_tes_in!R9/SER_hh_fec_in!R9)</f>
        <v>0.69480240499002655</v>
      </c>
      <c r="S9" s="137">
        <f>IF(SER_hh_tes_in!S9=0,"",SER_hh_tes_in!S9/SER_hh_fec_in!S9)</f>
        <v>0.70118927748445237</v>
      </c>
      <c r="T9" s="137">
        <f>IF(SER_hh_tes_in!T9=0,"",SER_hh_tes_in!T9/SER_hh_fec_in!T9)</f>
        <v>0.70627890330849796</v>
      </c>
      <c r="U9" s="137">
        <f>IF(SER_hh_tes_in!U9=0,"",SER_hh_tes_in!U9/SER_hh_fec_in!U9)</f>
        <v>0.71051672481472883</v>
      </c>
      <c r="V9" s="137">
        <f>IF(SER_hh_tes_in!V9=0,"",SER_hh_tes_in!V9/SER_hh_fec_in!V9)</f>
        <v>0.71419571077459676</v>
      </c>
      <c r="W9" s="137">
        <f>IF(SER_hh_tes_in!W9=0,"",SER_hh_tes_in!W9/SER_hh_fec_in!W9)</f>
        <v>0.71674095582469155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0.50712600211061365</v>
      </c>
      <c r="D10" s="137">
        <f>IF(SER_hh_tes_in!D10=0,"",SER_hh_tes_in!D10/SER_hh_fec_in!D10)</f>
        <v>0.50738029442985799</v>
      </c>
      <c r="E10" s="137">
        <f>IF(SER_hh_tes_in!E10=0,"",SER_hh_tes_in!E10/SER_hh_fec_in!E10)</f>
        <v>0.50763700417299318</v>
      </c>
      <c r="F10" s="137">
        <f>IF(SER_hh_tes_in!F10=0,"",SER_hh_tes_in!F10/SER_hh_fec_in!F10)</f>
        <v>0.50789588456521317</v>
      </c>
      <c r="G10" s="137">
        <f>IF(SER_hh_tes_in!G10=0,"",SER_hh_tes_in!G10/SER_hh_fec_in!G10)</f>
        <v>0.50815669029809174</v>
      </c>
      <c r="H10" s="137">
        <f>IF(SER_hh_tes_in!H10=0,"",SER_hh_tes_in!H10/SER_hh_fec_in!H10)</f>
        <v>0.5084191291057103</v>
      </c>
      <c r="I10" s="137">
        <f>IF(SER_hh_tes_in!I10=0,"",SER_hh_tes_in!I10/SER_hh_fec_in!I10)</f>
        <v>0.50868281667911619</v>
      </c>
      <c r="J10" s="137">
        <f>IF(SER_hh_tes_in!J10=0,"",SER_hh_tes_in!J10/SER_hh_fec_in!J10)</f>
        <v>0.50894692438912303</v>
      </c>
      <c r="K10" s="137">
        <f>IF(SER_hh_tes_in!K10=0,"",SER_hh_tes_in!K10/SER_hh_fec_in!K10)</f>
        <v>0.50921035609952281</v>
      </c>
      <c r="L10" s="137">
        <f>IF(SER_hh_tes_in!L10=0,"",SER_hh_tes_in!L10/SER_hh_fec_in!L10)</f>
        <v>0.5094721389247</v>
      </c>
      <c r="M10" s="137">
        <f>IF(SER_hh_tes_in!M10=0,"",SER_hh_tes_in!M10/SER_hh_fec_in!M10)</f>
        <v>0.50971323053377227</v>
      </c>
      <c r="N10" s="137">
        <f>IF(SER_hh_tes_in!N10=0,"",SER_hh_tes_in!N10/SER_hh_fec_in!N10)</f>
        <v>0.50992340856658458</v>
      </c>
      <c r="O10" s="137">
        <f>IF(SER_hh_tes_in!O10=0,"",SER_hh_tes_in!O10/SER_hh_fec_in!O10)</f>
        <v>0.51009714291146391</v>
      </c>
      <c r="P10" s="137">
        <f>IF(SER_hh_tes_in!P10=0,"",SER_hh_tes_in!P10/SER_hh_fec_in!P10)</f>
        <v>0.51024931827028441</v>
      </c>
      <c r="Q10" s="137">
        <f>IF(SER_hh_tes_in!Q10=0,"",SER_hh_tes_in!Q10/SER_hh_fec_in!Q10)</f>
        <v>0.51043048637714372</v>
      </c>
      <c r="R10" s="137" t="str">
        <f>IF(SER_hh_tes_in!R10=0,"",SER_hh_tes_in!R10/SER_hh_fec_in!R10)</f>
        <v/>
      </c>
      <c r="S10" s="137" t="str">
        <f>IF(SER_hh_tes_in!S10=0,"",SER_hh_tes_in!S10/SER_hh_fec_in!S10)</f>
        <v/>
      </c>
      <c r="T10" s="137">
        <f>IF(SER_hh_tes_in!T10=0,"",SER_hh_tes_in!T10/SER_hh_fec_in!T10)</f>
        <v>0.5112978409354989</v>
      </c>
      <c r="U10" s="137">
        <f>IF(SER_hh_tes_in!U10=0,"",SER_hh_tes_in!U10/SER_hh_fec_in!U10)</f>
        <v>0.51157495506434814</v>
      </c>
      <c r="V10" s="137">
        <f>IF(SER_hh_tes_in!V10=0,"",SER_hh_tes_in!V10/SER_hh_fec_in!V10)</f>
        <v>0.51180723949002183</v>
      </c>
      <c r="W10" s="137">
        <f>IF(SER_hh_tes_in!W10=0,"",SER_hh_tes_in!W10/SER_hh_fec_in!W10)</f>
        <v>0.51199408014908054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 t="str">
        <f>IF(SER_hh_tes_in!K11=0,"",SER_hh_tes_in!K11/SER_hh_fec_in!K11)</f>
        <v/>
      </c>
      <c r="L11" s="137" t="str">
        <f>IF(SER_hh_tes_in!L11=0,"",SER_hh_tes_in!L11/SER_hh_fec_in!L11)</f>
        <v/>
      </c>
      <c r="M11" s="137" t="str">
        <f>IF(SER_hh_tes_in!M11=0,"",SER_hh_tes_in!M11/SER_hh_fec_in!M11)</f>
        <v/>
      </c>
      <c r="N11" s="137" t="str">
        <f>IF(SER_hh_tes_in!N11=0,"",SER_hh_tes_in!N11/SER_hh_fec_in!N11)</f>
        <v/>
      </c>
      <c r="O11" s="137" t="str">
        <f>IF(SER_hh_tes_in!O11=0,"",SER_hh_tes_in!O11/SER_hh_fec_in!O11)</f>
        <v/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0.74907051285031812</v>
      </c>
      <c r="D12" s="137">
        <f>IF(SER_hh_tes_in!D12=0,"",SER_hh_tes_in!D12/SER_hh_fec_in!D12)</f>
        <v>0.7516907221386111</v>
      </c>
      <c r="E12" s="137">
        <f>IF(SER_hh_tes_in!E12=0,"",SER_hh_tes_in!E12/SER_hh_fec_in!E12)</f>
        <v>0.75438167024178648</v>
      </c>
      <c r="F12" s="137">
        <f>IF(SER_hh_tes_in!F12=0,"",SER_hh_tes_in!F12/SER_hh_fec_in!F12)</f>
        <v>0.75708226454699112</v>
      </c>
      <c r="G12" s="137">
        <f>IF(SER_hh_tes_in!G12=0,"",SER_hh_tes_in!G12/SER_hh_fec_in!G12)</f>
        <v>0.75984800513991324</v>
      </c>
      <c r="H12" s="137">
        <f>IF(SER_hh_tes_in!H12=0,"",SER_hh_tes_in!H12/SER_hh_fec_in!H12)</f>
        <v>0.76267209951662052</v>
      </c>
      <c r="I12" s="137">
        <f>IF(SER_hh_tes_in!I12=0,"",SER_hh_tes_in!I12/SER_hh_fec_in!I12)</f>
        <v>0.76556822289984805</v>
      </c>
      <c r="J12" s="137">
        <f>IF(SER_hh_tes_in!J12=0,"",SER_hh_tes_in!J12/SER_hh_fec_in!J12)</f>
        <v>0.76859239785022315</v>
      </c>
      <c r="K12" s="137">
        <f>IF(SER_hh_tes_in!K12=0,"",SER_hh_tes_in!K12/SER_hh_fec_in!K12)</f>
        <v>0.77179225827996378</v>
      </c>
      <c r="L12" s="137">
        <f>IF(SER_hh_tes_in!L12=0,"",SER_hh_tes_in!L12/SER_hh_fec_in!L12)</f>
        <v>0.77518054821348026</v>
      </c>
      <c r="M12" s="137">
        <f>IF(SER_hh_tes_in!M12=0,"",SER_hh_tes_in!M12/SER_hh_fec_in!M12)</f>
        <v>0.77987205862389009</v>
      </c>
      <c r="N12" s="137">
        <f>IF(SER_hh_tes_in!N12=0,"",SER_hh_tes_in!N12/SER_hh_fec_in!N12)</f>
        <v>0.78621925844987717</v>
      </c>
      <c r="O12" s="137">
        <f>IF(SER_hh_tes_in!O12=0,"",SER_hh_tes_in!O12/SER_hh_fec_in!O12)</f>
        <v>0.79453112954623339</v>
      </c>
      <c r="P12" s="137">
        <f>IF(SER_hh_tes_in!P12=0,"",SER_hh_tes_in!P12/SER_hh_fec_in!P12)</f>
        <v>0.8042198112805452</v>
      </c>
      <c r="Q12" s="137">
        <f>IF(SER_hh_tes_in!Q12=0,"",SER_hh_tes_in!Q12/SER_hh_fec_in!Q12)</f>
        <v>0.813360860198727</v>
      </c>
      <c r="R12" s="137">
        <f>IF(SER_hh_tes_in!R12=0,"",SER_hh_tes_in!R12/SER_hh_fec_in!R12)</f>
        <v>0.8203653408942928</v>
      </c>
      <c r="S12" s="137">
        <f>IF(SER_hh_tes_in!S12=0,"",SER_hh_tes_in!S12/SER_hh_fec_in!S12)</f>
        <v>0.8271795296839155</v>
      </c>
      <c r="T12" s="137">
        <f>IF(SER_hh_tes_in!T12=0,"",SER_hh_tes_in!T12/SER_hh_fec_in!T12)</f>
        <v>0.83375789707986037</v>
      </c>
      <c r="U12" s="137">
        <f>IF(SER_hh_tes_in!U12=0,"",SER_hh_tes_in!U12/SER_hh_fec_in!U12)</f>
        <v>0.84005491359441398</v>
      </c>
      <c r="V12" s="137">
        <f>IF(SER_hh_tes_in!V12=0,"",SER_hh_tes_in!V12/SER_hh_fec_in!V12)</f>
        <v>0.84602504973985426</v>
      </c>
      <c r="W12" s="137">
        <f>IF(SER_hh_tes_in!W12=0,"",SER_hh_tes_in!W12/SER_hh_fec_in!W12)</f>
        <v>0.85152469584466073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1.2976912674455088</v>
      </c>
      <c r="D13" s="137">
        <f>IF(SER_hh_tes_in!D13=0,"",SER_hh_tes_in!D13/SER_hh_fec_in!D13)</f>
        <v>1.3971038056785183</v>
      </c>
      <c r="E13" s="137">
        <f>IF(SER_hh_tes_in!E13=0,"",SER_hh_tes_in!E13/SER_hh_fec_in!E13)</f>
        <v>1.4993635355757204</v>
      </c>
      <c r="F13" s="137">
        <f>IF(SER_hh_tes_in!F13=0,"",SER_hh_tes_in!F13/SER_hh_fec_in!F13)</f>
        <v>1.6040453790670235</v>
      </c>
      <c r="G13" s="137">
        <f>IF(SER_hh_tes_in!G13=0,"",SER_hh_tes_in!G13/SER_hh_fec_in!G13)</f>
        <v>1.7115024863076247</v>
      </c>
      <c r="H13" s="137">
        <f>IF(SER_hh_tes_in!H13=0,"",SER_hh_tes_in!H13/SER_hh_fec_in!H13)</f>
        <v>1.821668221432216</v>
      </c>
      <c r="I13" s="137">
        <f>IF(SER_hh_tes_in!I13=0,"",SER_hh_tes_in!I13/SER_hh_fec_in!I13)</f>
        <v>1.9346052120178399</v>
      </c>
      <c r="J13" s="137">
        <f>IF(SER_hh_tes_in!J13=0,"",SER_hh_tes_in!J13/SER_hh_fec_in!J13)</f>
        <v>2.0506243397801711</v>
      </c>
      <c r="K13" s="137">
        <f>IF(SER_hh_tes_in!K13=0,"",SER_hh_tes_in!K13/SER_hh_fec_in!K13)</f>
        <v>2.169955680984831</v>
      </c>
      <c r="L13" s="137">
        <f>IF(SER_hh_tes_in!L13=0,"",SER_hh_tes_in!L13/SER_hh_fec_in!L13)</f>
        <v>2.292598744461432</v>
      </c>
      <c r="M13" s="137">
        <f>IF(SER_hh_tes_in!M13=0,"",SER_hh_tes_in!M13/SER_hh_fec_in!M13)</f>
        <v>2.4274544555252602</v>
      </c>
      <c r="N13" s="137">
        <f>IF(SER_hh_tes_in!N13=0,"",SER_hh_tes_in!N13/SER_hh_fec_in!N13)</f>
        <v>2.5767839304719571</v>
      </c>
      <c r="O13" s="137">
        <f>IF(SER_hh_tes_in!O13=0,"",SER_hh_tes_in!O13/SER_hh_fec_in!O13)</f>
        <v>2.7390782521148758</v>
      </c>
      <c r="P13" s="137">
        <f>IF(SER_hh_tes_in!P13=0,"",SER_hh_tes_in!P13/SER_hh_fec_in!P13)</f>
        <v>2.9019811795550847</v>
      </c>
      <c r="Q13" s="137">
        <f>IF(SER_hh_tes_in!Q13=0,"",SER_hh_tes_in!Q13/SER_hh_fec_in!Q13)</f>
        <v>3.0355187885657822</v>
      </c>
      <c r="R13" s="137">
        <f>IF(SER_hh_tes_in!R13=0,"",SER_hh_tes_in!R13/SER_hh_fec_in!R13)</f>
        <v>3.0881691566960936</v>
      </c>
      <c r="S13" s="137">
        <f>IF(SER_hh_tes_in!S13=0,"",SER_hh_tes_in!S13/SER_hh_fec_in!S13)</f>
        <v>3.1214947732608871</v>
      </c>
      <c r="T13" s="137">
        <f>IF(SER_hh_tes_in!T13=0,"",SER_hh_tes_in!T13/SER_hh_fec_in!T13)</f>
        <v>3.1428686894856108</v>
      </c>
      <c r="U13" s="137">
        <f>IF(SER_hh_tes_in!U13=0,"",SER_hh_tes_in!U13/SER_hh_fec_in!U13)</f>
        <v>3.1598793952400372</v>
      </c>
      <c r="V13" s="137">
        <f>IF(SER_hh_tes_in!V13=0,"",SER_hh_tes_in!V13/SER_hh_fec_in!V13)</f>
        <v>3.1804134585326977</v>
      </c>
      <c r="W13" s="137">
        <f>IF(SER_hh_tes_in!W13=0,"",SER_hh_tes_in!W13/SER_hh_fec_in!W13)</f>
        <v>3.2038880924270496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0.67918402041622594</v>
      </c>
      <c r="D14" s="138">
        <f>IF(SER_hh_tes_in!D14=0,"",SER_hh_tes_in!D14/SER_hh_fec_in!D14)</f>
        <v>0.68361678200629206</v>
      </c>
      <c r="E14" s="138">
        <f>IF(SER_hh_tes_in!E14=0,"",SER_hh_tes_in!E14/SER_hh_fec_in!E14)</f>
        <v>0.68816326881088019</v>
      </c>
      <c r="F14" s="138">
        <f>IF(SER_hh_tes_in!F14=0,"",SER_hh_tes_in!F14/SER_hh_fec_in!F14)</f>
        <v>0.69272511568422879</v>
      </c>
      <c r="G14" s="138">
        <f>IF(SER_hh_tes_in!G14=0,"",SER_hh_tes_in!G14/SER_hh_fec_in!G14)</f>
        <v>0.69739162594108828</v>
      </c>
      <c r="H14" s="138">
        <f>IF(SER_hh_tes_in!H14=0,"",SER_hh_tes_in!H14/SER_hh_fec_in!H14)</f>
        <v>0.70215180661295784</v>
      </c>
      <c r="I14" s="138">
        <f>IF(SER_hh_tes_in!I14=0,"",SER_hh_tes_in!I14/SER_hh_fec_in!I14)</f>
        <v>0.70702757084073908</v>
      </c>
      <c r="J14" s="138">
        <f>IF(SER_hh_tes_in!J14=0,"",SER_hh_tes_in!J14/SER_hh_fec_in!J14)</f>
        <v>0.71210884012589215</v>
      </c>
      <c r="K14" s="138" t="str">
        <f>IF(SER_hh_tes_in!K14=0,"",SER_hh_tes_in!K14/SER_hh_fec_in!K14)</f>
        <v/>
      </c>
      <c r="L14" s="138" t="str">
        <f>IF(SER_hh_tes_in!L14=0,"",SER_hh_tes_in!L14/SER_hh_fec_in!L14)</f>
        <v/>
      </c>
      <c r="M14" s="138" t="str">
        <f>IF(SER_hh_tes_in!M14=0,"",SER_hh_tes_in!M14/SER_hh_fec_in!M14)</f>
        <v/>
      </c>
      <c r="N14" s="138">
        <f>IF(SER_hh_tes_in!N14=0,"",SER_hh_tes_in!N14/SER_hh_fec_in!N14)</f>
        <v>0.74053096603226709</v>
      </c>
      <c r="O14" s="138">
        <f>IF(SER_hh_tes_in!O14=0,"",SER_hh_tes_in!O14/SER_hh_fec_in!O14)</f>
        <v>0.75333553173918633</v>
      </c>
      <c r="P14" s="138" t="str">
        <f>IF(SER_hh_tes_in!P14=0,"",SER_hh_tes_in!P14/SER_hh_fec_in!P14)</f>
        <v/>
      </c>
      <c r="Q14" s="138">
        <f>IF(SER_hh_tes_in!Q14=0,"",SER_hh_tes_in!Q14/SER_hh_fec_in!Q14)</f>
        <v>0.78494069679602274</v>
      </c>
      <c r="R14" s="138">
        <f>IF(SER_hh_tes_in!R14=0,"",SER_hh_tes_in!R14/SER_hh_fec_in!R14)</f>
        <v>0.80244193016542242</v>
      </c>
      <c r="S14" s="138">
        <f>IF(SER_hh_tes_in!S14=0,"",SER_hh_tes_in!S14/SER_hh_fec_in!S14)</f>
        <v>0.82282241559842051</v>
      </c>
      <c r="T14" s="138">
        <f>IF(SER_hh_tes_in!T14=0,"",SER_hh_tes_in!T14/SER_hh_fec_in!T14)</f>
        <v>0.84344400797016261</v>
      </c>
      <c r="U14" s="138">
        <f>IF(SER_hh_tes_in!U14=0,"",SER_hh_tes_in!U14/SER_hh_fec_in!U14)</f>
        <v>0.86167617635013449</v>
      </c>
      <c r="V14" s="138">
        <f>IF(SER_hh_tes_in!V14=0,"",SER_hh_tes_in!V14/SER_hh_fec_in!V14)</f>
        <v>0.87488083823795881</v>
      </c>
      <c r="W14" s="138">
        <f>IF(SER_hh_tes_in!W14=0,"",SER_hh_tes_in!W14/SER_hh_fec_in!W14)</f>
        <v>0.8815142862941826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2.6420777762733718</v>
      </c>
      <c r="D16" s="136">
        <f>IF(SER_hh_tes_in!D16=0,"",SER_hh_tes_in!D16/SER_hh_fec_in!D16)</f>
        <v>2.738472594783004</v>
      </c>
      <c r="E16" s="136">
        <f>IF(SER_hh_tes_in!E16=0,"",SER_hh_tes_in!E16/SER_hh_fec_in!E16)</f>
        <v>2.8358852098359177</v>
      </c>
      <c r="F16" s="136">
        <f>IF(SER_hh_tes_in!F16=0,"",SER_hh_tes_in!F16/SER_hh_fec_in!F16)</f>
        <v>2.9334024432394319</v>
      </c>
      <c r="G16" s="136">
        <f>IF(SER_hh_tes_in!G16=0,"",SER_hh_tes_in!G16/SER_hh_fec_in!G16)</f>
        <v>3.0318463316867259</v>
      </c>
      <c r="H16" s="136">
        <f>IF(SER_hh_tes_in!H16=0,"",SER_hh_tes_in!H16/SER_hh_fec_in!H16)</f>
        <v>3.1311109261277026</v>
      </c>
      <c r="I16" s="136">
        <f>IF(SER_hh_tes_in!I16=0,"",SER_hh_tes_in!I16/SER_hh_fec_in!I16)</f>
        <v>3.2313932236757021</v>
      </c>
      <c r="J16" s="136">
        <f>IF(SER_hh_tes_in!J16=0,"",SER_hh_tes_in!J16/SER_hh_fec_in!J16)</f>
        <v>3.3335126432123587</v>
      </c>
      <c r="K16" s="136">
        <f>IF(SER_hh_tes_in!K16=0,"",SER_hh_tes_in!K16/SER_hh_fec_in!K16)</f>
        <v>3.4381581696322354</v>
      </c>
      <c r="L16" s="136">
        <f>IF(SER_hh_tes_in!L16=0,"",SER_hh_tes_in!L16/SER_hh_fec_in!L16)</f>
        <v>3.5455001504160712</v>
      </c>
      <c r="M16" s="136">
        <f>IF(SER_hh_tes_in!M16=0,"",SER_hh_tes_in!M16/SER_hh_fec_in!M16)</f>
        <v>3.6737100317546294</v>
      </c>
      <c r="N16" s="136">
        <f>IF(SER_hh_tes_in!N16=0,"",SER_hh_tes_in!N16/SER_hh_fec_in!N16)</f>
        <v>3.8287346019024269</v>
      </c>
      <c r="O16" s="136">
        <f>IF(SER_hh_tes_in!O16=0,"",SER_hh_tes_in!O16/SER_hh_fec_in!O16)</f>
        <v>4.0138615297297084</v>
      </c>
      <c r="P16" s="136">
        <f>IF(SER_hh_tes_in!P16=0,"",SER_hh_tes_in!P16/SER_hh_fec_in!P16)</f>
        <v>4.2146276966033343</v>
      </c>
      <c r="Q16" s="136">
        <f>IF(SER_hh_tes_in!Q16=0,"",SER_hh_tes_in!Q16/SER_hh_fec_in!Q16)</f>
        <v>4.3871628450714812</v>
      </c>
      <c r="R16" s="136">
        <f>IF(SER_hh_tes_in!R16=0,"",SER_hh_tes_in!R16/SER_hh_fec_in!R16)</f>
        <v>4.4954041880941755</v>
      </c>
      <c r="S16" s="136">
        <f>IF(SER_hh_tes_in!S16=0,"",SER_hh_tes_in!S16/SER_hh_fec_in!S16)</f>
        <v>4.5815589825549266</v>
      </c>
      <c r="T16" s="136">
        <f>IF(SER_hh_tes_in!T16=0,"",SER_hh_tes_in!T16/SER_hh_fec_in!T16)</f>
        <v>4.6535445929942956</v>
      </c>
      <c r="U16" s="136">
        <f>IF(SER_hh_tes_in!U16=0,"",SER_hh_tes_in!U16/SER_hh_fec_in!U16)</f>
        <v>4.7190782561710298</v>
      </c>
      <c r="V16" s="136">
        <f>IF(SER_hh_tes_in!V16=0,"",SER_hh_tes_in!V16/SER_hh_fec_in!V16)</f>
        <v>4.7858969946749035</v>
      </c>
      <c r="W16" s="136">
        <f>IF(SER_hh_tes_in!W16=0,"",SER_hh_tes_in!W16/SER_hh_fec_in!W16)</f>
        <v>4.8513134730320102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 t="str">
        <f>IF(SER_hh_tes_in!C17=0,"",SER_hh_tes_in!C17/SER_hh_fec_in!C17)</f>
        <v/>
      </c>
      <c r="D17" s="137" t="str">
        <f>IF(SER_hh_tes_in!D17=0,"",SER_hh_tes_in!D17/SER_hh_fec_in!D17)</f>
        <v/>
      </c>
      <c r="E17" s="137" t="str">
        <f>IF(SER_hh_tes_in!E17=0,"",SER_hh_tes_in!E17/SER_hh_fec_in!E17)</f>
        <v/>
      </c>
      <c r="F17" s="137" t="str">
        <f>IF(SER_hh_tes_in!F17=0,"",SER_hh_tes_in!F17/SER_hh_fec_in!F17)</f>
        <v/>
      </c>
      <c r="G17" s="137" t="str">
        <f>IF(SER_hh_tes_in!G17=0,"",SER_hh_tes_in!G17/SER_hh_fec_in!G17)</f>
        <v/>
      </c>
      <c r="H17" s="137" t="str">
        <f>IF(SER_hh_tes_in!H17=0,"",SER_hh_tes_in!H17/SER_hh_fec_in!H17)</f>
        <v/>
      </c>
      <c r="I17" s="137" t="str">
        <f>IF(SER_hh_tes_in!I17=0,"",SER_hh_tes_in!I17/SER_hh_fec_in!I17)</f>
        <v/>
      </c>
      <c r="J17" s="137" t="str">
        <f>IF(SER_hh_tes_in!J17=0,"",SER_hh_tes_in!J17/SER_hh_fec_in!J17)</f>
        <v/>
      </c>
      <c r="K17" s="137" t="str">
        <f>IF(SER_hh_tes_in!K17=0,"",SER_hh_tes_in!K17/SER_hh_fec_in!K17)</f>
        <v/>
      </c>
      <c r="L17" s="137" t="str">
        <f>IF(SER_hh_tes_in!L17=0,"",SER_hh_tes_in!L17/SER_hh_fec_in!L17)</f>
        <v/>
      </c>
      <c r="M17" s="137" t="str">
        <f>IF(SER_hh_tes_in!M17=0,"",SER_hh_tes_in!M17/SER_hh_fec_in!M17)</f>
        <v/>
      </c>
      <c r="N17" s="137" t="str">
        <f>IF(SER_hh_tes_in!N17=0,"",SER_hh_tes_in!N17/SER_hh_fec_in!N17)</f>
        <v/>
      </c>
      <c r="O17" s="137" t="str">
        <f>IF(SER_hh_tes_in!O17=0,"",SER_hh_tes_in!O17/SER_hh_fec_in!O17)</f>
        <v/>
      </c>
      <c r="P17" s="137" t="str">
        <f>IF(SER_hh_tes_in!P17=0,"",SER_hh_tes_in!P17/SER_hh_fec_in!P17)</f>
        <v/>
      </c>
      <c r="Q17" s="137" t="str">
        <f>IF(SER_hh_tes_in!Q17=0,"",SER_hh_tes_in!Q17/SER_hh_fec_in!Q17)</f>
        <v/>
      </c>
      <c r="R17" s="137" t="str">
        <f>IF(SER_hh_tes_in!R17=0,"",SER_hh_tes_in!R17/SER_hh_fec_in!R17)</f>
        <v/>
      </c>
      <c r="S17" s="137" t="str">
        <f>IF(SER_hh_tes_in!S17=0,"",SER_hh_tes_in!S17/SER_hh_fec_in!S17)</f>
        <v/>
      </c>
      <c r="T17" s="137" t="str">
        <f>IF(SER_hh_tes_in!T17=0,"",SER_hh_tes_in!T17/SER_hh_fec_in!T17)</f>
        <v/>
      </c>
      <c r="U17" s="137" t="str">
        <f>IF(SER_hh_tes_in!U17=0,"",SER_hh_tes_in!U17/SER_hh_fec_in!U17)</f>
        <v/>
      </c>
      <c r="V17" s="137" t="str">
        <f>IF(SER_hh_tes_in!V17=0,"",SER_hh_tes_in!V17/SER_hh_fec_in!V17)</f>
        <v/>
      </c>
      <c r="W17" s="137" t="str">
        <f>IF(SER_hh_tes_in!W17=0,"",SER_hh_tes_in!W17/SER_hh_fec_in!W17)</f>
        <v/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2.6420777762733718</v>
      </c>
      <c r="D18" s="137">
        <f>IF(SER_hh_tes_in!D18=0,"",SER_hh_tes_in!D18/SER_hh_fec_in!D18)</f>
        <v>2.738472594783004</v>
      </c>
      <c r="E18" s="137">
        <f>IF(SER_hh_tes_in!E18=0,"",SER_hh_tes_in!E18/SER_hh_fec_in!E18)</f>
        <v>2.8358852098359177</v>
      </c>
      <c r="F18" s="137">
        <f>IF(SER_hh_tes_in!F18=0,"",SER_hh_tes_in!F18/SER_hh_fec_in!F18)</f>
        <v>2.9334024432394319</v>
      </c>
      <c r="G18" s="137">
        <f>IF(SER_hh_tes_in!G18=0,"",SER_hh_tes_in!G18/SER_hh_fec_in!G18)</f>
        <v>3.0318463316867259</v>
      </c>
      <c r="H18" s="137">
        <f>IF(SER_hh_tes_in!H18=0,"",SER_hh_tes_in!H18/SER_hh_fec_in!H18)</f>
        <v>3.1311109261277026</v>
      </c>
      <c r="I18" s="137">
        <f>IF(SER_hh_tes_in!I18=0,"",SER_hh_tes_in!I18/SER_hh_fec_in!I18)</f>
        <v>3.2313932236757021</v>
      </c>
      <c r="J18" s="137">
        <f>IF(SER_hh_tes_in!J18=0,"",SER_hh_tes_in!J18/SER_hh_fec_in!J18)</f>
        <v>3.3335126432123587</v>
      </c>
      <c r="K18" s="137">
        <f>IF(SER_hh_tes_in!K18=0,"",SER_hh_tes_in!K18/SER_hh_fec_in!K18)</f>
        <v>3.4381581696322354</v>
      </c>
      <c r="L18" s="137">
        <f>IF(SER_hh_tes_in!L18=0,"",SER_hh_tes_in!L18/SER_hh_fec_in!L18)</f>
        <v>3.5455001504160712</v>
      </c>
      <c r="M18" s="137">
        <f>IF(SER_hh_tes_in!M18=0,"",SER_hh_tes_in!M18/SER_hh_fec_in!M18)</f>
        <v>3.6737100317546294</v>
      </c>
      <c r="N18" s="137">
        <f>IF(SER_hh_tes_in!N18=0,"",SER_hh_tes_in!N18/SER_hh_fec_in!N18)</f>
        <v>3.8287346019024269</v>
      </c>
      <c r="O18" s="137">
        <f>IF(SER_hh_tes_in!O18=0,"",SER_hh_tes_in!O18/SER_hh_fec_in!O18)</f>
        <v>4.0138615297297084</v>
      </c>
      <c r="P18" s="137">
        <f>IF(SER_hh_tes_in!P18=0,"",SER_hh_tes_in!P18/SER_hh_fec_in!P18)</f>
        <v>4.2146276966033343</v>
      </c>
      <c r="Q18" s="137">
        <f>IF(SER_hh_tes_in!Q18=0,"",SER_hh_tes_in!Q18/SER_hh_fec_in!Q18)</f>
        <v>4.3871628450714812</v>
      </c>
      <c r="R18" s="137">
        <f>IF(SER_hh_tes_in!R18=0,"",SER_hh_tes_in!R18/SER_hh_fec_in!R18)</f>
        <v>4.4954041880941755</v>
      </c>
      <c r="S18" s="137">
        <f>IF(SER_hh_tes_in!S18=0,"",SER_hh_tes_in!S18/SER_hh_fec_in!S18)</f>
        <v>4.5815589825549266</v>
      </c>
      <c r="T18" s="137">
        <f>IF(SER_hh_tes_in!T18=0,"",SER_hh_tes_in!T18/SER_hh_fec_in!T18)</f>
        <v>4.6535445929942956</v>
      </c>
      <c r="U18" s="137">
        <f>IF(SER_hh_tes_in!U18=0,"",SER_hh_tes_in!U18/SER_hh_fec_in!U18)</f>
        <v>4.7190782561710298</v>
      </c>
      <c r="V18" s="137">
        <f>IF(SER_hh_tes_in!V18=0,"",SER_hh_tes_in!V18/SER_hh_fec_in!V18)</f>
        <v>4.7858969946749035</v>
      </c>
      <c r="W18" s="137">
        <f>IF(SER_hh_tes_in!W18=0,"",SER_hh_tes_in!W18/SER_hh_fec_in!W18)</f>
        <v>4.8513134730320102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0.67529390564506508</v>
      </c>
      <c r="D19" s="136">
        <f>IF(SER_hh_tes_in!D19=0,"",SER_hh_tes_in!D19/SER_hh_fec_in!D19)</f>
        <v>0.67059107582093425</v>
      </c>
      <c r="E19" s="136">
        <f>IF(SER_hh_tes_in!E19=0,"",SER_hh_tes_in!E19/SER_hh_fec_in!E19)</f>
        <v>0.69027308689939015</v>
      </c>
      <c r="F19" s="136">
        <f>IF(SER_hh_tes_in!F19=0,"",SER_hh_tes_in!F19/SER_hh_fec_in!F19)</f>
        <v>0.69058106566312327</v>
      </c>
      <c r="G19" s="136">
        <f>IF(SER_hh_tes_in!G19=0,"",SER_hh_tes_in!G19/SER_hh_fec_in!G19)</f>
        <v>0.69087032219731748</v>
      </c>
      <c r="H19" s="136">
        <f>IF(SER_hh_tes_in!H19=0,"",SER_hh_tes_in!H19/SER_hh_fec_in!H19)</f>
        <v>0.68253465227099674</v>
      </c>
      <c r="I19" s="136">
        <f>IF(SER_hh_tes_in!I19=0,"",SER_hh_tes_in!I19/SER_hh_fec_in!I19)</f>
        <v>0.68863501136015137</v>
      </c>
      <c r="J19" s="136">
        <f>IF(SER_hh_tes_in!J19=0,"",SER_hh_tes_in!J19/SER_hh_fec_in!J19)</f>
        <v>0.69741274460946601</v>
      </c>
      <c r="K19" s="136">
        <f>IF(SER_hh_tes_in!K19=0,"",SER_hh_tes_in!K19/SER_hh_fec_in!K19)</f>
        <v>0.71387832719580058</v>
      </c>
      <c r="L19" s="136">
        <f>IF(SER_hh_tes_in!L19=0,"",SER_hh_tes_in!L19/SER_hh_fec_in!L19)</f>
        <v>0.73627205249422933</v>
      </c>
      <c r="M19" s="136">
        <f>IF(SER_hh_tes_in!M19=0,"",SER_hh_tes_in!M19/SER_hh_fec_in!M19)</f>
        <v>0.73595299370627643</v>
      </c>
      <c r="N19" s="136">
        <f>IF(SER_hh_tes_in!N19=0,"",SER_hh_tes_in!N19/SER_hh_fec_in!N19)</f>
        <v>0.73718561478202704</v>
      </c>
      <c r="O19" s="136">
        <f>IF(SER_hh_tes_in!O19=0,"",SER_hh_tes_in!O19/SER_hh_fec_in!O19)</f>
        <v>0.76196671990917908</v>
      </c>
      <c r="P19" s="136">
        <f>IF(SER_hh_tes_in!P19=0,"",SER_hh_tes_in!P19/SER_hh_fec_in!P19)</f>
        <v>0.79130887979244402</v>
      </c>
      <c r="Q19" s="136">
        <f>IF(SER_hh_tes_in!Q19=0,"",SER_hh_tes_in!Q19/SER_hh_fec_in!Q19)</f>
        <v>0.80555999741624074</v>
      </c>
      <c r="R19" s="136">
        <f>IF(SER_hh_tes_in!R19=0,"",SER_hh_tes_in!R19/SER_hh_fec_in!R19)</f>
        <v>0.80742193428335163</v>
      </c>
      <c r="S19" s="136">
        <f>IF(SER_hh_tes_in!S19=0,"",SER_hh_tes_in!S19/SER_hh_fec_in!S19)</f>
        <v>0.81637224970864919</v>
      </c>
      <c r="T19" s="136">
        <f>IF(SER_hh_tes_in!T19=0,"",SER_hh_tes_in!T19/SER_hh_fec_in!T19)</f>
        <v>0.82125850689184199</v>
      </c>
      <c r="U19" s="136">
        <f>IF(SER_hh_tes_in!U19=0,"",SER_hh_tes_in!U19/SER_hh_fec_in!U19)</f>
        <v>0.8320244186190956</v>
      </c>
      <c r="V19" s="136">
        <f>IF(SER_hh_tes_in!V19=0,"",SER_hh_tes_in!V19/SER_hh_fec_in!V19)</f>
        <v>0.83752619477980372</v>
      </c>
      <c r="W19" s="136">
        <f>IF(SER_hh_tes_in!W19=0,"",SER_hh_tes_in!W19/SER_hh_fec_in!W19)</f>
        <v>0.85136491717835017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 t="str">
        <f>IF(SER_hh_tes_in!C21=0,"",SER_hh_tes_in!C21/SER_hh_fec_in!C21)</f>
        <v/>
      </c>
      <c r="D21" s="137" t="str">
        <f>IF(SER_hh_tes_in!D21=0,"",SER_hh_tes_in!D21/SER_hh_fec_in!D21)</f>
        <v/>
      </c>
      <c r="E21" s="137" t="str">
        <f>IF(SER_hh_tes_in!E21=0,"",SER_hh_tes_in!E21/SER_hh_fec_in!E21)</f>
        <v/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 t="str">
        <f>IF(SER_hh_tes_in!H21=0,"",SER_hh_tes_in!H21/SER_hh_fec_in!H21)</f>
        <v/>
      </c>
      <c r="I21" s="137" t="str">
        <f>IF(SER_hh_tes_in!I21=0,"",SER_hh_tes_in!I21/SER_hh_fec_in!I21)</f>
        <v/>
      </c>
      <c r="J21" s="137" t="str">
        <f>IF(SER_hh_tes_in!J21=0,"",SER_hh_tes_in!J21/SER_hh_fec_in!J21)</f>
        <v/>
      </c>
      <c r="K21" s="137" t="str">
        <f>IF(SER_hh_tes_in!K21=0,"",SER_hh_tes_in!K21/SER_hh_fec_in!K21)</f>
        <v/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 t="str">
        <f>IF(SER_hh_tes_in!S21=0,"",SER_hh_tes_in!S21/SER_hh_fec_in!S21)</f>
        <v/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 t="str">
        <f>IF(SER_hh_tes_in!C22=0,"",SER_hh_tes_in!C22/SER_hh_fec_in!C22)</f>
        <v/>
      </c>
      <c r="D22" s="137" t="str">
        <f>IF(SER_hh_tes_in!D22=0,"",SER_hh_tes_in!D22/SER_hh_fec_in!D22)</f>
        <v/>
      </c>
      <c r="E22" s="137" t="str">
        <f>IF(SER_hh_tes_in!E22=0,"",SER_hh_tes_in!E22/SER_hh_fec_in!E22)</f>
        <v/>
      </c>
      <c r="F22" s="137" t="str">
        <f>IF(SER_hh_tes_in!F22=0,"",SER_hh_tes_in!F22/SER_hh_fec_in!F22)</f>
        <v/>
      </c>
      <c r="G22" s="137" t="str">
        <f>IF(SER_hh_tes_in!G22=0,"",SER_hh_tes_in!G22/SER_hh_fec_in!G22)</f>
        <v/>
      </c>
      <c r="H22" s="137" t="str">
        <f>IF(SER_hh_tes_in!H22=0,"",SER_hh_tes_in!H22/SER_hh_fec_in!H22)</f>
        <v/>
      </c>
      <c r="I22" s="137" t="str">
        <f>IF(SER_hh_tes_in!I22=0,"",SER_hh_tes_in!I22/SER_hh_fec_in!I22)</f>
        <v/>
      </c>
      <c r="J22" s="137">
        <f>IF(SER_hh_tes_in!J22=0,"",SER_hh_tes_in!J22/SER_hh_fec_in!J22)</f>
        <v>0.51045316168138077</v>
      </c>
      <c r="K22" s="137">
        <f>IF(SER_hh_tes_in!K22=0,"",SER_hh_tes_in!K22/SER_hh_fec_in!K22)</f>
        <v>0.51564497742092408</v>
      </c>
      <c r="L22" s="137">
        <f>IF(SER_hh_tes_in!L22=0,"",SER_hh_tes_in!L22/SER_hh_fec_in!L22)</f>
        <v>0.52180832008923339</v>
      </c>
      <c r="M22" s="137">
        <f>IF(SER_hh_tes_in!M22=0,"",SER_hh_tes_in!M22/SER_hh_fec_in!M22)</f>
        <v>0.53477127379555667</v>
      </c>
      <c r="N22" s="137">
        <f>IF(SER_hh_tes_in!N22=0,"",SER_hh_tes_in!N22/SER_hh_fec_in!N22)</f>
        <v>0.55638366843010911</v>
      </c>
      <c r="O22" s="137">
        <f>IF(SER_hh_tes_in!O22=0,"",SER_hh_tes_in!O22/SER_hh_fec_in!O22)</f>
        <v>0.58818969268389198</v>
      </c>
      <c r="P22" s="137" t="str">
        <f>IF(SER_hh_tes_in!P22=0,"",SER_hh_tes_in!P22/SER_hh_fec_in!P22)</f>
        <v/>
      </c>
      <c r="Q22" s="137">
        <f>IF(SER_hh_tes_in!Q22=0,"",SER_hh_tes_in!Q22/SER_hh_fec_in!Q22)</f>
        <v>0.66213085000653149</v>
      </c>
      <c r="R22" s="137" t="str">
        <f>IF(SER_hh_tes_in!R22=0,"",SER_hh_tes_in!R22/SER_hh_fec_in!R22)</f>
        <v/>
      </c>
      <c r="S22" s="137">
        <f>IF(SER_hh_tes_in!S22=0,"",SER_hh_tes_in!S22/SER_hh_fec_in!S22)</f>
        <v>0.70876110610213083</v>
      </c>
      <c r="T22" s="137">
        <f>IF(SER_hh_tes_in!T22=0,"",SER_hh_tes_in!T22/SER_hh_fec_in!T22)</f>
        <v>0.72948566436683449</v>
      </c>
      <c r="U22" s="137">
        <f>IF(SER_hh_tes_in!U22=0,"",SER_hh_tes_in!U22/SER_hh_fec_in!U22)</f>
        <v>0.74675612958742499</v>
      </c>
      <c r="V22" s="137">
        <f>IF(SER_hh_tes_in!V22=0,"",SER_hh_tes_in!V22/SER_hh_fec_in!V22)</f>
        <v>0.75927721687235328</v>
      </c>
      <c r="W22" s="137">
        <f>IF(SER_hh_tes_in!W22=0,"",SER_hh_tes_in!W22/SER_hh_fec_in!W22)</f>
        <v>0.76516698763479907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0.53445868639145444</v>
      </c>
      <c r="D23" s="137">
        <f>IF(SER_hh_tes_in!D23=0,"",SER_hh_tes_in!D23/SER_hh_fec_in!D23)</f>
        <v>0.54112529881124327</v>
      </c>
      <c r="E23" s="137">
        <f>IF(SER_hh_tes_in!E23=0,"",SER_hh_tes_in!E23/SER_hh_fec_in!E23)</f>
        <v>0.54808015336405336</v>
      </c>
      <c r="F23" s="137">
        <f>IF(SER_hh_tes_in!F23=0,"",SER_hh_tes_in!F23/SER_hh_fec_in!F23)</f>
        <v>0.55509122364063535</v>
      </c>
      <c r="G23" s="137">
        <f>IF(SER_hh_tes_in!G23=0,"",SER_hh_tes_in!G23/SER_hh_fec_in!G23)</f>
        <v>0.56236539343425018</v>
      </c>
      <c r="H23" s="137">
        <f>IF(SER_hh_tes_in!H23=0,"",SER_hh_tes_in!H23/SER_hh_fec_in!H23)</f>
        <v>0.56987465353042566</v>
      </c>
      <c r="I23" s="137">
        <f>IF(SER_hh_tes_in!I23=0,"",SER_hh_tes_in!I23/SER_hh_fec_in!I23)</f>
        <v>0.577667265824376</v>
      </c>
      <c r="J23" s="137">
        <f>IF(SER_hh_tes_in!J23=0,"",SER_hh_tes_in!J23/SER_hh_fec_in!J23)</f>
        <v>0.58594716693190263</v>
      </c>
      <c r="K23" s="137">
        <f>IF(SER_hh_tes_in!K23=0,"",SER_hh_tes_in!K23/SER_hh_fec_in!K23)</f>
        <v>0.59488440905662676</v>
      </c>
      <c r="L23" s="137">
        <f>IF(SER_hh_tes_in!L23=0,"",SER_hh_tes_in!L23/SER_hh_fec_in!L23)</f>
        <v>0.60451864240237574</v>
      </c>
      <c r="M23" s="137">
        <f>IF(SER_hh_tes_in!M23=0,"",SER_hh_tes_in!M23/SER_hh_fec_in!M23)</f>
        <v>0.61908807680641409</v>
      </c>
      <c r="N23" s="137">
        <f>IF(SER_hh_tes_in!N23=0,"",SER_hh_tes_in!N23/SER_hh_fec_in!N23)</f>
        <v>0.63989727453599166</v>
      </c>
      <c r="O23" s="137">
        <f>IF(SER_hh_tes_in!O23=0,"",SER_hh_tes_in!O23/SER_hh_fec_in!O23)</f>
        <v>0.66790949592238236</v>
      </c>
      <c r="P23" s="137">
        <f>IF(SER_hh_tes_in!P23=0,"",SER_hh_tes_in!P23/SER_hh_fec_in!P23)</f>
        <v>0.7005061886820787</v>
      </c>
      <c r="Q23" s="137">
        <f>IF(SER_hh_tes_in!Q23=0,"",SER_hh_tes_in!Q23/SER_hh_fec_in!Q23)</f>
        <v>0.72947244032821013</v>
      </c>
      <c r="R23" s="137">
        <f>IF(SER_hh_tes_in!R23=0,"",SER_hh_tes_in!R23/SER_hh_fec_in!R23)</f>
        <v>0.74851848340903615</v>
      </c>
      <c r="S23" s="137">
        <f>IF(SER_hh_tes_in!S23=0,"",SER_hh_tes_in!S23/SER_hh_fec_in!S23)</f>
        <v>0.76589677115776711</v>
      </c>
      <c r="T23" s="137">
        <f>IF(SER_hh_tes_in!T23=0,"",SER_hh_tes_in!T23/SER_hh_fec_in!T23)</f>
        <v>0.78115616508771946</v>
      </c>
      <c r="U23" s="137">
        <f>IF(SER_hh_tes_in!U23=0,"",SER_hh_tes_in!U23/SER_hh_fec_in!U23)</f>
        <v>0.79379401824362417</v>
      </c>
      <c r="V23" s="137">
        <f>IF(SER_hh_tes_in!V23=0,"",SER_hh_tes_in!V23/SER_hh_fec_in!V23)</f>
        <v>0.80325875342272535</v>
      </c>
      <c r="W23" s="137">
        <f>IF(SER_hh_tes_in!W23=0,"",SER_hh_tes_in!W23/SER_hh_fec_in!W23)</f>
        <v>0.80814364335275946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>
        <f>IF(SER_hh_tes_in!C24=0,"",SER_hh_tes_in!C24/SER_hh_fec_in!C24)</f>
        <v>0.53694660280562811</v>
      </c>
      <c r="D24" s="137">
        <f>IF(SER_hh_tes_in!D24=0,"",SER_hh_tes_in!D24/SER_hh_fec_in!D24)</f>
        <v>0.54840624581734188</v>
      </c>
      <c r="E24" s="137">
        <f>IF(SER_hh_tes_in!E24=0,"",SER_hh_tes_in!E24/SER_hh_fec_in!E24)</f>
        <v>0.55997482965306011</v>
      </c>
      <c r="F24" s="137">
        <f>IF(SER_hh_tes_in!F24=0,"",SER_hh_tes_in!F24/SER_hh_fec_in!F24)</f>
        <v>0.57164123344531659</v>
      </c>
      <c r="G24" s="137">
        <f>IF(SER_hh_tes_in!G24=0,"",SER_hh_tes_in!G24/SER_hh_fec_in!G24)</f>
        <v>0.58339440240880625</v>
      </c>
      <c r="H24" s="137">
        <f>IF(SER_hh_tes_in!H24=0,"",SER_hh_tes_in!H24/SER_hh_fec_in!H24)</f>
        <v>0.59522116562629113</v>
      </c>
      <c r="I24" s="137">
        <f>IF(SER_hh_tes_in!I24=0,"",SER_hh_tes_in!I24/SER_hh_fec_in!I24)</f>
        <v>0.60710420427581191</v>
      </c>
      <c r="J24" s="137">
        <f>IF(SER_hh_tes_in!J24=0,"",SER_hh_tes_in!J24/SER_hh_fec_in!J24)</f>
        <v>0.61900617631458243</v>
      </c>
      <c r="K24" s="137">
        <f>IF(SER_hh_tes_in!K24=0,"",SER_hh_tes_in!K24/SER_hh_fec_in!K24)</f>
        <v>0.63087768453833482</v>
      </c>
      <c r="L24" s="137">
        <f>IF(SER_hh_tes_in!L24=0,"",SER_hh_tes_in!L24/SER_hh_fec_in!L24)</f>
        <v>0.64267488601120115</v>
      </c>
      <c r="M24" s="137">
        <f>IF(SER_hh_tes_in!M24=0,"",SER_hh_tes_in!M24/SER_hh_fec_in!M24)</f>
        <v>0.65353964111390028</v>
      </c>
      <c r="N24" s="137">
        <f>IF(SER_hh_tes_in!N24=0,"",SER_hh_tes_in!N24/SER_hh_fec_in!N24)</f>
        <v>0.66301128080829397</v>
      </c>
      <c r="O24" s="137">
        <f>IF(SER_hh_tes_in!O24=0,"",SER_hh_tes_in!O24/SER_hh_fec_in!O24)</f>
        <v>0.67084059148943154</v>
      </c>
      <c r="P24" s="137">
        <f>IF(SER_hh_tes_in!P24=0,"",SER_hh_tes_in!P24/SER_hh_fec_in!P24)</f>
        <v>0.67769834988514033</v>
      </c>
      <c r="Q24" s="137">
        <f>IF(SER_hh_tes_in!Q24=0,"",SER_hh_tes_in!Q24/SER_hh_fec_in!Q24)</f>
        <v>0.68586266187020084</v>
      </c>
      <c r="R24" s="137">
        <f>IF(SER_hh_tes_in!R24=0,"",SER_hh_tes_in!R24/SER_hh_fec_in!R24)</f>
        <v>0.69790068208493161</v>
      </c>
      <c r="S24" s="137">
        <f>IF(SER_hh_tes_in!S24=0,"",SER_hh_tes_in!S24/SER_hh_fec_in!S24)</f>
        <v>0.71139254819559572</v>
      </c>
      <c r="T24" s="137">
        <f>IF(SER_hh_tes_in!T24=0,"",SER_hh_tes_in!T24/SER_hh_fec_in!T24)</f>
        <v>0.72494985739725981</v>
      </c>
      <c r="U24" s="137">
        <f>IF(SER_hh_tes_in!U24=0,"",SER_hh_tes_in!U24/SER_hh_fec_in!U24)</f>
        <v>0.73743796163710018</v>
      </c>
      <c r="V24" s="137">
        <f>IF(SER_hh_tes_in!V24=0,"",SER_hh_tes_in!V24/SER_hh_fec_in!V24)</f>
        <v>0.74790582241760384</v>
      </c>
      <c r="W24" s="137">
        <f>IF(SER_hh_tes_in!W24=0,"",SER_hh_tes_in!W24/SER_hh_fec_in!W24)</f>
        <v>0.75632576706732313</v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0.7468529676717659</v>
      </c>
      <c r="D25" s="137">
        <f>IF(SER_hh_tes_in!D25=0,"",SER_hh_tes_in!D25/SER_hh_fec_in!D25)</f>
        <v>0.74979641495082094</v>
      </c>
      <c r="E25" s="137">
        <f>IF(SER_hh_tes_in!E25=0,"",SER_hh_tes_in!E25/SER_hh_fec_in!E25)</f>
        <v>0.75281932762720838</v>
      </c>
      <c r="F25" s="137">
        <f>IF(SER_hh_tes_in!F25=0,"",SER_hh_tes_in!F25/SER_hh_fec_in!F25)</f>
        <v>0.75585307649414135</v>
      </c>
      <c r="G25" s="137">
        <f>IF(SER_hh_tes_in!G25=0,"",SER_hh_tes_in!G25/SER_hh_fec_in!G25)</f>
        <v>0.75896000831793919</v>
      </c>
      <c r="H25" s="137">
        <f>IF(SER_hh_tes_in!H25=0,"",SER_hh_tes_in!H25/SER_hh_fec_in!H25)</f>
        <v>0.76213249264812366</v>
      </c>
      <c r="I25" s="137">
        <f>IF(SER_hh_tes_in!I25=0,"",SER_hh_tes_in!I25/SER_hh_fec_in!I25)</f>
        <v>0.76538589172973737</v>
      </c>
      <c r="J25" s="137">
        <f>IF(SER_hh_tes_in!J25=0,"",SER_hh_tes_in!J25/SER_hh_fec_in!J25)</f>
        <v>0.76878313925833708</v>
      </c>
      <c r="K25" s="137">
        <f>IF(SER_hh_tes_in!K25=0,"",SER_hh_tes_in!K25/SER_hh_fec_in!K25)</f>
        <v>0.77237774542867554</v>
      </c>
      <c r="L25" s="137">
        <f>IF(SER_hh_tes_in!L25=0,"",SER_hh_tes_in!L25/SER_hh_fec_in!L25)</f>
        <v>0.77618402641165596</v>
      </c>
      <c r="M25" s="137">
        <f>IF(SER_hh_tes_in!M25=0,"",SER_hh_tes_in!M25/SER_hh_fec_in!M25)</f>
        <v>0.78145429761246321</v>
      </c>
      <c r="N25" s="137">
        <f>IF(SER_hh_tes_in!N25=0,"",SER_hh_tes_in!N25/SER_hh_fec_in!N25)</f>
        <v>0.78858450974509431</v>
      </c>
      <c r="O25" s="137">
        <f>IF(SER_hh_tes_in!O25=0,"",SER_hh_tes_in!O25/SER_hh_fec_in!O25)</f>
        <v>0.79792176172406271</v>
      </c>
      <c r="P25" s="137">
        <f>IF(SER_hh_tes_in!P25=0,"",SER_hh_tes_in!P25/SER_hh_fec_in!P25)</f>
        <v>0.80880567241619949</v>
      </c>
      <c r="Q25" s="137">
        <f>IF(SER_hh_tes_in!Q25=0,"",SER_hh_tes_in!Q25/SER_hh_fec_in!Q25)</f>
        <v>0.81907439243262958</v>
      </c>
      <c r="R25" s="137">
        <f>IF(SER_hh_tes_in!R25=0,"",SER_hh_tes_in!R25/SER_hh_fec_in!R25)</f>
        <v>0.82694296985378202</v>
      </c>
      <c r="S25" s="137">
        <f>IF(SER_hh_tes_in!S25=0,"",SER_hh_tes_in!S25/SER_hh_fec_in!S25)</f>
        <v>0.83459778030781573</v>
      </c>
      <c r="T25" s="137">
        <f>IF(SER_hh_tes_in!T25=0,"",SER_hh_tes_in!T25/SER_hh_fec_in!T25)</f>
        <v>0.84198767763347249</v>
      </c>
      <c r="U25" s="137">
        <f>IF(SER_hh_tes_in!U25=0,"",SER_hh_tes_in!U25/SER_hh_fec_in!U25)</f>
        <v>0.84906151566951793</v>
      </c>
      <c r="V25" s="137">
        <f>IF(SER_hh_tes_in!V25=0,"",SER_hh_tes_in!V25/SER_hh_fec_in!V25)</f>
        <v>0.85576814825470793</v>
      </c>
      <c r="W25" s="137">
        <f>IF(SER_hh_tes_in!W25=0,"",SER_hh_tes_in!W25/SER_hh_fec_in!W25)</f>
        <v>0.86194624953664944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0.61767545256455048</v>
      </c>
      <c r="D26" s="138">
        <f>IF(SER_hh_tes_in!D26=0,"",SER_hh_tes_in!D26/SER_hh_fec_in!D26)</f>
        <v>0.62044410253255711</v>
      </c>
      <c r="E26" s="138">
        <f>IF(SER_hh_tes_in!E26=0,"",SER_hh_tes_in!E26/SER_hh_fec_in!E26)</f>
        <v>0.62342570083800952</v>
      </c>
      <c r="F26" s="138">
        <f>IF(SER_hh_tes_in!F26=0,"",SER_hh_tes_in!F26/SER_hh_fec_in!F26)</f>
        <v>0.62643594011864678</v>
      </c>
      <c r="G26" s="138">
        <f>IF(SER_hh_tes_in!G26=0,"",SER_hh_tes_in!G26/SER_hh_fec_in!G26)</f>
        <v>0.62964399922492487</v>
      </c>
      <c r="H26" s="138">
        <f>IF(SER_hh_tes_in!H26=0,"",SER_hh_tes_in!H26/SER_hh_fec_in!H26)</f>
        <v>0.63303091548231394</v>
      </c>
      <c r="I26" s="138">
        <f>IF(SER_hh_tes_in!I26=0,"",SER_hh_tes_in!I26/SER_hh_fec_in!I26)</f>
        <v>0.63664075049975632</v>
      </c>
      <c r="J26" s="138">
        <f>IF(SER_hh_tes_in!J26=0,"",SER_hh_tes_in!J26/SER_hh_fec_in!J26)</f>
        <v>0.64064987586558697</v>
      </c>
      <c r="K26" s="138">
        <f>IF(SER_hh_tes_in!K26=0,"",SER_hh_tes_in!K26/SER_hh_fec_in!K26)</f>
        <v>0.64521459213382704</v>
      </c>
      <c r="L26" s="138">
        <f>IF(SER_hh_tes_in!L26=0,"",SER_hh_tes_in!L26/SER_hh_fec_in!L26)</f>
        <v>0.65038960250586797</v>
      </c>
      <c r="M26" s="138">
        <f>IF(SER_hh_tes_in!M26=0,"",SER_hh_tes_in!M26/SER_hh_fec_in!M26)</f>
        <v>0.65976073270988933</v>
      </c>
      <c r="N26" s="138">
        <f>IF(SER_hh_tes_in!N26=0,"",SER_hh_tes_in!N26/SER_hh_fec_in!N26)</f>
        <v>0.67490354069663983</v>
      </c>
      <c r="O26" s="138">
        <f>IF(SER_hh_tes_in!O26=0,"",SER_hh_tes_in!O26/SER_hh_fec_in!O26)</f>
        <v>0.69783849573481072</v>
      </c>
      <c r="P26" s="138">
        <f>IF(SER_hh_tes_in!P26=0,"",SER_hh_tes_in!P26/SER_hh_fec_in!P26)</f>
        <v>0.72767392807148334</v>
      </c>
      <c r="Q26" s="138" t="str">
        <f>IF(SER_hh_tes_in!Q26=0,"",SER_hh_tes_in!Q26/SER_hh_fec_in!Q26)</f>
        <v/>
      </c>
      <c r="R26" s="138">
        <f>IF(SER_hh_tes_in!R26=0,"",SER_hh_tes_in!R26/SER_hh_fec_in!R26)</f>
        <v>0.77793613919178961</v>
      </c>
      <c r="S26" s="138">
        <f>IF(SER_hh_tes_in!S26=0,"",SER_hh_tes_in!S26/SER_hh_fec_in!S26)</f>
        <v>0.79871572092937215</v>
      </c>
      <c r="T26" s="138">
        <f>IF(SER_hh_tes_in!T26=0,"",SER_hh_tes_in!T26/SER_hh_fec_in!T26)</f>
        <v>0.8188526986496234</v>
      </c>
      <c r="U26" s="138">
        <f>IF(SER_hh_tes_in!U26=0,"",SER_hh_tes_in!U26/SER_hh_fec_in!U26)</f>
        <v>0.83776880540540288</v>
      </c>
      <c r="V26" s="138">
        <f>IF(SER_hh_tes_in!V26=0,"",SER_hh_tes_in!V26/SER_hh_fec_in!V26)</f>
        <v>0.85457686391894927</v>
      </c>
      <c r="W26" s="138">
        <f>IF(SER_hh_tes_in!W26=0,"",SER_hh_tes_in!W26/SER_hh_fec_in!W26)</f>
        <v>0.86780805535962202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 t="str">
        <f>IF(SER_hh_tes_in!D27=0,"",SER_hh_tes_in!D27/SER_hh_fec_in!D27)</f>
        <v/>
      </c>
      <c r="E27" s="149" t="str">
        <f>IF(SER_hh_tes_in!E27=0,"",SER_hh_tes_in!E27/SER_hh_fec_in!E27)</f>
        <v/>
      </c>
      <c r="F27" s="149" t="str">
        <f>IF(SER_hh_tes_in!F27=0,"",SER_hh_tes_in!F27/SER_hh_fec_in!F27)</f>
        <v/>
      </c>
      <c r="G27" s="149" t="str">
        <f>IF(SER_hh_tes_in!G27=0,"",SER_hh_tes_in!G27/SER_hh_fec_in!G27)</f>
        <v/>
      </c>
      <c r="H27" s="149" t="str">
        <f>IF(SER_hh_tes_in!H27=0,"",SER_hh_tes_in!H27/SER_hh_fec_in!H27)</f>
        <v/>
      </c>
      <c r="I27" s="149" t="str">
        <f>IF(SER_hh_tes_in!I27=0,"",SER_hh_tes_in!I27/SER_hh_fec_in!I27)</f>
        <v/>
      </c>
      <c r="J27" s="149" t="str">
        <f>IF(SER_hh_tes_in!J27=0,"",SER_hh_tes_in!J27/SER_hh_fec_in!J27)</f>
        <v/>
      </c>
      <c r="K27" s="149" t="str">
        <f>IF(SER_hh_tes_in!K27=0,"",SER_hh_tes_in!K27/SER_hh_fec_in!K27)</f>
        <v/>
      </c>
      <c r="L27" s="149" t="str">
        <f>IF(SER_hh_tes_in!L27=0,"",SER_hh_tes_in!L27/SER_hh_fec_in!L27)</f>
        <v/>
      </c>
      <c r="M27" s="149" t="str">
        <f>IF(SER_hh_tes_in!M27=0,"",SER_hh_tes_in!M27/SER_hh_fec_in!M27)</f>
        <v/>
      </c>
      <c r="N27" s="149" t="str">
        <f>IF(SER_hh_tes_in!N27=0,"",SER_hh_tes_in!N27/SER_hh_fec_in!N27)</f>
        <v/>
      </c>
      <c r="O27" s="149" t="str">
        <f>IF(SER_hh_tes_in!O27=0,"",SER_hh_tes_in!O27/SER_hh_fec_in!O27)</f>
        <v/>
      </c>
      <c r="P27" s="149" t="str">
        <f>IF(SER_hh_tes_in!P27=0,"",SER_hh_tes_in!P27/SER_hh_fec_in!P27)</f>
        <v/>
      </c>
      <c r="Q27" s="149" t="str">
        <f>IF(SER_hh_tes_in!Q27=0,"",SER_hh_tes_in!Q27/SER_hh_fec_in!Q27)</f>
        <v/>
      </c>
      <c r="R27" s="149" t="str">
        <f>IF(SER_hh_tes_in!R27=0,"",SER_hh_tes_in!R27/SER_hh_fec_in!R27)</f>
        <v/>
      </c>
      <c r="S27" s="149" t="str">
        <f>IF(SER_hh_tes_in!S27=0,"",SER_hh_tes_in!S27/SER_hh_fec_in!S27)</f>
        <v/>
      </c>
      <c r="T27" s="149" t="str">
        <f>IF(SER_hh_tes_in!T27=0,"",SER_hh_tes_in!T27/SER_hh_fec_in!T27)</f>
        <v/>
      </c>
      <c r="U27" s="149" t="str">
        <f>IF(SER_hh_tes_in!U27=0,"",SER_hh_tes_in!U27/SER_hh_fec_in!U27)</f>
        <v/>
      </c>
      <c r="V27" s="149" t="str">
        <f>IF(SER_hh_tes_in!V27=0,"",SER_hh_tes_in!V27/SER_hh_fec_in!V27)</f>
        <v/>
      </c>
      <c r="W27" s="149" t="str">
        <f>IF(SER_hh_tes_in!W27=0,"",SER_hh_tes_in!W27/SER_hh_fec_in!W27)</f>
        <v/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0.68304622488362898</v>
      </c>
      <c r="D29" s="136">
        <f>IF(SER_hh_tes_in!D29=0,"",SER_hh_tes_in!D29/SER_hh_fec_in!D29)</f>
        <v>0.67889007896117404</v>
      </c>
      <c r="E29" s="136">
        <f>IF(SER_hh_tes_in!E29=0,"",SER_hh_tes_in!E29/SER_hh_fec_in!E29)</f>
        <v>0.69746108415450114</v>
      </c>
      <c r="F29" s="136">
        <f>IF(SER_hh_tes_in!F29=0,"",SER_hh_tes_in!F29/SER_hh_fec_in!F29)</f>
        <v>0.71283419922234914</v>
      </c>
      <c r="G29" s="136">
        <f>IF(SER_hh_tes_in!G29=0,"",SER_hh_tes_in!G29/SER_hh_fec_in!G29)</f>
        <v>0.6804912997961764</v>
      </c>
      <c r="H29" s="136">
        <f>IF(SER_hh_tes_in!H29=0,"",SER_hh_tes_in!H29/SER_hh_fec_in!H29)</f>
        <v>0.67878079028358262</v>
      </c>
      <c r="I29" s="136">
        <f>IF(SER_hh_tes_in!I29=0,"",SER_hh_tes_in!I29/SER_hh_fec_in!I29)</f>
        <v>0.67926375336752354</v>
      </c>
      <c r="J29" s="136">
        <f>IF(SER_hh_tes_in!J29=0,"",SER_hh_tes_in!J29/SER_hh_fec_in!J29)</f>
        <v>0.66845309621398274</v>
      </c>
      <c r="K29" s="136">
        <f>IF(SER_hh_tes_in!K29=0,"",SER_hh_tes_in!K29/SER_hh_fec_in!K29)</f>
        <v>0.68483120335348413</v>
      </c>
      <c r="L29" s="136">
        <f>IF(SER_hh_tes_in!L29=0,"",SER_hh_tes_in!L29/SER_hh_fec_in!L29)</f>
        <v>0.72149051163140143</v>
      </c>
      <c r="M29" s="136">
        <f>IF(SER_hh_tes_in!M29=0,"",SER_hh_tes_in!M29/SER_hh_fec_in!M29)</f>
        <v>0.76204553566209132</v>
      </c>
      <c r="N29" s="136">
        <f>IF(SER_hh_tes_in!N29=0,"",SER_hh_tes_in!N29/SER_hh_fec_in!N29)</f>
        <v>0.76489689910520053</v>
      </c>
      <c r="O29" s="136">
        <f>IF(SER_hh_tes_in!O29=0,"",SER_hh_tes_in!O29/SER_hh_fec_in!O29)</f>
        <v>0.76783255467074696</v>
      </c>
      <c r="P29" s="136">
        <f>IF(SER_hh_tes_in!P29=0,"",SER_hh_tes_in!P29/SER_hh_fec_in!P29)</f>
        <v>0.74039090996901569</v>
      </c>
      <c r="Q29" s="136">
        <f>IF(SER_hh_tes_in!Q29=0,"",SER_hh_tes_in!Q29/SER_hh_fec_in!Q29)</f>
        <v>0.69818641509975232</v>
      </c>
      <c r="R29" s="136">
        <f>IF(SER_hh_tes_in!R29=0,"",SER_hh_tes_in!R29/SER_hh_fec_in!R29)</f>
        <v>0.70767647482709972</v>
      </c>
      <c r="S29" s="136">
        <f>IF(SER_hh_tes_in!S29=0,"",SER_hh_tes_in!S29/SER_hh_fec_in!S29)</f>
        <v>0.7367472214272166</v>
      </c>
      <c r="T29" s="136">
        <f>IF(SER_hh_tes_in!T29=0,"",SER_hh_tes_in!T29/SER_hh_fec_in!T29)</f>
        <v>0.77947386006268582</v>
      </c>
      <c r="U29" s="136">
        <f>IF(SER_hh_tes_in!U29=0,"",SER_hh_tes_in!U29/SER_hh_fec_in!U29)</f>
        <v>0.81837736502078162</v>
      </c>
      <c r="V29" s="136">
        <f>IF(SER_hh_tes_in!V29=0,"",SER_hh_tes_in!V29/SER_hh_fec_in!V29)</f>
        <v>0.83053850477516022</v>
      </c>
      <c r="W29" s="136">
        <f>IF(SER_hh_tes_in!W29=0,"",SER_hh_tes_in!W29/SER_hh_fec_in!W29)</f>
        <v>0.82968965054779742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 t="str">
        <f>IF(SER_hh_tes_in!C30=0,"",SER_hh_tes_in!C30/SER_hh_fec_in!C30)</f>
        <v/>
      </c>
      <c r="D30" s="137" t="str">
        <f>IF(SER_hh_tes_in!D30=0,"",SER_hh_tes_in!D30/SER_hh_fec_in!D30)</f>
        <v/>
      </c>
      <c r="E30" s="137" t="str">
        <f>IF(SER_hh_tes_in!E30=0,"",SER_hh_tes_in!E30/SER_hh_fec_in!E30)</f>
        <v/>
      </c>
      <c r="F30" s="137" t="str">
        <f>IF(SER_hh_tes_in!F30=0,"",SER_hh_tes_in!F30/SER_hh_fec_in!F30)</f>
        <v/>
      </c>
      <c r="G30" s="137" t="str">
        <f>IF(SER_hh_tes_in!G30=0,"",SER_hh_tes_in!G30/SER_hh_fec_in!G30)</f>
        <v/>
      </c>
      <c r="H30" s="137" t="str">
        <f>IF(SER_hh_tes_in!H30=0,"",SER_hh_tes_in!H30/SER_hh_fec_in!H30)</f>
        <v/>
      </c>
      <c r="I30" s="137" t="str">
        <f>IF(SER_hh_tes_in!I30=0,"",SER_hh_tes_in!I30/SER_hh_fec_in!I30)</f>
        <v/>
      </c>
      <c r="J30" s="137" t="str">
        <f>IF(SER_hh_tes_in!J30=0,"",SER_hh_tes_in!J30/SER_hh_fec_in!J30)</f>
        <v/>
      </c>
      <c r="K30" s="137" t="str">
        <f>IF(SER_hh_tes_in!K30=0,"",SER_hh_tes_in!K30/SER_hh_fec_in!K30)</f>
        <v/>
      </c>
      <c r="L30" s="137" t="str">
        <f>IF(SER_hh_tes_in!L30=0,"",SER_hh_tes_in!L30/SER_hh_fec_in!L30)</f>
        <v/>
      </c>
      <c r="M30" s="137" t="str">
        <f>IF(SER_hh_tes_in!M30=0,"",SER_hh_tes_in!M30/SER_hh_fec_in!M30)</f>
        <v/>
      </c>
      <c r="N30" s="137" t="str">
        <f>IF(SER_hh_tes_in!N30=0,"",SER_hh_tes_in!N30/SER_hh_fec_in!N30)</f>
        <v/>
      </c>
      <c r="O30" s="137" t="str">
        <f>IF(SER_hh_tes_in!O30=0,"",SER_hh_tes_in!O30/SER_hh_fec_in!O30)</f>
        <v/>
      </c>
      <c r="P30" s="137" t="str">
        <f>IF(SER_hh_tes_in!P30=0,"",SER_hh_tes_in!P30/SER_hh_fec_in!P30)</f>
        <v/>
      </c>
      <c r="Q30" s="137" t="str">
        <f>IF(SER_hh_tes_in!Q30=0,"",SER_hh_tes_in!Q30/SER_hh_fec_in!Q30)</f>
        <v/>
      </c>
      <c r="R30" s="137" t="str">
        <f>IF(SER_hh_tes_in!R30=0,"",SER_hh_tes_in!R30/SER_hh_fec_in!R30)</f>
        <v/>
      </c>
      <c r="S30" s="137" t="str">
        <f>IF(SER_hh_tes_in!S30=0,"",SER_hh_tes_in!S30/SER_hh_fec_in!S30)</f>
        <v/>
      </c>
      <c r="T30" s="137" t="str">
        <f>IF(SER_hh_tes_in!T30=0,"",SER_hh_tes_in!T30/SER_hh_fec_in!T30)</f>
        <v/>
      </c>
      <c r="U30" s="137" t="str">
        <f>IF(SER_hh_tes_in!U30=0,"",SER_hh_tes_in!U30/SER_hh_fec_in!U30)</f>
        <v/>
      </c>
      <c r="V30" s="137" t="str">
        <f>IF(SER_hh_tes_in!V30=0,"",SER_hh_tes_in!V30/SER_hh_fec_in!V30)</f>
        <v/>
      </c>
      <c r="W30" s="137" t="str">
        <f>IF(SER_hh_tes_in!W30=0,"",SER_hh_tes_in!W30/SER_hh_fec_in!W30)</f>
        <v/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0.56510540004304488</v>
      </c>
      <c r="D31" s="137">
        <f>IF(SER_hh_tes_in!D31=0,"",SER_hh_tes_in!D31/SER_hh_fec_in!D31)</f>
        <v>0.56634946426158361</v>
      </c>
      <c r="E31" s="137">
        <f>IF(SER_hh_tes_in!E31=0,"",SER_hh_tes_in!E31/SER_hh_fec_in!E31)</f>
        <v>0.5675759833832964</v>
      </c>
      <c r="F31" s="137">
        <f>IF(SER_hh_tes_in!F31=0,"",SER_hh_tes_in!F31/SER_hh_fec_in!F31)</f>
        <v>0.56880010999180541</v>
      </c>
      <c r="G31" s="137">
        <f>IF(SER_hh_tes_in!G31=0,"",SER_hh_tes_in!G31/SER_hh_fec_in!G31)</f>
        <v>0.57000807859812352</v>
      </c>
      <c r="H31" s="137">
        <f>IF(SER_hh_tes_in!H31=0,"",SER_hh_tes_in!H31/SER_hh_fec_in!H31)</f>
        <v>0.57120157392285897</v>
      </c>
      <c r="I31" s="137">
        <f>IF(SER_hh_tes_in!I31=0,"",SER_hh_tes_in!I31/SER_hh_fec_in!I31)</f>
        <v>0.57237720414912219</v>
      </c>
      <c r="J31" s="137">
        <f>IF(SER_hh_tes_in!J31=0,"",SER_hh_tes_in!J31/SER_hh_fec_in!J31)</f>
        <v>0.57352107420032494</v>
      </c>
      <c r="K31" s="137">
        <f>IF(SER_hh_tes_in!K31=0,"",SER_hh_tes_in!K31/SER_hh_fec_in!K31)</f>
        <v>0.57462136960652532</v>
      </c>
      <c r="L31" s="137">
        <f>IF(SER_hh_tes_in!L31=0,"",SER_hh_tes_in!L31/SER_hh_fec_in!L31)</f>
        <v>0.57567492951264532</v>
      </c>
      <c r="M31" s="137" t="str">
        <f>IF(SER_hh_tes_in!M31=0,"",SER_hh_tes_in!M31/SER_hh_fec_in!M31)</f>
        <v/>
      </c>
      <c r="N31" s="137" t="str">
        <f>IF(SER_hh_tes_in!N31=0,"",SER_hh_tes_in!N31/SER_hh_fec_in!N31)</f>
        <v/>
      </c>
      <c r="O31" s="137">
        <f>IF(SER_hh_tes_in!O31=0,"",SER_hh_tes_in!O31/SER_hh_fec_in!O31)</f>
        <v>0.57624188423067357</v>
      </c>
      <c r="P31" s="137">
        <f>IF(SER_hh_tes_in!P31=0,"",SER_hh_tes_in!P31/SER_hh_fec_in!P31)</f>
        <v>0.57624188423067357</v>
      </c>
      <c r="Q31" s="137">
        <f>IF(SER_hh_tes_in!Q31=0,"",SER_hh_tes_in!Q31/SER_hh_fec_in!Q31)</f>
        <v>0.57624188423067357</v>
      </c>
      <c r="R31" s="137">
        <f>IF(SER_hh_tes_in!R31=0,"",SER_hh_tes_in!R31/SER_hh_fec_in!R31)</f>
        <v>0.57982373318983083</v>
      </c>
      <c r="S31" s="137">
        <f>IF(SER_hh_tes_in!S31=0,"",SER_hh_tes_in!S31/SER_hh_fec_in!S31)</f>
        <v>0.58568086779292161</v>
      </c>
      <c r="T31" s="137">
        <f>IF(SER_hh_tes_in!T31=0,"",SER_hh_tes_in!T31/SER_hh_fec_in!T31)</f>
        <v>0.59251419149652251</v>
      </c>
      <c r="U31" s="137" t="str">
        <f>IF(SER_hh_tes_in!U31=0,"",SER_hh_tes_in!U31/SER_hh_fec_in!U31)</f>
        <v/>
      </c>
      <c r="V31" s="137" t="str">
        <f>IF(SER_hh_tes_in!V31=0,"",SER_hh_tes_in!V31/SER_hh_fec_in!V31)</f>
        <v/>
      </c>
      <c r="W31" s="137" t="str">
        <f>IF(SER_hh_tes_in!W31=0,"",SER_hh_tes_in!W31/SER_hh_fec_in!W31)</f>
        <v/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>
        <f>IF(SER_hh_tes_in!G32=0,"",SER_hh_tes_in!G32/SER_hh_fec_in!G32)</f>
        <v>0.5664375082250479</v>
      </c>
      <c r="H32" s="137">
        <f>IF(SER_hh_tes_in!H32=0,"",SER_hh_tes_in!H32/SER_hh_fec_in!H32)</f>
        <v>0.56680191251677559</v>
      </c>
      <c r="I32" s="137">
        <f>IF(SER_hh_tes_in!I32=0,"",SER_hh_tes_in!I32/SER_hh_fec_in!I32)</f>
        <v>0.56716086214234718</v>
      </c>
      <c r="J32" s="137">
        <f>IF(SER_hh_tes_in!J32=0,"",SER_hh_tes_in!J32/SER_hh_fec_in!J32)</f>
        <v>0.56751011458364142</v>
      </c>
      <c r="K32" s="137">
        <f>IF(SER_hh_tes_in!K32=0,"",SER_hh_tes_in!K32/SER_hh_fec_in!K32)</f>
        <v>0.56784606258433978</v>
      </c>
      <c r="L32" s="137">
        <f>IF(SER_hh_tes_in!L32=0,"",SER_hh_tes_in!L32/SER_hh_fec_in!L32)</f>
        <v>0.56816774105548717</v>
      </c>
      <c r="M32" s="137" t="str">
        <f>IF(SER_hh_tes_in!M32=0,"",SER_hh_tes_in!M32/SER_hh_fec_in!M32)</f>
        <v/>
      </c>
      <c r="N32" s="137">
        <f>IF(SER_hh_tes_in!N32=0,"",SER_hh_tes_in!N32/SER_hh_fec_in!N32)</f>
        <v>0.5683408466623403</v>
      </c>
      <c r="O32" s="137">
        <f>IF(SER_hh_tes_in!O32=0,"",SER_hh_tes_in!O32/SER_hh_fec_in!O32)</f>
        <v>0.5683408466623403</v>
      </c>
      <c r="P32" s="137">
        <f>IF(SER_hh_tes_in!P32=0,"",SER_hh_tes_in!P32/SER_hh_fec_in!P32)</f>
        <v>0.5683408466623403</v>
      </c>
      <c r="Q32" s="137">
        <f>IF(SER_hh_tes_in!Q32=0,"",SER_hh_tes_in!Q32/SER_hh_fec_in!Q32)</f>
        <v>0.5683408466623403</v>
      </c>
      <c r="R32" s="137">
        <f>IF(SER_hh_tes_in!R32=0,"",SER_hh_tes_in!R32/SER_hh_fec_in!R32)</f>
        <v>0.56943447569128258</v>
      </c>
      <c r="S32" s="137">
        <f>IF(SER_hh_tes_in!S32=0,"",SER_hh_tes_in!S32/SER_hh_fec_in!S32)</f>
        <v>0.57122280694181882</v>
      </c>
      <c r="T32" s="137">
        <f>IF(SER_hh_tes_in!T32=0,"",SER_hh_tes_in!T32/SER_hh_fec_in!T32)</f>
        <v>0.57330919340077624</v>
      </c>
      <c r="U32" s="137">
        <f>IF(SER_hh_tes_in!U32=0,"",SER_hh_tes_in!U32/SER_hh_fec_in!U32)</f>
        <v>0.57547009366183977</v>
      </c>
      <c r="V32" s="137">
        <f>IF(SER_hh_tes_in!V32=0,"",SER_hh_tes_in!V32/SER_hh_fec_in!V32)</f>
        <v>0.57748196631869197</v>
      </c>
      <c r="W32" s="137">
        <f>IF(SER_hh_tes_in!W32=0,"",SER_hh_tes_in!W32/SER_hh_fec_in!W32)</f>
        <v>0.57934481137133187</v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0.74250980442752668</v>
      </c>
      <c r="D33" s="150">
        <f>IF(SER_hh_tes_in!D33=0,"",SER_hh_tes_in!D33/SER_hh_fec_in!D33)</f>
        <v>0.74410738290418532</v>
      </c>
      <c r="E33" s="150">
        <f>IF(SER_hh_tes_in!E33=0,"",SER_hh_tes_in!E33/SER_hh_fec_in!E33)</f>
        <v>0.7457640359606732</v>
      </c>
      <c r="F33" s="150">
        <f>IF(SER_hh_tes_in!F33=0,"",SER_hh_tes_in!F33/SER_hh_fec_in!F33)</f>
        <v>0.74742874464168318</v>
      </c>
      <c r="G33" s="150">
        <f>IF(SER_hh_tes_in!G33=0,"",SER_hh_tes_in!G33/SER_hh_fec_in!G33)</f>
        <v>0.74914785753600555</v>
      </c>
      <c r="H33" s="150">
        <f>IF(SER_hh_tes_in!H33=0,"",SER_hh_tes_in!H33/SER_hh_fec_in!H33)</f>
        <v>0.75091570216642323</v>
      </c>
      <c r="I33" s="150">
        <f>IF(SER_hh_tes_in!I33=0,"",SER_hh_tes_in!I33/SER_hh_fec_in!I33)</f>
        <v>0.75274369882656811</v>
      </c>
      <c r="J33" s="150">
        <f>IF(SER_hh_tes_in!J33=0,"",SER_hh_tes_in!J33/SER_hh_fec_in!J33)</f>
        <v>0.75467863242845101</v>
      </c>
      <c r="K33" s="150">
        <f>IF(SER_hh_tes_in!K33=0,"",SER_hh_tes_in!K33/SER_hh_fec_in!K33)</f>
        <v>0.75676028245317528</v>
      </c>
      <c r="L33" s="150">
        <f>IF(SER_hh_tes_in!L33=0,"",SER_hh_tes_in!L33/SER_hh_fec_in!L33)</f>
        <v>0.75899929154281276</v>
      </c>
      <c r="M33" s="150">
        <f>IF(SER_hh_tes_in!M33=0,"",SER_hh_tes_in!M33/SER_hh_fec_in!M33)</f>
        <v>0.76204553566209132</v>
      </c>
      <c r="N33" s="150">
        <f>IF(SER_hh_tes_in!N33=0,"",SER_hh_tes_in!N33/SER_hh_fec_in!N33)</f>
        <v>0.76608328954227922</v>
      </c>
      <c r="O33" s="150">
        <f>IF(SER_hh_tes_in!O33=0,"",SER_hh_tes_in!O33/SER_hh_fec_in!O33)</f>
        <v>0.77156061335475545</v>
      </c>
      <c r="P33" s="150">
        <f>IF(SER_hh_tes_in!P33=0,"",SER_hh_tes_in!P33/SER_hh_fec_in!P33)</f>
        <v>0.77871283234552147</v>
      </c>
      <c r="Q33" s="150">
        <f>IF(SER_hh_tes_in!Q33=0,"",SER_hh_tes_in!Q33/SER_hh_fec_in!Q33)</f>
        <v>0.78793108971365688</v>
      </c>
      <c r="R33" s="150">
        <f>IF(SER_hh_tes_in!R33=0,"",SER_hh_tes_in!R33/SER_hh_fec_in!R33)</f>
        <v>0.80047110745557648</v>
      </c>
      <c r="S33" s="150">
        <f>IF(SER_hh_tes_in!S33=0,"",SER_hh_tes_in!S33/SER_hh_fec_in!S33)</f>
        <v>0.81612222248638255</v>
      </c>
      <c r="T33" s="150">
        <f>IF(SER_hh_tes_in!T33=0,"",SER_hh_tes_in!T33/SER_hh_fec_in!T33)</f>
        <v>0.83294970948690461</v>
      </c>
      <c r="U33" s="150">
        <f>IF(SER_hh_tes_in!U33=0,"",SER_hh_tes_in!U33/SER_hh_fec_in!U33)</f>
        <v>0.84901884313801956</v>
      </c>
      <c r="V33" s="150">
        <f>IF(SER_hh_tes_in!V33=0,"",SER_hh_tes_in!V33/SER_hh_fec_in!V33)</f>
        <v>0.86239489812058334</v>
      </c>
      <c r="W33" s="150">
        <f>IF(SER_hh_tes_in!W33=0,"",SER_hh_tes_in!W33/SER_hh_fec_in!W33)</f>
        <v>0.87239826782819885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8.2103447840834871</v>
      </c>
      <c r="D3" s="126">
        <f t="shared" si="0"/>
        <v>17.651044132592652</v>
      </c>
      <c r="E3" s="126">
        <f t="shared" si="0"/>
        <v>19.216753577659198</v>
      </c>
      <c r="F3" s="126">
        <f t="shared" si="0"/>
        <v>22.989490195086759</v>
      </c>
      <c r="G3" s="126">
        <f t="shared" si="0"/>
        <v>24.938323400940753</v>
      </c>
      <c r="H3" s="126">
        <f t="shared" si="0"/>
        <v>19.856786332427582</v>
      </c>
      <c r="I3" s="126">
        <f t="shared" si="0"/>
        <v>28.684607922296312</v>
      </c>
      <c r="J3" s="126">
        <f t="shared" si="0"/>
        <v>14.371709611634479</v>
      </c>
      <c r="K3" s="126">
        <f t="shared" si="0"/>
        <v>1.7556600944084486</v>
      </c>
      <c r="L3" s="126">
        <f t="shared" si="0"/>
        <v>4.344204289856906</v>
      </c>
      <c r="M3" s="126">
        <f t="shared" si="0"/>
        <v>6.6254800300236338</v>
      </c>
      <c r="N3" s="126">
        <f t="shared" si="0"/>
        <v>3.3669534281526228</v>
      </c>
      <c r="O3" s="126">
        <f t="shared" si="0"/>
        <v>4.5417656670921893</v>
      </c>
      <c r="P3" s="126">
        <f t="shared" si="0"/>
        <v>2.9135645018643865</v>
      </c>
      <c r="Q3" s="126">
        <f t="shared" si="0"/>
        <v>2.4249057365515578</v>
      </c>
      <c r="R3" s="126">
        <f t="shared" ref="R3:W3" si="1">SUM(R4,R16,R19,R29)</f>
        <v>2.9189442629869937</v>
      </c>
      <c r="S3" s="126">
        <f t="shared" si="1"/>
        <v>2.961859117989075</v>
      </c>
      <c r="T3" s="126">
        <f t="shared" si="1"/>
        <v>3.047057413466443</v>
      </c>
      <c r="U3" s="126">
        <f t="shared" si="1"/>
        <v>2.0201471229906565</v>
      </c>
      <c r="V3" s="126">
        <f t="shared" si="1"/>
        <v>0.94003657557944886</v>
      </c>
      <c r="W3" s="126">
        <f t="shared" si="1"/>
        <v>0.84625532889039146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6.8503898911390682</v>
      </c>
      <c r="D4" s="131">
        <f t="shared" si="2"/>
        <v>15.859102313696031</v>
      </c>
      <c r="E4" s="131">
        <f t="shared" si="2"/>
        <v>17.329795394328922</v>
      </c>
      <c r="F4" s="131">
        <f t="shared" si="2"/>
        <v>21.610624443874475</v>
      </c>
      <c r="G4" s="131">
        <f t="shared" si="2"/>
        <v>22.90697659572194</v>
      </c>
      <c r="H4" s="131">
        <f t="shared" si="2"/>
        <v>17.735446800923484</v>
      </c>
      <c r="I4" s="131">
        <f t="shared" si="2"/>
        <v>23.173561652883762</v>
      </c>
      <c r="J4" s="131">
        <f t="shared" si="2"/>
        <v>11.479337997794126</v>
      </c>
      <c r="K4" s="131">
        <f t="shared" si="2"/>
        <v>1.5265850788966395</v>
      </c>
      <c r="L4" s="131">
        <f t="shared" si="2"/>
        <v>4.0478070624737894</v>
      </c>
      <c r="M4" s="131">
        <f t="shared" si="2"/>
        <v>6.4383553367631068</v>
      </c>
      <c r="N4" s="131">
        <f t="shared" si="2"/>
        <v>3.2516464187022516</v>
      </c>
      <c r="O4" s="131">
        <f t="shared" si="2"/>
        <v>4.3601154011488834</v>
      </c>
      <c r="P4" s="131">
        <f t="shared" si="2"/>
        <v>2.4640628138379475</v>
      </c>
      <c r="Q4" s="131">
        <f t="shared" si="2"/>
        <v>1.8849413763652765</v>
      </c>
      <c r="R4" s="131">
        <f t="shared" ref="R4:W4" si="3">SUM(R5:R15)</f>
        <v>2.3454914923130574</v>
      </c>
      <c r="S4" s="131">
        <f t="shared" si="3"/>
        <v>2.5059117083358244</v>
      </c>
      <c r="T4" s="131">
        <f t="shared" si="3"/>
        <v>2.7100607276738806</v>
      </c>
      <c r="U4" s="131">
        <f t="shared" si="3"/>
        <v>1.837630324663251</v>
      </c>
      <c r="V4" s="131">
        <f t="shared" si="3"/>
        <v>0.75783518274503481</v>
      </c>
      <c r="W4" s="131">
        <f t="shared" si="3"/>
        <v>0.75259220851612751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3.4232538075681314</v>
      </c>
      <c r="D5" s="133">
        <v>10.192783730069694</v>
      </c>
      <c r="E5" s="133">
        <v>11.11545991259508</v>
      </c>
      <c r="F5" s="133">
        <v>12.885397814056409</v>
      </c>
      <c r="G5" s="133">
        <v>16.404118353478335</v>
      </c>
      <c r="H5" s="133">
        <v>11.870030890401216</v>
      </c>
      <c r="I5" s="133">
        <v>10.119782883027305</v>
      </c>
      <c r="J5" s="133">
        <v>5.2908860837423726</v>
      </c>
      <c r="K5" s="133">
        <v>1.1409903098171872</v>
      </c>
      <c r="L5" s="133">
        <v>2.7787304511143449</v>
      </c>
      <c r="M5" s="133">
        <v>4.0098256306637934</v>
      </c>
      <c r="N5" s="133">
        <v>1.6028843228203693</v>
      </c>
      <c r="O5" s="133">
        <v>1.8928923114941336</v>
      </c>
      <c r="P5" s="133">
        <v>0.12143400539851523</v>
      </c>
      <c r="Q5" s="133">
        <v>0</v>
      </c>
      <c r="R5" s="133">
        <v>1.0694991492152415</v>
      </c>
      <c r="S5" s="133">
        <v>1.1728612932166793</v>
      </c>
      <c r="T5" s="133">
        <v>1.1684008445034972</v>
      </c>
      <c r="U5" s="133">
        <v>0.33043353952276994</v>
      </c>
      <c r="V5" s="133">
        <v>0</v>
      </c>
      <c r="W5" s="133">
        <v>0.19293117368646792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0</v>
      </c>
      <c r="D7" s="133">
        <v>0</v>
      </c>
      <c r="E7" s="133">
        <v>0</v>
      </c>
      <c r="F7" s="133">
        <v>0</v>
      </c>
      <c r="G7" s="133">
        <v>0</v>
      </c>
      <c r="H7" s="133">
        <v>0</v>
      </c>
      <c r="I7" s="133">
        <v>0</v>
      </c>
      <c r="J7" s="133">
        <v>0.78284800847354119</v>
      </c>
      <c r="K7" s="133">
        <v>4.370769297096444E-2</v>
      </c>
      <c r="L7" s="133">
        <v>0.22546276955121158</v>
      </c>
      <c r="M7" s="133">
        <v>0.66621692404140509</v>
      </c>
      <c r="N7" s="133">
        <v>0.2051013487473298</v>
      </c>
      <c r="O7" s="133">
        <v>0.23740227425243707</v>
      </c>
      <c r="P7" s="133">
        <v>0</v>
      </c>
      <c r="Q7" s="133">
        <v>0</v>
      </c>
      <c r="R7" s="133">
        <v>0</v>
      </c>
      <c r="S7" s="133">
        <v>0</v>
      </c>
      <c r="T7" s="133">
        <v>0</v>
      </c>
      <c r="U7" s="133">
        <v>4.9388434599278351E-2</v>
      </c>
      <c r="V7" s="133">
        <v>5.5242529170575691E-2</v>
      </c>
      <c r="W7" s="133">
        <v>1.7255815543781857E-2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3.4271360835709368</v>
      </c>
      <c r="D9" s="133">
        <v>5.6663185836263361</v>
      </c>
      <c r="E9" s="133">
        <v>6.2143354817338414</v>
      </c>
      <c r="F9" s="133">
        <v>8.7252266298180654</v>
      </c>
      <c r="G9" s="133">
        <v>6.5028582422436054</v>
      </c>
      <c r="H9" s="133">
        <v>5.865415910522267</v>
      </c>
      <c r="I9" s="133">
        <v>13.053778769856455</v>
      </c>
      <c r="J9" s="133">
        <v>5.4056039055782117</v>
      </c>
      <c r="K9" s="133">
        <v>0.34188707610848801</v>
      </c>
      <c r="L9" s="133">
        <v>1.043613841808233</v>
      </c>
      <c r="M9" s="133">
        <v>1.7623127820579085</v>
      </c>
      <c r="N9" s="133">
        <v>1.4436607471345526</v>
      </c>
      <c r="O9" s="133">
        <v>2.2298208154023134</v>
      </c>
      <c r="P9" s="133">
        <v>2.3426288084394322</v>
      </c>
      <c r="Q9" s="133">
        <v>1.8849413763652765</v>
      </c>
      <c r="R9" s="133">
        <v>1.275992343097816</v>
      </c>
      <c r="S9" s="133">
        <v>1.3330504151191451</v>
      </c>
      <c r="T9" s="133">
        <v>1.5416598831703834</v>
      </c>
      <c r="U9" s="133">
        <v>1.4578083505412027</v>
      </c>
      <c r="V9" s="133">
        <v>0.7025926535744591</v>
      </c>
      <c r="W9" s="133">
        <v>0.5424052192858777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0.1647432541177952</v>
      </c>
      <c r="D19" s="131">
        <f t="shared" si="6"/>
        <v>0.27650715158606576</v>
      </c>
      <c r="E19" s="131">
        <f t="shared" si="6"/>
        <v>0.33111610340148712</v>
      </c>
      <c r="F19" s="131">
        <f t="shared" si="6"/>
        <v>0.44410365465886908</v>
      </c>
      <c r="G19" s="131">
        <f t="shared" si="6"/>
        <v>0.52214060993977551</v>
      </c>
      <c r="H19" s="131">
        <f t="shared" si="6"/>
        <v>0.62624324881706461</v>
      </c>
      <c r="I19" s="131">
        <f t="shared" si="6"/>
        <v>1.5112967540694471</v>
      </c>
      <c r="J19" s="131">
        <f t="shared" si="6"/>
        <v>0.8302883103725327</v>
      </c>
      <c r="K19" s="131">
        <f t="shared" si="6"/>
        <v>6.8824965343958211E-2</v>
      </c>
      <c r="L19" s="131">
        <f t="shared" si="6"/>
        <v>0.11707729755661714</v>
      </c>
      <c r="M19" s="131">
        <f t="shared" si="6"/>
        <v>0.18712469326052666</v>
      </c>
      <c r="N19" s="131">
        <f t="shared" si="6"/>
        <v>0.11530700945037099</v>
      </c>
      <c r="O19" s="131">
        <f t="shared" si="6"/>
        <v>0.15837730474472433</v>
      </c>
      <c r="P19" s="131">
        <f t="shared" si="6"/>
        <v>0.14020373928502319</v>
      </c>
      <c r="Q19" s="131">
        <f t="shared" si="6"/>
        <v>0.15208989009008167</v>
      </c>
      <c r="R19" s="131">
        <f t="shared" ref="R19:W19" si="7">SUM(R20:R27)</f>
        <v>0.17554654091917049</v>
      </c>
      <c r="S19" s="131">
        <f t="shared" si="7"/>
        <v>0.17169454862578928</v>
      </c>
      <c r="T19" s="131">
        <f t="shared" si="7"/>
        <v>0.1934616368619041</v>
      </c>
      <c r="U19" s="131">
        <f t="shared" si="7"/>
        <v>0.18251679832740555</v>
      </c>
      <c r="V19" s="131">
        <f t="shared" si="7"/>
        <v>0.182201392834414</v>
      </c>
      <c r="W19" s="131">
        <f t="shared" si="7"/>
        <v>9.36631203742639E-2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3.5468740276441299E-2</v>
      </c>
      <c r="K22" s="133">
        <v>5.5261356527074087E-3</v>
      </c>
      <c r="L22" s="133">
        <v>2.6560841321433628E-2</v>
      </c>
      <c r="M22" s="133">
        <v>5.0730250879735435E-2</v>
      </c>
      <c r="N22" s="133">
        <v>3.9027938870323367E-2</v>
      </c>
      <c r="O22" s="133">
        <v>5.2471151682867513E-2</v>
      </c>
      <c r="P22" s="133">
        <v>0</v>
      </c>
      <c r="Q22" s="133">
        <v>2.6695629971600463E-3</v>
      </c>
      <c r="R22" s="133">
        <v>0</v>
      </c>
      <c r="S22" s="133">
        <v>2.8301298463124522E-3</v>
      </c>
      <c r="T22" s="133">
        <v>1.5493464686706592E-3</v>
      </c>
      <c r="U22" s="133">
        <v>1.4590736705386327E-2</v>
      </c>
      <c r="V22" s="133">
        <v>1.8798560931763981E-2</v>
      </c>
      <c r="W22" s="133">
        <v>1.147274114675856E-2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0.1647432541177952</v>
      </c>
      <c r="D23" s="133">
        <v>0.27650715158606576</v>
      </c>
      <c r="E23" s="133">
        <v>0.33111610340148712</v>
      </c>
      <c r="F23" s="133">
        <v>0.44410365465886908</v>
      </c>
      <c r="G23" s="133">
        <v>0.52214060993977551</v>
      </c>
      <c r="H23" s="133">
        <v>0.62624324881706461</v>
      </c>
      <c r="I23" s="133">
        <v>1.5112967540694471</v>
      </c>
      <c r="J23" s="133">
        <v>0.79481957009609139</v>
      </c>
      <c r="K23" s="133">
        <v>6.3298829691250807E-2</v>
      </c>
      <c r="L23" s="133">
        <v>9.0516456235183507E-2</v>
      </c>
      <c r="M23" s="133">
        <v>0.13639444238079124</v>
      </c>
      <c r="N23" s="133">
        <v>7.6279070580047625E-2</v>
      </c>
      <c r="O23" s="133">
        <v>0.10590615306185681</v>
      </c>
      <c r="P23" s="133">
        <v>0.14020373928502319</v>
      </c>
      <c r="Q23" s="133">
        <v>0.14942032709292163</v>
      </c>
      <c r="R23" s="133">
        <v>0.17554654091917049</v>
      </c>
      <c r="S23" s="133">
        <v>0.16886441877947683</v>
      </c>
      <c r="T23" s="133">
        <v>0.19191229039323343</v>
      </c>
      <c r="U23" s="133">
        <v>0.16792606162201923</v>
      </c>
      <c r="V23" s="133">
        <v>0.16340283190265001</v>
      </c>
      <c r="W23" s="133">
        <v>8.2190379227505342E-2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1.1952116388266243</v>
      </c>
      <c r="D29" s="131">
        <f t="shared" si="8"/>
        <v>1.5154346673105537</v>
      </c>
      <c r="E29" s="131">
        <f t="shared" si="8"/>
        <v>1.5558420799287878</v>
      </c>
      <c r="F29" s="131">
        <f t="shared" si="8"/>
        <v>0.93476209655341636</v>
      </c>
      <c r="G29" s="131">
        <f t="shared" si="8"/>
        <v>1.5092061952790392</v>
      </c>
      <c r="H29" s="131">
        <f t="shared" si="8"/>
        <v>1.4950962826870324</v>
      </c>
      <c r="I29" s="131">
        <f t="shared" si="8"/>
        <v>3.999749515343102</v>
      </c>
      <c r="J29" s="131">
        <f t="shared" si="8"/>
        <v>2.0620833034678201</v>
      </c>
      <c r="K29" s="131">
        <f t="shared" si="8"/>
        <v>0.16025005016785102</v>
      </c>
      <c r="L29" s="131">
        <f t="shared" si="8"/>
        <v>0.17931992982650008</v>
      </c>
      <c r="M29" s="131">
        <f t="shared" si="8"/>
        <v>0</v>
      </c>
      <c r="N29" s="131">
        <f t="shared" si="8"/>
        <v>0</v>
      </c>
      <c r="O29" s="131">
        <f t="shared" si="8"/>
        <v>2.3272961198581771E-2</v>
      </c>
      <c r="P29" s="131">
        <f t="shared" si="8"/>
        <v>0.30929794874141625</v>
      </c>
      <c r="Q29" s="131">
        <f t="shared" si="8"/>
        <v>0.3878744700961998</v>
      </c>
      <c r="R29" s="131">
        <f t="shared" ref="R29:W29" si="9">SUM(R30:R33)</f>
        <v>0.39790622975476592</v>
      </c>
      <c r="S29" s="131">
        <f t="shared" si="9"/>
        <v>0.28425286102746128</v>
      </c>
      <c r="T29" s="131">
        <f t="shared" si="9"/>
        <v>0.14353504893065819</v>
      </c>
      <c r="U29" s="131">
        <f t="shared" si="9"/>
        <v>0</v>
      </c>
      <c r="V29" s="131">
        <f t="shared" si="9"/>
        <v>0</v>
      </c>
      <c r="W29" s="131">
        <f t="shared" si="9"/>
        <v>0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1.1952116388266243</v>
      </c>
      <c r="D31" s="133">
        <v>1.5154346673105537</v>
      </c>
      <c r="E31" s="133">
        <v>1.5558420799287878</v>
      </c>
      <c r="F31" s="133">
        <v>0.93476209655341636</v>
      </c>
      <c r="G31" s="133">
        <v>1.5092061952790392</v>
      </c>
      <c r="H31" s="133">
        <v>1.4950962826870324</v>
      </c>
      <c r="I31" s="133">
        <v>3.999749515343102</v>
      </c>
      <c r="J31" s="133">
        <v>2.0620833034678201</v>
      </c>
      <c r="K31" s="133">
        <v>0.16025005016785102</v>
      </c>
      <c r="L31" s="133">
        <v>0.17931992982650008</v>
      </c>
      <c r="M31" s="133">
        <v>0</v>
      </c>
      <c r="N31" s="133">
        <v>0</v>
      </c>
      <c r="O31" s="133">
        <v>2.3272961198581771E-2</v>
      </c>
      <c r="P31" s="133">
        <v>0.30929794874141625</v>
      </c>
      <c r="Q31" s="133">
        <v>0.3878744700961998</v>
      </c>
      <c r="R31" s="133">
        <v>0.39790622975476592</v>
      </c>
      <c r="S31" s="133">
        <v>0.28425286102746128</v>
      </c>
      <c r="T31" s="133">
        <v>0.14353504893065819</v>
      </c>
      <c r="U31" s="133">
        <v>0</v>
      </c>
      <c r="V31" s="133">
        <v>0</v>
      </c>
      <c r="W31" s="133">
        <v>0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127661.3098016755</v>
      </c>
      <c r="D3" s="126">
        <f>IF(SER_hh_fec_in!D3=0,0,11630*1000*SER_hh_fec_in!D3/SER_hh_num_in!D3)</f>
        <v>124242.81047676687</v>
      </c>
      <c r="E3" s="126">
        <f>IF(SER_hh_fec_in!E3=0,0,11630*1000*SER_hh_fec_in!E3/SER_hh_num_in!E3)</f>
        <v>118904.04907468476</v>
      </c>
      <c r="F3" s="126">
        <f>IF(SER_hh_fec_in!F3=0,0,11630*1000*SER_hh_fec_in!F3/SER_hh_num_in!F3)</f>
        <v>119105.25095558935</v>
      </c>
      <c r="G3" s="126">
        <f>IF(SER_hh_fec_in!G3=0,0,11630*1000*SER_hh_fec_in!G3/SER_hh_num_in!G3)</f>
        <v>113592.30590796363</v>
      </c>
      <c r="H3" s="126">
        <f>IF(SER_hh_fec_in!H3=0,0,11630*1000*SER_hh_fec_in!H3/SER_hh_num_in!H3)</f>
        <v>119314.90841209263</v>
      </c>
      <c r="I3" s="126">
        <f>IF(SER_hh_fec_in!I3=0,0,11630*1000*SER_hh_fec_in!I3/SER_hh_num_in!I3)</f>
        <v>106692.585481487</v>
      </c>
      <c r="J3" s="126">
        <f>IF(SER_hh_fec_in!J3=0,0,11630*1000*SER_hh_fec_in!J3/SER_hh_num_in!J3)</f>
        <v>94422.082769780463</v>
      </c>
      <c r="K3" s="126">
        <f>IF(SER_hh_fec_in!K3=0,0,11630*1000*SER_hh_fec_in!K3/SER_hh_num_in!K3)</f>
        <v>98877.211130252908</v>
      </c>
      <c r="L3" s="126">
        <f>IF(SER_hh_fec_in!L3=0,0,11630*1000*SER_hh_fec_in!L3/SER_hh_num_in!L3)</f>
        <v>96072.593068030241</v>
      </c>
      <c r="M3" s="126">
        <f>IF(SER_hh_fec_in!M3=0,0,11630*1000*SER_hh_fec_in!M3/SER_hh_num_in!M3)</f>
        <v>84750.867230462027</v>
      </c>
      <c r="N3" s="126">
        <f>IF(SER_hh_fec_in!N3=0,0,11630*1000*SER_hh_fec_in!N3/SER_hh_num_in!N3)</f>
        <v>89365.218414633695</v>
      </c>
      <c r="O3" s="126">
        <f>IF(SER_hh_fec_in!O3=0,0,11630*1000*SER_hh_fec_in!O3/SER_hh_num_in!O3)</f>
        <v>81867.714411640467</v>
      </c>
      <c r="P3" s="126">
        <f>IF(SER_hh_fec_in!P3=0,0,11630*1000*SER_hh_fec_in!P3/SER_hh_num_in!P3)</f>
        <v>71311.899999084984</v>
      </c>
      <c r="Q3" s="126">
        <f>IF(SER_hh_fec_in!Q3=0,0,11630*1000*SER_hh_fec_in!Q3/SER_hh_num_in!Q3)</f>
        <v>71663.32988548663</v>
      </c>
      <c r="R3" s="126">
        <f>IF(SER_hh_fec_in!R3=0,0,11630*1000*SER_hh_fec_in!R3/SER_hh_num_in!R3)</f>
        <v>71026.822826049727</v>
      </c>
      <c r="S3" s="126">
        <f>IF(SER_hh_fec_in!S3=0,0,11630*1000*SER_hh_fec_in!S3/SER_hh_num_in!S3)</f>
        <v>72459.709667219635</v>
      </c>
      <c r="T3" s="126">
        <f>IF(SER_hh_fec_in!T3=0,0,11630*1000*SER_hh_fec_in!T3/SER_hh_num_in!T3)</f>
        <v>73814.732302480523</v>
      </c>
      <c r="U3" s="126">
        <f>IF(SER_hh_fec_in!U3=0,0,11630*1000*SER_hh_fec_in!U3/SER_hh_num_in!U3)</f>
        <v>68503.936353301455</v>
      </c>
      <c r="V3" s="126">
        <f>IF(SER_hh_fec_in!V3=0,0,11630*1000*SER_hh_fec_in!V3/SER_hh_num_in!V3)</f>
        <v>59514.751607338585</v>
      </c>
      <c r="W3" s="126">
        <f>IF(SER_hh_fec_in!W3=0,0,11630*1000*SER_hh_fec_in!W3/SER_hh_num_in!W3)</f>
        <v>67665.411088386521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101863.62284343246</v>
      </c>
      <c r="D4" s="131">
        <f>IF(SER_hh_fec_in!D4=0,0,11630*1000*SER_hh_fec_in!D4/SER_hh_num_in!D4)</f>
        <v>98506.912788527799</v>
      </c>
      <c r="E4" s="131">
        <f>IF(SER_hh_fec_in!E4=0,0,11630*1000*SER_hh_fec_in!E4/SER_hh_num_in!E4)</f>
        <v>94993.111217467973</v>
      </c>
      <c r="F4" s="131">
        <f>IF(SER_hh_fec_in!F4=0,0,11630*1000*SER_hh_fec_in!F4/SER_hh_num_in!F4)</f>
        <v>94948.473433654217</v>
      </c>
      <c r="G4" s="131">
        <f>IF(SER_hh_fec_in!G4=0,0,11630*1000*SER_hh_fec_in!G4/SER_hh_num_in!G4)</f>
        <v>88561.527284604119</v>
      </c>
      <c r="H4" s="131">
        <f>IF(SER_hh_fec_in!H4=0,0,11630*1000*SER_hh_fec_in!H4/SER_hh_num_in!H4)</f>
        <v>93003.502984354258</v>
      </c>
      <c r="I4" s="131">
        <f>IF(SER_hh_fec_in!I4=0,0,11630*1000*SER_hh_fec_in!I4/SER_hh_num_in!I4)</f>
        <v>82256.09000338777</v>
      </c>
      <c r="J4" s="131">
        <f>IF(SER_hh_fec_in!J4=0,0,11630*1000*SER_hh_fec_in!J4/SER_hh_num_in!J4)</f>
        <v>69333.729370395478</v>
      </c>
      <c r="K4" s="131">
        <f>IF(SER_hh_fec_in!K4=0,0,11630*1000*SER_hh_fec_in!K4/SER_hh_num_in!K4)</f>
        <v>70583.633083343972</v>
      </c>
      <c r="L4" s="131">
        <f>IF(SER_hh_fec_in!L4=0,0,11630*1000*SER_hh_fec_in!L4/SER_hh_num_in!L4)</f>
        <v>69383.161102494443</v>
      </c>
      <c r="M4" s="131">
        <f>IF(SER_hh_fec_in!M4=0,0,11630*1000*SER_hh_fec_in!M4/SER_hh_num_in!M4)</f>
        <v>61227.800417449573</v>
      </c>
      <c r="N4" s="131">
        <f>IF(SER_hh_fec_in!N4=0,0,11630*1000*SER_hh_fec_in!N4/SER_hh_num_in!N4)</f>
        <v>63191.400258601294</v>
      </c>
      <c r="O4" s="131">
        <f>IF(SER_hh_fec_in!O4=0,0,11630*1000*SER_hh_fec_in!O4/SER_hh_num_in!O4)</f>
        <v>57104.82618098511</v>
      </c>
      <c r="P4" s="131">
        <f>IF(SER_hh_fec_in!P4=0,0,11630*1000*SER_hh_fec_in!P4/SER_hh_num_in!P4)</f>
        <v>47395.325126999429</v>
      </c>
      <c r="Q4" s="131">
        <f>IF(SER_hh_fec_in!Q4=0,0,11630*1000*SER_hh_fec_in!Q4/SER_hh_num_in!Q4)</f>
        <v>46253.645885691498</v>
      </c>
      <c r="R4" s="131">
        <f>IF(SER_hh_fec_in!R4=0,0,11630*1000*SER_hh_fec_in!R4/SER_hh_num_in!R4)</f>
        <v>45764.121781000445</v>
      </c>
      <c r="S4" s="131">
        <f>IF(SER_hh_fec_in!S4=0,0,11630*1000*SER_hh_fec_in!S4/SER_hh_num_in!S4)</f>
        <v>48198.826639243125</v>
      </c>
      <c r="T4" s="131">
        <f>IF(SER_hh_fec_in!T4=0,0,11630*1000*SER_hh_fec_in!T4/SER_hh_num_in!T4)</f>
        <v>49659.58782934014</v>
      </c>
      <c r="U4" s="131">
        <f>IF(SER_hh_fec_in!U4=0,0,11630*1000*SER_hh_fec_in!U4/SER_hh_num_in!U4)</f>
        <v>44494.416510840892</v>
      </c>
      <c r="V4" s="131">
        <f>IF(SER_hh_fec_in!V4=0,0,11630*1000*SER_hh_fec_in!V4/SER_hh_num_in!V4)</f>
        <v>37891.18542183478</v>
      </c>
      <c r="W4" s="131">
        <f>IF(SER_hh_fec_in!W4=0,0,11630*1000*SER_hh_fec_in!W4/SER_hh_num_in!W4)</f>
        <v>43184.941421716714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111048.33046450949</v>
      </c>
      <c r="D5" s="133">
        <f>IF(SER_hh_fec_in!D5=0,0,11630*1000*SER_hh_fec_in!D5/SER_hh_num_in!D5)</f>
        <v>119150.53991499824</v>
      </c>
      <c r="E5" s="133">
        <f>IF(SER_hh_fec_in!E5=0,0,11630*1000*SER_hh_fec_in!E5/SER_hh_num_in!E5)</f>
        <v>111661.10818082535</v>
      </c>
      <c r="F5" s="133">
        <f>IF(SER_hh_fec_in!F5=0,0,11630*1000*SER_hh_fec_in!F5/SER_hh_num_in!F5)</f>
        <v>97610.659095577561</v>
      </c>
      <c r="G5" s="133">
        <f>IF(SER_hh_fec_in!G5=0,0,11630*1000*SER_hh_fec_in!G5/SER_hh_num_in!G5)</f>
        <v>100055.31916547805</v>
      </c>
      <c r="H5" s="133">
        <f>IF(SER_hh_fec_in!H5=0,0,11630*1000*SER_hh_fec_in!H5/SER_hh_num_in!H5)</f>
        <v>124830.310419645</v>
      </c>
      <c r="I5" s="133">
        <f>IF(SER_hh_fec_in!I5=0,0,11630*1000*SER_hh_fec_in!I5/SER_hh_num_in!I5)</f>
        <v>91030.443208449477</v>
      </c>
      <c r="J5" s="133">
        <f>IF(SER_hh_fec_in!J5=0,0,11630*1000*SER_hh_fec_in!J5/SER_hh_num_in!J5)</f>
        <v>66286.346799583378</v>
      </c>
      <c r="K5" s="133">
        <f>IF(SER_hh_fec_in!K5=0,0,11630*1000*SER_hh_fec_in!K5/SER_hh_num_in!K5)</f>
        <v>75770.659844084104</v>
      </c>
      <c r="L5" s="133">
        <f>IF(SER_hh_fec_in!L5=0,0,11630*1000*SER_hh_fec_in!L5/SER_hh_num_in!L5)</f>
        <v>71267.106753843676</v>
      </c>
      <c r="M5" s="133">
        <f>IF(SER_hh_fec_in!M5=0,0,11630*1000*SER_hh_fec_in!M5/SER_hh_num_in!M5)</f>
        <v>82405.554115465144</v>
      </c>
      <c r="N5" s="133">
        <f>IF(SER_hh_fec_in!N5=0,0,11630*1000*SER_hh_fec_in!N5/SER_hh_num_in!N5)</f>
        <v>56386.181542013743</v>
      </c>
      <c r="O5" s="133">
        <f>IF(SER_hh_fec_in!O5=0,0,11630*1000*SER_hh_fec_in!O5/SER_hh_num_in!O5)</f>
        <v>65069.312623575985</v>
      </c>
      <c r="P5" s="133">
        <f>IF(SER_hh_fec_in!P5=0,0,11630*1000*SER_hh_fec_in!P5/SER_hh_num_in!P5)</f>
        <v>57581.926703501842</v>
      </c>
      <c r="Q5" s="133">
        <f>IF(SER_hh_fec_in!Q5=0,0,11630*1000*SER_hh_fec_in!Q5/SER_hh_num_in!Q5)</f>
        <v>0</v>
      </c>
      <c r="R5" s="133">
        <f>IF(SER_hh_fec_in!R5=0,0,11630*1000*SER_hh_fec_in!R5/SER_hh_num_in!R5)</f>
        <v>53063.533915447028</v>
      </c>
      <c r="S5" s="133">
        <f>IF(SER_hh_fec_in!S5=0,0,11630*1000*SER_hh_fec_in!S5/SER_hh_num_in!S5)</f>
        <v>54615.286159372692</v>
      </c>
      <c r="T5" s="133">
        <f>IF(SER_hh_fec_in!T5=0,0,11630*1000*SER_hh_fec_in!T5/SER_hh_num_in!T5)</f>
        <v>56555.251563448903</v>
      </c>
      <c r="U5" s="133">
        <f>IF(SER_hh_fec_in!U5=0,0,11630*1000*SER_hh_fec_in!U5/SER_hh_num_in!U5)</f>
        <v>49811.094542891071</v>
      </c>
      <c r="V5" s="133">
        <f>IF(SER_hh_fec_in!V5=0,0,11630*1000*SER_hh_fec_in!V5/SER_hh_num_in!V5)</f>
        <v>0</v>
      </c>
      <c r="W5" s="133">
        <f>IF(SER_hh_fec_in!W5=0,0,11630*1000*SER_hh_fec_in!W5/SER_hh_num_in!W5)</f>
        <v>46936.771663399624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0</v>
      </c>
      <c r="D7" s="133">
        <f>IF(SER_hh_fec_in!D7=0,0,11630*1000*SER_hh_fec_in!D7/SER_hh_num_in!D7)</f>
        <v>0</v>
      </c>
      <c r="E7" s="133">
        <f>IF(SER_hh_fec_in!E7=0,0,11630*1000*SER_hh_fec_in!E7/SER_hh_num_in!E7)</f>
        <v>0</v>
      </c>
      <c r="F7" s="133">
        <f>IF(SER_hh_fec_in!F7=0,0,11630*1000*SER_hh_fec_in!F7/SER_hh_num_in!F7)</f>
        <v>0</v>
      </c>
      <c r="G7" s="133">
        <f>IF(SER_hh_fec_in!G7=0,0,11630*1000*SER_hh_fec_in!G7/SER_hh_num_in!G7)</f>
        <v>0</v>
      </c>
      <c r="H7" s="133">
        <f>IF(SER_hh_fec_in!H7=0,0,11630*1000*SER_hh_fec_in!H7/SER_hh_num_in!H7)</f>
        <v>0</v>
      </c>
      <c r="I7" s="133">
        <f>IF(SER_hh_fec_in!I7=0,0,11630*1000*SER_hh_fec_in!I7/SER_hh_num_in!I7)</f>
        <v>0</v>
      </c>
      <c r="J7" s="133">
        <f>IF(SER_hh_fec_in!J7=0,0,11630*1000*SER_hh_fec_in!J7/SER_hh_num_in!J7)</f>
        <v>152585.82058012325</v>
      </c>
      <c r="K7" s="133">
        <f>IF(SER_hh_fec_in!K7=0,0,11630*1000*SER_hh_fec_in!K7/SER_hh_num_in!K7)</f>
        <v>47618.499618434005</v>
      </c>
      <c r="L7" s="133">
        <f>IF(SER_hh_fec_in!L7=0,0,11630*1000*SER_hh_fec_in!L7/SER_hh_num_in!L7)</f>
        <v>72108.640542995359</v>
      </c>
      <c r="M7" s="133">
        <f>IF(SER_hh_fec_in!M7=0,0,11630*1000*SER_hh_fec_in!M7/SER_hh_num_in!M7)</f>
        <v>96266.742765564166</v>
      </c>
      <c r="N7" s="133">
        <f>IF(SER_hh_fec_in!N7=0,0,11630*1000*SER_hh_fec_in!N7/SER_hh_num_in!N7)</f>
        <v>59694.197551587902</v>
      </c>
      <c r="O7" s="133">
        <f>IF(SER_hh_fec_in!O7=0,0,11630*1000*SER_hh_fec_in!O7/SER_hh_num_in!O7)</f>
        <v>59608.669779264288</v>
      </c>
      <c r="P7" s="133">
        <f>IF(SER_hh_fec_in!P7=0,0,11630*1000*SER_hh_fec_in!P7/SER_hh_num_in!P7)</f>
        <v>0</v>
      </c>
      <c r="Q7" s="133">
        <f>IF(SER_hh_fec_in!Q7=0,0,11630*1000*SER_hh_fec_in!Q7/SER_hh_num_in!Q7)</f>
        <v>0</v>
      </c>
      <c r="R7" s="133">
        <f>IF(SER_hh_fec_in!R7=0,0,11630*1000*SER_hh_fec_in!R7/SER_hh_num_in!R7)</f>
        <v>0</v>
      </c>
      <c r="S7" s="133">
        <f>IF(SER_hh_fec_in!S7=0,0,11630*1000*SER_hh_fec_in!S7/SER_hh_num_in!S7)</f>
        <v>0</v>
      </c>
      <c r="T7" s="133">
        <f>IF(SER_hh_fec_in!T7=0,0,11630*1000*SER_hh_fec_in!T7/SER_hh_num_in!T7)</f>
        <v>0</v>
      </c>
      <c r="U7" s="133">
        <f>IF(SER_hh_fec_in!U7=0,0,11630*1000*SER_hh_fec_in!U7/SER_hh_num_in!U7)</f>
        <v>46711.409338781872</v>
      </c>
      <c r="V7" s="133">
        <f>IF(SER_hh_fec_in!V7=0,0,11630*1000*SER_hh_fec_in!V7/SER_hh_num_in!V7)</f>
        <v>44149.266000024552</v>
      </c>
      <c r="W7" s="133">
        <f>IF(SER_hh_fec_in!W7=0,0,11630*1000*SER_hh_fec_in!W7/SER_hh_num_in!W7)</f>
        <v>47252.220657352649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0</v>
      </c>
      <c r="D8" s="133">
        <f>IF(SER_hh_fec_in!D8=0,0,11630*1000*SER_hh_fec_in!D8/SER_hh_num_in!D8)</f>
        <v>0</v>
      </c>
      <c r="E8" s="133">
        <f>IF(SER_hh_fec_in!E8=0,0,11630*1000*SER_hh_fec_in!E8/SER_hh_num_in!E8)</f>
        <v>0</v>
      </c>
      <c r="F8" s="133">
        <f>IF(SER_hh_fec_in!F8=0,0,11630*1000*SER_hh_fec_in!F8/SER_hh_num_in!F8)</f>
        <v>0</v>
      </c>
      <c r="G8" s="133">
        <f>IF(SER_hh_fec_in!G8=0,0,11630*1000*SER_hh_fec_in!G8/SER_hh_num_in!G8)</f>
        <v>0</v>
      </c>
      <c r="H8" s="133">
        <f>IF(SER_hh_fec_in!H8=0,0,11630*1000*SER_hh_fec_in!H8/SER_hh_num_in!H8)</f>
        <v>0</v>
      </c>
      <c r="I8" s="133">
        <f>IF(SER_hh_fec_in!I8=0,0,11630*1000*SER_hh_fec_in!I8/SER_hh_num_in!I8)</f>
        <v>0</v>
      </c>
      <c r="J8" s="133">
        <f>IF(SER_hh_fec_in!J8=0,0,11630*1000*SER_hh_fec_in!J8/SER_hh_num_in!J8)</f>
        <v>0</v>
      </c>
      <c r="K8" s="133">
        <f>IF(SER_hh_fec_in!K8=0,0,11630*1000*SER_hh_fec_in!K8/SER_hh_num_in!K8)</f>
        <v>0</v>
      </c>
      <c r="L8" s="133">
        <f>IF(SER_hh_fec_in!L8=0,0,11630*1000*SER_hh_fec_in!L8/SER_hh_num_in!L8)</f>
        <v>0</v>
      </c>
      <c r="M8" s="133">
        <f>IF(SER_hh_fec_in!M8=0,0,11630*1000*SER_hh_fec_in!M8/SER_hh_num_in!M8)</f>
        <v>0</v>
      </c>
      <c r="N8" s="133">
        <f>IF(SER_hh_fec_in!N8=0,0,11630*1000*SER_hh_fec_in!N8/SER_hh_num_in!N8)</f>
        <v>0</v>
      </c>
      <c r="O8" s="133">
        <f>IF(SER_hh_fec_in!O8=0,0,11630*1000*SER_hh_fec_in!O8/SER_hh_num_in!O8)</f>
        <v>0</v>
      </c>
      <c r="P8" s="133">
        <f>IF(SER_hh_fec_in!P8=0,0,11630*1000*SER_hh_fec_in!P8/SER_hh_num_in!P8)</f>
        <v>0</v>
      </c>
      <c r="Q8" s="133">
        <f>IF(SER_hh_fec_in!Q8=0,0,11630*1000*SER_hh_fec_in!Q8/SER_hh_num_in!Q8)</f>
        <v>0</v>
      </c>
      <c r="R8" s="133">
        <f>IF(SER_hh_fec_in!R8=0,0,11630*1000*SER_hh_fec_in!R8/SER_hh_num_in!R8)</f>
        <v>0</v>
      </c>
      <c r="S8" s="133">
        <f>IF(SER_hh_fec_in!S8=0,0,11630*1000*SER_hh_fec_in!S8/SER_hh_num_in!S8)</f>
        <v>0</v>
      </c>
      <c r="T8" s="133">
        <f>IF(SER_hh_fec_in!T8=0,0,11630*1000*SER_hh_fec_in!T8/SER_hh_num_in!T8)</f>
        <v>0</v>
      </c>
      <c r="U8" s="133">
        <f>IF(SER_hh_fec_in!U8=0,0,11630*1000*SER_hh_fec_in!U8/SER_hh_num_in!U8)</f>
        <v>0</v>
      </c>
      <c r="V8" s="133">
        <f>IF(SER_hh_fec_in!V8=0,0,11630*1000*SER_hh_fec_in!V8/SER_hh_num_in!V8)</f>
        <v>0</v>
      </c>
      <c r="W8" s="133">
        <f>IF(SER_hh_fec_in!W8=0,0,11630*1000*SER_hh_fec_in!W8/SER_hh_num_in!W8)</f>
        <v>0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119989.35423440974</v>
      </c>
      <c r="D9" s="133">
        <f>IF(SER_hh_fec_in!D9=0,0,11630*1000*SER_hh_fec_in!D9/SER_hh_num_in!D9)</f>
        <v>116509.68455202672</v>
      </c>
      <c r="E9" s="133">
        <f>IF(SER_hh_fec_in!E9=0,0,11630*1000*SER_hh_fec_in!E9/SER_hh_num_in!E9)</f>
        <v>102816.18440350295</v>
      </c>
      <c r="F9" s="133">
        <f>IF(SER_hh_fec_in!F9=0,0,11630*1000*SER_hh_fec_in!F9/SER_hh_num_in!F9)</f>
        <v>120765.08413123492</v>
      </c>
      <c r="G9" s="133">
        <f>IF(SER_hh_fec_in!G9=0,0,11630*1000*SER_hh_fec_in!G9/SER_hh_num_in!G9)</f>
        <v>100211.88545604676</v>
      </c>
      <c r="H9" s="133">
        <f>IF(SER_hh_fec_in!H9=0,0,11630*1000*SER_hh_fec_in!H9/SER_hh_num_in!H9)</f>
        <v>92195.32279450557</v>
      </c>
      <c r="I9" s="133">
        <f>IF(SER_hh_fec_in!I9=0,0,11630*1000*SER_hh_fec_in!I9/SER_hh_num_in!I9)</f>
        <v>104420.0155039933</v>
      </c>
      <c r="J9" s="133">
        <f>IF(SER_hh_fec_in!J9=0,0,11630*1000*SER_hh_fec_in!J9/SER_hh_num_in!J9)</f>
        <v>85800.215622658754</v>
      </c>
      <c r="K9" s="133">
        <f>IF(SER_hh_fec_in!K9=0,0,11630*1000*SER_hh_fec_in!K9/SER_hh_num_in!K9)</f>
        <v>71869.942139313105</v>
      </c>
      <c r="L9" s="133">
        <f>IF(SER_hh_fec_in!L9=0,0,11630*1000*SER_hh_fec_in!L9/SER_hh_num_in!L9)</f>
        <v>77107.418560176695</v>
      </c>
      <c r="M9" s="133">
        <f>IF(SER_hh_fec_in!M9=0,0,11630*1000*SER_hh_fec_in!M9/SER_hh_num_in!M9)</f>
        <v>64600.166426980286</v>
      </c>
      <c r="N9" s="133">
        <f>IF(SER_hh_fec_in!N9=0,0,11630*1000*SER_hh_fec_in!N9/SER_hh_num_in!N9)</f>
        <v>66241.554924807177</v>
      </c>
      <c r="O9" s="133">
        <f>IF(SER_hh_fec_in!O9=0,0,11630*1000*SER_hh_fec_in!O9/SER_hh_num_in!O9)</f>
        <v>61892.088037685658</v>
      </c>
      <c r="P9" s="133">
        <f>IF(SER_hh_fec_in!P9=0,0,11630*1000*SER_hh_fec_in!P9/SER_hh_num_in!P9)</f>
        <v>50343.172054183102</v>
      </c>
      <c r="Q9" s="133">
        <f>IF(SER_hh_fec_in!Q9=0,0,11630*1000*SER_hh_fec_in!Q9/SER_hh_num_in!Q9)</f>
        <v>51321.747707480281</v>
      </c>
      <c r="R9" s="133">
        <f>IF(SER_hh_fec_in!R9=0,0,11630*1000*SER_hh_fec_in!R9/SER_hh_num_in!R9)</f>
        <v>51773.085861612126</v>
      </c>
      <c r="S9" s="133">
        <f>IF(SER_hh_fec_in!S9=0,0,11630*1000*SER_hh_fec_in!S9/SER_hh_num_in!S9)</f>
        <v>52179.100580541861</v>
      </c>
      <c r="T9" s="133">
        <f>IF(SER_hh_fec_in!T9=0,0,11630*1000*SER_hh_fec_in!T9/SER_hh_num_in!T9)</f>
        <v>51582.827252379146</v>
      </c>
      <c r="U9" s="133">
        <f>IF(SER_hh_fec_in!U9=0,0,11630*1000*SER_hh_fec_in!U9/SER_hh_num_in!U9)</f>
        <v>49114.249107499461</v>
      </c>
      <c r="V9" s="133">
        <f>IF(SER_hh_fec_in!V9=0,0,11630*1000*SER_hh_fec_in!V9/SER_hh_num_in!V9)</f>
        <v>45507.481043264241</v>
      </c>
      <c r="W9" s="133">
        <f>IF(SER_hh_fec_in!W9=0,0,11630*1000*SER_hh_fec_in!W9/SER_hh_num_in!W9)</f>
        <v>45998.695232181642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135757.58002647833</v>
      </c>
      <c r="D10" s="133">
        <f>IF(SER_hh_fec_in!D10=0,0,11630*1000*SER_hh_fec_in!D10/SER_hh_num_in!D10)</f>
        <v>137500.57482197904</v>
      </c>
      <c r="E10" s="133">
        <f>IF(SER_hh_fec_in!E10=0,0,11630*1000*SER_hh_fec_in!E10/SER_hh_num_in!E10)</f>
        <v>123550.58414933291</v>
      </c>
      <c r="F10" s="133">
        <f>IF(SER_hh_fec_in!F10=0,0,11630*1000*SER_hh_fec_in!F10/SER_hh_num_in!F10)</f>
        <v>118759.43838172435</v>
      </c>
      <c r="G10" s="133">
        <f>IF(SER_hh_fec_in!G10=0,0,11630*1000*SER_hh_fec_in!G10/SER_hh_num_in!G10)</f>
        <v>119088.57604141616</v>
      </c>
      <c r="H10" s="133">
        <f>IF(SER_hh_fec_in!H10=0,0,11630*1000*SER_hh_fec_in!H10/SER_hh_num_in!H10)</f>
        <v>115911.69870332208</v>
      </c>
      <c r="I10" s="133">
        <f>IF(SER_hh_fec_in!I10=0,0,11630*1000*SER_hh_fec_in!I10/SER_hh_num_in!I10)</f>
        <v>105083.52739398781</v>
      </c>
      <c r="J10" s="133">
        <f>IF(SER_hh_fec_in!J10=0,0,11630*1000*SER_hh_fec_in!J10/SER_hh_num_in!J10)</f>
        <v>100488.98561253157</v>
      </c>
      <c r="K10" s="133">
        <f>IF(SER_hh_fec_in!K10=0,0,11630*1000*SER_hh_fec_in!K10/SER_hh_num_in!K10)</f>
        <v>91705.684267050354</v>
      </c>
      <c r="L10" s="133">
        <f>IF(SER_hh_fec_in!L10=0,0,11630*1000*SER_hh_fec_in!L10/SER_hh_num_in!L10)</f>
        <v>85941.250871026175</v>
      </c>
      <c r="M10" s="133">
        <f>IF(SER_hh_fec_in!M10=0,0,11630*1000*SER_hh_fec_in!M10/SER_hh_num_in!M10)</f>
        <v>85035.452263129817</v>
      </c>
      <c r="N10" s="133">
        <f>IF(SER_hh_fec_in!N10=0,0,11630*1000*SER_hh_fec_in!N10/SER_hh_num_in!N10)</f>
        <v>83453.431727163959</v>
      </c>
      <c r="O10" s="133">
        <f>IF(SER_hh_fec_in!O10=0,0,11630*1000*SER_hh_fec_in!O10/SER_hh_num_in!O10)</f>
        <v>80089.767224929543</v>
      </c>
      <c r="P10" s="133">
        <f>IF(SER_hh_fec_in!P10=0,0,11630*1000*SER_hh_fec_in!P10/SER_hh_num_in!P10)</f>
        <v>72251.823783840417</v>
      </c>
      <c r="Q10" s="133">
        <f>IF(SER_hh_fec_in!Q10=0,0,11630*1000*SER_hh_fec_in!Q10/SER_hh_num_in!Q10)</f>
        <v>68740.981158179624</v>
      </c>
      <c r="R10" s="133">
        <f>IF(SER_hh_fec_in!R10=0,0,11630*1000*SER_hh_fec_in!R10/SER_hh_num_in!R10)</f>
        <v>0</v>
      </c>
      <c r="S10" s="133">
        <f>IF(SER_hh_fec_in!S10=0,0,11630*1000*SER_hh_fec_in!S10/SER_hh_num_in!S10)</f>
        <v>0</v>
      </c>
      <c r="T10" s="133">
        <f>IF(SER_hh_fec_in!T10=0,0,11630*1000*SER_hh_fec_in!T10/SER_hh_num_in!T10)</f>
        <v>69863.168915434944</v>
      </c>
      <c r="U10" s="133">
        <f>IF(SER_hh_fec_in!U10=0,0,11630*1000*SER_hh_fec_in!U10/SER_hh_num_in!U10)</f>
        <v>64590.841062915082</v>
      </c>
      <c r="V10" s="133">
        <f>IF(SER_hh_fec_in!V10=0,0,11630*1000*SER_hh_fec_in!V10/SER_hh_num_in!V10)</f>
        <v>66879.440714559183</v>
      </c>
      <c r="W10" s="133">
        <f>IF(SER_hh_fec_in!W10=0,0,11630*1000*SER_hh_fec_in!W10/SER_hh_num_in!W10)</f>
        <v>61877.986532462928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0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0</v>
      </c>
      <c r="N11" s="133">
        <f>IF(SER_hh_fec_in!N11=0,0,11630*1000*SER_hh_fec_in!N11/SER_hh_num_in!N11)</f>
        <v>0</v>
      </c>
      <c r="O11" s="133">
        <f>IF(SER_hh_fec_in!O11=0,0,11630*1000*SER_hh_fec_in!O11/SER_hh_num_in!O11)</f>
        <v>0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94182.524586473315</v>
      </c>
      <c r="D12" s="133">
        <f>IF(SER_hh_fec_in!D12=0,0,11630*1000*SER_hh_fec_in!D12/SER_hh_num_in!D12)</f>
        <v>88470.854202382543</v>
      </c>
      <c r="E12" s="133">
        <f>IF(SER_hh_fec_in!E12=0,0,11630*1000*SER_hh_fec_in!E12/SER_hh_num_in!E12)</f>
        <v>86976.875003086563</v>
      </c>
      <c r="F12" s="133">
        <f>IF(SER_hh_fec_in!F12=0,0,11630*1000*SER_hh_fec_in!F12/SER_hh_num_in!F12)</f>
        <v>83643.578600344466</v>
      </c>
      <c r="G12" s="133">
        <f>IF(SER_hh_fec_in!G12=0,0,11630*1000*SER_hh_fec_in!G12/SER_hh_num_in!G12)</f>
        <v>78706.436764119746</v>
      </c>
      <c r="H12" s="133">
        <f>IF(SER_hh_fec_in!H12=0,0,11630*1000*SER_hh_fec_in!H12/SER_hh_num_in!H12)</f>
        <v>81782.01628815115</v>
      </c>
      <c r="I12" s="133">
        <f>IF(SER_hh_fec_in!I12=0,0,11630*1000*SER_hh_fec_in!I12/SER_hh_num_in!I12)</f>
        <v>74800.651206194903</v>
      </c>
      <c r="J12" s="133">
        <f>IF(SER_hh_fec_in!J12=0,0,11630*1000*SER_hh_fec_in!J12/SER_hh_num_in!J12)</f>
        <v>58215.533947054246</v>
      </c>
      <c r="K12" s="133">
        <f>IF(SER_hh_fec_in!K12=0,0,11630*1000*SER_hh_fec_in!K12/SER_hh_num_in!K12)</f>
        <v>61999.616117932856</v>
      </c>
      <c r="L12" s="133">
        <f>IF(SER_hh_fec_in!L12=0,0,11630*1000*SER_hh_fec_in!L12/SER_hh_num_in!L12)</f>
        <v>64112.537893226312</v>
      </c>
      <c r="M12" s="133">
        <f>IF(SER_hh_fec_in!M12=0,0,11630*1000*SER_hh_fec_in!M12/SER_hh_num_in!M12)</f>
        <v>49641.209564231314</v>
      </c>
      <c r="N12" s="133">
        <f>IF(SER_hh_fec_in!N12=0,0,11630*1000*SER_hh_fec_in!N12/SER_hh_num_in!N12)</f>
        <v>58686.762680191365</v>
      </c>
      <c r="O12" s="133">
        <f>IF(SER_hh_fec_in!O12=0,0,11630*1000*SER_hh_fec_in!O12/SER_hh_num_in!O12)</f>
        <v>47589.808880784651</v>
      </c>
      <c r="P12" s="133">
        <f>IF(SER_hh_fec_in!P12=0,0,11630*1000*SER_hh_fec_in!P12/SER_hh_num_in!P12)</f>
        <v>44586.424614400756</v>
      </c>
      <c r="Q12" s="133">
        <f>IF(SER_hh_fec_in!Q12=0,0,11630*1000*SER_hh_fec_in!Q12/SER_hh_num_in!Q12)</f>
        <v>43637.552357978515</v>
      </c>
      <c r="R12" s="133">
        <f>IF(SER_hh_fec_in!R12=0,0,11630*1000*SER_hh_fec_in!R12/SER_hh_num_in!R12)</f>
        <v>41590.864560885071</v>
      </c>
      <c r="S12" s="133">
        <f>IF(SER_hh_fec_in!S12=0,0,11630*1000*SER_hh_fec_in!S12/SER_hh_num_in!S12)</f>
        <v>47655.631087893969</v>
      </c>
      <c r="T12" s="133">
        <f>IF(SER_hh_fec_in!T12=0,0,11630*1000*SER_hh_fec_in!T12/SER_hh_num_in!T12)</f>
        <v>47005.148688867535</v>
      </c>
      <c r="U12" s="133">
        <f>IF(SER_hh_fec_in!U12=0,0,11630*1000*SER_hh_fec_in!U12/SER_hh_num_in!U12)</f>
        <v>39120.254311611789</v>
      </c>
      <c r="V12" s="133">
        <f>IF(SER_hh_fec_in!V12=0,0,11630*1000*SER_hh_fec_in!V12/SER_hh_num_in!V12)</f>
        <v>33977.182626863316</v>
      </c>
      <c r="W12" s="133">
        <f>IF(SER_hh_fec_in!W12=0,0,11630*1000*SER_hh_fec_in!W12/SER_hh_num_in!W12)</f>
        <v>41722.066432599226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52191.664605577913</v>
      </c>
      <c r="D13" s="133">
        <f>IF(SER_hh_fec_in!D13=0,0,11630*1000*SER_hh_fec_in!D13/SER_hh_num_in!D13)</f>
        <v>37782.828467904386</v>
      </c>
      <c r="E13" s="133">
        <f>IF(SER_hh_fec_in!E13=0,0,11630*1000*SER_hh_fec_in!E13/SER_hh_num_in!E13)</f>
        <v>43137.917994600066</v>
      </c>
      <c r="F13" s="133">
        <f>IF(SER_hh_fec_in!F13=0,0,11630*1000*SER_hh_fec_in!F13/SER_hh_num_in!F13)</f>
        <v>37930.915194935325</v>
      </c>
      <c r="G13" s="133">
        <f>IF(SER_hh_fec_in!G13=0,0,11630*1000*SER_hh_fec_in!G13/SER_hh_num_in!G13)</f>
        <v>36102.142179704329</v>
      </c>
      <c r="H13" s="133">
        <f>IF(SER_hh_fec_in!H13=0,0,11630*1000*SER_hh_fec_in!H13/SER_hh_num_in!H13)</f>
        <v>30024.628752212022</v>
      </c>
      <c r="I13" s="133">
        <f>IF(SER_hh_fec_in!I13=0,0,11630*1000*SER_hh_fec_in!I13/SER_hh_num_in!I13)</f>
        <v>24249.740469205975</v>
      </c>
      <c r="J13" s="133">
        <f>IF(SER_hh_fec_in!J13=0,0,11630*1000*SER_hh_fec_in!J13/SER_hh_num_in!J13)</f>
        <v>27318.351034077288</v>
      </c>
      <c r="K13" s="133">
        <f>IF(SER_hh_fec_in!K13=0,0,11630*1000*SER_hh_fec_in!K13/SER_hh_num_in!K13)</f>
        <v>20614.489442932543</v>
      </c>
      <c r="L13" s="133">
        <f>IF(SER_hh_fec_in!L13=0,0,11630*1000*SER_hh_fec_in!L13/SER_hh_num_in!L13)</f>
        <v>15199.104121864788</v>
      </c>
      <c r="M13" s="133">
        <f>IF(SER_hh_fec_in!M13=0,0,11630*1000*SER_hh_fec_in!M13/SER_hh_num_in!M13)</f>
        <v>16551.240547253441</v>
      </c>
      <c r="N13" s="133">
        <f>IF(SER_hh_fec_in!N13=0,0,11630*1000*SER_hh_fec_in!N13/SER_hh_num_in!N13)</f>
        <v>15145.684186209486</v>
      </c>
      <c r="O13" s="133">
        <f>IF(SER_hh_fec_in!O13=0,0,11630*1000*SER_hh_fec_in!O13/SER_hh_num_in!O13)</f>
        <v>12975.444637140979</v>
      </c>
      <c r="P13" s="133">
        <f>IF(SER_hh_fec_in!P13=0,0,11630*1000*SER_hh_fec_in!P13/SER_hh_num_in!P13)</f>
        <v>14174.725618285218</v>
      </c>
      <c r="Q13" s="133">
        <f>IF(SER_hh_fec_in!Q13=0,0,11630*1000*SER_hh_fec_in!Q13/SER_hh_num_in!Q13)</f>
        <v>12436.27016697302</v>
      </c>
      <c r="R13" s="133">
        <f>IF(SER_hh_fec_in!R13=0,0,11630*1000*SER_hh_fec_in!R13/SER_hh_num_in!R13)</f>
        <v>12043.280885609178</v>
      </c>
      <c r="S13" s="133">
        <f>IF(SER_hh_fec_in!S13=0,0,11630*1000*SER_hh_fec_in!S13/SER_hh_num_in!S13)</f>
        <v>11951.912346828856</v>
      </c>
      <c r="T13" s="133">
        <f>IF(SER_hh_fec_in!T13=0,0,11630*1000*SER_hh_fec_in!T13/SER_hh_num_in!T13)</f>
        <v>11843.216160398064</v>
      </c>
      <c r="U13" s="133">
        <f>IF(SER_hh_fec_in!U13=0,0,11630*1000*SER_hh_fec_in!U13/SER_hh_num_in!U13)</f>
        <v>10185.468941005467</v>
      </c>
      <c r="V13" s="133">
        <f>IF(SER_hh_fec_in!V13=0,0,11630*1000*SER_hh_fec_in!V13/SER_hh_num_in!V13)</f>
        <v>8195.4982682530153</v>
      </c>
      <c r="W13" s="133">
        <f>IF(SER_hh_fec_in!W13=0,0,11630*1000*SER_hh_fec_in!W13/SER_hh_num_in!W13)</f>
        <v>12737.470967175368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105267.67003684465</v>
      </c>
      <c r="D14" s="65">
        <f>IF(SER_hh_fec_in!D14=0,0,11630*1000*SER_hh_fec_in!D14/SER_hh_num_in!D14)</f>
        <v>85892.633731025198</v>
      </c>
      <c r="E14" s="65">
        <f>IF(SER_hh_fec_in!E14=0,0,11630*1000*SER_hh_fec_in!E14/SER_hh_num_in!E14)</f>
        <v>103180.41433955752</v>
      </c>
      <c r="F14" s="65">
        <f>IF(SER_hh_fec_in!F14=0,0,11630*1000*SER_hh_fec_in!F14/SER_hh_num_in!F14)</f>
        <v>95738.690261001233</v>
      </c>
      <c r="G14" s="65">
        <f>IF(SER_hh_fec_in!G14=0,0,11630*1000*SER_hh_fec_in!G14/SER_hh_num_in!G14)</f>
        <v>88450.409623631756</v>
      </c>
      <c r="H14" s="65">
        <f>IF(SER_hh_fec_in!H14=0,0,11630*1000*SER_hh_fec_in!H14/SER_hh_num_in!H14)</f>
        <v>81728.681346303041</v>
      </c>
      <c r="I14" s="65">
        <f>IF(SER_hh_fec_in!I14=0,0,11630*1000*SER_hh_fec_in!I14/SER_hh_num_in!I14)</f>
        <v>77939.05656578661</v>
      </c>
      <c r="J14" s="65">
        <f>IF(SER_hh_fec_in!J14=0,0,11630*1000*SER_hh_fec_in!J14/SER_hh_num_in!J14)</f>
        <v>109602.65689569067</v>
      </c>
      <c r="K14" s="65">
        <f>IF(SER_hh_fec_in!K14=0,0,11630*1000*SER_hh_fec_in!K14/SER_hh_num_in!K14)</f>
        <v>0</v>
      </c>
      <c r="L14" s="65">
        <f>IF(SER_hh_fec_in!L14=0,0,11630*1000*SER_hh_fec_in!L14/SER_hh_num_in!L14)</f>
        <v>0</v>
      </c>
      <c r="M14" s="65">
        <f>IF(SER_hh_fec_in!M14=0,0,11630*1000*SER_hh_fec_in!M14/SER_hh_num_in!M14)</f>
        <v>0</v>
      </c>
      <c r="N14" s="65">
        <f>IF(SER_hh_fec_in!N14=0,0,11630*1000*SER_hh_fec_in!N14/SER_hh_num_in!N14)</f>
        <v>74997.805111169277</v>
      </c>
      <c r="O14" s="65">
        <f>IF(SER_hh_fec_in!O14=0,0,11630*1000*SER_hh_fec_in!O14/SER_hh_num_in!O14)</f>
        <v>48619.047448496443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21047.421732191844</v>
      </c>
      <c r="R14" s="65">
        <f>IF(SER_hh_fec_in!R14=0,0,11630*1000*SER_hh_fec_in!R14/SER_hh_num_in!R14)</f>
        <v>55990.570756923742</v>
      </c>
      <c r="S14" s="65">
        <f>IF(SER_hh_fec_in!S14=0,0,11630*1000*SER_hh_fec_in!S14/SER_hh_num_in!S14)</f>
        <v>32590.012142579537</v>
      </c>
      <c r="T14" s="65">
        <f>IF(SER_hh_fec_in!T14=0,0,11630*1000*SER_hh_fec_in!T14/SER_hh_num_in!T14)</f>
        <v>49580.753450940065</v>
      </c>
      <c r="U14" s="65">
        <f>IF(SER_hh_fec_in!U14=0,0,11630*1000*SER_hh_fec_in!U14/SER_hh_num_in!U14)</f>
        <v>46357.06541919693</v>
      </c>
      <c r="V14" s="65">
        <f>IF(SER_hh_fec_in!V14=0,0,11630*1000*SER_hh_fec_in!V14/SER_hh_num_in!V14)</f>
        <v>32187.144749459469</v>
      </c>
      <c r="W14" s="65">
        <f>IF(SER_hh_fec_in!W14=0,0,11630*1000*SER_hh_fec_in!W14/SER_hh_num_in!W14)</f>
        <v>42115.599076711813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489.37370363592282</v>
      </c>
      <c r="D15" s="135">
        <f>IF(SER_hh_fec_in!D15=0,0,11630*1000*SER_hh_fec_in!D15/SER_hh_num_in!D15)</f>
        <v>546.89074087895563</v>
      </c>
      <c r="E15" s="135">
        <f>IF(SER_hh_fec_in!E15=0,0,11630*1000*SER_hh_fec_in!E15/SER_hh_num_in!E15)</f>
        <v>467.21779321290603</v>
      </c>
      <c r="F15" s="135">
        <f>IF(SER_hh_fec_in!F15=0,0,11630*1000*SER_hh_fec_in!F15/SER_hh_num_in!F15)</f>
        <v>535.40043855636145</v>
      </c>
      <c r="G15" s="135">
        <f>IF(SER_hh_fec_in!G15=0,0,11630*1000*SER_hh_fec_in!G15/SER_hh_num_in!G15)</f>
        <v>458.97131709241449</v>
      </c>
      <c r="H15" s="135">
        <f>IF(SER_hh_fec_in!H15=0,0,11630*1000*SER_hh_fec_in!H15/SER_hh_num_in!H15)</f>
        <v>512.07470536484152</v>
      </c>
      <c r="I15" s="135">
        <f>IF(SER_hh_fec_in!I15=0,0,11630*1000*SER_hh_fec_in!I15/SER_hh_num_in!I15)</f>
        <v>407.35408830636158</v>
      </c>
      <c r="J15" s="135">
        <f>IF(SER_hh_fec_in!J15=0,0,11630*1000*SER_hh_fec_in!J15/SER_hh_num_in!J15)</f>
        <v>354.00395142476071</v>
      </c>
      <c r="K15" s="135">
        <f>IF(SER_hh_fec_in!K15=0,0,11630*1000*SER_hh_fec_in!K15/SER_hh_num_in!K15)</f>
        <v>355.50416542887166</v>
      </c>
      <c r="L15" s="135">
        <f>IF(SER_hh_fec_in!L15=0,0,11630*1000*SER_hh_fec_in!L15/SER_hh_num_in!L15)</f>
        <v>335.95872084829108</v>
      </c>
      <c r="M15" s="135">
        <f>IF(SER_hh_fec_in!M15=0,0,11630*1000*SER_hh_fec_in!M15/SER_hh_num_in!M15)</f>
        <v>304.5860038764601</v>
      </c>
      <c r="N15" s="135">
        <f>IF(SER_hh_fec_in!N15=0,0,11630*1000*SER_hh_fec_in!N15/SER_hh_num_in!N15)</f>
        <v>328.50326950907493</v>
      </c>
      <c r="O15" s="135">
        <f>IF(SER_hh_fec_in!O15=0,0,11630*1000*SER_hh_fec_in!O15/SER_hh_num_in!O15)</f>
        <v>334.12486965112595</v>
      </c>
      <c r="P15" s="135">
        <f>IF(SER_hh_fec_in!P15=0,0,11630*1000*SER_hh_fec_in!P15/SER_hh_num_in!P15)</f>
        <v>261.76416532311845</v>
      </c>
      <c r="Q15" s="135">
        <f>IF(SER_hh_fec_in!Q15=0,0,11630*1000*SER_hh_fec_in!Q15/SER_hh_num_in!Q15)</f>
        <v>298.31747385704602</v>
      </c>
      <c r="R15" s="135">
        <f>IF(SER_hh_fec_in!R15=0,0,11630*1000*SER_hh_fec_in!R15/SER_hh_num_in!R15)</f>
        <v>254.09781622316282</v>
      </c>
      <c r="S15" s="135">
        <f>IF(SER_hh_fec_in!S15=0,0,11630*1000*SER_hh_fec_in!S15/SER_hh_num_in!S15)</f>
        <v>264.80681912468918</v>
      </c>
      <c r="T15" s="135">
        <f>IF(SER_hh_fec_in!T15=0,0,11630*1000*SER_hh_fec_in!T15/SER_hh_num_in!T15)</f>
        <v>309.22395608821682</v>
      </c>
      <c r="U15" s="135">
        <f>IF(SER_hh_fec_in!U15=0,0,11630*1000*SER_hh_fec_in!U15/SER_hh_num_in!U15)</f>
        <v>295.34338515711465</v>
      </c>
      <c r="V15" s="135">
        <f>IF(SER_hh_fec_in!V15=0,0,11630*1000*SER_hh_fec_in!V15/SER_hh_num_in!V15)</f>
        <v>216.18466684043329</v>
      </c>
      <c r="W15" s="135">
        <f>IF(SER_hh_fec_in!W15=0,0,11630*1000*SER_hh_fec_in!W15/SER_hh_num_in!W15)</f>
        <v>235.45736656887451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7384.7670282160607</v>
      </c>
      <c r="D16" s="131">
        <f>IF(SER_hh_fec_in!D16=0,0,11630*1000*SER_hh_fec_in!D16/SER_hh_num_in!D16)</f>
        <v>7617.0594515803286</v>
      </c>
      <c r="E16" s="131">
        <f>IF(SER_hh_fec_in!E16=0,0,11630*1000*SER_hh_fec_in!E16/SER_hh_num_in!E16)</f>
        <v>6565.9036783338242</v>
      </c>
      <c r="F16" s="131">
        <f>IF(SER_hh_fec_in!F16=0,0,11630*1000*SER_hh_fec_in!F16/SER_hh_num_in!F16)</f>
        <v>6286.4755464536647</v>
      </c>
      <c r="G16" s="131">
        <f>IF(SER_hh_fec_in!G16=0,0,11630*1000*SER_hh_fec_in!G16/SER_hh_num_in!G16)</f>
        <v>6072.811651067047</v>
      </c>
      <c r="H16" s="131">
        <f>IF(SER_hh_fec_in!H16=0,0,11630*1000*SER_hh_fec_in!H16/SER_hh_num_in!H16)</f>
        <v>6473.5946412766361</v>
      </c>
      <c r="I16" s="131">
        <f>IF(SER_hh_fec_in!I16=0,0,11630*1000*SER_hh_fec_in!I16/SER_hh_num_in!I16)</f>
        <v>5773.4535975115659</v>
      </c>
      <c r="J16" s="131">
        <f>IF(SER_hh_fec_in!J16=0,0,11630*1000*SER_hh_fec_in!J16/SER_hh_num_in!J16)</f>
        <v>5502.0574788748791</v>
      </c>
      <c r="K16" s="131">
        <f>IF(SER_hh_fec_in!K16=0,0,11630*1000*SER_hh_fec_in!K16/SER_hh_num_in!K16)</f>
        <v>5304.5709411554881</v>
      </c>
      <c r="L16" s="131">
        <f>IF(SER_hh_fec_in!L16=0,0,11630*1000*SER_hh_fec_in!L16/SER_hh_num_in!L16)</f>
        <v>6501.9236449149821</v>
      </c>
      <c r="M16" s="131">
        <f>IF(SER_hh_fec_in!M16=0,0,11630*1000*SER_hh_fec_in!M16/SER_hh_num_in!M16)</f>
        <v>4967.4640198921152</v>
      </c>
      <c r="N16" s="131">
        <f>IF(SER_hh_fec_in!N16=0,0,11630*1000*SER_hh_fec_in!N16/SER_hh_num_in!N16)</f>
        <v>5203.5161973828672</v>
      </c>
      <c r="O16" s="131">
        <f>IF(SER_hh_fec_in!O16=0,0,11630*1000*SER_hh_fec_in!O16/SER_hh_num_in!O16)</f>
        <v>4604.7713485076229</v>
      </c>
      <c r="P16" s="131">
        <f>IF(SER_hh_fec_in!P16=0,0,11630*1000*SER_hh_fec_in!P16/SER_hh_num_in!P16)</f>
        <v>4833.6299717378561</v>
      </c>
      <c r="Q16" s="131">
        <f>IF(SER_hh_fec_in!Q16=0,0,11630*1000*SER_hh_fec_in!Q16/SER_hh_num_in!Q16)</f>
        <v>4491.6836843870142</v>
      </c>
      <c r="R16" s="131">
        <f>IF(SER_hh_fec_in!R16=0,0,11630*1000*SER_hh_fec_in!R16/SER_hh_num_in!R16)</f>
        <v>4145.4200807379812</v>
      </c>
      <c r="S16" s="131">
        <f>IF(SER_hh_fec_in!S16=0,0,11630*1000*SER_hh_fec_in!S16/SER_hh_num_in!S16)</f>
        <v>4030.9012399649796</v>
      </c>
      <c r="T16" s="131">
        <f>IF(SER_hh_fec_in!T16=0,0,11630*1000*SER_hh_fec_in!T16/SER_hh_num_in!T16)</f>
        <v>4199.3612023119476</v>
      </c>
      <c r="U16" s="131">
        <f>IF(SER_hh_fec_in!U16=0,0,11630*1000*SER_hh_fec_in!U16/SER_hh_num_in!U16)</f>
        <v>3993.5736090495479</v>
      </c>
      <c r="V16" s="131">
        <f>IF(SER_hh_fec_in!V16=0,0,11630*1000*SER_hh_fec_in!V16/SER_hh_num_in!V16)</f>
        <v>3754.470658219936</v>
      </c>
      <c r="W16" s="131">
        <f>IF(SER_hh_fec_in!W16=0,0,11630*1000*SER_hh_fec_in!W16/SER_hh_num_in!W16)</f>
        <v>4278.3167171099385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0</v>
      </c>
      <c r="D17" s="133">
        <f>IF(SER_hh_fec_in!D17=0,0,11630*1000*SER_hh_fec_in!D17/SER_hh_num_in!D17)</f>
        <v>0</v>
      </c>
      <c r="E17" s="133">
        <f>IF(SER_hh_fec_in!E17=0,0,11630*1000*SER_hh_fec_in!E17/SER_hh_num_in!E17)</f>
        <v>0</v>
      </c>
      <c r="F17" s="133">
        <f>IF(SER_hh_fec_in!F17=0,0,11630*1000*SER_hh_fec_in!F17/SER_hh_num_in!F17)</f>
        <v>0</v>
      </c>
      <c r="G17" s="133">
        <f>IF(SER_hh_fec_in!G17=0,0,11630*1000*SER_hh_fec_in!G17/SER_hh_num_in!G17)</f>
        <v>0</v>
      </c>
      <c r="H17" s="133">
        <f>IF(SER_hh_fec_in!H17=0,0,11630*1000*SER_hh_fec_in!H17/SER_hh_num_in!H17)</f>
        <v>0</v>
      </c>
      <c r="I17" s="133">
        <f>IF(SER_hh_fec_in!I17=0,0,11630*1000*SER_hh_fec_in!I17/SER_hh_num_in!I17)</f>
        <v>0</v>
      </c>
      <c r="J17" s="133">
        <f>IF(SER_hh_fec_in!J17=0,0,11630*1000*SER_hh_fec_in!J17/SER_hh_num_in!J17)</f>
        <v>0</v>
      </c>
      <c r="K17" s="133">
        <f>IF(SER_hh_fec_in!K17=0,0,11630*1000*SER_hh_fec_in!K17/SER_hh_num_in!K17)</f>
        <v>0</v>
      </c>
      <c r="L17" s="133">
        <f>IF(SER_hh_fec_in!L17=0,0,11630*1000*SER_hh_fec_in!L17/SER_hh_num_in!L17)</f>
        <v>0</v>
      </c>
      <c r="M17" s="133">
        <f>IF(SER_hh_fec_in!M17=0,0,11630*1000*SER_hh_fec_in!M17/SER_hh_num_in!M17)</f>
        <v>0</v>
      </c>
      <c r="N17" s="133">
        <f>IF(SER_hh_fec_in!N17=0,0,11630*1000*SER_hh_fec_in!N17/SER_hh_num_in!N17)</f>
        <v>0</v>
      </c>
      <c r="O17" s="133">
        <f>IF(SER_hh_fec_in!O17=0,0,11630*1000*SER_hh_fec_in!O17/SER_hh_num_in!O17)</f>
        <v>0</v>
      </c>
      <c r="P17" s="133">
        <f>IF(SER_hh_fec_in!P17=0,0,11630*1000*SER_hh_fec_in!P17/SER_hh_num_in!P17)</f>
        <v>0</v>
      </c>
      <c r="Q17" s="133">
        <f>IF(SER_hh_fec_in!Q17=0,0,11630*1000*SER_hh_fec_in!Q17/SER_hh_num_in!Q17)</f>
        <v>0</v>
      </c>
      <c r="R17" s="133">
        <f>IF(SER_hh_fec_in!R17=0,0,11630*1000*SER_hh_fec_in!R17/SER_hh_num_in!R17)</f>
        <v>0</v>
      </c>
      <c r="S17" s="133">
        <f>IF(SER_hh_fec_in!S17=0,0,11630*1000*SER_hh_fec_in!S17/SER_hh_num_in!S17)</f>
        <v>0</v>
      </c>
      <c r="T17" s="133">
        <f>IF(SER_hh_fec_in!T17=0,0,11630*1000*SER_hh_fec_in!T17/SER_hh_num_in!T17)</f>
        <v>0</v>
      </c>
      <c r="U17" s="133">
        <f>IF(SER_hh_fec_in!U17=0,0,11630*1000*SER_hh_fec_in!U17/SER_hh_num_in!U17)</f>
        <v>0</v>
      </c>
      <c r="V17" s="133">
        <f>IF(SER_hh_fec_in!V17=0,0,11630*1000*SER_hh_fec_in!V17/SER_hh_num_in!V17)</f>
        <v>0</v>
      </c>
      <c r="W17" s="133">
        <f>IF(SER_hh_fec_in!W17=0,0,11630*1000*SER_hh_fec_in!W17/SER_hh_num_in!W17)</f>
        <v>0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7384.7670282160607</v>
      </c>
      <c r="D18" s="133">
        <f>IF(SER_hh_fec_in!D18=0,0,11630*1000*SER_hh_fec_in!D18/SER_hh_num_in!D18)</f>
        <v>7617.0594515803286</v>
      </c>
      <c r="E18" s="133">
        <f>IF(SER_hh_fec_in!E18=0,0,11630*1000*SER_hh_fec_in!E18/SER_hh_num_in!E18)</f>
        <v>6565.9036783338242</v>
      </c>
      <c r="F18" s="133">
        <f>IF(SER_hh_fec_in!F18=0,0,11630*1000*SER_hh_fec_in!F18/SER_hh_num_in!F18)</f>
        <v>6286.4755464536647</v>
      </c>
      <c r="G18" s="133">
        <f>IF(SER_hh_fec_in!G18=0,0,11630*1000*SER_hh_fec_in!G18/SER_hh_num_in!G18)</f>
        <v>6072.811651067047</v>
      </c>
      <c r="H18" s="133">
        <f>IF(SER_hh_fec_in!H18=0,0,11630*1000*SER_hh_fec_in!H18/SER_hh_num_in!H18)</f>
        <v>6473.5946412766361</v>
      </c>
      <c r="I18" s="133">
        <f>IF(SER_hh_fec_in!I18=0,0,11630*1000*SER_hh_fec_in!I18/SER_hh_num_in!I18)</f>
        <v>5773.4535975115659</v>
      </c>
      <c r="J18" s="133">
        <f>IF(SER_hh_fec_in!J18=0,0,11630*1000*SER_hh_fec_in!J18/SER_hh_num_in!J18)</f>
        <v>5502.0574788748791</v>
      </c>
      <c r="K18" s="133">
        <f>IF(SER_hh_fec_in!K18=0,0,11630*1000*SER_hh_fec_in!K18/SER_hh_num_in!K18)</f>
        <v>5304.5709411554881</v>
      </c>
      <c r="L18" s="133">
        <f>IF(SER_hh_fec_in!L18=0,0,11630*1000*SER_hh_fec_in!L18/SER_hh_num_in!L18)</f>
        <v>6501.9236449149821</v>
      </c>
      <c r="M18" s="133">
        <f>IF(SER_hh_fec_in!M18=0,0,11630*1000*SER_hh_fec_in!M18/SER_hh_num_in!M18)</f>
        <v>4967.4640198921152</v>
      </c>
      <c r="N18" s="133">
        <f>IF(SER_hh_fec_in!N18=0,0,11630*1000*SER_hh_fec_in!N18/SER_hh_num_in!N18)</f>
        <v>5203.5161973828672</v>
      </c>
      <c r="O18" s="133">
        <f>IF(SER_hh_fec_in!O18=0,0,11630*1000*SER_hh_fec_in!O18/SER_hh_num_in!O18)</f>
        <v>4604.7713485076229</v>
      </c>
      <c r="P18" s="133">
        <f>IF(SER_hh_fec_in!P18=0,0,11630*1000*SER_hh_fec_in!P18/SER_hh_num_in!P18)</f>
        <v>4833.6299717378561</v>
      </c>
      <c r="Q18" s="133">
        <f>IF(SER_hh_fec_in!Q18=0,0,11630*1000*SER_hh_fec_in!Q18/SER_hh_num_in!Q18)</f>
        <v>4491.6836843870142</v>
      </c>
      <c r="R18" s="133">
        <f>IF(SER_hh_fec_in!R18=0,0,11630*1000*SER_hh_fec_in!R18/SER_hh_num_in!R18)</f>
        <v>4145.4200807379812</v>
      </c>
      <c r="S18" s="133">
        <f>IF(SER_hh_fec_in!S18=0,0,11630*1000*SER_hh_fec_in!S18/SER_hh_num_in!S18)</f>
        <v>4030.9012399649796</v>
      </c>
      <c r="T18" s="133">
        <f>IF(SER_hh_fec_in!T18=0,0,11630*1000*SER_hh_fec_in!T18/SER_hh_num_in!T18)</f>
        <v>4199.3612023119476</v>
      </c>
      <c r="U18" s="133">
        <f>IF(SER_hh_fec_in!U18=0,0,11630*1000*SER_hh_fec_in!U18/SER_hh_num_in!U18)</f>
        <v>3993.5736090495479</v>
      </c>
      <c r="V18" s="133">
        <f>IF(SER_hh_fec_in!V18=0,0,11630*1000*SER_hh_fec_in!V18/SER_hh_num_in!V18)</f>
        <v>3754.470658219936</v>
      </c>
      <c r="W18" s="133">
        <f>IF(SER_hh_fec_in!W18=0,0,11630*1000*SER_hh_fec_in!W18/SER_hh_num_in!W18)</f>
        <v>4278.3167171099385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11709.243980771276</v>
      </c>
      <c r="D19" s="131">
        <f>IF(SER_hh_fec_in!D19=0,0,11630*1000*SER_hh_fec_in!D19/SER_hh_num_in!D19)</f>
        <v>11702.202793483855</v>
      </c>
      <c r="E19" s="131">
        <f>IF(SER_hh_fec_in!E19=0,0,11630*1000*SER_hh_fec_in!E19/SER_hh_num_in!E19)</f>
        <v>11243.826085789342</v>
      </c>
      <c r="F19" s="131">
        <f>IF(SER_hh_fec_in!F19=0,0,11630*1000*SER_hh_fec_in!F19/SER_hh_num_in!F19)</f>
        <v>11599.465212705829</v>
      </c>
      <c r="G19" s="131">
        <f>IF(SER_hh_fec_in!G19=0,0,11630*1000*SER_hh_fec_in!G19/SER_hh_num_in!G19)</f>
        <v>11833.220494955523</v>
      </c>
      <c r="H19" s="131">
        <f>IF(SER_hh_fec_in!H19=0,0,11630*1000*SER_hh_fec_in!H19/SER_hh_num_in!H19)</f>
        <v>12282.236428864044</v>
      </c>
      <c r="I19" s="131">
        <f>IF(SER_hh_fec_in!I19=0,0,11630*1000*SER_hh_fec_in!I19/SER_hh_num_in!I19)</f>
        <v>11891.898012154248</v>
      </c>
      <c r="J19" s="131">
        <f>IF(SER_hh_fec_in!J19=0,0,11630*1000*SER_hh_fec_in!J19/SER_hh_num_in!J19)</f>
        <v>11797.91174104052</v>
      </c>
      <c r="K19" s="131">
        <f>IF(SER_hh_fec_in!K19=0,0,11630*1000*SER_hh_fec_in!K19/SER_hh_num_in!K19)</f>
        <v>11778.754047883782</v>
      </c>
      <c r="L19" s="131">
        <f>IF(SER_hh_fec_in!L19=0,0,11630*1000*SER_hh_fec_in!L19/SER_hh_num_in!L19)</f>
        <v>11678.420163667053</v>
      </c>
      <c r="M19" s="131">
        <f>IF(SER_hh_fec_in!M19=0,0,11630*1000*SER_hh_fec_in!M19/SER_hh_num_in!M19)</f>
        <v>11634.878284305532</v>
      </c>
      <c r="N19" s="131">
        <f>IF(SER_hh_fec_in!N19=0,0,11630*1000*SER_hh_fec_in!N19/SER_hh_num_in!N19)</f>
        <v>11780.830587007245</v>
      </c>
      <c r="O19" s="131">
        <f>IF(SER_hh_fec_in!O19=0,0,11630*1000*SER_hh_fec_in!O19/SER_hh_num_in!O19)</f>
        <v>11549.725740093116</v>
      </c>
      <c r="P19" s="131">
        <f>IF(SER_hh_fec_in!P19=0,0,11630*1000*SER_hh_fec_in!P19/SER_hh_num_in!P19)</f>
        <v>10953.838887647998</v>
      </c>
      <c r="Q19" s="131">
        <f>IF(SER_hh_fec_in!Q19=0,0,11630*1000*SER_hh_fec_in!Q19/SER_hh_num_in!Q19)</f>
        <v>11182.178711619596</v>
      </c>
      <c r="R19" s="131">
        <f>IF(SER_hh_fec_in!R19=0,0,11630*1000*SER_hh_fec_in!R19/SER_hh_num_in!R19)</f>
        <v>11162.392761131659</v>
      </c>
      <c r="S19" s="131">
        <f>IF(SER_hh_fec_in!S19=0,0,11630*1000*SER_hh_fec_in!S19/SER_hh_num_in!S19)</f>
        <v>11084.512176506943</v>
      </c>
      <c r="T19" s="131">
        <f>IF(SER_hh_fec_in!T19=0,0,11630*1000*SER_hh_fec_in!T19/SER_hh_num_in!T19)</f>
        <v>11005.542692576868</v>
      </c>
      <c r="U19" s="131">
        <f>IF(SER_hh_fec_in!U19=0,0,11630*1000*SER_hh_fec_in!U19/SER_hh_num_in!U19)</f>
        <v>10858.105636994147</v>
      </c>
      <c r="V19" s="131">
        <f>IF(SER_hh_fec_in!V19=0,0,11630*1000*SER_hh_fec_in!V19/SER_hh_num_in!V19)</f>
        <v>9544.1699727936975</v>
      </c>
      <c r="W19" s="131">
        <f>IF(SER_hh_fec_in!W19=0,0,11630*1000*SER_hh_fec_in!W19/SER_hh_num_in!W19)</f>
        <v>10502.685813726805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0</v>
      </c>
      <c r="D21" s="133">
        <f>IF(SER_hh_fec_in!D21=0,0,11630*1000*SER_hh_fec_in!D21/SER_hh_num_in!D21)</f>
        <v>0</v>
      </c>
      <c r="E21" s="133">
        <f>IF(SER_hh_fec_in!E21=0,0,11630*1000*SER_hh_fec_in!E21/SER_hh_num_in!E21)</f>
        <v>0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0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0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0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0</v>
      </c>
      <c r="D22" s="133">
        <f>IF(SER_hh_fec_in!D22=0,0,11630*1000*SER_hh_fec_in!D22/SER_hh_num_in!D22)</f>
        <v>0</v>
      </c>
      <c r="E22" s="133">
        <f>IF(SER_hh_fec_in!E22=0,0,11630*1000*SER_hh_fec_in!E22/SER_hh_num_in!E22)</f>
        <v>0</v>
      </c>
      <c r="F22" s="133">
        <f>IF(SER_hh_fec_in!F22=0,0,11630*1000*SER_hh_fec_in!F22/SER_hh_num_in!F22)</f>
        <v>0</v>
      </c>
      <c r="G22" s="133">
        <f>IF(SER_hh_fec_in!G22=0,0,11630*1000*SER_hh_fec_in!G22/SER_hh_num_in!G22)</f>
        <v>0</v>
      </c>
      <c r="H22" s="133">
        <f>IF(SER_hh_fec_in!H22=0,0,11630*1000*SER_hh_fec_in!H22/SER_hh_num_in!H22)</f>
        <v>0</v>
      </c>
      <c r="I22" s="133">
        <f>IF(SER_hh_fec_in!I22=0,0,11630*1000*SER_hh_fec_in!I22/SER_hh_num_in!I22)</f>
        <v>0</v>
      </c>
      <c r="J22" s="133">
        <f>IF(SER_hh_fec_in!J22=0,0,11630*1000*SER_hh_fec_in!J22/SER_hh_num_in!J22)</f>
        <v>17615.533027292695</v>
      </c>
      <c r="K22" s="133">
        <f>IF(SER_hh_fec_in!K22=0,0,11630*1000*SER_hh_fec_in!K22/SER_hh_num_in!K22)</f>
        <v>15064.22310420055</v>
      </c>
      <c r="L22" s="133">
        <f>IF(SER_hh_fec_in!L22=0,0,11630*1000*SER_hh_fec_in!L22/SER_hh_num_in!L22)</f>
        <v>15951.493106481086</v>
      </c>
      <c r="M22" s="133">
        <f>IF(SER_hh_fec_in!M22=0,0,11630*1000*SER_hh_fec_in!M22/SER_hh_num_in!M22)</f>
        <v>15734.634348469903</v>
      </c>
      <c r="N22" s="133">
        <f>IF(SER_hh_fec_in!N22=0,0,11630*1000*SER_hh_fec_in!N22/SER_hh_num_in!N22)</f>
        <v>13962.003721671652</v>
      </c>
      <c r="O22" s="133">
        <f>IF(SER_hh_fec_in!O22=0,0,11630*1000*SER_hh_fec_in!O22/SER_hh_num_in!O22)</f>
        <v>14839.32755068187</v>
      </c>
      <c r="P22" s="133">
        <f>IF(SER_hh_fec_in!P22=0,0,11630*1000*SER_hh_fec_in!P22/SER_hh_num_in!P22)</f>
        <v>0</v>
      </c>
      <c r="Q22" s="133">
        <f>IF(SER_hh_fec_in!Q22=0,0,11630*1000*SER_hh_fec_in!Q22/SER_hh_num_in!Q22)</f>
        <v>13344.815268171344</v>
      </c>
      <c r="R22" s="133">
        <f>IF(SER_hh_fec_in!R22=0,0,11630*1000*SER_hh_fec_in!R22/SER_hh_num_in!R22)</f>
        <v>0</v>
      </c>
      <c r="S22" s="133">
        <f>IF(SER_hh_fec_in!S22=0,0,11630*1000*SER_hh_fec_in!S22/SER_hh_num_in!S22)</f>
        <v>14007.777518605513</v>
      </c>
      <c r="T22" s="133">
        <f>IF(SER_hh_fec_in!T22=0,0,11630*1000*SER_hh_fec_in!T22/SER_hh_num_in!T22)</f>
        <v>9968.435862702283</v>
      </c>
      <c r="U22" s="133">
        <f>IF(SER_hh_fec_in!U22=0,0,11630*1000*SER_hh_fec_in!U22/SER_hh_num_in!U22)</f>
        <v>11257.972486724442</v>
      </c>
      <c r="V22" s="133">
        <f>IF(SER_hh_fec_in!V22=0,0,11630*1000*SER_hh_fec_in!V22/SER_hh_num_in!V22)</f>
        <v>11023.968135295765</v>
      </c>
      <c r="W22" s="133">
        <f>IF(SER_hh_fec_in!W22=0,0,11630*1000*SER_hh_fec_in!W22/SER_hh_num_in!W22)</f>
        <v>11883.786468138365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14410.12019247854</v>
      </c>
      <c r="D23" s="133">
        <f>IF(SER_hh_fec_in!D23=0,0,11630*1000*SER_hh_fec_in!D23/SER_hh_num_in!D23)</f>
        <v>14369.54666457014</v>
      </c>
      <c r="E23" s="133">
        <f>IF(SER_hh_fec_in!E23=0,0,11630*1000*SER_hh_fec_in!E23/SER_hh_num_in!E23)</f>
        <v>13576.211104873963</v>
      </c>
      <c r="F23" s="133">
        <f>IF(SER_hh_fec_in!F23=0,0,11630*1000*SER_hh_fec_in!F23/SER_hh_num_in!F23)</f>
        <v>14919.46578527937</v>
      </c>
      <c r="G23" s="133">
        <f>IF(SER_hh_fec_in!G23=0,0,11630*1000*SER_hh_fec_in!G23/SER_hh_num_in!G23)</f>
        <v>13368.714973197391</v>
      </c>
      <c r="H23" s="133">
        <f>IF(SER_hh_fec_in!H23=0,0,11630*1000*SER_hh_fec_in!H23/SER_hh_num_in!H23)</f>
        <v>12930.881793301631</v>
      </c>
      <c r="I23" s="133">
        <f>IF(SER_hh_fec_in!I23=0,0,11630*1000*SER_hh_fec_in!I23/SER_hh_num_in!I23)</f>
        <v>15398.055618794146</v>
      </c>
      <c r="J23" s="133">
        <f>IF(SER_hh_fec_in!J23=0,0,11630*1000*SER_hh_fec_in!J23/SER_hh_num_in!J23)</f>
        <v>15181.580644419833</v>
      </c>
      <c r="K23" s="133">
        <f>IF(SER_hh_fec_in!K23=0,0,11630*1000*SER_hh_fec_in!K23/SER_hh_num_in!K23)</f>
        <v>14197.780041308086</v>
      </c>
      <c r="L23" s="133">
        <f>IF(SER_hh_fec_in!L23=0,0,11630*1000*SER_hh_fec_in!L23/SER_hh_num_in!L23)</f>
        <v>14007.308401915467</v>
      </c>
      <c r="M23" s="133">
        <f>IF(SER_hh_fec_in!M23=0,0,11630*1000*SER_hh_fec_in!M23/SER_hh_num_in!M23)</f>
        <v>13966.916599525684</v>
      </c>
      <c r="N23" s="133">
        <f>IF(SER_hh_fec_in!N23=0,0,11630*1000*SER_hh_fec_in!N23/SER_hh_num_in!N23)</f>
        <v>13603.649785893893</v>
      </c>
      <c r="O23" s="133">
        <f>IF(SER_hh_fec_in!O23=0,0,11630*1000*SER_hh_fec_in!O23/SER_hh_num_in!O23)</f>
        <v>13308.051520835594</v>
      </c>
      <c r="P23" s="133">
        <f>IF(SER_hh_fec_in!P23=0,0,11630*1000*SER_hh_fec_in!P23/SER_hh_num_in!P23)</f>
        <v>11959.851354231541</v>
      </c>
      <c r="Q23" s="133">
        <f>IF(SER_hh_fec_in!Q23=0,0,11630*1000*SER_hh_fec_in!Q23/SER_hh_num_in!Q23)</f>
        <v>12107.495044990097</v>
      </c>
      <c r="R23" s="133">
        <f>IF(SER_hh_fec_in!R23=0,0,11630*1000*SER_hh_fec_in!R23/SER_hh_num_in!R23)</f>
        <v>12222.905178685951</v>
      </c>
      <c r="S23" s="133">
        <f>IF(SER_hh_fec_in!S23=0,0,11630*1000*SER_hh_fec_in!S23/SER_hh_num_in!S23)</f>
        <v>11652.707117340562</v>
      </c>
      <c r="T23" s="133">
        <f>IF(SER_hh_fec_in!T23=0,0,11630*1000*SER_hh_fec_in!T23/SER_hh_num_in!T23)</f>
        <v>11430.716880736381</v>
      </c>
      <c r="U23" s="133">
        <f>IF(SER_hh_fec_in!U23=0,0,11630*1000*SER_hh_fec_in!U23/SER_hh_num_in!U23)</f>
        <v>11067.411452812425</v>
      </c>
      <c r="V23" s="133">
        <f>IF(SER_hh_fec_in!V23=0,0,11630*1000*SER_hh_fec_in!V23/SER_hh_num_in!V23)</f>
        <v>10440.530587917758</v>
      </c>
      <c r="W23" s="133">
        <f>IF(SER_hh_fec_in!W23=0,0,11630*1000*SER_hh_fec_in!W23/SER_hh_num_in!W23)</f>
        <v>10871.009002751574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14145.236333670626</v>
      </c>
      <c r="D24" s="133">
        <f>IF(SER_hh_fec_in!D24=0,0,11630*1000*SER_hh_fec_in!D24/SER_hh_num_in!D24)</f>
        <v>14101.196046481979</v>
      </c>
      <c r="E24" s="133">
        <f>IF(SER_hh_fec_in!E24=0,0,11630*1000*SER_hh_fec_in!E24/SER_hh_num_in!E24)</f>
        <v>14200.20900373067</v>
      </c>
      <c r="F24" s="133">
        <f>IF(SER_hh_fec_in!F24=0,0,11630*1000*SER_hh_fec_in!F24/SER_hh_num_in!F24)</f>
        <v>14099.465012943212</v>
      </c>
      <c r="G24" s="133">
        <f>IF(SER_hh_fec_in!G24=0,0,11630*1000*SER_hh_fec_in!G24/SER_hh_num_in!G24)</f>
        <v>14100.600867486479</v>
      </c>
      <c r="H24" s="133">
        <f>IF(SER_hh_fec_in!H24=0,0,11630*1000*SER_hh_fec_in!H24/SER_hh_num_in!H24)</f>
        <v>14487.211655735871</v>
      </c>
      <c r="I24" s="133">
        <f>IF(SER_hh_fec_in!I24=0,0,11630*1000*SER_hh_fec_in!I24/SER_hh_num_in!I24)</f>
        <v>13547.040629261448</v>
      </c>
      <c r="J24" s="133">
        <f>IF(SER_hh_fec_in!J24=0,0,11630*1000*SER_hh_fec_in!J24/SER_hh_num_in!J24)</f>
        <v>13497.742522173636</v>
      </c>
      <c r="K24" s="133">
        <f>IF(SER_hh_fec_in!K24=0,0,11630*1000*SER_hh_fec_in!K24/SER_hh_num_in!K24)</f>
        <v>13234.493602189121</v>
      </c>
      <c r="L24" s="133">
        <f>IF(SER_hh_fec_in!L24=0,0,11630*1000*SER_hh_fec_in!L24/SER_hh_num_in!L24)</f>
        <v>13136.425861611717</v>
      </c>
      <c r="M24" s="133">
        <f>IF(SER_hh_fec_in!M24=0,0,11630*1000*SER_hh_fec_in!M24/SER_hh_num_in!M24)</f>
        <v>13200.395816202194</v>
      </c>
      <c r="N24" s="133">
        <f>IF(SER_hh_fec_in!N24=0,0,11630*1000*SER_hh_fec_in!N24/SER_hh_num_in!N24)</f>
        <v>13047.934796327745</v>
      </c>
      <c r="O24" s="133">
        <f>IF(SER_hh_fec_in!O24=0,0,11630*1000*SER_hh_fec_in!O24/SER_hh_num_in!O24)</f>
        <v>13135.816432385674</v>
      </c>
      <c r="P24" s="133">
        <f>IF(SER_hh_fec_in!P24=0,0,11630*1000*SER_hh_fec_in!P24/SER_hh_num_in!P24)</f>
        <v>13154.40207294109</v>
      </c>
      <c r="Q24" s="133">
        <f>IF(SER_hh_fec_in!Q24=0,0,11630*1000*SER_hh_fec_in!Q24/SER_hh_num_in!Q24)</f>
        <v>13403.564374095877</v>
      </c>
      <c r="R24" s="133">
        <f>IF(SER_hh_fec_in!R24=0,0,11630*1000*SER_hh_fec_in!R24/SER_hh_num_in!R24)</f>
        <v>13189.73570256393</v>
      </c>
      <c r="S24" s="133">
        <f>IF(SER_hh_fec_in!S24=0,0,11630*1000*SER_hh_fec_in!S24/SER_hh_num_in!S24)</f>
        <v>12004.725657912029</v>
      </c>
      <c r="T24" s="133">
        <f>IF(SER_hh_fec_in!T24=0,0,11630*1000*SER_hh_fec_in!T24/SER_hh_num_in!T24)</f>
        <v>12314.09753212965</v>
      </c>
      <c r="U24" s="133">
        <f>IF(SER_hh_fec_in!U24=0,0,11630*1000*SER_hh_fec_in!U24/SER_hh_num_in!U24)</f>
        <v>11501.509935698481</v>
      </c>
      <c r="V24" s="133">
        <f>IF(SER_hh_fec_in!V24=0,0,11630*1000*SER_hh_fec_in!V24/SER_hh_num_in!V24)</f>
        <v>11837.112442728776</v>
      </c>
      <c r="W24" s="133">
        <f>IF(SER_hh_fec_in!W24=0,0,11630*1000*SER_hh_fec_in!W24/SER_hh_num_in!W24)</f>
        <v>11271.340185444449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10635.723248927226</v>
      </c>
      <c r="D25" s="133">
        <f>IF(SER_hh_fec_in!D25=0,0,11630*1000*SER_hh_fec_in!D25/SER_hh_num_in!D25)</f>
        <v>10353.52872942389</v>
      </c>
      <c r="E25" s="133">
        <f>IF(SER_hh_fec_in!E25=0,0,11630*1000*SER_hh_fec_in!E25/SER_hh_num_in!E25)</f>
        <v>10260.740695201002</v>
      </c>
      <c r="F25" s="133">
        <f>IF(SER_hh_fec_in!F25=0,0,11630*1000*SER_hh_fec_in!F25/SER_hh_num_in!F25)</f>
        <v>10592.064125266013</v>
      </c>
      <c r="G25" s="133">
        <f>IF(SER_hh_fec_in!G25=0,0,11630*1000*SER_hh_fec_in!G25/SER_hh_num_in!G25)</f>
        <v>10938.187407708287</v>
      </c>
      <c r="H25" s="133">
        <f>IF(SER_hh_fec_in!H25=0,0,11630*1000*SER_hh_fec_in!H25/SER_hh_num_in!H25)</f>
        <v>11432.951784101038</v>
      </c>
      <c r="I25" s="133">
        <f>IF(SER_hh_fec_in!I25=0,0,11630*1000*SER_hh_fec_in!I25/SER_hh_num_in!I25)</f>
        <v>10216.910115621769</v>
      </c>
      <c r="J25" s="133">
        <f>IF(SER_hh_fec_in!J25=0,0,11630*1000*SER_hh_fec_in!J25/SER_hh_num_in!J25)</f>
        <v>10218.677438172177</v>
      </c>
      <c r="K25" s="133">
        <f>IF(SER_hh_fec_in!K25=0,0,11630*1000*SER_hh_fec_in!K25/SER_hh_num_in!K25)</f>
        <v>10956.717825430544</v>
      </c>
      <c r="L25" s="133">
        <f>IF(SER_hh_fec_in!L25=0,0,11630*1000*SER_hh_fec_in!L25/SER_hh_num_in!L25)</f>
        <v>11209.555616895961</v>
      </c>
      <c r="M25" s="133">
        <f>IF(SER_hh_fec_in!M25=0,0,11630*1000*SER_hh_fec_in!M25/SER_hh_num_in!M25)</f>
        <v>10915.169791115817</v>
      </c>
      <c r="N25" s="133">
        <f>IF(SER_hh_fec_in!N25=0,0,11630*1000*SER_hh_fec_in!N25/SER_hh_num_in!N25)</f>
        <v>10920.494754691812</v>
      </c>
      <c r="O25" s="133">
        <f>IF(SER_hh_fec_in!O25=0,0,11630*1000*SER_hh_fec_in!O25/SER_hh_num_in!O25)</f>
        <v>11050.801834402504</v>
      </c>
      <c r="P25" s="133">
        <f>IF(SER_hh_fec_in!P25=0,0,11630*1000*SER_hh_fec_in!P25/SER_hh_num_in!P25)</f>
        <v>10680.422012339108</v>
      </c>
      <c r="Q25" s="133">
        <f>IF(SER_hh_fec_in!Q25=0,0,11630*1000*SER_hh_fec_in!Q25/SER_hh_num_in!Q25)</f>
        <v>11021.586004608689</v>
      </c>
      <c r="R25" s="133">
        <f>IF(SER_hh_fec_in!R25=0,0,11630*1000*SER_hh_fec_in!R25/SER_hh_num_in!R25)</f>
        <v>10947.908918032232</v>
      </c>
      <c r="S25" s="133">
        <f>IF(SER_hh_fec_in!S25=0,0,11630*1000*SER_hh_fec_in!S25/SER_hh_num_in!S25)</f>
        <v>11071.27572274311</v>
      </c>
      <c r="T25" s="133">
        <f>IF(SER_hh_fec_in!T25=0,0,11630*1000*SER_hh_fec_in!T25/SER_hh_num_in!T25)</f>
        <v>10774.145148531008</v>
      </c>
      <c r="U25" s="133">
        <f>IF(SER_hh_fec_in!U25=0,0,11630*1000*SER_hh_fec_in!U25/SER_hh_num_in!U25)</f>
        <v>10582.475029027473</v>
      </c>
      <c r="V25" s="133">
        <f>IF(SER_hh_fec_in!V25=0,0,11630*1000*SER_hh_fec_in!V25/SER_hh_num_in!V25)</f>
        <v>9234.0549333907311</v>
      </c>
      <c r="W25" s="133">
        <f>IF(SER_hh_fec_in!W25=0,0,11630*1000*SER_hh_fec_in!W25/SER_hh_num_in!W25)</f>
        <v>10324.708686540367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12795.646304238871</v>
      </c>
      <c r="D26" s="65">
        <f>IF(SER_hh_fec_in!D26=0,0,11630*1000*SER_hh_fec_in!D26/SER_hh_num_in!D26)</f>
        <v>12850.111951668274</v>
      </c>
      <c r="E26" s="65">
        <f>IF(SER_hh_fec_in!E26=0,0,11630*1000*SER_hh_fec_in!E26/SER_hh_num_in!E26)</f>
        <v>12628.690996042073</v>
      </c>
      <c r="F26" s="65">
        <f>IF(SER_hh_fec_in!F26=0,0,11630*1000*SER_hh_fec_in!F26/SER_hh_num_in!F26)</f>
        <v>12684.376212713554</v>
      </c>
      <c r="G26" s="65">
        <f>IF(SER_hh_fec_in!G26=0,0,11630*1000*SER_hh_fec_in!G26/SER_hh_num_in!G26)</f>
        <v>12874.99903912188</v>
      </c>
      <c r="H26" s="65">
        <f>IF(SER_hh_fec_in!H26=0,0,11630*1000*SER_hh_fec_in!H26/SER_hh_num_in!H26)</f>
        <v>13076.203716108272</v>
      </c>
      <c r="I26" s="65">
        <f>IF(SER_hh_fec_in!I26=0,0,11630*1000*SER_hh_fec_in!I26/SER_hh_num_in!I26)</f>
        <v>13491.903706514742</v>
      </c>
      <c r="J26" s="65">
        <f>IF(SER_hh_fec_in!J26=0,0,11630*1000*SER_hh_fec_in!J26/SER_hh_num_in!J26)</f>
        <v>13722.735000930052</v>
      </c>
      <c r="K26" s="65">
        <f>IF(SER_hh_fec_in!K26=0,0,11630*1000*SER_hh_fec_in!K26/SER_hh_num_in!K26)</f>
        <v>12719.61075163625</v>
      </c>
      <c r="L26" s="65">
        <f>IF(SER_hh_fec_in!L26=0,0,11630*1000*SER_hh_fec_in!L26/SER_hh_num_in!L26)</f>
        <v>12551.010090639562</v>
      </c>
      <c r="M26" s="65">
        <f>IF(SER_hh_fec_in!M26=0,0,11630*1000*SER_hh_fec_in!M26/SER_hh_num_in!M26)</f>
        <v>13117.247894455899</v>
      </c>
      <c r="N26" s="65">
        <f>IF(SER_hh_fec_in!N26=0,0,11630*1000*SER_hh_fec_in!N26/SER_hh_num_in!N26)</f>
        <v>13211.737853233271</v>
      </c>
      <c r="O26" s="65">
        <f>IF(SER_hh_fec_in!O26=0,0,11630*1000*SER_hh_fec_in!O26/SER_hh_num_in!O26)</f>
        <v>12471.800390970428</v>
      </c>
      <c r="P26" s="65">
        <f>IF(SER_hh_fec_in!P26=0,0,11630*1000*SER_hh_fec_in!P26/SER_hh_num_in!P26)</f>
        <v>12691.847623060665</v>
      </c>
      <c r="Q26" s="65">
        <f>IF(SER_hh_fec_in!Q26=0,0,11630*1000*SER_hh_fec_in!Q26/SER_hh_num_in!Q26)</f>
        <v>0</v>
      </c>
      <c r="R26" s="65">
        <f>IF(SER_hh_fec_in!R26=0,0,11630*1000*SER_hh_fec_in!R26/SER_hh_num_in!R26)</f>
        <v>11228.568044251277</v>
      </c>
      <c r="S26" s="65">
        <f>IF(SER_hh_fec_in!S26=0,0,11630*1000*SER_hh_fec_in!S26/SER_hh_num_in!S26)</f>
        <v>10864.613643916899</v>
      </c>
      <c r="T26" s="65">
        <f>IF(SER_hh_fec_in!T26=0,0,11630*1000*SER_hh_fec_in!T26/SER_hh_num_in!T26)</f>
        <v>11052.202539402193</v>
      </c>
      <c r="U26" s="65">
        <f>IF(SER_hh_fec_in!U26=0,0,11630*1000*SER_hh_fec_in!U26/SER_hh_num_in!U26)</f>
        <v>11028.227469904654</v>
      </c>
      <c r="V26" s="65">
        <f>IF(SER_hh_fec_in!V26=0,0,11630*1000*SER_hh_fec_in!V26/SER_hh_num_in!V26)</f>
        <v>9101.5538504819251</v>
      </c>
      <c r="W26" s="65">
        <f>IF(SER_hh_fec_in!W26=0,0,11630*1000*SER_hh_fec_in!W26/SER_hh_num_in!W26)</f>
        <v>10509.760370565382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0</v>
      </c>
      <c r="E27" s="146">
        <f>IF(SER_hh_fec_in!E27=0,0,11630*1000*SER_hh_fec_in!E27/SER_hh_num_in!E19)</f>
        <v>0</v>
      </c>
      <c r="F27" s="146">
        <f>IF(SER_hh_fec_in!F27=0,0,11630*1000*SER_hh_fec_in!F27/SER_hh_num_in!F19)</f>
        <v>0</v>
      </c>
      <c r="G27" s="146">
        <f>IF(SER_hh_fec_in!G27=0,0,11630*1000*SER_hh_fec_in!G27/SER_hh_num_in!G19)</f>
        <v>0</v>
      </c>
      <c r="H27" s="146">
        <f>IF(SER_hh_fec_in!H27=0,0,11630*1000*SER_hh_fec_in!H27/SER_hh_num_in!H19)</f>
        <v>0</v>
      </c>
      <c r="I27" s="146">
        <f>IF(SER_hh_fec_in!I27=0,0,11630*1000*SER_hh_fec_in!I27/SER_hh_num_in!I19)</f>
        <v>0</v>
      </c>
      <c r="J27" s="146">
        <f>IF(SER_hh_fec_in!J27=0,0,11630*1000*SER_hh_fec_in!J27/SER_hh_num_in!J19)</f>
        <v>0</v>
      </c>
      <c r="K27" s="146">
        <f>IF(SER_hh_fec_in!K27=0,0,11630*1000*SER_hh_fec_in!K27/SER_hh_num_in!K19)</f>
        <v>0</v>
      </c>
      <c r="L27" s="146">
        <f>IF(SER_hh_fec_in!L27=0,0,11630*1000*SER_hh_fec_in!L27/SER_hh_num_in!L19)</f>
        <v>0</v>
      </c>
      <c r="M27" s="146">
        <f>IF(SER_hh_fec_in!M27=0,0,11630*1000*SER_hh_fec_in!M27/SER_hh_num_in!M19)</f>
        <v>0</v>
      </c>
      <c r="N27" s="146">
        <f>IF(SER_hh_fec_in!N27=0,0,11630*1000*SER_hh_fec_in!N27/SER_hh_num_in!N19)</f>
        <v>0</v>
      </c>
      <c r="O27" s="146">
        <f>IF(SER_hh_fec_in!O27=0,0,11630*1000*SER_hh_fec_in!O27/SER_hh_num_in!O19)</f>
        <v>0</v>
      </c>
      <c r="P27" s="146">
        <f>IF(SER_hh_fec_in!P27=0,0,11630*1000*SER_hh_fec_in!P27/SER_hh_num_in!P19)</f>
        <v>0</v>
      </c>
      <c r="Q27" s="146">
        <f>IF(SER_hh_fec_in!Q27=0,0,11630*1000*SER_hh_fec_in!Q27/SER_hh_num_in!Q19)</f>
        <v>0</v>
      </c>
      <c r="R27" s="146">
        <f>IF(SER_hh_fec_in!R27=0,0,11630*1000*SER_hh_fec_in!R27/SER_hh_num_in!R19)</f>
        <v>0</v>
      </c>
      <c r="S27" s="146">
        <f>IF(SER_hh_fec_in!S27=0,0,11630*1000*SER_hh_fec_in!S27/SER_hh_num_in!S19)</f>
        <v>0</v>
      </c>
      <c r="T27" s="146">
        <f>IF(SER_hh_fec_in!T27=0,0,11630*1000*SER_hh_fec_in!T27/SER_hh_num_in!T19)</f>
        <v>0</v>
      </c>
      <c r="U27" s="146">
        <f>IF(SER_hh_fec_in!U27=0,0,11630*1000*SER_hh_fec_in!U27/SER_hh_num_in!U19)</f>
        <v>0</v>
      </c>
      <c r="V27" s="146">
        <f>IF(SER_hh_fec_in!V27=0,0,11630*1000*SER_hh_fec_in!V27/SER_hh_num_in!V19)</f>
        <v>0</v>
      </c>
      <c r="W27" s="146">
        <f>IF(SER_hh_fec_in!W27=0,0,11630*1000*SER_hh_fec_in!W27/SER_hh_num_in!W19)</f>
        <v>0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0</v>
      </c>
      <c r="E28" s="147">
        <f>IF(SER_hh_fec_in!E27=0,0,11630*1000*SER_hh_fec_in!E27/SER_hh_num_in!E27)</f>
        <v>0</v>
      </c>
      <c r="F28" s="147">
        <f>IF(SER_hh_fec_in!F27=0,0,11630*1000*SER_hh_fec_in!F27/SER_hh_num_in!F27)</f>
        <v>0</v>
      </c>
      <c r="G28" s="147">
        <f>IF(SER_hh_fec_in!G27=0,0,11630*1000*SER_hh_fec_in!G27/SER_hh_num_in!G27)</f>
        <v>0</v>
      </c>
      <c r="H28" s="147">
        <f>IF(SER_hh_fec_in!H27=0,0,11630*1000*SER_hh_fec_in!H27/SER_hh_num_in!H27)</f>
        <v>0</v>
      </c>
      <c r="I28" s="147">
        <f>IF(SER_hh_fec_in!I27=0,0,11630*1000*SER_hh_fec_in!I27/SER_hh_num_in!I27)</f>
        <v>0</v>
      </c>
      <c r="J28" s="147">
        <f>IF(SER_hh_fec_in!J27=0,0,11630*1000*SER_hh_fec_in!J27/SER_hh_num_in!J27)</f>
        <v>0</v>
      </c>
      <c r="K28" s="147">
        <f>IF(SER_hh_fec_in!K27=0,0,11630*1000*SER_hh_fec_in!K27/SER_hh_num_in!K27)</f>
        <v>0</v>
      </c>
      <c r="L28" s="147">
        <f>IF(SER_hh_fec_in!L27=0,0,11630*1000*SER_hh_fec_in!L27/SER_hh_num_in!L27)</f>
        <v>0</v>
      </c>
      <c r="M28" s="147">
        <f>IF(SER_hh_fec_in!M27=0,0,11630*1000*SER_hh_fec_in!M27/SER_hh_num_in!M27)</f>
        <v>0</v>
      </c>
      <c r="N28" s="147">
        <f>IF(SER_hh_fec_in!N27=0,0,11630*1000*SER_hh_fec_in!N27/SER_hh_num_in!N27)</f>
        <v>0</v>
      </c>
      <c r="O28" s="147">
        <f>IF(SER_hh_fec_in!O27=0,0,11630*1000*SER_hh_fec_in!O27/SER_hh_num_in!O27)</f>
        <v>0</v>
      </c>
      <c r="P28" s="147">
        <f>IF(SER_hh_fec_in!P27=0,0,11630*1000*SER_hh_fec_in!P27/SER_hh_num_in!P27)</f>
        <v>0</v>
      </c>
      <c r="Q28" s="147">
        <f>IF(SER_hh_fec_in!Q27=0,0,11630*1000*SER_hh_fec_in!Q27/SER_hh_num_in!Q27)</f>
        <v>0</v>
      </c>
      <c r="R28" s="147">
        <f>IF(SER_hh_fec_in!R27=0,0,11630*1000*SER_hh_fec_in!R27/SER_hh_num_in!R27)</f>
        <v>0</v>
      </c>
      <c r="S28" s="147">
        <f>IF(SER_hh_fec_in!S27=0,0,11630*1000*SER_hh_fec_in!S27/SER_hh_num_in!S27)</f>
        <v>0</v>
      </c>
      <c r="T28" s="147">
        <f>IF(SER_hh_fec_in!T27=0,0,11630*1000*SER_hh_fec_in!T27/SER_hh_num_in!T27)</f>
        <v>0</v>
      </c>
      <c r="U28" s="147">
        <f>IF(SER_hh_fec_in!U27=0,0,11630*1000*SER_hh_fec_in!U27/SER_hh_num_in!U27)</f>
        <v>0</v>
      </c>
      <c r="V28" s="147">
        <f>IF(SER_hh_fec_in!V27=0,0,11630*1000*SER_hh_fec_in!V27/SER_hh_num_in!V27)</f>
        <v>0</v>
      </c>
      <c r="W28" s="147">
        <f>IF(SER_hh_fec_in!W27=0,0,11630*1000*SER_hh_fec_in!W27/SER_hh_num_in!W27)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12343.350581315646</v>
      </c>
      <c r="D29" s="131">
        <f>IF(SER_hh_fec_in!D29=0,0,11630*1000*SER_hh_fec_in!D29/SER_hh_num_in!D29)</f>
        <v>12335.68472588049</v>
      </c>
      <c r="E29" s="131">
        <f>IF(SER_hh_fec_in!E29=0,0,11630*1000*SER_hh_fec_in!E29/SER_hh_num_in!E29)</f>
        <v>11630.056592395211</v>
      </c>
      <c r="F29" s="131">
        <f>IF(SER_hh_fec_in!F29=0,0,11630*1000*SER_hh_fec_in!F29/SER_hh_num_in!F29)</f>
        <v>11294.475675150017</v>
      </c>
      <c r="G29" s="131">
        <f>IF(SER_hh_fec_in!G29=0,0,11630*1000*SER_hh_fec_in!G29/SER_hh_num_in!G29)</f>
        <v>12011.006164499133</v>
      </c>
      <c r="H29" s="131">
        <f>IF(SER_hh_fec_in!H29=0,0,11630*1000*SER_hh_fec_in!H29/SER_hh_num_in!H29)</f>
        <v>12093.131570943895</v>
      </c>
      <c r="I29" s="131">
        <f>IF(SER_hh_fec_in!I29=0,0,11630*1000*SER_hh_fec_in!I29/SER_hh_num_in!I29)</f>
        <v>11743.247459726181</v>
      </c>
      <c r="J29" s="131">
        <f>IF(SER_hh_fec_in!J29=0,0,11630*1000*SER_hh_fec_in!J29/SER_hh_num_in!J29)</f>
        <v>11694.731380687508</v>
      </c>
      <c r="K29" s="131">
        <f>IF(SER_hh_fec_in!K29=0,0,11630*1000*SER_hh_fec_in!K29/SER_hh_num_in!K29)</f>
        <v>11210.253057869662</v>
      </c>
      <c r="L29" s="131">
        <f>IF(SER_hh_fec_in!L29=0,0,11630*1000*SER_hh_fec_in!L29/SER_hh_num_in!L29)</f>
        <v>10368.087297325215</v>
      </c>
      <c r="M29" s="131">
        <f>IF(SER_hh_fec_in!M29=0,0,11630*1000*SER_hh_fec_in!M29/SER_hh_num_in!M29)</f>
        <v>9417.0164570391353</v>
      </c>
      <c r="N29" s="131">
        <f>IF(SER_hh_fec_in!N29=0,0,11630*1000*SER_hh_fec_in!N29/SER_hh_num_in!N29)</f>
        <v>10001.982145489555</v>
      </c>
      <c r="O29" s="131">
        <f>IF(SER_hh_fec_in!O29=0,0,11630*1000*SER_hh_fec_in!O29/SER_hh_num_in!O29)</f>
        <v>9635.391262447074</v>
      </c>
      <c r="P29" s="131">
        <f>IF(SER_hh_fec_in!P29=0,0,11630*1000*SER_hh_fec_in!P29/SER_hh_num_in!P29)</f>
        <v>9717.6646695966883</v>
      </c>
      <c r="Q29" s="131">
        <f>IF(SER_hh_fec_in!Q29=0,0,11630*1000*SER_hh_fec_in!Q29/SER_hh_num_in!Q29)</f>
        <v>9735.821603788525</v>
      </c>
      <c r="R29" s="131">
        <f>IF(SER_hh_fec_in!R29=0,0,11630*1000*SER_hh_fec_in!R29/SER_hh_num_in!R29)</f>
        <v>9954.8882031796402</v>
      </c>
      <c r="S29" s="131">
        <f>IF(SER_hh_fec_in!S29=0,0,11630*1000*SER_hh_fec_in!S29/SER_hh_num_in!S29)</f>
        <v>9145.4696115045954</v>
      </c>
      <c r="T29" s="131">
        <f>IF(SER_hh_fec_in!T29=0,0,11630*1000*SER_hh_fec_in!T29/SER_hh_num_in!T29)</f>
        <v>8950.2405782515689</v>
      </c>
      <c r="U29" s="131">
        <f>IF(SER_hh_fec_in!U29=0,0,11630*1000*SER_hh_fec_in!U29/SER_hh_num_in!U29)</f>
        <v>9157.8405964168633</v>
      </c>
      <c r="V29" s="131">
        <f>IF(SER_hh_fec_in!V29=0,0,11630*1000*SER_hh_fec_in!V29/SER_hh_num_in!V29)</f>
        <v>8324.9255544901789</v>
      </c>
      <c r="W29" s="131">
        <f>IF(SER_hh_fec_in!W29=0,0,11630*1000*SER_hh_fec_in!W29/SER_hh_num_in!W29)</f>
        <v>9699.4671358330634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0</v>
      </c>
      <c r="D30" s="133">
        <f>IF(SER_hh_fec_in!D30=0,0,11630*1000*SER_hh_fec_in!D30/SER_hh_num_in!D30)</f>
        <v>0</v>
      </c>
      <c r="E30" s="133">
        <f>IF(SER_hh_fec_in!E30=0,0,11630*1000*SER_hh_fec_in!E30/SER_hh_num_in!E30)</f>
        <v>0</v>
      </c>
      <c r="F30" s="133">
        <f>IF(SER_hh_fec_in!F30=0,0,11630*1000*SER_hh_fec_in!F30/SER_hh_num_in!F30)</f>
        <v>0</v>
      </c>
      <c r="G30" s="133">
        <f>IF(SER_hh_fec_in!G30=0,0,11630*1000*SER_hh_fec_in!G30/SER_hh_num_in!G30)</f>
        <v>0</v>
      </c>
      <c r="H30" s="133">
        <f>IF(SER_hh_fec_in!H30=0,0,11630*1000*SER_hh_fec_in!H30/SER_hh_num_in!H30)</f>
        <v>0</v>
      </c>
      <c r="I30" s="133">
        <f>IF(SER_hh_fec_in!I30=0,0,11630*1000*SER_hh_fec_in!I30/SER_hh_num_in!I30)</f>
        <v>0</v>
      </c>
      <c r="J30" s="133">
        <f>IF(SER_hh_fec_in!J30=0,0,11630*1000*SER_hh_fec_in!J30/SER_hh_num_in!J30)</f>
        <v>0</v>
      </c>
      <c r="K30" s="133">
        <f>IF(SER_hh_fec_in!K30=0,0,11630*1000*SER_hh_fec_in!K30/SER_hh_num_in!K30)</f>
        <v>0</v>
      </c>
      <c r="L30" s="133">
        <f>IF(SER_hh_fec_in!L30=0,0,11630*1000*SER_hh_fec_in!L30/SER_hh_num_in!L30)</f>
        <v>0</v>
      </c>
      <c r="M30" s="133">
        <f>IF(SER_hh_fec_in!M30=0,0,11630*1000*SER_hh_fec_in!M30/SER_hh_num_in!M30)</f>
        <v>0</v>
      </c>
      <c r="N30" s="133">
        <f>IF(SER_hh_fec_in!N30=0,0,11630*1000*SER_hh_fec_in!N30/SER_hh_num_in!N30)</f>
        <v>0</v>
      </c>
      <c r="O30" s="133">
        <f>IF(SER_hh_fec_in!O30=0,0,11630*1000*SER_hh_fec_in!O30/SER_hh_num_in!O30)</f>
        <v>0</v>
      </c>
      <c r="P30" s="133">
        <f>IF(SER_hh_fec_in!P30=0,0,11630*1000*SER_hh_fec_in!P30/SER_hh_num_in!P30)</f>
        <v>0</v>
      </c>
      <c r="Q30" s="133">
        <f>IF(SER_hh_fec_in!Q30=0,0,11630*1000*SER_hh_fec_in!Q30/SER_hh_num_in!Q30)</f>
        <v>0</v>
      </c>
      <c r="R30" s="133">
        <f>IF(SER_hh_fec_in!R30=0,0,11630*1000*SER_hh_fec_in!R30/SER_hh_num_in!R30)</f>
        <v>0</v>
      </c>
      <c r="S30" s="133">
        <f>IF(SER_hh_fec_in!S30=0,0,11630*1000*SER_hh_fec_in!S30/SER_hh_num_in!S30)</f>
        <v>0</v>
      </c>
      <c r="T30" s="133">
        <f>IF(SER_hh_fec_in!T30=0,0,11630*1000*SER_hh_fec_in!T30/SER_hh_num_in!T30)</f>
        <v>0</v>
      </c>
      <c r="U30" s="133">
        <f>IF(SER_hh_fec_in!U30=0,0,11630*1000*SER_hh_fec_in!U30/SER_hh_num_in!U30)</f>
        <v>0</v>
      </c>
      <c r="V30" s="133">
        <f>IF(SER_hh_fec_in!V30=0,0,11630*1000*SER_hh_fec_in!V30/SER_hh_num_in!V30)</f>
        <v>0</v>
      </c>
      <c r="W30" s="133">
        <f>IF(SER_hh_fec_in!W30=0,0,11630*1000*SER_hh_fec_in!W30/SER_hh_num_in!W30)</f>
        <v>0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14727.647313027974</v>
      </c>
      <c r="D31" s="133">
        <f>IF(SER_hh_fec_in!D31=0,0,11630*1000*SER_hh_fec_in!D31/SER_hh_num_in!D31)</f>
        <v>15258.599984466331</v>
      </c>
      <c r="E31" s="133">
        <f>IF(SER_hh_fec_in!E31=0,0,11630*1000*SER_hh_fec_in!E31/SER_hh_num_in!E31)</f>
        <v>14992.416686296818</v>
      </c>
      <c r="F31" s="133">
        <f>IF(SER_hh_fec_in!F31=0,0,11630*1000*SER_hh_fec_in!F31/SER_hh_num_in!F31)</f>
        <v>13555.36970069714</v>
      </c>
      <c r="G31" s="133">
        <f>IF(SER_hh_fec_in!G31=0,0,11630*1000*SER_hh_fec_in!G31/SER_hh_num_in!G31)</f>
        <v>13659.860988547169</v>
      </c>
      <c r="H31" s="133">
        <f>IF(SER_hh_fec_in!H31=0,0,11630*1000*SER_hh_fec_in!H31/SER_hh_num_in!H31)</f>
        <v>13074.982297234877</v>
      </c>
      <c r="I31" s="133">
        <f>IF(SER_hh_fec_in!I31=0,0,11630*1000*SER_hh_fec_in!I31/SER_hh_num_in!I31)</f>
        <v>14614.201210830395</v>
      </c>
      <c r="J31" s="133">
        <f>IF(SER_hh_fec_in!J31=0,0,11630*1000*SER_hh_fec_in!J31/SER_hh_num_in!J31)</f>
        <v>14324.05195108045</v>
      </c>
      <c r="K31" s="133">
        <f>IF(SER_hh_fec_in!K31=0,0,11630*1000*SER_hh_fec_in!K31/SER_hh_num_in!K31)</f>
        <v>13656.03914622529</v>
      </c>
      <c r="L31" s="133">
        <f>IF(SER_hh_fec_in!L31=0,0,11630*1000*SER_hh_fec_in!L31/SER_hh_num_in!L31)</f>
        <v>13043.835365531853</v>
      </c>
      <c r="M31" s="133">
        <f>IF(SER_hh_fec_in!M31=0,0,11630*1000*SER_hh_fec_in!M31/SER_hh_num_in!M31)</f>
        <v>0</v>
      </c>
      <c r="N31" s="133">
        <f>IF(SER_hh_fec_in!N31=0,0,11630*1000*SER_hh_fec_in!N31/SER_hh_num_in!N31)</f>
        <v>0</v>
      </c>
      <c r="O31" s="133">
        <f>IF(SER_hh_fec_in!O31=0,0,11630*1000*SER_hh_fec_in!O31/SER_hh_num_in!O31)</f>
        <v>11908.733204458649</v>
      </c>
      <c r="P31" s="133">
        <f>IF(SER_hh_fec_in!P31=0,0,11630*1000*SER_hh_fec_in!P31/SER_hh_num_in!P31)</f>
        <v>11162.426520287592</v>
      </c>
      <c r="Q31" s="133">
        <f>IF(SER_hh_fec_in!Q31=0,0,11630*1000*SER_hh_fec_in!Q31/SER_hh_num_in!Q31)</f>
        <v>12197.071465209247</v>
      </c>
      <c r="R31" s="133">
        <f>IF(SER_hh_fec_in!R31=0,0,11630*1000*SER_hh_fec_in!R31/SER_hh_num_in!R31)</f>
        <v>12578.562815375102</v>
      </c>
      <c r="S31" s="133">
        <f>IF(SER_hh_fec_in!S31=0,0,11630*1000*SER_hh_fec_in!S31/SER_hh_num_in!S31)</f>
        <v>11831.12020830592</v>
      </c>
      <c r="T31" s="133">
        <f>IF(SER_hh_fec_in!T31=0,0,11630*1000*SER_hh_fec_in!T31/SER_hh_num_in!T31)</f>
        <v>13505.674280555138</v>
      </c>
      <c r="U31" s="133">
        <f>IF(SER_hh_fec_in!U31=0,0,11630*1000*SER_hh_fec_in!U31/SER_hh_num_in!U31)</f>
        <v>0</v>
      </c>
      <c r="V31" s="133">
        <f>IF(SER_hh_fec_in!V31=0,0,11630*1000*SER_hh_fec_in!V31/SER_hh_num_in!V31)</f>
        <v>0</v>
      </c>
      <c r="W31" s="133">
        <f>IF(SER_hh_fec_in!W31=0,0,11630*1000*SER_hh_fec_in!W31/SER_hh_num_in!W31)</f>
        <v>0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20336.347577120898</v>
      </c>
      <c r="H32" s="133">
        <f>IF(SER_hh_fec_in!H32=0,0,11630*1000*SER_hh_fec_in!H32/SER_hh_num_in!H32)</f>
        <v>13821.413565079887</v>
      </c>
      <c r="I32" s="133">
        <f>IF(SER_hh_fec_in!I32=0,0,11630*1000*SER_hh_fec_in!I32/SER_hh_num_in!I32)</f>
        <v>10993.860468778916</v>
      </c>
      <c r="J32" s="133">
        <f>IF(SER_hh_fec_in!J32=0,0,11630*1000*SER_hh_fec_in!J32/SER_hh_num_in!J32)</f>
        <v>18581.036587811588</v>
      </c>
      <c r="K32" s="133">
        <f>IF(SER_hh_fec_in!K32=0,0,11630*1000*SER_hh_fec_in!K32/SER_hh_num_in!K32)</f>
        <v>8975.8808639851486</v>
      </c>
      <c r="L32" s="133">
        <f>IF(SER_hh_fec_in!L32=0,0,11630*1000*SER_hh_fec_in!L32/SER_hh_num_in!L32)</f>
        <v>15514.038329959585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8116.1932413709492</v>
      </c>
      <c r="O32" s="133">
        <f>IF(SER_hh_fec_in!O32=0,0,11630*1000*SER_hh_fec_in!O32/SER_hh_num_in!O32)</f>
        <v>8476.6193896238929</v>
      </c>
      <c r="P32" s="133">
        <f>IF(SER_hh_fec_in!P32=0,0,11630*1000*SER_hh_fec_in!P32/SER_hh_num_in!P32)</f>
        <v>7799.4901243945751</v>
      </c>
      <c r="Q32" s="133">
        <f>IF(SER_hh_fec_in!Q32=0,0,11630*1000*SER_hh_fec_in!Q32/SER_hh_num_in!Q32)</f>
        <v>13981.337689931934</v>
      </c>
      <c r="R32" s="133">
        <f>IF(SER_hh_fec_in!R32=0,0,11630*1000*SER_hh_fec_in!R32/SER_hh_num_in!R32)</f>
        <v>12006.151127494775</v>
      </c>
      <c r="S32" s="133">
        <f>IF(SER_hh_fec_in!S32=0,0,11630*1000*SER_hh_fec_in!S32/SER_hh_num_in!S32)</f>
        <v>11690.005789210283</v>
      </c>
      <c r="T32" s="133">
        <f>IF(SER_hh_fec_in!T32=0,0,11630*1000*SER_hh_fec_in!T32/SER_hh_num_in!T32)</f>
        <v>11632.698039371498</v>
      </c>
      <c r="U32" s="133">
        <f>IF(SER_hh_fec_in!U32=0,0,11630*1000*SER_hh_fec_in!U32/SER_hh_num_in!U32)</f>
        <v>13103.727055981793</v>
      </c>
      <c r="V32" s="133">
        <f>IF(SER_hh_fec_in!V32=0,0,11630*1000*SER_hh_fec_in!V32/SER_hh_num_in!V32)</f>
        <v>11335.879311157005</v>
      </c>
      <c r="W32" s="133">
        <f>IF(SER_hh_fec_in!W32=0,0,11630*1000*SER_hh_fec_in!W32/SER_hh_num_in!W32)</f>
        <v>14911.360174047622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11411.876293129249</v>
      </c>
      <c r="D33" s="68">
        <f>IF(SER_hh_fec_in!D33=0,0,11630*1000*SER_hh_fec_in!D33/SER_hh_num_in!D33)</f>
        <v>11103.144538848906</v>
      </c>
      <c r="E33" s="68">
        <f>IF(SER_hh_fec_in!E33=0,0,11630*1000*SER_hh_fec_in!E33/SER_hh_num_in!E33)</f>
        <v>10734.736553452205</v>
      </c>
      <c r="F33" s="68">
        <f>IF(SER_hh_fec_in!F33=0,0,11630*1000*SER_hh_fec_in!F33/SER_hh_num_in!F33)</f>
        <v>10859.446034652492</v>
      </c>
      <c r="G33" s="68">
        <f>IF(SER_hh_fec_in!G33=0,0,11630*1000*SER_hh_fec_in!G33/SER_hh_num_in!G33)</f>
        <v>10646.99835203663</v>
      </c>
      <c r="H33" s="68">
        <f>IF(SER_hh_fec_in!H33=0,0,11630*1000*SER_hh_fec_in!H33/SER_hh_num_in!H33)</f>
        <v>11478.930827011594</v>
      </c>
      <c r="I33" s="68">
        <f>IF(SER_hh_fec_in!I33=0,0,11630*1000*SER_hh_fec_in!I33/SER_hh_num_in!I33)</f>
        <v>10417.785615734283</v>
      </c>
      <c r="J33" s="68">
        <f>IF(SER_hh_fec_in!J33=0,0,11630*1000*SER_hh_fec_in!J33/SER_hh_num_in!J33)</f>
        <v>9846.7875480147432</v>
      </c>
      <c r="K33" s="68">
        <f>IF(SER_hh_fec_in!K33=0,0,11630*1000*SER_hh_fec_in!K33/SER_hh_num_in!K33)</f>
        <v>10087.357248488361</v>
      </c>
      <c r="L33" s="68">
        <f>IF(SER_hh_fec_in!L33=0,0,11630*1000*SER_hh_fec_in!L33/SER_hh_num_in!L33)</f>
        <v>9770.1176520397712</v>
      </c>
      <c r="M33" s="68">
        <f>IF(SER_hh_fec_in!M33=0,0,11630*1000*SER_hh_fec_in!M33/SER_hh_num_in!M33)</f>
        <v>9417.0164570391353</v>
      </c>
      <c r="N33" s="68">
        <f>IF(SER_hh_fec_in!N33=0,0,11630*1000*SER_hh_fec_in!N33/SER_hh_num_in!N33)</f>
        <v>10016.028948253675</v>
      </c>
      <c r="O33" s="68">
        <f>IF(SER_hh_fec_in!O33=0,0,11630*1000*SER_hh_fec_in!O33/SER_hh_num_in!O33)</f>
        <v>9610.9659001573509</v>
      </c>
      <c r="P33" s="68">
        <f>IF(SER_hh_fec_in!P33=0,0,11630*1000*SER_hh_fec_in!P33/SER_hh_num_in!P33)</f>
        <v>9534.9123778850353</v>
      </c>
      <c r="Q33" s="68">
        <f>IF(SER_hh_fec_in!Q33=0,0,11630*1000*SER_hh_fec_in!Q33/SER_hh_num_in!Q33)</f>
        <v>8408.7343782231674</v>
      </c>
      <c r="R33" s="68">
        <f>IF(SER_hh_fec_in!R33=0,0,11630*1000*SER_hh_fec_in!R33/SER_hh_num_in!R33)</f>
        <v>8697.8745387468443</v>
      </c>
      <c r="S33" s="68">
        <f>IF(SER_hh_fec_in!S33=0,0,11630*1000*SER_hh_fec_in!S33/SER_hh_num_in!S33)</f>
        <v>8204.0262918315948</v>
      </c>
      <c r="T33" s="68">
        <f>IF(SER_hh_fec_in!T33=0,0,11630*1000*SER_hh_fec_in!T33/SER_hh_num_in!T33)</f>
        <v>8271.4949990648165</v>
      </c>
      <c r="U33" s="68">
        <f>IF(SER_hh_fec_in!U33=0,0,11630*1000*SER_hh_fec_in!U33/SER_hh_num_in!U33)</f>
        <v>8822.7048948283573</v>
      </c>
      <c r="V33" s="68">
        <f>IF(SER_hh_fec_in!V33=0,0,11630*1000*SER_hh_fec_in!V33/SER_hh_num_in!V33)</f>
        <v>8055.5710477138973</v>
      </c>
      <c r="W33" s="68">
        <f>IF(SER_hh_fec_in!W33=0,0,11630*1000*SER_hh_fec_in!W33/SER_hh_num_in!W33)</f>
        <v>9153.6473449361765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90985.151121006988</v>
      </c>
      <c r="D3" s="126">
        <f>IF(SER_hh_tes_in!D3=0,0,11630*1000*SER_hh_tes_in!D3/SER_hh_num_in!D3)</f>
        <v>86820.509803244509</v>
      </c>
      <c r="E3" s="126">
        <f>IF(SER_hh_tes_in!E3=0,0,11630*1000*SER_hh_tes_in!E3/SER_hh_num_in!E3)</f>
        <v>84582.777374663579</v>
      </c>
      <c r="F3" s="126">
        <f>IF(SER_hh_tes_in!F3=0,0,11630*1000*SER_hh_tes_in!F3/SER_hh_num_in!F3)</f>
        <v>83765.35991647499</v>
      </c>
      <c r="G3" s="126">
        <f>IF(SER_hh_tes_in!G3=0,0,11630*1000*SER_hh_tes_in!G3/SER_hh_num_in!G3)</f>
        <v>80076.483780442693</v>
      </c>
      <c r="H3" s="126">
        <f>IF(SER_hh_tes_in!H3=0,0,11630*1000*SER_hh_tes_in!H3/SER_hh_num_in!H3)</f>
        <v>85241.955344638613</v>
      </c>
      <c r="I3" s="126">
        <f>IF(SER_hh_tes_in!I3=0,0,11630*1000*SER_hh_tes_in!I3/SER_hh_num_in!I3)</f>
        <v>76706.26331663139</v>
      </c>
      <c r="J3" s="126">
        <f>IF(SER_hh_tes_in!J3=0,0,11630*1000*SER_hh_tes_in!J3/SER_hh_num_in!J3)</f>
        <v>68709.47721686674</v>
      </c>
      <c r="K3" s="126">
        <f>IF(SER_hh_tes_in!K3=0,0,11630*1000*SER_hh_tes_in!K3/SER_hh_num_in!K3)</f>
        <v>81341.933005587547</v>
      </c>
      <c r="L3" s="126">
        <f>IF(SER_hh_tes_in!L3=0,0,11630*1000*SER_hh_tes_in!L3/SER_hh_num_in!L3)</f>
        <v>80617.594302003403</v>
      </c>
      <c r="M3" s="126">
        <f>IF(SER_hh_tes_in!M3=0,0,11630*1000*SER_hh_tes_in!M3/SER_hh_num_in!M3)</f>
        <v>66761.619148847487</v>
      </c>
      <c r="N3" s="126">
        <f>IF(SER_hh_tes_in!N3=0,0,11630*1000*SER_hh_tes_in!N3/SER_hh_num_in!N3)</f>
        <v>77404.82932871925</v>
      </c>
      <c r="O3" s="126">
        <f>IF(SER_hh_tes_in!O3=0,0,11630*1000*SER_hh_tes_in!O3/SER_hh_num_in!O3)</f>
        <v>70173.108369830064</v>
      </c>
      <c r="P3" s="126">
        <f>IF(SER_hh_tes_in!P3=0,0,11630*1000*SER_hh_tes_in!P3/SER_hh_num_in!P3)</f>
        <v>65449.218931446965</v>
      </c>
      <c r="Q3" s="126">
        <f>IF(SER_hh_tes_in!Q3=0,0,11630*1000*SER_hh_tes_in!Q3/SER_hh_num_in!Q3)</f>
        <v>70844.066785700095</v>
      </c>
      <c r="R3" s="126">
        <f>IF(SER_hh_tes_in!R3=0,0,11630*1000*SER_hh_tes_in!R3/SER_hh_num_in!R3)</f>
        <v>70362.88813734171</v>
      </c>
      <c r="S3" s="126">
        <f>IF(SER_hh_tes_in!S3=0,0,11630*1000*SER_hh_tes_in!S3/SER_hh_num_in!S3)</f>
        <v>72231.761710918334</v>
      </c>
      <c r="T3" s="126">
        <f>IF(SER_hh_tes_in!T3=0,0,11630*1000*SER_hh_tes_in!T3/SER_hh_num_in!T3)</f>
        <v>74834.873720959513</v>
      </c>
      <c r="U3" s="126">
        <f>IF(SER_hh_tes_in!U3=0,0,11630*1000*SER_hh_tes_in!U3/SER_hh_num_in!U3)</f>
        <v>70092.788733834561</v>
      </c>
      <c r="V3" s="126">
        <f>IF(SER_hh_tes_in!V3=0,0,11630*1000*SER_hh_tes_in!V3/SER_hh_num_in!V3)</f>
        <v>62819.445229036559</v>
      </c>
      <c r="W3" s="126">
        <f>IF(SER_hh_tes_in!W3=0,0,11630*1000*SER_hh_tes_in!W3/SER_hh_num_in!W3)</f>
        <v>72980.37464399969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70036.221166670482</v>
      </c>
      <c r="D4" s="131">
        <f>IF(SER_hh_tes_in!D4=0,0,11630*1000*SER_hh_tes_in!D4/SER_hh_num_in!D4)</f>
        <v>65948.588751768053</v>
      </c>
      <c r="E4" s="131">
        <f>IF(SER_hh_tes_in!E4=0,0,11630*1000*SER_hh_tes_in!E4/SER_hh_num_in!E4)</f>
        <v>65768.985510154525</v>
      </c>
      <c r="F4" s="131">
        <f>IF(SER_hh_tes_in!F4=0,0,11630*1000*SER_hh_tes_in!F4/SER_hh_num_in!F4)</f>
        <v>63999.492277409969</v>
      </c>
      <c r="G4" s="131">
        <f>IF(SER_hh_tes_in!G4=0,0,11630*1000*SER_hh_tes_in!G4/SER_hh_num_in!G4)</f>
        <v>60130.43450860044</v>
      </c>
      <c r="H4" s="131">
        <f>IF(SER_hh_tes_in!H4=0,0,11630*1000*SER_hh_tes_in!H4/SER_hh_num_in!H4)</f>
        <v>62588.370025840006</v>
      </c>
      <c r="I4" s="131">
        <f>IF(SER_hh_tes_in!I4=0,0,11630*1000*SER_hh_tes_in!I4/SER_hh_num_in!I4)</f>
        <v>57950.846667832695</v>
      </c>
      <c r="J4" s="131">
        <f>IF(SER_hh_tes_in!J4=0,0,11630*1000*SER_hh_tes_in!J4/SER_hh_num_in!J4)</f>
        <v>47344.763422602598</v>
      </c>
      <c r="K4" s="131">
        <f>IF(SER_hh_tes_in!K4=0,0,11630*1000*SER_hh_tes_in!K4/SER_hh_num_in!K4)</f>
        <v>47018.250760188064</v>
      </c>
      <c r="L4" s="131">
        <f>IF(SER_hh_tes_in!L4=0,0,11630*1000*SER_hh_tes_in!L4/SER_hh_num_in!L4)</f>
        <v>48077.133780194519</v>
      </c>
      <c r="M4" s="131">
        <f>IF(SER_hh_tes_in!M4=0,0,11630*1000*SER_hh_tes_in!M4/SER_hh_num_in!M4)</f>
        <v>41944.330663883702</v>
      </c>
      <c r="N4" s="131">
        <f>IF(SER_hh_tes_in!N4=0,0,11630*1000*SER_hh_tes_in!N4/SER_hh_num_in!N4)</f>
        <v>44257.690959570864</v>
      </c>
      <c r="O4" s="131">
        <f>IF(SER_hh_tes_in!O4=0,0,11630*1000*SER_hh_tes_in!O4/SER_hh_num_in!O4)</f>
        <v>39613.556348798462</v>
      </c>
      <c r="P4" s="131">
        <f>IF(SER_hh_tes_in!P4=0,0,11630*1000*SER_hh_tes_in!P4/SER_hh_num_in!P4)</f>
        <v>35909.710923357547</v>
      </c>
      <c r="Q4" s="131">
        <f>IF(SER_hh_tes_in!Q4=0,0,11630*1000*SER_hh_tes_in!Q4/SER_hh_num_in!Q4)</f>
        <v>35332.984776103549</v>
      </c>
      <c r="R4" s="131">
        <f>IF(SER_hh_tes_in!R4=0,0,11630*1000*SER_hh_tes_in!R4/SER_hh_num_in!R4)</f>
        <v>35669.948399635039</v>
      </c>
      <c r="S4" s="131">
        <f>IF(SER_hh_tes_in!S4=0,0,11630*1000*SER_hh_tes_in!S4/SER_hh_num_in!S4)</f>
        <v>37976.962459784052</v>
      </c>
      <c r="T4" s="131">
        <f>IF(SER_hh_tes_in!T4=0,0,11630*1000*SER_hh_tes_in!T4/SER_hh_num_in!T4)</f>
        <v>39278.084972651188</v>
      </c>
      <c r="U4" s="131">
        <f>IF(SER_hh_tes_in!U4=0,0,11630*1000*SER_hh_tes_in!U4/SER_hh_num_in!U4)</f>
        <v>34718.023864449606</v>
      </c>
      <c r="V4" s="131">
        <f>IF(SER_hh_tes_in!V4=0,0,11630*1000*SER_hh_tes_in!V4/SER_hh_num_in!V4)</f>
        <v>29943.271807230311</v>
      </c>
      <c r="W4" s="131">
        <f>IF(SER_hh_tes_in!W4=0,0,11630*1000*SER_hh_tes_in!W4/SER_hh_num_in!W4)</f>
        <v>35235.753376003238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62468.090042648022</v>
      </c>
      <c r="D5" s="133">
        <f>IF(SER_hh_tes_in!D5=0,0,11630*1000*SER_hh_tes_in!D5/SER_hh_num_in!D5)</f>
        <v>67987.203262979718</v>
      </c>
      <c r="E5" s="133">
        <f>IF(SER_hh_tes_in!E5=0,0,11630*1000*SER_hh_tes_in!E5/SER_hh_num_in!E5)</f>
        <v>64612.837211549871</v>
      </c>
      <c r="F5" s="133">
        <f>IF(SER_hh_tes_in!F5=0,0,11630*1000*SER_hh_tes_in!F5/SER_hh_num_in!F5)</f>
        <v>57268.270834785813</v>
      </c>
      <c r="G5" s="133">
        <f>IF(SER_hh_tes_in!G5=0,0,11630*1000*SER_hh_tes_in!G5/SER_hh_num_in!G5)</f>
        <v>59506.454598928496</v>
      </c>
      <c r="H5" s="133">
        <f>IF(SER_hh_tes_in!H5=0,0,11630*1000*SER_hh_tes_in!H5/SER_hh_num_in!H5)</f>
        <v>75242.275720084406</v>
      </c>
      <c r="I5" s="133">
        <f>IF(SER_hh_tes_in!I5=0,0,11630*1000*SER_hh_tes_in!I5/SER_hh_num_in!I5)</f>
        <v>55597.802966842617</v>
      </c>
      <c r="J5" s="133">
        <f>IF(SER_hh_tes_in!J5=0,0,11630*1000*SER_hh_tes_in!J5/SER_hh_num_in!J5)</f>
        <v>41013.663675605261</v>
      </c>
      <c r="K5" s="133">
        <f>IF(SER_hh_tes_in!K5=0,0,11630*1000*SER_hh_tes_in!K5/SER_hh_num_in!K5)</f>
        <v>47483.035229358473</v>
      </c>
      <c r="L5" s="133">
        <f>IF(SER_hh_tes_in!L5=0,0,11630*1000*SER_hh_tes_in!L5/SER_hh_num_in!L5)</f>
        <v>45223.036524188348</v>
      </c>
      <c r="M5" s="133">
        <f>IF(SER_hh_tes_in!M5=0,0,11630*1000*SER_hh_tes_in!M5/SER_hh_num_in!M5)</f>
        <v>52906.003497660284</v>
      </c>
      <c r="N5" s="133">
        <f>IF(SER_hh_tes_in!N5=0,0,11630*1000*SER_hh_tes_in!N5/SER_hh_num_in!N5)</f>
        <v>36590.497412738689</v>
      </c>
      <c r="O5" s="133">
        <f>IF(SER_hh_tes_in!O5=0,0,11630*1000*SER_hh_tes_in!O5/SER_hh_num_in!O5)</f>
        <v>42639.103249486005</v>
      </c>
      <c r="P5" s="133">
        <f>IF(SER_hh_tes_in!P5=0,0,11630*1000*SER_hh_tes_in!P5/SER_hh_num_in!P5)</f>
        <v>38093.54343896122</v>
      </c>
      <c r="Q5" s="133">
        <f>IF(SER_hh_tes_in!Q5=0,0,11630*1000*SER_hh_tes_in!Q5/SER_hh_num_in!Q5)</f>
        <v>0</v>
      </c>
      <c r="R5" s="133">
        <f>IF(SER_hh_tes_in!R5=0,0,11630*1000*SER_hh_tes_in!R5/SER_hh_num_in!R5)</f>
        <v>36053.02066484854</v>
      </c>
      <c r="S5" s="133">
        <f>IF(SER_hh_tes_in!S5=0,0,11630*1000*SER_hh_tes_in!S5/SER_hh_num_in!S5)</f>
        <v>37765.234429879776</v>
      </c>
      <c r="T5" s="133">
        <f>IF(SER_hh_tes_in!T5=0,0,11630*1000*SER_hh_tes_in!T5/SER_hh_num_in!T5)</f>
        <v>39819.154014849955</v>
      </c>
      <c r="U5" s="133">
        <f>IF(SER_hh_tes_in!U5=0,0,11630*1000*SER_hh_tes_in!U5/SER_hh_num_in!U5)</f>
        <v>35670.792615626851</v>
      </c>
      <c r="V5" s="133">
        <f>IF(SER_hh_tes_in!V5=0,0,11630*1000*SER_hh_tes_in!V5/SER_hh_num_in!V5)</f>
        <v>0</v>
      </c>
      <c r="W5" s="133">
        <f>IF(SER_hh_tes_in!W5=0,0,11630*1000*SER_hh_tes_in!W5/SER_hh_num_in!W5)</f>
        <v>34489.272705937554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0</v>
      </c>
      <c r="D7" s="133">
        <f>IF(SER_hh_tes_in!D7=0,0,11630*1000*SER_hh_tes_in!D7/SER_hh_num_in!D7)</f>
        <v>0</v>
      </c>
      <c r="E7" s="133">
        <f>IF(SER_hh_tes_in!E7=0,0,11630*1000*SER_hh_tes_in!E7/SER_hh_num_in!E7)</f>
        <v>0</v>
      </c>
      <c r="F7" s="133">
        <f>IF(SER_hh_tes_in!F7=0,0,11630*1000*SER_hh_tes_in!F7/SER_hh_num_in!F7)</f>
        <v>0</v>
      </c>
      <c r="G7" s="133">
        <f>IF(SER_hh_tes_in!G7=0,0,11630*1000*SER_hh_tes_in!G7/SER_hh_num_in!G7)</f>
        <v>0</v>
      </c>
      <c r="H7" s="133">
        <f>IF(SER_hh_tes_in!H7=0,0,11630*1000*SER_hh_tes_in!H7/SER_hh_num_in!H7)</f>
        <v>0</v>
      </c>
      <c r="I7" s="133">
        <f>IF(SER_hh_tes_in!I7=0,0,11630*1000*SER_hh_tes_in!I7/SER_hh_num_in!I7)</f>
        <v>0</v>
      </c>
      <c r="J7" s="133">
        <f>IF(SER_hh_tes_in!J7=0,0,11630*1000*SER_hh_tes_in!J7/SER_hh_num_in!J7)</f>
        <v>81070.976018466361</v>
      </c>
      <c r="K7" s="133">
        <f>IF(SER_hh_tes_in!K7=0,0,11630*1000*SER_hh_tes_in!K7/SER_hh_num_in!K7)</f>
        <v>25682.179852544228</v>
      </c>
      <c r="L7" s="133">
        <f>IF(SER_hh_tes_in!L7=0,0,11630*1000*SER_hh_tes_in!L7/SER_hh_num_in!L7)</f>
        <v>39513.151905690225</v>
      </c>
      <c r="M7" s="133">
        <f>IF(SER_hh_tes_in!M7=0,0,11630*1000*SER_hh_tes_in!M7/SER_hh_num_in!M7)</f>
        <v>54083.512029903439</v>
      </c>
      <c r="N7" s="133">
        <f>IF(SER_hh_tes_in!N7=0,0,11630*1000*SER_hh_tes_in!N7/SER_hh_num_in!N7)</f>
        <v>34753.732876034679</v>
      </c>
      <c r="O7" s="133">
        <f>IF(SER_hh_tes_in!O7=0,0,11630*1000*SER_hh_tes_in!O7/SER_hh_num_in!O7)</f>
        <v>36354.504237120294</v>
      </c>
      <c r="P7" s="133">
        <f>IF(SER_hh_tes_in!P7=0,0,11630*1000*SER_hh_tes_in!P7/SER_hh_num_in!P7)</f>
        <v>0</v>
      </c>
      <c r="Q7" s="133">
        <f>IF(SER_hh_tes_in!Q7=0,0,11630*1000*SER_hh_tes_in!Q7/SER_hh_num_in!Q7)</f>
        <v>0</v>
      </c>
      <c r="R7" s="133">
        <f>IF(SER_hh_tes_in!R7=0,0,11630*1000*SER_hh_tes_in!R7/SER_hh_num_in!R7)</f>
        <v>0</v>
      </c>
      <c r="S7" s="133">
        <f>IF(SER_hh_tes_in!S7=0,0,11630*1000*SER_hh_tes_in!S7/SER_hh_num_in!S7)</f>
        <v>0</v>
      </c>
      <c r="T7" s="133">
        <f>IF(SER_hh_tes_in!T7=0,0,11630*1000*SER_hh_tes_in!T7/SER_hh_num_in!T7)</f>
        <v>0</v>
      </c>
      <c r="U7" s="133">
        <f>IF(SER_hh_tes_in!U7=0,0,11630*1000*SER_hh_tes_in!U7/SER_hh_num_in!U7)</f>
        <v>32787.885223104604</v>
      </c>
      <c r="V7" s="133">
        <f>IF(SER_hh_tes_in!V7=0,0,11630*1000*SER_hh_tes_in!V7/SER_hh_num_in!V7)</f>
        <v>31190.414863892769</v>
      </c>
      <c r="W7" s="133">
        <f>IF(SER_hh_tes_in!W7=0,0,11630*1000*SER_hh_tes_in!W7/SER_hh_num_in!W7)</f>
        <v>33521.580537200767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0</v>
      </c>
      <c r="D8" s="133">
        <f>IF(SER_hh_tes_in!D8=0,0,11630*1000*SER_hh_tes_in!D8/SER_hh_num_in!D8)</f>
        <v>0</v>
      </c>
      <c r="E8" s="133">
        <f>IF(SER_hh_tes_in!E8=0,0,11630*1000*SER_hh_tes_in!E8/SER_hh_num_in!E8)</f>
        <v>0</v>
      </c>
      <c r="F8" s="133">
        <f>IF(SER_hh_tes_in!F8=0,0,11630*1000*SER_hh_tes_in!F8/SER_hh_num_in!F8)</f>
        <v>0</v>
      </c>
      <c r="G8" s="133">
        <f>IF(SER_hh_tes_in!G8=0,0,11630*1000*SER_hh_tes_in!G8/SER_hh_num_in!G8)</f>
        <v>0</v>
      </c>
      <c r="H8" s="133">
        <f>IF(SER_hh_tes_in!H8=0,0,11630*1000*SER_hh_tes_in!H8/SER_hh_num_in!H8)</f>
        <v>0</v>
      </c>
      <c r="I8" s="133">
        <f>IF(SER_hh_tes_in!I8=0,0,11630*1000*SER_hh_tes_in!I8/SER_hh_num_in!I8)</f>
        <v>0</v>
      </c>
      <c r="J8" s="133">
        <f>IF(SER_hh_tes_in!J8=0,0,11630*1000*SER_hh_tes_in!J8/SER_hh_num_in!J8)</f>
        <v>0</v>
      </c>
      <c r="K8" s="133">
        <f>IF(SER_hh_tes_in!K8=0,0,11630*1000*SER_hh_tes_in!K8/SER_hh_num_in!K8)</f>
        <v>0</v>
      </c>
      <c r="L8" s="133">
        <f>IF(SER_hh_tes_in!L8=0,0,11630*1000*SER_hh_tes_in!L8/SER_hh_num_in!L8)</f>
        <v>0</v>
      </c>
      <c r="M8" s="133">
        <f>IF(SER_hh_tes_in!M8=0,0,11630*1000*SER_hh_tes_in!M8/SER_hh_num_in!M8)</f>
        <v>0</v>
      </c>
      <c r="N8" s="133">
        <f>IF(SER_hh_tes_in!N8=0,0,11630*1000*SER_hh_tes_in!N8/SER_hh_num_in!N8)</f>
        <v>0</v>
      </c>
      <c r="O8" s="133">
        <f>IF(SER_hh_tes_in!O8=0,0,11630*1000*SER_hh_tes_in!O8/SER_hh_num_in!O8)</f>
        <v>0</v>
      </c>
      <c r="P8" s="133">
        <f>IF(SER_hh_tes_in!P8=0,0,11630*1000*SER_hh_tes_in!P8/SER_hh_num_in!P8)</f>
        <v>0</v>
      </c>
      <c r="Q8" s="133">
        <f>IF(SER_hh_tes_in!Q8=0,0,11630*1000*SER_hh_tes_in!Q8/SER_hh_num_in!Q8)</f>
        <v>0</v>
      </c>
      <c r="R8" s="133">
        <f>IF(SER_hh_tes_in!R8=0,0,11630*1000*SER_hh_tes_in!R8/SER_hh_num_in!R8)</f>
        <v>0</v>
      </c>
      <c r="S8" s="133">
        <f>IF(SER_hh_tes_in!S8=0,0,11630*1000*SER_hh_tes_in!S8/SER_hh_num_in!S8)</f>
        <v>0</v>
      </c>
      <c r="T8" s="133">
        <f>IF(SER_hh_tes_in!T8=0,0,11630*1000*SER_hh_tes_in!T8/SER_hh_num_in!T8)</f>
        <v>0</v>
      </c>
      <c r="U8" s="133">
        <f>IF(SER_hh_tes_in!U8=0,0,11630*1000*SER_hh_tes_in!U8/SER_hh_num_in!U8)</f>
        <v>0</v>
      </c>
      <c r="V8" s="133">
        <f>IF(SER_hh_tes_in!V8=0,0,11630*1000*SER_hh_tes_in!V8/SER_hh_num_in!V8)</f>
        <v>0</v>
      </c>
      <c r="W8" s="133">
        <f>IF(SER_hh_tes_in!W8=0,0,11630*1000*SER_hh_tes_in!W8/SER_hh_num_in!W8)</f>
        <v>0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66301.417361928136</v>
      </c>
      <c r="D9" s="133">
        <f>IF(SER_hh_tes_in!D9=0,0,11630*1000*SER_hh_tes_in!D9/SER_hh_num_in!D9)</f>
        <v>65215.624583322598</v>
      </c>
      <c r="E9" s="133">
        <f>IF(SER_hh_tes_in!E9=0,0,11630*1000*SER_hh_tes_in!E9/SER_hh_num_in!E9)</f>
        <v>58289.577244073436</v>
      </c>
      <c r="F9" s="133">
        <f>IF(SER_hh_tes_in!F9=0,0,11630*1000*SER_hh_tes_in!F9/SER_hh_num_in!F9)</f>
        <v>69322.424567081514</v>
      </c>
      <c r="G9" s="133">
        <f>IF(SER_hh_tes_in!G9=0,0,11630*1000*SER_hh_tes_in!G9/SER_hh_num_in!G9)</f>
        <v>58235.06854595022</v>
      </c>
      <c r="H9" s="133">
        <f>IF(SER_hh_tes_in!H9=0,0,11630*1000*SER_hh_tes_in!H9/SER_hh_num_in!H9)</f>
        <v>54229.064895593758</v>
      </c>
      <c r="I9" s="133">
        <f>IF(SER_hh_tes_in!I9=0,0,11630*1000*SER_hh_tes_in!I9/SER_hh_num_in!I9)</f>
        <v>62159.479619327212</v>
      </c>
      <c r="J9" s="133">
        <f>IF(SER_hh_tes_in!J9=0,0,11630*1000*SER_hh_tes_in!J9/SER_hh_num_in!J9)</f>
        <v>51691.416397333865</v>
      </c>
      <c r="K9" s="133">
        <f>IF(SER_hh_tes_in!K9=0,0,11630*1000*SER_hh_tes_in!K9/SER_hh_num_in!K9)</f>
        <v>43827.019555353712</v>
      </c>
      <c r="L9" s="133">
        <f>IF(SER_hh_tes_in!L9=0,0,11630*1000*SER_hh_tes_in!L9/SER_hh_num_in!L9)</f>
        <v>47602.097015189189</v>
      </c>
      <c r="M9" s="133">
        <f>IF(SER_hh_tes_in!M9=0,0,11630*1000*SER_hh_tes_in!M9/SER_hh_num_in!M9)</f>
        <v>40503.194170125709</v>
      </c>
      <c r="N9" s="133">
        <f>IF(SER_hh_tes_in!N9=0,0,11630*1000*SER_hh_tes_in!N9/SER_hh_num_in!N9)</f>
        <v>42351.313236738504</v>
      </c>
      <c r="O9" s="133">
        <f>IF(SER_hh_tes_in!O9=0,0,11630*1000*SER_hh_tes_in!O9/SER_hh_num_in!O9)</f>
        <v>40527.201458536561</v>
      </c>
      <c r="P9" s="133">
        <f>IF(SER_hh_tes_in!P9=0,0,11630*1000*SER_hh_tes_in!P9/SER_hh_num_in!P9)</f>
        <v>33829.186253549116</v>
      </c>
      <c r="Q9" s="133">
        <f>IF(SER_hh_tes_in!Q9=0,0,11630*1000*SER_hh_tes_in!Q9/SER_hh_num_in!Q9)</f>
        <v>35233.850060864454</v>
      </c>
      <c r="R9" s="133">
        <f>IF(SER_hh_tes_in!R9=0,0,11630*1000*SER_hh_tes_in!R9/SER_hh_num_in!R9)</f>
        <v>35972.064570403243</v>
      </c>
      <c r="S9" s="133">
        <f>IF(SER_hh_tes_in!S9=0,0,11630*1000*SER_hh_tes_in!S9/SER_hh_num_in!S9)</f>
        <v>36587.42583585871</v>
      </c>
      <c r="T9" s="133">
        <f>IF(SER_hh_tes_in!T9=0,0,11630*1000*SER_hh_tes_in!T9/SER_hh_num_in!T9)</f>
        <v>36431.862661362044</v>
      </c>
      <c r="U9" s="133">
        <f>IF(SER_hh_tes_in!U9=0,0,11630*1000*SER_hh_tes_in!U9/SER_hh_num_in!U9)</f>
        <v>34896.495417595237</v>
      </c>
      <c r="V9" s="133">
        <f>IF(SER_hh_tes_in!V9=0,0,11630*1000*SER_hh_tes_in!V9/SER_hh_num_in!V9)</f>
        <v>32501.247769255588</v>
      </c>
      <c r="W9" s="133">
        <f>IF(SER_hh_tes_in!W9=0,0,11630*1000*SER_hh_tes_in!W9/SER_hh_num_in!W9)</f>
        <v>32969.148787402555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68846.19881503965</v>
      </c>
      <c r="D10" s="133">
        <f>IF(SER_hh_tes_in!D10=0,0,11630*1000*SER_hh_tes_in!D10/SER_hh_num_in!D10)</f>
        <v>69765.082137450445</v>
      </c>
      <c r="E10" s="133">
        <f>IF(SER_hh_tes_in!E10=0,0,11630*1000*SER_hh_tes_in!E10/SER_hh_num_in!E10)</f>
        <v>62718.848401390656</v>
      </c>
      <c r="F10" s="133">
        <f>IF(SER_hh_tes_in!F10=0,0,11630*1000*SER_hh_tes_in!F10/SER_hh_num_in!F10)</f>
        <v>60317.430007353811</v>
      </c>
      <c r="G10" s="133">
        <f>IF(SER_hh_tes_in!G10=0,0,11630*1000*SER_hh_tes_in!G10/SER_hh_num_in!G10)</f>
        <v>60515.656653518672</v>
      </c>
      <c r="H10" s="133">
        <f>IF(SER_hh_tes_in!H10=0,0,11630*1000*SER_hh_tes_in!H10/SER_hh_num_in!H10)</f>
        <v>58931.724907906515</v>
      </c>
      <c r="I10" s="133">
        <f>IF(SER_hh_tes_in!I10=0,0,11630*1000*SER_hh_tes_in!I10/SER_hh_num_in!I10)</f>
        <v>53454.184701350787</v>
      </c>
      <c r="J10" s="133">
        <f>IF(SER_hh_tes_in!J10=0,0,11630*1000*SER_hh_tes_in!J10/SER_hh_num_in!J10)</f>
        <v>51143.560162480775</v>
      </c>
      <c r="K10" s="133">
        <f>IF(SER_hh_tes_in!K10=0,0,11630*1000*SER_hh_tes_in!K10/SER_hh_num_in!K10)</f>
        <v>46697.48414197511</v>
      </c>
      <c r="L10" s="133">
        <f>IF(SER_hh_tes_in!L10=0,0,11630*1000*SER_hh_tes_in!L10/SER_hh_num_in!L10)</f>
        <v>43784.672903125938</v>
      </c>
      <c r="M10" s="133">
        <f>IF(SER_hh_tes_in!M10=0,0,11630*1000*SER_hh_tes_in!M10/SER_hh_num_in!M10)</f>
        <v>43343.695082940278</v>
      </c>
      <c r="N10" s="133">
        <f>IF(SER_hh_tes_in!N10=0,0,11630*1000*SER_hh_tes_in!N10/SER_hh_num_in!N10)</f>
        <v>42554.858362894192</v>
      </c>
      <c r="O10" s="133">
        <f>IF(SER_hh_tes_in!O10=0,0,11630*1000*SER_hh_tes_in!O10/SER_hh_num_in!O10)</f>
        <v>40853.561437880759</v>
      </c>
      <c r="P10" s="133">
        <f>IF(SER_hh_tes_in!P10=0,0,11630*1000*SER_hh_tes_in!P10/SER_hh_num_in!P10)</f>
        <v>36866.443829489297</v>
      </c>
      <c r="Q10" s="133">
        <f>IF(SER_hh_tes_in!Q10=0,0,11630*1000*SER_hh_tes_in!Q10/SER_hh_num_in!Q10)</f>
        <v>35087.492446611694</v>
      </c>
      <c r="R10" s="133">
        <f>IF(SER_hh_tes_in!R10=0,0,11630*1000*SER_hh_tes_in!R10/SER_hh_num_in!R10)</f>
        <v>0</v>
      </c>
      <c r="S10" s="133">
        <f>IF(SER_hh_tes_in!S10=0,0,11630*1000*SER_hh_tes_in!S10/SER_hh_num_in!S10)</f>
        <v>0</v>
      </c>
      <c r="T10" s="133">
        <f>IF(SER_hh_tes_in!T10=0,0,11630*1000*SER_hh_tes_in!T10/SER_hh_num_in!T10)</f>
        <v>35720.887427373949</v>
      </c>
      <c r="U10" s="133">
        <f>IF(SER_hh_tes_in!U10=0,0,11630*1000*SER_hh_tes_in!U10/SER_hh_num_in!U10)</f>
        <v>33043.056614329238</v>
      </c>
      <c r="V10" s="133">
        <f>IF(SER_hh_tes_in!V10=0,0,11630*1000*SER_hh_tes_in!V10/SER_hh_num_in!V10)</f>
        <v>34229.381930755109</v>
      </c>
      <c r="W10" s="133">
        <f>IF(SER_hh_tes_in!W10=0,0,11630*1000*SER_hh_tes_in!W10/SER_hh_num_in!W10)</f>
        <v>31681.16279616555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0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0</v>
      </c>
      <c r="N11" s="133">
        <f>IF(SER_hh_tes_in!N11=0,0,11630*1000*SER_hh_tes_in!N11/SER_hh_num_in!N11)</f>
        <v>0</v>
      </c>
      <c r="O11" s="133">
        <f>IF(SER_hh_tes_in!O11=0,0,11630*1000*SER_hh_tes_in!O11/SER_hh_num_in!O11)</f>
        <v>0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70549.351993527263</v>
      </c>
      <c r="D12" s="133">
        <f>IF(SER_hh_tes_in!D12=0,0,11630*1000*SER_hh_tes_in!D12/SER_hh_num_in!D12)</f>
        <v>66502.720283608724</v>
      </c>
      <c r="E12" s="133">
        <f>IF(SER_hh_tes_in!E12=0,0,11630*1000*SER_hh_tes_in!E12/SER_hh_num_in!E12)</f>
        <v>65613.760237239534</v>
      </c>
      <c r="F12" s="133">
        <f>IF(SER_hh_tes_in!F12=0,0,11630*1000*SER_hh_tes_in!F12/SER_hh_num_in!F12)</f>
        <v>63325.069901563031</v>
      </c>
      <c r="G12" s="133">
        <f>IF(SER_hh_tes_in!G12=0,0,11630*1000*SER_hh_tes_in!G12/SER_hh_num_in!G12)</f>
        <v>59804.928966887113</v>
      </c>
      <c r="H12" s="133">
        <f>IF(SER_hh_tes_in!H12=0,0,11630*1000*SER_hh_tes_in!H12/SER_hh_num_in!H12)</f>
        <v>62372.862065186695</v>
      </c>
      <c r="I12" s="133">
        <f>IF(SER_hh_tes_in!I12=0,0,11630*1000*SER_hh_tes_in!I12/SER_hh_num_in!I12)</f>
        <v>57265.001615678004</v>
      </c>
      <c r="J12" s="133">
        <f>IF(SER_hh_tes_in!J12=0,0,11630*1000*SER_hh_tes_in!J12/SER_hh_num_in!J12)</f>
        <v>44744.016828497479</v>
      </c>
      <c r="K12" s="133">
        <f>IF(SER_hh_tes_in!K12=0,0,11630*1000*SER_hh_tes_in!K12/SER_hh_num_in!K12)</f>
        <v>47850.82373615024</v>
      </c>
      <c r="L12" s="133">
        <f>IF(SER_hh_tes_in!L12=0,0,11630*1000*SER_hh_tes_in!L12/SER_hh_num_in!L12)</f>
        <v>49698.792271428705</v>
      </c>
      <c r="M12" s="133">
        <f>IF(SER_hh_tes_in!M12=0,0,11630*1000*SER_hh_tes_in!M12/SER_hh_num_in!M12)</f>
        <v>38713.792295437015</v>
      </c>
      <c r="N12" s="133">
        <f>IF(SER_hh_tes_in!N12=0,0,11630*1000*SER_hh_tes_in!N12/SER_hh_num_in!N12)</f>
        <v>46140.663035243975</v>
      </c>
      <c r="O12" s="133">
        <f>IF(SER_hh_tes_in!O12=0,0,11630*1000*SER_hh_tes_in!O12/SER_hh_num_in!O12)</f>
        <v>37811.584604939191</v>
      </c>
      <c r="P12" s="133">
        <f>IF(SER_hh_tes_in!P12=0,0,11630*1000*SER_hh_tes_in!P12/SER_hh_num_in!P12)</f>
        <v>35857.285989067626</v>
      </c>
      <c r="Q12" s="133">
        <f>IF(SER_hh_tes_in!Q12=0,0,11630*1000*SER_hh_tes_in!Q12/SER_hh_num_in!Q12)</f>
        <v>35493.077122852388</v>
      </c>
      <c r="R12" s="133">
        <f>IF(SER_hh_tes_in!R12=0,0,11630*1000*SER_hh_tes_in!R12/SER_hh_num_in!R12)</f>
        <v>34119.703783578843</v>
      </c>
      <c r="S12" s="133">
        <f>IF(SER_hh_tes_in!S12=0,0,11630*1000*SER_hh_tes_in!S12/SER_hh_num_in!S12)</f>
        <v>39419.762510074324</v>
      </c>
      <c r="T12" s="133">
        <f>IF(SER_hh_tes_in!T12=0,0,11630*1000*SER_hh_tes_in!T12/SER_hh_num_in!T12)</f>
        <v>39190.91392275635</v>
      </c>
      <c r="U12" s="133">
        <f>IF(SER_hh_tes_in!U12=0,0,11630*1000*SER_hh_tes_in!U12/SER_hh_num_in!U12)</f>
        <v>32863.161855532533</v>
      </c>
      <c r="V12" s="133">
        <f>IF(SER_hh_tes_in!V12=0,0,11630*1000*SER_hh_tes_in!V12/SER_hh_num_in!V12)</f>
        <v>28745.547621912148</v>
      </c>
      <c r="W12" s="133">
        <f>IF(SER_hh_tes_in!W12=0,0,11630*1000*SER_hh_tes_in!W12/SER_hh_num_in!W12)</f>
        <v>35527.369929029781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67728.667392103293</v>
      </c>
      <c r="D13" s="133">
        <f>IF(SER_hh_tes_in!D13=0,0,11630*1000*SER_hh_tes_in!D13/SER_hh_num_in!D13)</f>
        <v>52786.533441807886</v>
      </c>
      <c r="E13" s="133">
        <f>IF(SER_hh_tes_in!E13=0,0,11630*1000*SER_hh_tes_in!E13/SER_hh_num_in!E13)</f>
        <v>64679.421241759046</v>
      </c>
      <c r="F13" s="133">
        <f>IF(SER_hh_tes_in!F13=0,0,11630*1000*SER_hh_tes_in!F13/SER_hh_num_in!F13)</f>
        <v>60842.909242219153</v>
      </c>
      <c r="G13" s="133">
        <f>IF(SER_hh_tes_in!G13=0,0,11630*1000*SER_hh_tes_in!G13/SER_hh_num_in!G13)</f>
        <v>61788.906101595334</v>
      </c>
      <c r="H13" s="133">
        <f>IF(SER_hh_tes_in!H13=0,0,11630*1000*SER_hh_tes_in!H13/SER_hh_num_in!H13)</f>
        <v>54694.912058204653</v>
      </c>
      <c r="I13" s="133">
        <f>IF(SER_hh_tes_in!I13=0,0,11630*1000*SER_hh_tes_in!I13/SER_hh_num_in!I13)</f>
        <v>46913.674301805811</v>
      </c>
      <c r="J13" s="133">
        <f>IF(SER_hh_tes_in!J13=0,0,11630*1000*SER_hh_tes_in!J13/SER_hh_num_in!J13)</f>
        <v>56019.675553137691</v>
      </c>
      <c r="K13" s="133">
        <f>IF(SER_hh_tes_in!K13=0,0,11630*1000*SER_hh_tes_in!K13/SER_hh_num_in!K13)</f>
        <v>44732.528477293294</v>
      </c>
      <c r="L13" s="133">
        <f>IF(SER_hh_tes_in!L13=0,0,11630*1000*SER_hh_tes_in!L13/SER_hh_num_in!L13)</f>
        <v>34845.447026725786</v>
      </c>
      <c r="M13" s="133">
        <f>IF(SER_hh_tes_in!M13=0,0,11630*1000*SER_hh_tes_in!M13/SER_hh_num_in!M13)</f>
        <v>40177.382610900713</v>
      </c>
      <c r="N13" s="133">
        <f>IF(SER_hh_tes_in!N13=0,0,11630*1000*SER_hh_tes_in!N13/SER_hh_num_in!N13)</f>
        <v>39027.155627027845</v>
      </c>
      <c r="O13" s="133">
        <f>IF(SER_hh_tes_in!O13=0,0,11630*1000*SER_hh_tes_in!O13/SER_hh_num_in!O13)</f>
        <v>35540.758217113449</v>
      </c>
      <c r="P13" s="133">
        <f>IF(SER_hh_tes_in!P13=0,0,11630*1000*SER_hh_tes_in!P13/SER_hh_num_in!P13)</f>
        <v>41134.786969621011</v>
      </c>
      <c r="Q13" s="133">
        <f>IF(SER_hh_tes_in!Q13=0,0,11630*1000*SER_hh_tes_in!Q13/SER_hh_num_in!Q13)</f>
        <v>37750.531751526716</v>
      </c>
      <c r="R13" s="133">
        <f>IF(SER_hh_tes_in!R13=0,0,11630*1000*SER_hh_tes_in!R13/SER_hh_num_in!R13)</f>
        <v>37191.688576365879</v>
      </c>
      <c r="S13" s="133">
        <f>IF(SER_hh_tes_in!S13=0,0,11630*1000*SER_hh_tes_in!S13/SER_hh_num_in!S13)</f>
        <v>37307.831921098536</v>
      </c>
      <c r="T13" s="133">
        <f>IF(SER_hh_tes_in!T13=0,0,11630*1000*SER_hh_tes_in!T13/SER_hh_num_in!T13)</f>
        <v>37221.673253325062</v>
      </c>
      <c r="U13" s="133">
        <f>IF(SER_hh_tes_in!U13=0,0,11630*1000*SER_hh_tes_in!U13/SER_hh_num_in!U13)</f>
        <v>32184.853437540536</v>
      </c>
      <c r="V13" s="133">
        <f>IF(SER_hh_tes_in!V13=0,0,11630*1000*SER_hh_tes_in!V13/SER_hh_num_in!V13)</f>
        <v>26065.072991733305</v>
      </c>
      <c r="W13" s="133">
        <f>IF(SER_hh_tes_in!W13=0,0,11630*1000*SER_hh_tes_in!W13/SER_hh_num_in!W13)</f>
        <v>40809.431559368422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71496.119355472838</v>
      </c>
      <c r="D14" s="65">
        <f>IF(SER_hh_tes_in!D14=0,0,11630*1000*SER_hh_tes_in!D14/SER_hh_num_in!D14)</f>
        <v>58717.645869248539</v>
      </c>
      <c r="E14" s="65">
        <f>IF(SER_hh_tes_in!E14=0,0,11630*1000*SER_hh_tes_in!E14/SER_hh_num_in!E14)</f>
        <v>71004.971209170923</v>
      </c>
      <c r="F14" s="65">
        <f>IF(SER_hh_tes_in!F14=0,0,11630*1000*SER_hh_tes_in!F14/SER_hh_num_in!F14)</f>
        <v>66320.595286508629</v>
      </c>
      <c r="G14" s="65">
        <f>IF(SER_hh_tes_in!G14=0,0,11630*1000*SER_hh_tes_in!G14/SER_hh_num_in!G14)</f>
        <v>61684.574982579834</v>
      </c>
      <c r="H14" s="65">
        <f>IF(SER_hh_tes_in!H14=0,0,11630*1000*SER_hh_tes_in!H14/SER_hh_num_in!H14)</f>
        <v>57385.941259401421</v>
      </c>
      <c r="I14" s="65">
        <f>IF(SER_hh_tes_in!I14=0,0,11630*1000*SER_hh_tes_in!I14/SER_hh_num_in!I14)</f>
        <v>55105.061837327055</v>
      </c>
      <c r="J14" s="65">
        <f>IF(SER_hh_tes_in!J14=0,0,11630*1000*SER_hh_tes_in!J14/SER_hh_num_in!J14)</f>
        <v>78049.020876706403</v>
      </c>
      <c r="K14" s="65">
        <f>IF(SER_hh_tes_in!K14=0,0,11630*1000*SER_hh_tes_in!K14/SER_hh_num_in!K14)</f>
        <v>0</v>
      </c>
      <c r="L14" s="65">
        <f>IF(SER_hh_tes_in!L14=0,0,11630*1000*SER_hh_tes_in!L14/SER_hh_num_in!L14)</f>
        <v>0</v>
      </c>
      <c r="M14" s="65">
        <f>IF(SER_hh_tes_in!M14=0,0,11630*1000*SER_hh_tes_in!M14/SER_hh_num_in!M14)</f>
        <v>0</v>
      </c>
      <c r="N14" s="65">
        <f>IF(SER_hh_tes_in!N14=0,0,11630*1000*SER_hh_tes_in!N14/SER_hh_num_in!N14)</f>
        <v>55538.197069273876</v>
      </c>
      <c r="O14" s="65">
        <f>IF(SER_hh_tes_in!O14=0,0,11630*1000*SER_hh_tes_in!O14/SER_hh_num_in!O14)</f>
        <v>36626.455962265798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16520.977880226419</v>
      </c>
      <c r="R14" s="65">
        <f>IF(SER_hh_tes_in!R14=0,0,11630*1000*SER_hh_tes_in!R14/SER_hh_num_in!R14)</f>
        <v>44929.181669249541</v>
      </c>
      <c r="S14" s="65">
        <f>IF(SER_hh_tes_in!S14=0,0,11630*1000*SER_hh_tes_in!S14/SER_hh_num_in!S14)</f>
        <v>26815.792515539149</v>
      </c>
      <c r="T14" s="65">
        <f>IF(SER_hh_tes_in!T14=0,0,11630*1000*SER_hh_tes_in!T14/SER_hh_num_in!T14)</f>
        <v>41818.589408841362</v>
      </c>
      <c r="U14" s="65">
        <f>IF(SER_hh_tes_in!U14=0,0,11630*1000*SER_hh_tes_in!U14/SER_hh_num_in!U14)</f>
        <v>39944.77887722665</v>
      </c>
      <c r="V14" s="65">
        <f>IF(SER_hh_tes_in!V14=0,0,11630*1000*SER_hh_tes_in!V14/SER_hh_num_in!V14)</f>
        <v>28159.916178893611</v>
      </c>
      <c r="W14" s="65">
        <f>IF(SER_hh_tes_in!W14=0,0,11630*1000*SER_hh_tes_in!W14/SER_hh_num_in!W14)</f>
        <v>37125.502261959547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489.37370363592282</v>
      </c>
      <c r="D15" s="135">
        <f>IF(SER_hh_tes_in!D15=0,0,11630*1000*SER_hh_tes_in!D15/SER_hh_num_in!D15)</f>
        <v>546.89074087895563</v>
      </c>
      <c r="E15" s="135">
        <f>IF(SER_hh_tes_in!E15=0,0,11630*1000*SER_hh_tes_in!E15/SER_hh_num_in!E15)</f>
        <v>467.21779321290603</v>
      </c>
      <c r="F15" s="135">
        <f>IF(SER_hh_tes_in!F15=0,0,11630*1000*SER_hh_tes_in!F15/SER_hh_num_in!F15)</f>
        <v>535.40043855636145</v>
      </c>
      <c r="G15" s="135">
        <f>IF(SER_hh_tes_in!G15=0,0,11630*1000*SER_hh_tes_in!G15/SER_hh_num_in!G15)</f>
        <v>458.97131709241449</v>
      </c>
      <c r="H15" s="135">
        <f>IF(SER_hh_tes_in!H15=0,0,11630*1000*SER_hh_tes_in!H15/SER_hh_num_in!H15)</f>
        <v>512.07470536484152</v>
      </c>
      <c r="I15" s="135">
        <f>IF(SER_hh_tes_in!I15=0,0,11630*1000*SER_hh_tes_in!I15/SER_hh_num_in!I15)</f>
        <v>407.35408830636158</v>
      </c>
      <c r="J15" s="135">
        <f>IF(SER_hh_tes_in!J15=0,0,11630*1000*SER_hh_tes_in!J15/SER_hh_num_in!J15)</f>
        <v>354.00395142476071</v>
      </c>
      <c r="K15" s="135">
        <f>IF(SER_hh_tes_in!K15=0,0,11630*1000*SER_hh_tes_in!K15/SER_hh_num_in!K15)</f>
        <v>355.50416542887166</v>
      </c>
      <c r="L15" s="135">
        <f>IF(SER_hh_tes_in!L15=0,0,11630*1000*SER_hh_tes_in!L15/SER_hh_num_in!L15)</f>
        <v>335.95872084829108</v>
      </c>
      <c r="M15" s="135">
        <f>IF(SER_hh_tes_in!M15=0,0,11630*1000*SER_hh_tes_in!M15/SER_hh_num_in!M15)</f>
        <v>304.5860038764601</v>
      </c>
      <c r="N15" s="135">
        <f>IF(SER_hh_tes_in!N15=0,0,11630*1000*SER_hh_tes_in!N15/SER_hh_num_in!N15)</f>
        <v>328.50326950907493</v>
      </c>
      <c r="O15" s="135">
        <f>IF(SER_hh_tes_in!O15=0,0,11630*1000*SER_hh_tes_in!O15/SER_hh_num_in!O15)</f>
        <v>334.12486965112595</v>
      </c>
      <c r="P15" s="135">
        <f>IF(SER_hh_tes_in!P15=0,0,11630*1000*SER_hh_tes_in!P15/SER_hh_num_in!P15)</f>
        <v>261.76416532311845</v>
      </c>
      <c r="Q15" s="135">
        <f>IF(SER_hh_tes_in!Q15=0,0,11630*1000*SER_hh_tes_in!Q15/SER_hh_num_in!Q15)</f>
        <v>298.31747385704602</v>
      </c>
      <c r="R15" s="135">
        <f>IF(SER_hh_tes_in!R15=0,0,11630*1000*SER_hh_tes_in!R15/SER_hh_num_in!R15)</f>
        <v>254.09781622316282</v>
      </c>
      <c r="S15" s="135">
        <f>IF(SER_hh_tes_in!S15=0,0,11630*1000*SER_hh_tes_in!S15/SER_hh_num_in!S15)</f>
        <v>264.80681912468918</v>
      </c>
      <c r="T15" s="135">
        <f>IF(SER_hh_tes_in!T15=0,0,11630*1000*SER_hh_tes_in!T15/SER_hh_num_in!T15)</f>
        <v>309.22395608821682</v>
      </c>
      <c r="U15" s="135">
        <f>IF(SER_hh_tes_in!U15=0,0,11630*1000*SER_hh_tes_in!U15/SER_hh_num_in!U15)</f>
        <v>295.34338515711465</v>
      </c>
      <c r="V15" s="135">
        <f>IF(SER_hh_tes_in!V15=0,0,11630*1000*SER_hh_tes_in!V15/SER_hh_num_in!V15)</f>
        <v>216.18466684043329</v>
      </c>
      <c r="W15" s="135">
        <f>IF(SER_hh_tes_in!W15=0,0,11630*1000*SER_hh_tes_in!W15/SER_hh_num_in!W15)</f>
        <v>235.45736656887451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19511.128848206008</v>
      </c>
      <c r="D16" s="131">
        <f>IF(SER_hh_tes_in!D16=0,0,11630*1000*SER_hh_tes_in!D16/SER_hh_num_in!D16)</f>
        <v>20859.108560985587</v>
      </c>
      <c r="E16" s="131">
        <f>IF(SER_hh_tes_in!E16=0,0,11630*1000*SER_hh_tes_in!E16/SER_hh_num_in!E16)</f>
        <v>18620.149130594142</v>
      </c>
      <c r="F16" s="131">
        <f>IF(SER_hh_tes_in!F16=0,0,11630*1000*SER_hh_tes_in!F16/SER_hh_num_in!F16)</f>
        <v>18440.76272733212</v>
      </c>
      <c r="G16" s="131">
        <f>IF(SER_hh_tes_in!G16=0,0,11630*1000*SER_hh_tes_in!G16/SER_hh_num_in!G16)</f>
        <v>18411.831727312037</v>
      </c>
      <c r="H16" s="131">
        <f>IF(SER_hh_tes_in!H16=0,0,11630*1000*SER_hh_tes_in!H16/SER_hh_num_in!H16)</f>
        <v>20269.542912623023</v>
      </c>
      <c r="I16" s="131">
        <f>IF(SER_hh_tes_in!I16=0,0,11630*1000*SER_hh_tes_in!I16/SER_hh_num_in!I16)</f>
        <v>18656.298832204982</v>
      </c>
      <c r="J16" s="131">
        <f>IF(SER_hh_tes_in!J16=0,0,11630*1000*SER_hh_tes_in!J16/SER_hh_num_in!J16)</f>
        <v>18341.178169510524</v>
      </c>
      <c r="K16" s="131">
        <f>IF(SER_hh_tes_in!K16=0,0,11630*1000*SER_hh_tes_in!K16/SER_hh_num_in!K16)</f>
        <v>18237.953917727496</v>
      </c>
      <c r="L16" s="131">
        <f>IF(SER_hh_tes_in!L16=0,0,11630*1000*SER_hh_tes_in!L16/SER_hh_num_in!L16)</f>
        <v>23052.57126103988</v>
      </c>
      <c r="M16" s="131">
        <f>IF(SER_hh_tes_in!M16=0,0,11630*1000*SER_hh_tes_in!M16/SER_hh_num_in!M16)</f>
        <v>18249.02240225784</v>
      </c>
      <c r="N16" s="131">
        <f>IF(SER_hh_tes_in!N16=0,0,11630*1000*SER_hh_tes_in!N16/SER_hh_num_in!N16)</f>
        <v>19922.882516479523</v>
      </c>
      <c r="O16" s="131">
        <f>IF(SER_hh_tes_in!O16=0,0,11630*1000*SER_hh_tes_in!O16/SER_hh_num_in!O16)</f>
        <v>18482.914568976343</v>
      </c>
      <c r="P16" s="131">
        <f>IF(SER_hh_tes_in!P16=0,0,11630*1000*SER_hh_tes_in!P16/SER_hh_num_in!P16)</f>
        <v>20371.950754018362</v>
      </c>
      <c r="Q16" s="131">
        <f>IF(SER_hh_tes_in!Q16=0,0,11630*1000*SER_hh_tes_in!Q16/SER_hh_num_in!Q16)</f>
        <v>19705.747771956485</v>
      </c>
      <c r="R16" s="131">
        <f>IF(SER_hh_tes_in!R16=0,0,11630*1000*SER_hh_tes_in!R16/SER_hh_num_in!R16)</f>
        <v>18635.338792359216</v>
      </c>
      <c r="S16" s="131">
        <f>IF(SER_hh_tes_in!S16=0,0,11630*1000*SER_hh_tes_in!S16/SER_hh_num_in!S16)</f>
        <v>18467.811783753346</v>
      </c>
      <c r="T16" s="131">
        <f>IF(SER_hh_tes_in!T16=0,0,11630*1000*SER_hh_tes_in!T16/SER_hh_num_in!T16)</f>
        <v>19541.914617048784</v>
      </c>
      <c r="U16" s="131">
        <f>IF(SER_hh_tes_in!U16=0,0,11630*1000*SER_hh_tes_in!U16/SER_hh_num_in!U16)</f>
        <v>18845.986382884188</v>
      </c>
      <c r="V16" s="131">
        <f>IF(SER_hh_tes_in!V16=0,0,11630*1000*SER_hh_tes_in!V16/SER_hh_num_in!V16)</f>
        <v>17968.509839769897</v>
      </c>
      <c r="W16" s="131">
        <f>IF(SER_hh_tes_in!W16=0,0,11630*1000*SER_hh_tes_in!W16/SER_hh_num_in!W16)</f>
        <v>20755.455531613527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0</v>
      </c>
      <c r="D17" s="133">
        <f>IF(SER_hh_tes_in!D17=0,0,11630*1000*SER_hh_tes_in!D17/SER_hh_num_in!D17)</f>
        <v>0</v>
      </c>
      <c r="E17" s="133">
        <f>IF(SER_hh_tes_in!E17=0,0,11630*1000*SER_hh_tes_in!E17/SER_hh_num_in!E17)</f>
        <v>0</v>
      </c>
      <c r="F17" s="133">
        <f>IF(SER_hh_tes_in!F17=0,0,11630*1000*SER_hh_tes_in!F17/SER_hh_num_in!F17)</f>
        <v>0</v>
      </c>
      <c r="G17" s="133">
        <f>IF(SER_hh_tes_in!G17=0,0,11630*1000*SER_hh_tes_in!G17/SER_hh_num_in!G17)</f>
        <v>0</v>
      </c>
      <c r="H17" s="133">
        <f>IF(SER_hh_tes_in!H17=0,0,11630*1000*SER_hh_tes_in!H17/SER_hh_num_in!H17)</f>
        <v>0</v>
      </c>
      <c r="I17" s="133">
        <f>IF(SER_hh_tes_in!I17=0,0,11630*1000*SER_hh_tes_in!I17/SER_hh_num_in!I17)</f>
        <v>0</v>
      </c>
      <c r="J17" s="133">
        <f>IF(SER_hh_tes_in!J17=0,0,11630*1000*SER_hh_tes_in!J17/SER_hh_num_in!J17)</f>
        <v>0</v>
      </c>
      <c r="K17" s="133">
        <f>IF(SER_hh_tes_in!K17=0,0,11630*1000*SER_hh_tes_in!K17/SER_hh_num_in!K17)</f>
        <v>0</v>
      </c>
      <c r="L17" s="133">
        <f>IF(SER_hh_tes_in!L17=0,0,11630*1000*SER_hh_tes_in!L17/SER_hh_num_in!L17)</f>
        <v>0</v>
      </c>
      <c r="M17" s="133">
        <f>IF(SER_hh_tes_in!M17=0,0,11630*1000*SER_hh_tes_in!M17/SER_hh_num_in!M17)</f>
        <v>0</v>
      </c>
      <c r="N17" s="133">
        <f>IF(SER_hh_tes_in!N17=0,0,11630*1000*SER_hh_tes_in!N17/SER_hh_num_in!N17)</f>
        <v>0</v>
      </c>
      <c r="O17" s="133">
        <f>IF(SER_hh_tes_in!O17=0,0,11630*1000*SER_hh_tes_in!O17/SER_hh_num_in!O17)</f>
        <v>0</v>
      </c>
      <c r="P17" s="133">
        <f>IF(SER_hh_tes_in!P17=0,0,11630*1000*SER_hh_tes_in!P17/SER_hh_num_in!P17)</f>
        <v>0</v>
      </c>
      <c r="Q17" s="133">
        <f>IF(SER_hh_tes_in!Q17=0,0,11630*1000*SER_hh_tes_in!Q17/SER_hh_num_in!Q17)</f>
        <v>0</v>
      </c>
      <c r="R17" s="133">
        <f>IF(SER_hh_tes_in!R17=0,0,11630*1000*SER_hh_tes_in!R17/SER_hh_num_in!R17)</f>
        <v>0</v>
      </c>
      <c r="S17" s="133">
        <f>IF(SER_hh_tes_in!S17=0,0,11630*1000*SER_hh_tes_in!S17/SER_hh_num_in!S17)</f>
        <v>0</v>
      </c>
      <c r="T17" s="133">
        <f>IF(SER_hh_tes_in!T17=0,0,11630*1000*SER_hh_tes_in!T17/SER_hh_num_in!T17)</f>
        <v>0</v>
      </c>
      <c r="U17" s="133">
        <f>IF(SER_hh_tes_in!U17=0,0,11630*1000*SER_hh_tes_in!U17/SER_hh_num_in!U17)</f>
        <v>0</v>
      </c>
      <c r="V17" s="133">
        <f>IF(SER_hh_tes_in!V17=0,0,11630*1000*SER_hh_tes_in!V17/SER_hh_num_in!V17)</f>
        <v>0</v>
      </c>
      <c r="W17" s="133">
        <f>IF(SER_hh_tes_in!W17=0,0,11630*1000*SER_hh_tes_in!W17/SER_hh_num_in!W17)</f>
        <v>0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19511.128848206008</v>
      </c>
      <c r="D18" s="133">
        <f>IF(SER_hh_tes_in!D18=0,0,11630*1000*SER_hh_tes_in!D18/SER_hh_num_in!D18)</f>
        <v>20859.108560985587</v>
      </c>
      <c r="E18" s="133">
        <f>IF(SER_hh_tes_in!E18=0,0,11630*1000*SER_hh_tes_in!E18/SER_hh_num_in!E18)</f>
        <v>18620.149130594142</v>
      </c>
      <c r="F18" s="133">
        <f>IF(SER_hh_tes_in!F18=0,0,11630*1000*SER_hh_tes_in!F18/SER_hh_num_in!F18)</f>
        <v>18440.76272733212</v>
      </c>
      <c r="G18" s="133">
        <f>IF(SER_hh_tes_in!G18=0,0,11630*1000*SER_hh_tes_in!G18/SER_hh_num_in!G18)</f>
        <v>18411.831727312037</v>
      </c>
      <c r="H18" s="133">
        <f>IF(SER_hh_tes_in!H18=0,0,11630*1000*SER_hh_tes_in!H18/SER_hh_num_in!H18)</f>
        <v>20269.542912623023</v>
      </c>
      <c r="I18" s="133">
        <f>IF(SER_hh_tes_in!I18=0,0,11630*1000*SER_hh_tes_in!I18/SER_hh_num_in!I18)</f>
        <v>18656.298832204982</v>
      </c>
      <c r="J18" s="133">
        <f>IF(SER_hh_tes_in!J18=0,0,11630*1000*SER_hh_tes_in!J18/SER_hh_num_in!J18)</f>
        <v>18341.178169510524</v>
      </c>
      <c r="K18" s="133">
        <f>IF(SER_hh_tes_in!K18=0,0,11630*1000*SER_hh_tes_in!K18/SER_hh_num_in!K18)</f>
        <v>18237.953917727496</v>
      </c>
      <c r="L18" s="133">
        <f>IF(SER_hh_tes_in!L18=0,0,11630*1000*SER_hh_tes_in!L18/SER_hh_num_in!L18)</f>
        <v>23052.57126103988</v>
      </c>
      <c r="M18" s="133">
        <f>IF(SER_hh_tes_in!M18=0,0,11630*1000*SER_hh_tes_in!M18/SER_hh_num_in!M18)</f>
        <v>18249.02240225784</v>
      </c>
      <c r="N18" s="133">
        <f>IF(SER_hh_tes_in!N18=0,0,11630*1000*SER_hh_tes_in!N18/SER_hh_num_in!N18)</f>
        <v>19922.882516479523</v>
      </c>
      <c r="O18" s="133">
        <f>IF(SER_hh_tes_in!O18=0,0,11630*1000*SER_hh_tes_in!O18/SER_hh_num_in!O18)</f>
        <v>18482.914568976343</v>
      </c>
      <c r="P18" s="133">
        <f>IF(SER_hh_tes_in!P18=0,0,11630*1000*SER_hh_tes_in!P18/SER_hh_num_in!P18)</f>
        <v>20371.950754018362</v>
      </c>
      <c r="Q18" s="133">
        <f>IF(SER_hh_tes_in!Q18=0,0,11630*1000*SER_hh_tes_in!Q18/SER_hh_num_in!Q18)</f>
        <v>19705.747771956485</v>
      </c>
      <c r="R18" s="133">
        <f>IF(SER_hh_tes_in!R18=0,0,11630*1000*SER_hh_tes_in!R18/SER_hh_num_in!R18)</f>
        <v>18635.338792359216</v>
      </c>
      <c r="S18" s="133">
        <f>IF(SER_hh_tes_in!S18=0,0,11630*1000*SER_hh_tes_in!S18/SER_hh_num_in!S18)</f>
        <v>18467.811783753346</v>
      </c>
      <c r="T18" s="133">
        <f>IF(SER_hh_tes_in!T18=0,0,11630*1000*SER_hh_tes_in!T18/SER_hh_num_in!T18)</f>
        <v>19541.914617048784</v>
      </c>
      <c r="U18" s="133">
        <f>IF(SER_hh_tes_in!U18=0,0,11630*1000*SER_hh_tes_in!U18/SER_hh_num_in!U18)</f>
        <v>18845.986382884188</v>
      </c>
      <c r="V18" s="133">
        <f>IF(SER_hh_tes_in!V18=0,0,11630*1000*SER_hh_tes_in!V18/SER_hh_num_in!V18)</f>
        <v>17968.509839769897</v>
      </c>
      <c r="W18" s="133">
        <f>IF(SER_hh_tes_in!W18=0,0,11630*1000*SER_hh_tes_in!W18/SER_hh_num_in!W18)</f>
        <v>20755.455531613527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7907.1810999260051</v>
      </c>
      <c r="D19" s="131">
        <f>IF(SER_hh_tes_in!D19=0,0,11630*1000*SER_hh_tes_in!D19/SER_hh_num_in!D19)</f>
        <v>7847.3927607570804</v>
      </c>
      <c r="E19" s="131">
        <f>IF(SER_hh_tes_in!E19=0,0,11630*1000*SER_hh_tes_in!E19/SER_hh_num_in!E19)</f>
        <v>7761.3105407976964</v>
      </c>
      <c r="F19" s="131">
        <f>IF(SER_hh_tes_in!F19=0,0,11630*1000*SER_hh_tes_in!F19/SER_hh_num_in!F19)</f>
        <v>8010.3710477127161</v>
      </c>
      <c r="G19" s="131">
        <f>IF(SER_hh_tes_in!G19=0,0,11630*1000*SER_hh_tes_in!G19/SER_hh_num_in!G19)</f>
        <v>8175.2208559818218</v>
      </c>
      <c r="H19" s="131">
        <f>IF(SER_hh_tes_in!H19=0,0,11630*1000*SER_hh_tes_in!H19/SER_hh_num_in!H19)</f>
        <v>8383.051970084889</v>
      </c>
      <c r="I19" s="131">
        <f>IF(SER_hh_tes_in!I19=0,0,11630*1000*SER_hh_tes_in!I19/SER_hh_num_in!I19)</f>
        <v>8189.1773226936011</v>
      </c>
      <c r="J19" s="131">
        <f>IF(SER_hh_tes_in!J19=0,0,11630*1000*SER_hh_tes_in!J19/SER_hh_num_in!J19)</f>
        <v>8228.0140079793127</v>
      </c>
      <c r="K19" s="131">
        <f>IF(SER_hh_tes_in!K19=0,0,11630*1000*SER_hh_tes_in!K19/SER_hh_num_in!K19)</f>
        <v>8408.5972361540407</v>
      </c>
      <c r="L19" s="131">
        <f>IF(SER_hh_tes_in!L19=0,0,11630*1000*SER_hh_tes_in!L19/SER_hh_num_in!L19)</f>
        <v>8598.4943837931351</v>
      </c>
      <c r="M19" s="131">
        <f>IF(SER_hh_tes_in!M19=0,0,11630*1000*SER_hh_tes_in!M19/SER_hh_num_in!M19)</f>
        <v>8562.7235047428021</v>
      </c>
      <c r="N19" s="131">
        <f>IF(SER_hh_tes_in!N19=0,0,11630*1000*SER_hh_tes_in!N19/SER_hh_num_in!N19)</f>
        <v>8684.6588389258468</v>
      </c>
      <c r="O19" s="131">
        <f>IF(SER_hh_tes_in!O19=0,0,11630*1000*SER_hh_tes_in!O19/SER_hh_num_in!O19)</f>
        <v>8800.5066380293665</v>
      </c>
      <c r="P19" s="131">
        <f>IF(SER_hh_tes_in!P19=0,0,11630*1000*SER_hh_tes_in!P19/SER_hh_num_in!P19)</f>
        <v>8667.8699796116489</v>
      </c>
      <c r="Q19" s="131">
        <f>IF(SER_hh_tes_in!Q19=0,0,11630*1000*SER_hh_tes_in!Q19/SER_hh_num_in!Q19)</f>
        <v>9007.9158540402241</v>
      </c>
      <c r="R19" s="131">
        <f>IF(SER_hh_tes_in!R19=0,0,11630*1000*SER_hh_tes_in!R19/SER_hh_num_in!R19)</f>
        <v>9012.7607544234052</v>
      </c>
      <c r="S19" s="131">
        <f>IF(SER_hh_tes_in!S19=0,0,11630*1000*SER_hh_tes_in!S19/SER_hh_num_in!S19)</f>
        <v>9049.0881424578893</v>
      </c>
      <c r="T19" s="131">
        <f>IF(SER_hh_tes_in!T19=0,0,11630*1000*SER_hh_tes_in!T19/SER_hh_num_in!T19)</f>
        <v>9038.3955592401016</v>
      </c>
      <c r="U19" s="131">
        <f>IF(SER_hh_tes_in!U19=0,0,11630*1000*SER_hh_tes_in!U19/SER_hh_num_in!U19)</f>
        <v>9034.2090299247793</v>
      </c>
      <c r="V19" s="131">
        <f>IF(SER_hh_tes_in!V19=0,0,11630*1000*SER_hh_tes_in!V19/SER_hh_num_in!V19)</f>
        <v>7993.4923596455683</v>
      </c>
      <c r="W19" s="131">
        <f>IF(SER_hh_tes_in!W19=0,0,11630*1000*SER_hh_tes_in!W19/SER_hh_num_in!W19)</f>
        <v>8941.6182379537549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0</v>
      </c>
      <c r="D21" s="133">
        <f>IF(SER_hh_tes_in!D21=0,0,11630*1000*SER_hh_tes_in!D21/SER_hh_num_in!D21)</f>
        <v>0</v>
      </c>
      <c r="E21" s="133">
        <f>IF(SER_hh_tes_in!E21=0,0,11630*1000*SER_hh_tes_in!E21/SER_hh_num_in!E21)</f>
        <v>0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0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0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0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0</v>
      </c>
      <c r="D22" s="133">
        <f>IF(SER_hh_tes_in!D22=0,0,11630*1000*SER_hh_tes_in!D22/SER_hh_num_in!D22)</f>
        <v>0</v>
      </c>
      <c r="E22" s="133">
        <f>IF(SER_hh_tes_in!E22=0,0,11630*1000*SER_hh_tes_in!E22/SER_hh_num_in!E22)</f>
        <v>0</v>
      </c>
      <c r="F22" s="133">
        <f>IF(SER_hh_tes_in!F22=0,0,11630*1000*SER_hh_tes_in!F22/SER_hh_num_in!F22)</f>
        <v>0</v>
      </c>
      <c r="G22" s="133">
        <f>IF(SER_hh_tes_in!G22=0,0,11630*1000*SER_hh_tes_in!G22/SER_hh_num_in!G22)</f>
        <v>0</v>
      </c>
      <c r="H22" s="133">
        <f>IF(SER_hh_tes_in!H22=0,0,11630*1000*SER_hh_tes_in!H22/SER_hh_num_in!H22)</f>
        <v>0</v>
      </c>
      <c r="I22" s="133">
        <f>IF(SER_hh_tes_in!I22=0,0,11630*1000*SER_hh_tes_in!I22/SER_hh_num_in!I22)</f>
        <v>0</v>
      </c>
      <c r="J22" s="133">
        <f>IF(SER_hh_tes_in!J22=0,0,11630*1000*SER_hh_tes_in!J22/SER_hh_num_in!J22)</f>
        <v>8991.9045284843396</v>
      </c>
      <c r="K22" s="133">
        <f>IF(SER_hh_tes_in!K22=0,0,11630*1000*SER_hh_tes_in!K22/SER_hh_num_in!K22)</f>
        <v>7767.7909824292556</v>
      </c>
      <c r="L22" s="133">
        <f>IF(SER_hh_tes_in!L22=0,0,11630*1000*SER_hh_tes_in!L22/SER_hh_num_in!L22)</f>
        <v>8323.6218208078826</v>
      </c>
      <c r="M22" s="133">
        <f>IF(SER_hh_tes_in!M22=0,0,11630*1000*SER_hh_tes_in!M22/SER_hh_num_in!M22)</f>
        <v>8414.4304532385686</v>
      </c>
      <c r="N22" s="133">
        <f>IF(SER_hh_tes_in!N22=0,0,11630*1000*SER_hh_tes_in!N22/SER_hh_num_in!N22)</f>
        <v>7768.2308492985103</v>
      </c>
      <c r="O22" s="133">
        <f>IF(SER_hh_tes_in!O22=0,0,11630*1000*SER_hh_tes_in!O22/SER_hh_num_in!O22)</f>
        <v>8728.3395116711781</v>
      </c>
      <c r="P22" s="133">
        <f>IF(SER_hh_tes_in!P22=0,0,11630*1000*SER_hh_tes_in!P22/SER_hh_num_in!P22)</f>
        <v>0</v>
      </c>
      <c r="Q22" s="133">
        <f>IF(SER_hh_tes_in!Q22=0,0,11630*1000*SER_hh_tes_in!Q22/SER_hh_num_in!Q22)</f>
        <v>8836.013876694431</v>
      </c>
      <c r="R22" s="133">
        <f>IF(SER_hh_tes_in!R22=0,0,11630*1000*SER_hh_tes_in!R22/SER_hh_num_in!R22)</f>
        <v>0</v>
      </c>
      <c r="S22" s="133">
        <f>IF(SER_hh_tes_in!S22=0,0,11630*1000*SER_hh_tes_in!S22/SER_hh_num_in!S22)</f>
        <v>9928.1678881194039</v>
      </c>
      <c r="T22" s="133">
        <f>IF(SER_hh_tes_in!T22=0,0,11630*1000*SER_hh_tes_in!T22/SER_hh_num_in!T22)</f>
        <v>7271.8310580015541</v>
      </c>
      <c r="U22" s="133">
        <f>IF(SER_hh_tes_in!U22=0,0,11630*1000*SER_hh_tes_in!U22/SER_hh_num_in!U22)</f>
        <v>8406.9599611880622</v>
      </c>
      <c r="V22" s="133">
        <f>IF(SER_hh_tes_in!V22=0,0,11630*1000*SER_hh_tes_in!V22/SER_hh_num_in!V22)</f>
        <v>8370.2478446568748</v>
      </c>
      <c r="W22" s="133">
        <f>IF(SER_hh_tes_in!W22=0,0,11630*1000*SER_hh_tes_in!W22/SER_hh_num_in!W22)</f>
        <v>9093.0810935206227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7701.613908815053</v>
      </c>
      <c r="D23" s="133">
        <f>IF(SER_hh_tes_in!D23=0,0,11630*1000*SER_hh_tes_in!D23/SER_hh_num_in!D23)</f>
        <v>7775.7252326476209</v>
      </c>
      <c r="E23" s="133">
        <f>IF(SER_hh_tes_in!E23=0,0,11630*1000*SER_hh_tes_in!E23/SER_hh_num_in!E23)</f>
        <v>7440.8518644620854</v>
      </c>
      <c r="F23" s="133">
        <f>IF(SER_hh_tes_in!F23=0,0,11630*1000*SER_hh_tes_in!F23/SER_hh_num_in!F23)</f>
        <v>8281.6645188153179</v>
      </c>
      <c r="G23" s="133">
        <f>IF(SER_hh_tes_in!G23=0,0,11630*1000*SER_hh_tes_in!G23/SER_hh_num_in!G23)</f>
        <v>7518.1026556125016</v>
      </c>
      <c r="H23" s="133">
        <f>IF(SER_hh_tes_in!H23=0,0,11630*1000*SER_hh_tes_in!H23/SER_hh_num_in!H23)</f>
        <v>7368.981781800655</v>
      </c>
      <c r="I23" s="133">
        <f>IF(SER_hh_tes_in!I23=0,0,11630*1000*SER_hh_tes_in!I23/SER_hh_num_in!I23)</f>
        <v>8894.9526883204835</v>
      </c>
      <c r="J23" s="133">
        <f>IF(SER_hh_tes_in!J23=0,0,11630*1000*SER_hh_tes_in!J23/SER_hh_num_in!J23)</f>
        <v>8895.6041681460101</v>
      </c>
      <c r="K23" s="133">
        <f>IF(SER_hh_tes_in!K23=0,0,11630*1000*SER_hh_tes_in!K23/SER_hh_num_in!K23)</f>
        <v>8446.0379897895309</v>
      </c>
      <c r="L23" s="133">
        <f>IF(SER_hh_tes_in!L23=0,0,11630*1000*SER_hh_tes_in!L23/SER_hh_num_in!L23)</f>
        <v>8467.6790588373278</v>
      </c>
      <c r="M23" s="133">
        <f>IF(SER_hh_tes_in!M23=0,0,11630*1000*SER_hh_tes_in!M23/SER_hh_num_in!M23)</f>
        <v>8646.7515365159361</v>
      </c>
      <c r="N23" s="133">
        <f>IF(SER_hh_tes_in!N23=0,0,11630*1000*SER_hh_tes_in!N23/SER_hh_num_in!N23)</f>
        <v>8704.9384217356273</v>
      </c>
      <c r="O23" s="133">
        <f>IF(SER_hh_tes_in!O23=0,0,11630*1000*SER_hh_tes_in!O23/SER_hh_num_in!O23)</f>
        <v>8888.5739829903941</v>
      </c>
      <c r="P23" s="133">
        <f>IF(SER_hh_tes_in!P23=0,0,11630*1000*SER_hh_tes_in!P23/SER_hh_num_in!P23)</f>
        <v>8377.9498893569344</v>
      </c>
      <c r="Q23" s="133">
        <f>IF(SER_hh_tes_in!Q23=0,0,11630*1000*SER_hh_tes_in!Q23/SER_hh_num_in!Q23)</f>
        <v>8832.0839567306375</v>
      </c>
      <c r="R23" s="133">
        <f>IF(SER_hh_tes_in!R23=0,0,11630*1000*SER_hh_tes_in!R23/SER_hh_num_in!R23)</f>
        <v>9149.0704472024627</v>
      </c>
      <c r="S23" s="133">
        <f>IF(SER_hh_tes_in!S23=0,0,11630*1000*SER_hh_tes_in!S23/SER_hh_num_in!S23)</f>
        <v>8924.7707564182692</v>
      </c>
      <c r="T23" s="133">
        <f>IF(SER_hh_tes_in!T23=0,0,11630*1000*SER_hh_tes_in!T23/SER_hh_num_in!T23)</f>
        <v>8929.1749627594909</v>
      </c>
      <c r="U23" s="133">
        <f>IF(SER_hh_tes_in!U23=0,0,11630*1000*SER_hh_tes_in!U23/SER_hh_num_in!U23)</f>
        <v>8785.2450086834815</v>
      </c>
      <c r="V23" s="133">
        <f>IF(SER_hh_tes_in!V23=0,0,11630*1000*SER_hh_tes_in!V23/SER_hh_num_in!V23)</f>
        <v>8386.4475851226525</v>
      </c>
      <c r="W23" s="133">
        <f>IF(SER_hh_tes_in!W23=0,0,11630*1000*SER_hh_tes_in!W23/SER_hh_num_in!W23)</f>
        <v>8785.3368224043061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7595.2365952471819</v>
      </c>
      <c r="D24" s="133">
        <f>IF(SER_hh_tes_in!D24=0,0,11630*1000*SER_hh_tes_in!D24/SER_hh_num_in!D24)</f>
        <v>7733.1839853855245</v>
      </c>
      <c r="E24" s="133">
        <f>IF(SER_hh_tes_in!E24=0,0,11630*1000*SER_hh_tes_in!E24/SER_hh_num_in!E24)</f>
        <v>7951.759617901932</v>
      </c>
      <c r="F24" s="133">
        <f>IF(SER_hh_tes_in!F24=0,0,11630*1000*SER_hh_tes_in!F24/SER_hh_num_in!F24)</f>
        <v>8059.8355709179441</v>
      </c>
      <c r="G24" s="133">
        <f>IF(SER_hh_tes_in!G24=0,0,11630*1000*SER_hh_tes_in!G24/SER_hh_num_in!G24)</f>
        <v>8226.2116166923697</v>
      </c>
      <c r="H24" s="133">
        <f>IF(SER_hh_tes_in!H24=0,0,11630*1000*SER_hh_tes_in!H24/SER_hh_num_in!H24)</f>
        <v>8623.095008401895</v>
      </c>
      <c r="I24" s="133">
        <f>IF(SER_hh_tes_in!I24=0,0,11630*1000*SER_hh_tes_in!I24/SER_hh_num_in!I24)</f>
        <v>8224.4653215198668</v>
      </c>
      <c r="J24" s="133">
        <f>IF(SER_hh_tes_in!J24=0,0,11630*1000*SER_hh_tes_in!J24/SER_hh_num_in!J24)</f>
        <v>8355.1859875294504</v>
      </c>
      <c r="K24" s="133">
        <f>IF(SER_hh_tes_in!K24=0,0,11630*1000*SER_hh_tes_in!K24/SER_hh_num_in!K24)</f>
        <v>8349.3466797864785</v>
      </c>
      <c r="L24" s="133">
        <f>IF(SER_hh_tes_in!L24=0,0,11630*1000*SER_hh_tes_in!L24/SER_hh_num_in!L24)</f>
        <v>8442.4509932059045</v>
      </c>
      <c r="M24" s="133">
        <f>IF(SER_hh_tes_in!M24=0,0,11630*1000*SER_hh_tes_in!M24/SER_hh_num_in!M24)</f>
        <v>8626.9819442822136</v>
      </c>
      <c r="N24" s="133">
        <f>IF(SER_hh_tes_in!N24=0,0,11630*1000*SER_hh_tes_in!N24/SER_hh_num_in!N24)</f>
        <v>8650.9279612163646</v>
      </c>
      <c r="O24" s="133">
        <f>IF(SER_hh_tes_in!O24=0,0,11630*1000*SER_hh_tes_in!O24/SER_hh_num_in!O24)</f>
        <v>8812.0388651982012</v>
      </c>
      <c r="P24" s="133">
        <f>IF(SER_hh_tes_in!P24=0,0,11630*1000*SER_hh_tes_in!P24/SER_hh_num_in!P24)</f>
        <v>8914.7165785578454</v>
      </c>
      <c r="Q24" s="133">
        <f>IF(SER_hh_tes_in!Q24=0,0,11630*1000*SER_hh_tes_in!Q24/SER_hh_num_in!Q24)</f>
        <v>9193.0043401659914</v>
      </c>
      <c r="R24" s="133">
        <f>IF(SER_hh_tes_in!R24=0,0,11630*1000*SER_hh_tes_in!R24/SER_hh_num_in!R24)</f>
        <v>9205.1255433393417</v>
      </c>
      <c r="S24" s="133">
        <f>IF(SER_hh_tes_in!S24=0,0,11630*1000*SER_hh_tes_in!S24/SER_hh_num_in!S24)</f>
        <v>8540.0723761710888</v>
      </c>
      <c r="T24" s="133">
        <f>IF(SER_hh_tes_in!T24=0,0,11630*1000*SER_hh_tes_in!T24/SER_hh_num_in!T24)</f>
        <v>8927.10324989334</v>
      </c>
      <c r="U24" s="133">
        <f>IF(SER_hh_tes_in!U24=0,0,11630*1000*SER_hh_tes_in!U24/SER_hh_num_in!U24)</f>
        <v>8481.6500427303436</v>
      </c>
      <c r="V24" s="133">
        <f>IF(SER_hh_tes_in!V24=0,0,11630*1000*SER_hh_tes_in!V24/SER_hh_num_in!V24)</f>
        <v>8853.0453165287145</v>
      </c>
      <c r="W24" s="133">
        <f>IF(SER_hh_tes_in!W24=0,0,11630*1000*SER_hh_tes_in!W24/SER_hh_num_in!W24)</f>
        <v>8524.8050116330178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7943.3214717968949</v>
      </c>
      <c r="D25" s="133">
        <f>IF(SER_hh_tes_in!D25=0,0,11630*1000*SER_hh_tes_in!D25/SER_hh_num_in!D25)</f>
        <v>7763.03872341236</v>
      </c>
      <c r="E25" s="133">
        <f>IF(SER_hh_tes_in!E25=0,0,11630*1000*SER_hh_tes_in!E25/SER_hh_num_in!E25)</f>
        <v>7724.4839111183528</v>
      </c>
      <c r="F25" s="133">
        <f>IF(SER_hh_tes_in!F25=0,0,11630*1000*SER_hh_tes_in!F25/SER_hh_num_in!F25)</f>
        <v>8006.0442555055433</v>
      </c>
      <c r="G25" s="133">
        <f>IF(SER_hh_tes_in!G25=0,0,11630*1000*SER_hh_tes_in!G25/SER_hh_num_in!G25)</f>
        <v>8301.6468059374583</v>
      </c>
      <c r="H25" s="133">
        <f>IF(SER_hh_tes_in!H25=0,0,11630*1000*SER_hh_tes_in!H25/SER_hh_num_in!H25)</f>
        <v>8713.4240415427375</v>
      </c>
      <c r="I25" s="133">
        <f>IF(SER_hh_tes_in!I25=0,0,11630*1000*SER_hh_tes_in!I25/SER_hh_num_in!I25)</f>
        <v>7819.8788595677415</v>
      </c>
      <c r="J25" s="133">
        <f>IF(SER_hh_tes_in!J25=0,0,11630*1000*SER_hh_tes_in!J25/SER_hh_num_in!J25)</f>
        <v>7855.9469199863479</v>
      </c>
      <c r="K25" s="133">
        <f>IF(SER_hh_tes_in!K25=0,0,11630*1000*SER_hh_tes_in!K25/SER_hh_num_in!K25)</f>
        <v>8462.7250113042228</v>
      </c>
      <c r="L25" s="133">
        <f>IF(SER_hh_tes_in!L25=0,0,11630*1000*SER_hh_tes_in!L25/SER_hh_num_in!L25)</f>
        <v>8700.6780130077022</v>
      </c>
      <c r="M25" s="133">
        <f>IF(SER_hh_tes_in!M25=0,0,11630*1000*SER_hh_tes_in!M25/SER_hh_num_in!M25)</f>
        <v>8529.7063424371881</v>
      </c>
      <c r="N25" s="133">
        <f>IF(SER_hh_tes_in!N25=0,0,11630*1000*SER_hh_tes_in!N25/SER_hh_num_in!N25)</f>
        <v>8611.733002302517</v>
      </c>
      <c r="O25" s="133">
        <f>IF(SER_hh_tes_in!O25=0,0,11630*1000*SER_hh_tes_in!O25/SER_hh_num_in!O25)</f>
        <v>8817.6752681699509</v>
      </c>
      <c r="P25" s="133">
        <f>IF(SER_hh_tes_in!P25=0,0,11630*1000*SER_hh_tes_in!P25/SER_hh_num_in!P25)</f>
        <v>8638.3859073787116</v>
      </c>
      <c r="Q25" s="133">
        <f>IF(SER_hh_tes_in!Q25=0,0,11630*1000*SER_hh_tes_in!Q25/SER_hh_num_in!Q25)</f>
        <v>9027.4988603688362</v>
      </c>
      <c r="R25" s="133">
        <f>IF(SER_hh_tes_in!R25=0,0,11630*1000*SER_hh_tes_in!R25/SER_hh_num_in!R25)</f>
        <v>9053.2963143662801</v>
      </c>
      <c r="S25" s="133">
        <f>IF(SER_hh_tes_in!S25=0,0,11630*1000*SER_hh_tes_in!S25/SER_hh_num_in!S25)</f>
        <v>9240.0621433772085</v>
      </c>
      <c r="T25" s="133">
        <f>IF(SER_hh_tes_in!T25=0,0,11630*1000*SER_hh_tes_in!T25/SER_hh_num_in!T25)</f>
        <v>9071.6974520975691</v>
      </c>
      <c r="U25" s="133">
        <f>IF(SER_hh_tes_in!U25=0,0,11630*1000*SER_hh_tes_in!U25/SER_hh_num_in!U25)</f>
        <v>8985.1722876808926</v>
      </c>
      <c r="V25" s="133">
        <f>IF(SER_hh_tes_in!V25=0,0,11630*1000*SER_hh_tes_in!V25/SER_hh_num_in!V25)</f>
        <v>7902.2100912300357</v>
      </c>
      <c r="W25" s="133">
        <f>IF(SER_hh_tes_in!W25=0,0,11630*1000*SER_hh_tes_in!W25/SER_hh_num_in!W25)</f>
        <v>8899.3439299219353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7903.5566218266613</v>
      </c>
      <c r="D26" s="65">
        <f>IF(SER_hh_tes_in!D26=0,0,11630*1000*SER_hh_tes_in!D26/SER_hh_num_in!D26)</f>
        <v>7972.7761772957083</v>
      </c>
      <c r="E26" s="65">
        <f>IF(SER_hh_tes_in!E26=0,0,11630*1000*SER_hh_tes_in!E26/SER_hh_num_in!E26)</f>
        <v>7873.0505348741908</v>
      </c>
      <c r="F26" s="65">
        <f>IF(SER_hh_tes_in!F26=0,0,11630*1000*SER_hh_tes_in!F26/SER_hh_num_in!F26)</f>
        <v>7945.9491376298165</v>
      </c>
      <c r="G26" s="65">
        <f>IF(SER_hh_tes_in!G26=0,0,11630*1000*SER_hh_tes_in!G26/SER_hh_num_in!G26)</f>
        <v>8106.6658850097656</v>
      </c>
      <c r="H26" s="65">
        <f>IF(SER_hh_tes_in!H26=0,0,11630*1000*SER_hh_tes_in!H26/SER_hh_num_in!H26)</f>
        <v>8277.6412094412535</v>
      </c>
      <c r="I26" s="65">
        <f>IF(SER_hh_tes_in!I26=0,0,11630*1000*SER_hh_tes_in!I26/SER_hh_num_in!I26)</f>
        <v>8589.4957013859912</v>
      </c>
      <c r="J26" s="65">
        <f>IF(SER_hh_tes_in!J26=0,0,11630*1000*SER_hh_tes_in!J26/SER_hh_num_in!J26)</f>
        <v>8791.4684748821837</v>
      </c>
      <c r="K26" s="65">
        <f>IF(SER_hh_tes_in!K26=0,0,11630*1000*SER_hh_tes_in!K26/SER_hh_num_in!K26)</f>
        <v>8206.8784632180232</v>
      </c>
      <c r="L26" s="65">
        <f>IF(SER_hh_tes_in!L26=0,0,11630*1000*SER_hh_tes_in!L26/SER_hh_num_in!L26)</f>
        <v>8163.0464638982012</v>
      </c>
      <c r="M26" s="65">
        <f>IF(SER_hh_tes_in!M26=0,0,11630*1000*SER_hh_tes_in!M26/SER_hh_num_in!M26)</f>
        <v>8654.2450819834758</v>
      </c>
      <c r="N26" s="65">
        <f>IF(SER_hh_tes_in!N26=0,0,11630*1000*SER_hh_tes_in!N26/SER_hh_num_in!N26)</f>
        <v>8916.6486559029581</v>
      </c>
      <c r="O26" s="65">
        <f>IF(SER_hh_tes_in!O26=0,0,11630*1000*SER_hh_tes_in!O26/SER_hh_num_in!O26)</f>
        <v>8703.3024239396273</v>
      </c>
      <c r="P26" s="65">
        <f>IF(SER_hh_tes_in!P26=0,0,11630*1000*SER_hh_tes_in!P26/SER_hh_num_in!P26)</f>
        <v>9235.5266143572717</v>
      </c>
      <c r="Q26" s="65">
        <f>IF(SER_hh_tes_in!Q26=0,0,11630*1000*SER_hh_tes_in!Q26/SER_hh_num_in!Q26)</f>
        <v>0</v>
      </c>
      <c r="R26" s="65">
        <f>IF(SER_hh_tes_in!R26=0,0,11630*1000*SER_hh_tes_in!R26/SER_hh_num_in!R26)</f>
        <v>8735.1088729971434</v>
      </c>
      <c r="S26" s="65">
        <f>IF(SER_hh_tes_in!S26=0,0,11630*1000*SER_hh_tes_in!S26/SER_hh_num_in!S26)</f>
        <v>8677.7377192201784</v>
      </c>
      <c r="T26" s="65">
        <f>IF(SER_hh_tes_in!T26=0,0,11630*1000*SER_hh_tes_in!T26/SER_hh_num_in!T26)</f>
        <v>9050.1258754117061</v>
      </c>
      <c r="U26" s="65">
        <f>IF(SER_hh_tes_in!U26=0,0,11630*1000*SER_hh_tes_in!U26/SER_hh_num_in!U26)</f>
        <v>9239.1049532010693</v>
      </c>
      <c r="V26" s="65">
        <f>IF(SER_hh_tes_in!V26=0,0,11630*1000*SER_hh_tes_in!V26/SER_hh_num_in!V26)</f>
        <v>7777.9773463342808</v>
      </c>
      <c r="W26" s="65">
        <f>IF(SER_hh_tes_in!W26=0,0,11630*1000*SER_hh_tes_in!W26/SER_hh_num_in!W26)</f>
        <v>9120.4547094759655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0</v>
      </c>
      <c r="E27" s="146">
        <f>IF(SER_hh_tes_in!E27=0,0,11630*1000*SER_hh_tes_in!E27/SER_hh_num_in!E19)</f>
        <v>0</v>
      </c>
      <c r="F27" s="146">
        <f>IF(SER_hh_tes_in!F27=0,0,11630*1000*SER_hh_tes_in!F27/SER_hh_num_in!F19)</f>
        <v>0</v>
      </c>
      <c r="G27" s="146">
        <f>IF(SER_hh_tes_in!G27=0,0,11630*1000*SER_hh_tes_in!G27/SER_hh_num_in!G19)</f>
        <v>0</v>
      </c>
      <c r="H27" s="146">
        <f>IF(SER_hh_tes_in!H27=0,0,11630*1000*SER_hh_tes_in!H27/SER_hh_num_in!H19)</f>
        <v>0</v>
      </c>
      <c r="I27" s="146">
        <f>IF(SER_hh_tes_in!I27=0,0,11630*1000*SER_hh_tes_in!I27/SER_hh_num_in!I19)</f>
        <v>0</v>
      </c>
      <c r="J27" s="146">
        <f>IF(SER_hh_tes_in!J27=0,0,11630*1000*SER_hh_tes_in!J27/SER_hh_num_in!J19)</f>
        <v>0</v>
      </c>
      <c r="K27" s="146">
        <f>IF(SER_hh_tes_in!K27=0,0,11630*1000*SER_hh_tes_in!K27/SER_hh_num_in!K19)</f>
        <v>0</v>
      </c>
      <c r="L27" s="146">
        <f>IF(SER_hh_tes_in!L27=0,0,11630*1000*SER_hh_tes_in!L27/SER_hh_num_in!L19)</f>
        <v>0</v>
      </c>
      <c r="M27" s="146">
        <f>IF(SER_hh_tes_in!M27=0,0,11630*1000*SER_hh_tes_in!M27/SER_hh_num_in!M19)</f>
        <v>0</v>
      </c>
      <c r="N27" s="146">
        <f>IF(SER_hh_tes_in!N27=0,0,11630*1000*SER_hh_tes_in!N27/SER_hh_num_in!N19)</f>
        <v>0</v>
      </c>
      <c r="O27" s="146">
        <f>IF(SER_hh_tes_in!O27=0,0,11630*1000*SER_hh_tes_in!O27/SER_hh_num_in!O19)</f>
        <v>0</v>
      </c>
      <c r="P27" s="146">
        <f>IF(SER_hh_tes_in!P27=0,0,11630*1000*SER_hh_tes_in!P27/SER_hh_num_in!P19)</f>
        <v>0</v>
      </c>
      <c r="Q27" s="146">
        <f>IF(SER_hh_tes_in!Q27=0,0,11630*1000*SER_hh_tes_in!Q27/SER_hh_num_in!Q19)</f>
        <v>0</v>
      </c>
      <c r="R27" s="146">
        <f>IF(SER_hh_tes_in!R27=0,0,11630*1000*SER_hh_tes_in!R27/SER_hh_num_in!R19)</f>
        <v>0</v>
      </c>
      <c r="S27" s="146">
        <f>IF(SER_hh_tes_in!S27=0,0,11630*1000*SER_hh_tes_in!S27/SER_hh_num_in!S19)</f>
        <v>0</v>
      </c>
      <c r="T27" s="146">
        <f>IF(SER_hh_tes_in!T27=0,0,11630*1000*SER_hh_tes_in!T27/SER_hh_num_in!T19)</f>
        <v>0</v>
      </c>
      <c r="U27" s="146">
        <f>IF(SER_hh_tes_in!U27=0,0,11630*1000*SER_hh_tes_in!U27/SER_hh_num_in!U19)</f>
        <v>0</v>
      </c>
      <c r="V27" s="146">
        <f>IF(SER_hh_tes_in!V27=0,0,11630*1000*SER_hh_tes_in!V27/SER_hh_num_in!V19)</f>
        <v>0</v>
      </c>
      <c r="W27" s="146">
        <f>IF(SER_hh_tes_in!W27=0,0,11630*1000*SER_hh_tes_in!W27/SER_hh_num_in!W19)</f>
        <v>0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0</v>
      </c>
      <c r="E28" s="147">
        <f>IF(SER_hh_tes_in!E27=0,0,11630*1000*SER_hh_tes_in!E27/SER_hh_num_in!E27)</f>
        <v>0</v>
      </c>
      <c r="F28" s="147">
        <f>IF(SER_hh_tes_in!F27=0,0,11630*1000*SER_hh_tes_in!F27/SER_hh_num_in!F27)</f>
        <v>0</v>
      </c>
      <c r="G28" s="147">
        <f>IF(SER_hh_tes_in!G27=0,0,11630*1000*SER_hh_tes_in!G27/SER_hh_num_in!G27)</f>
        <v>0</v>
      </c>
      <c r="H28" s="147">
        <f>IF(SER_hh_tes_in!H27=0,0,11630*1000*SER_hh_tes_in!H27/SER_hh_num_in!H27)</f>
        <v>0</v>
      </c>
      <c r="I28" s="147">
        <f>IF(SER_hh_tes_in!I27=0,0,11630*1000*SER_hh_tes_in!I27/SER_hh_num_in!I27)</f>
        <v>0</v>
      </c>
      <c r="J28" s="147">
        <f>IF(SER_hh_tes_in!J27=0,0,11630*1000*SER_hh_tes_in!J27/SER_hh_num_in!J27)</f>
        <v>0</v>
      </c>
      <c r="K28" s="147">
        <f>IF(SER_hh_tes_in!K27=0,0,11630*1000*SER_hh_tes_in!K27/SER_hh_num_in!K27)</f>
        <v>0</v>
      </c>
      <c r="L28" s="147">
        <f>IF(SER_hh_tes_in!L27=0,0,11630*1000*SER_hh_tes_in!L27/SER_hh_num_in!L27)</f>
        <v>0</v>
      </c>
      <c r="M28" s="147">
        <f>IF(SER_hh_tes_in!M27=0,0,11630*1000*SER_hh_tes_in!M27/SER_hh_num_in!M27)</f>
        <v>0</v>
      </c>
      <c r="N28" s="147">
        <f>IF(SER_hh_tes_in!N27=0,0,11630*1000*SER_hh_tes_in!N27/SER_hh_num_in!N27)</f>
        <v>0</v>
      </c>
      <c r="O28" s="147">
        <f>IF(SER_hh_tes_in!O27=0,0,11630*1000*SER_hh_tes_in!O27/SER_hh_num_in!O27)</f>
        <v>0</v>
      </c>
      <c r="P28" s="147">
        <f>IF(SER_hh_tes_in!P27=0,0,11630*1000*SER_hh_tes_in!P27/SER_hh_num_in!P27)</f>
        <v>0</v>
      </c>
      <c r="Q28" s="147">
        <f>IF(SER_hh_tes_in!Q27=0,0,11630*1000*SER_hh_tes_in!Q27/SER_hh_num_in!Q27)</f>
        <v>0</v>
      </c>
      <c r="R28" s="147">
        <f>IF(SER_hh_tes_in!R27=0,0,11630*1000*SER_hh_tes_in!R27/SER_hh_num_in!R27)</f>
        <v>0</v>
      </c>
      <c r="S28" s="147">
        <f>IF(SER_hh_tes_in!S27=0,0,11630*1000*SER_hh_tes_in!S27/SER_hh_num_in!S27)</f>
        <v>0</v>
      </c>
      <c r="T28" s="147">
        <f>IF(SER_hh_tes_in!T27=0,0,11630*1000*SER_hh_tes_in!T27/SER_hh_num_in!T27)</f>
        <v>0</v>
      </c>
      <c r="U28" s="147">
        <f>IF(SER_hh_tes_in!U27=0,0,11630*1000*SER_hh_tes_in!U27/SER_hh_num_in!U27)</f>
        <v>0</v>
      </c>
      <c r="V28" s="147">
        <f>IF(SER_hh_tes_in!V27=0,0,11630*1000*SER_hh_tes_in!V27/SER_hh_num_in!V27)</f>
        <v>0</v>
      </c>
      <c r="W28" s="147">
        <f>IF(SER_hh_tes_in!W27=0,0,11630*1000*SER_hh_tes_in!W27/SER_hh_num_in!W27)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8431.0790169827997</v>
      </c>
      <c r="D29" s="131">
        <f>IF(SER_hh_tes_in!D29=0,0,11630*1000*SER_hh_tes_in!D29/SER_hh_num_in!D29)</f>
        <v>8374.5739775931543</v>
      </c>
      <c r="E29" s="131">
        <f>IF(SER_hh_tes_in!E29=0,0,11630*1000*SER_hh_tes_in!E29/SER_hh_num_in!E29)</f>
        <v>8111.5118797101668</v>
      </c>
      <c r="F29" s="131">
        <f>IF(SER_hh_tes_in!F29=0,0,11630*1000*SER_hh_tes_in!F29/SER_hh_num_in!F29)</f>
        <v>8051.0885235318619</v>
      </c>
      <c r="G29" s="131">
        <f>IF(SER_hh_tes_in!G29=0,0,11630*1000*SER_hh_tes_in!G29/SER_hh_num_in!G29)</f>
        <v>8173.3851967399023</v>
      </c>
      <c r="H29" s="131">
        <f>IF(SER_hh_tes_in!H29=0,0,11630*1000*SER_hh_tes_in!H29/SER_hh_num_in!H29)</f>
        <v>8208.5854047286393</v>
      </c>
      <c r="I29" s="131">
        <f>IF(SER_hh_tes_in!I29=0,0,11630*1000*SER_hh_tes_in!I29/SER_hh_num_in!I29)</f>
        <v>7976.7623462172423</v>
      </c>
      <c r="J29" s="131">
        <f>IF(SER_hh_tes_in!J29=0,0,11630*1000*SER_hh_tes_in!J29/SER_hh_num_in!J29)</f>
        <v>7817.3794008113891</v>
      </c>
      <c r="K29" s="131">
        <f>IF(SER_hh_tes_in!K29=0,0,11630*1000*SER_hh_tes_in!K29/SER_hh_num_in!K29)</f>
        <v>7677.1310915179556</v>
      </c>
      <c r="L29" s="131">
        <f>IF(SER_hh_tes_in!L29=0,0,11630*1000*SER_hh_tes_in!L29/SER_hh_num_in!L29)</f>
        <v>7480.4766087862026</v>
      </c>
      <c r="M29" s="131">
        <f>IF(SER_hh_tes_in!M29=0,0,11630*1000*SER_hh_tes_in!M29/SER_hh_num_in!M29)</f>
        <v>7176.1953503431168</v>
      </c>
      <c r="N29" s="131">
        <f>IF(SER_hh_tes_in!N29=0,0,11630*1000*SER_hh_tes_in!N29/SER_hh_num_in!N29)</f>
        <v>7650.4851279905406</v>
      </c>
      <c r="O29" s="131">
        <f>IF(SER_hh_tes_in!O29=0,0,11630*1000*SER_hh_tes_in!O29/SER_hh_num_in!O29)</f>
        <v>7398.3670882969309</v>
      </c>
      <c r="P29" s="131">
        <f>IF(SER_hh_tes_in!P29=0,0,11630*1000*SER_hh_tes_in!P29/SER_hh_num_in!P29)</f>
        <v>7194.8705874964453</v>
      </c>
      <c r="Q29" s="131">
        <f>IF(SER_hh_tes_in!Q29=0,0,11630*1000*SER_hh_tes_in!Q29/SER_hh_num_in!Q29)</f>
        <v>6797.4183835998301</v>
      </c>
      <c r="R29" s="131">
        <f>IF(SER_hh_tes_in!R29=0,0,11630*1000*SER_hh_tes_in!R29/SER_hh_num_in!R29)</f>
        <v>7044.8401909240492</v>
      </c>
      <c r="S29" s="131">
        <f>IF(SER_hh_tes_in!S29=0,0,11630*1000*SER_hh_tes_in!S29/SER_hh_num_in!S29)</f>
        <v>6737.8993249230571</v>
      </c>
      <c r="T29" s="131">
        <f>IF(SER_hh_tes_in!T29=0,0,11630*1000*SER_hh_tes_in!T29/SER_hh_num_in!T29)</f>
        <v>6976.4785720194359</v>
      </c>
      <c r="U29" s="131">
        <f>IF(SER_hh_tes_in!U29=0,0,11630*1000*SER_hh_tes_in!U29/SER_hh_num_in!U29)</f>
        <v>7494.5694565759759</v>
      </c>
      <c r="V29" s="131">
        <f>IF(SER_hh_tes_in!V29=0,0,11630*1000*SER_hh_tes_in!V29/SER_hh_num_in!V29)</f>
        <v>6914.1712223907953</v>
      </c>
      <c r="W29" s="131">
        <f>IF(SER_hh_tes_in!W29=0,0,11630*1000*SER_hh_tes_in!W29/SER_hh_num_in!W29)</f>
        <v>8047.5474984291805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0</v>
      </c>
      <c r="D30" s="133">
        <f>IF(SER_hh_tes_in!D30=0,0,11630*1000*SER_hh_tes_in!D30/SER_hh_num_in!D30)</f>
        <v>0</v>
      </c>
      <c r="E30" s="133">
        <f>IF(SER_hh_tes_in!E30=0,0,11630*1000*SER_hh_tes_in!E30/SER_hh_num_in!E30)</f>
        <v>0</v>
      </c>
      <c r="F30" s="133">
        <f>IF(SER_hh_tes_in!F30=0,0,11630*1000*SER_hh_tes_in!F30/SER_hh_num_in!F30)</f>
        <v>0</v>
      </c>
      <c r="G30" s="133">
        <f>IF(SER_hh_tes_in!G30=0,0,11630*1000*SER_hh_tes_in!G30/SER_hh_num_in!G30)</f>
        <v>0</v>
      </c>
      <c r="H30" s="133">
        <f>IF(SER_hh_tes_in!H30=0,0,11630*1000*SER_hh_tes_in!H30/SER_hh_num_in!H30)</f>
        <v>0</v>
      </c>
      <c r="I30" s="133">
        <f>IF(SER_hh_tes_in!I30=0,0,11630*1000*SER_hh_tes_in!I30/SER_hh_num_in!I30)</f>
        <v>0</v>
      </c>
      <c r="J30" s="133">
        <f>IF(SER_hh_tes_in!J30=0,0,11630*1000*SER_hh_tes_in!J30/SER_hh_num_in!J30)</f>
        <v>0</v>
      </c>
      <c r="K30" s="133">
        <f>IF(SER_hh_tes_in!K30=0,0,11630*1000*SER_hh_tes_in!K30/SER_hh_num_in!K30)</f>
        <v>0</v>
      </c>
      <c r="L30" s="133">
        <f>IF(SER_hh_tes_in!L30=0,0,11630*1000*SER_hh_tes_in!L30/SER_hh_num_in!L30)</f>
        <v>0</v>
      </c>
      <c r="M30" s="133">
        <f>IF(SER_hh_tes_in!M30=0,0,11630*1000*SER_hh_tes_in!M30/SER_hh_num_in!M30)</f>
        <v>0</v>
      </c>
      <c r="N30" s="133">
        <f>IF(SER_hh_tes_in!N30=0,0,11630*1000*SER_hh_tes_in!N30/SER_hh_num_in!N30)</f>
        <v>0</v>
      </c>
      <c r="O30" s="133">
        <f>IF(SER_hh_tes_in!O30=0,0,11630*1000*SER_hh_tes_in!O30/SER_hh_num_in!O30)</f>
        <v>0</v>
      </c>
      <c r="P30" s="133">
        <f>IF(SER_hh_tes_in!P30=0,0,11630*1000*SER_hh_tes_in!P30/SER_hh_num_in!P30)</f>
        <v>0</v>
      </c>
      <c r="Q30" s="133">
        <f>IF(SER_hh_tes_in!Q30=0,0,11630*1000*SER_hh_tes_in!Q30/SER_hh_num_in!Q30)</f>
        <v>0</v>
      </c>
      <c r="R30" s="133">
        <f>IF(SER_hh_tes_in!R30=0,0,11630*1000*SER_hh_tes_in!R30/SER_hh_num_in!R30)</f>
        <v>0</v>
      </c>
      <c r="S30" s="133">
        <f>IF(SER_hh_tes_in!S30=0,0,11630*1000*SER_hh_tes_in!S30/SER_hh_num_in!S30)</f>
        <v>0</v>
      </c>
      <c r="T30" s="133">
        <f>IF(SER_hh_tes_in!T30=0,0,11630*1000*SER_hh_tes_in!T30/SER_hh_num_in!T30)</f>
        <v>0</v>
      </c>
      <c r="U30" s="133">
        <f>IF(SER_hh_tes_in!U30=0,0,11630*1000*SER_hh_tes_in!U30/SER_hh_num_in!U30)</f>
        <v>0</v>
      </c>
      <c r="V30" s="133">
        <f>IF(SER_hh_tes_in!V30=0,0,11630*1000*SER_hh_tes_in!V30/SER_hh_num_in!V30)</f>
        <v>0</v>
      </c>
      <c r="W30" s="133">
        <f>IF(SER_hh_tes_in!W30=0,0,11630*1000*SER_hh_tes_in!W30/SER_hh_num_in!W30)</f>
        <v>0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8322.6730265215483</v>
      </c>
      <c r="D31" s="133">
        <f>IF(SER_hh_tes_in!D31=0,0,11630*1000*SER_hh_tes_in!D31/SER_hh_num_in!D31)</f>
        <v>8641.6999265843133</v>
      </c>
      <c r="E31" s="133">
        <f>IF(SER_hh_tes_in!E31=0,0,11630*1000*SER_hh_tes_in!E31/SER_hh_num_in!E31)</f>
        <v>8509.3356440170573</v>
      </c>
      <c r="F31" s="133">
        <f>IF(SER_hh_tes_in!F31=0,0,11630*1000*SER_hh_tes_in!F31/SER_hh_num_in!F31)</f>
        <v>7710.2957767361195</v>
      </c>
      <c r="G31" s="133">
        <f>IF(SER_hh_tes_in!G31=0,0,11630*1000*SER_hh_tes_in!G31/SER_hh_num_in!G31)</f>
        <v>7786.231115999235</v>
      </c>
      <c r="H31" s="133">
        <f>IF(SER_hh_tes_in!H31=0,0,11630*1000*SER_hh_tes_in!H31/SER_hh_num_in!H31)</f>
        <v>7468.4504671940804</v>
      </c>
      <c r="I31" s="133">
        <f>IF(SER_hh_tes_in!I31=0,0,11630*1000*SER_hh_tes_in!I31/SER_hh_num_in!I31)</f>
        <v>8364.8356299278184</v>
      </c>
      <c r="J31" s="133">
        <f>IF(SER_hh_tes_in!J31=0,0,11630*1000*SER_hh_tes_in!J31/SER_hh_num_in!J31)</f>
        <v>8215.1456618849206</v>
      </c>
      <c r="K31" s="133">
        <f>IF(SER_hh_tes_in!K31=0,0,11630*1000*SER_hh_tes_in!K31/SER_hh_num_in!K31)</f>
        <v>7847.0519176043008</v>
      </c>
      <c r="L31" s="133">
        <f>IF(SER_hh_tes_in!L31=0,0,11630*1000*SER_hh_tes_in!L31/SER_hh_num_in!L31)</f>
        <v>7509.0090046270998</v>
      </c>
      <c r="M31" s="133">
        <f>IF(SER_hh_tes_in!M31=0,0,11630*1000*SER_hh_tes_in!M31/SER_hh_num_in!M31)</f>
        <v>0</v>
      </c>
      <c r="N31" s="133">
        <f>IF(SER_hh_tes_in!N31=0,0,11630*1000*SER_hh_tes_in!N31/SER_hh_num_in!N31)</f>
        <v>0</v>
      </c>
      <c r="O31" s="133">
        <f>IF(SER_hh_tes_in!O31=0,0,11630*1000*SER_hh_tes_in!O31/SER_hh_num_in!O31)</f>
        <v>6862.3108605376401</v>
      </c>
      <c r="P31" s="133">
        <f>IF(SER_hh_tes_in!P31=0,0,11630*1000*SER_hh_tes_in!P31/SER_hh_num_in!P31)</f>
        <v>6432.2576906369632</v>
      </c>
      <c r="Q31" s="133">
        <f>IF(SER_hh_tes_in!Q31=0,0,11630*1000*SER_hh_tes_in!Q31/SER_hh_num_in!Q31)</f>
        <v>7028.4634432083594</v>
      </c>
      <c r="R31" s="133">
        <f>IF(SER_hh_tes_in!R31=0,0,11630*1000*SER_hh_tes_in!R31/SER_hh_num_in!R31)</f>
        <v>7293.3492497735797</v>
      </c>
      <c r="S31" s="133">
        <f>IF(SER_hh_tes_in!S31=0,0,11630*1000*SER_hh_tes_in!S31/SER_hh_num_in!S31)</f>
        <v>6929.260750562983</v>
      </c>
      <c r="T31" s="133">
        <f>IF(SER_hh_tes_in!T31=0,0,11630*1000*SER_hh_tes_in!T31/SER_hh_num_in!T31)</f>
        <v>8002.3036769585069</v>
      </c>
      <c r="U31" s="133">
        <f>IF(SER_hh_tes_in!U31=0,0,11630*1000*SER_hh_tes_in!U31/SER_hh_num_in!U31)</f>
        <v>0</v>
      </c>
      <c r="V31" s="133">
        <f>IF(SER_hh_tes_in!V31=0,0,11630*1000*SER_hh_tes_in!V31/SER_hh_num_in!V31)</f>
        <v>0</v>
      </c>
      <c r="W31" s="133">
        <f>IF(SER_hh_tes_in!W31=0,0,11630*1000*SER_hh_tes_in!W31/SER_hh_num_in!W31)</f>
        <v>0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11519.270047982851</v>
      </c>
      <c r="H32" s="133">
        <f>IF(SER_hh_tes_in!H32=0,0,11630*1000*SER_hh_tes_in!H32/SER_hh_num_in!H32)</f>
        <v>7834.003642372586</v>
      </c>
      <c r="I32" s="133">
        <f>IF(SER_hh_tes_in!I32=0,0,11630*1000*SER_hh_tes_in!I32/SER_hh_num_in!I32)</f>
        <v>6235.2873817453183</v>
      </c>
      <c r="J32" s="133">
        <f>IF(SER_hh_tes_in!J32=0,0,11630*1000*SER_hh_tes_in!J32/SER_hh_num_in!J32)</f>
        <v>10544.926203031788</v>
      </c>
      <c r="K32" s="133">
        <f>IF(SER_hh_tes_in!K32=0,0,11630*1000*SER_hh_tes_in!K32/SER_hh_num_in!K32)</f>
        <v>5096.9186068400886</v>
      </c>
      <c r="L32" s="133">
        <f>IF(SER_hh_tes_in!L32=0,0,11630*1000*SER_hh_tes_in!L32/SER_hh_num_in!L32)</f>
        <v>8814.5761125813806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4612.764138475929</v>
      </c>
      <c r="O32" s="133">
        <f>IF(SER_hh_tes_in!O32=0,0,11630*1000*SER_hh_tes_in!O32/SER_hh_num_in!O32)</f>
        <v>4817.6090407332531</v>
      </c>
      <c r="P32" s="133">
        <f>IF(SER_hh_tes_in!P32=0,0,11630*1000*SER_hh_tes_in!P32/SER_hh_num_in!P32)</f>
        <v>4432.7688208329746</v>
      </c>
      <c r="Q32" s="133">
        <f>IF(SER_hh_tes_in!Q32=0,0,11630*1000*SER_hh_tes_in!Q32/SER_hh_num_in!Q32)</f>
        <v>7946.1653001680052</v>
      </c>
      <c r="R32" s="133">
        <f>IF(SER_hh_tes_in!R32=0,0,11630*1000*SER_hh_tes_in!R32/SER_hh_num_in!R32)</f>
        <v>6836.7163723552885</v>
      </c>
      <c r="S32" s="133">
        <f>IF(SER_hh_tes_in!S32=0,0,11630*1000*SER_hh_tes_in!S32/SER_hh_num_in!S32)</f>
        <v>6677.5979200788097</v>
      </c>
      <c r="T32" s="133">
        <f>IF(SER_hh_tes_in!T32=0,0,11630*1000*SER_hh_tes_in!T32/SER_hh_num_in!T32)</f>
        <v>6669.1327300268649</v>
      </c>
      <c r="U32" s="133">
        <f>IF(SER_hh_tes_in!U32=0,0,11630*1000*SER_hh_tes_in!U32/SER_hh_num_in!U32)</f>
        <v>7540.8030362250256</v>
      </c>
      <c r="V32" s="133">
        <f>IF(SER_hh_tes_in!V32=0,0,11630*1000*SER_hh_tes_in!V32/SER_hh_num_in!V32)</f>
        <v>6546.2658745583276</v>
      </c>
      <c r="W32" s="133">
        <f>IF(SER_hh_tes_in!W32=0,0,11630*1000*SER_hh_tes_in!W32/SER_hh_num_in!W32)</f>
        <v>8638.8191473236111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8473.4300345625288</v>
      </c>
      <c r="D33" s="68">
        <f>IF(SER_hh_tes_in!D33=0,0,11630*1000*SER_hh_tes_in!D33/SER_hh_num_in!D33)</f>
        <v>8261.9318248097588</v>
      </c>
      <c r="E33" s="68">
        <f>IF(SER_hh_tes_in!E33=0,0,11630*1000*SER_hh_tes_in!E33/SER_hh_num_in!E33)</f>
        <v>8005.5804570770842</v>
      </c>
      <c r="F33" s="68">
        <f>IF(SER_hh_tes_in!F33=0,0,11630*1000*SER_hh_tes_in!F33/SER_hh_num_in!F33)</f>
        <v>8116.6621171844163</v>
      </c>
      <c r="G33" s="68">
        <f>IF(SER_hh_tes_in!G33=0,0,11630*1000*SER_hh_tes_in!G33/SER_hh_num_in!G33)</f>
        <v>7976.1760046176223</v>
      </c>
      <c r="H33" s="68">
        <f>IF(SER_hh_tes_in!H33=0,0,11630*1000*SER_hh_tes_in!H33/SER_hh_num_in!H33)</f>
        <v>8619.709402085211</v>
      </c>
      <c r="I33" s="68">
        <f>IF(SER_hh_tes_in!I33=0,0,11630*1000*SER_hh_tes_in!I33/SER_hh_num_in!I33)</f>
        <v>7841.9224779700407</v>
      </c>
      <c r="J33" s="68">
        <f>IF(SER_hh_tes_in!J33=0,0,11630*1000*SER_hh_tes_in!J33/SER_hh_num_in!J33)</f>
        <v>7431.1601605492669</v>
      </c>
      <c r="K33" s="68">
        <f>IF(SER_hh_tes_in!K33=0,0,11630*1000*SER_hh_tes_in!K33/SER_hh_num_in!K33)</f>
        <v>7633.711320572138</v>
      </c>
      <c r="L33" s="68">
        <f>IF(SER_hh_tes_in!L33=0,0,11630*1000*SER_hh_tes_in!L33/SER_hh_num_in!L33)</f>
        <v>7415.5123761881168</v>
      </c>
      <c r="M33" s="68">
        <f>IF(SER_hh_tes_in!M33=0,0,11630*1000*SER_hh_tes_in!M33/SER_hh_num_in!M33)</f>
        <v>7176.1953503431168</v>
      </c>
      <c r="N33" s="68">
        <f>IF(SER_hh_tes_in!N33=0,0,11630*1000*SER_hh_tes_in!N33/SER_hh_num_in!N33)</f>
        <v>7673.1124048288702</v>
      </c>
      <c r="O33" s="68">
        <f>IF(SER_hh_tes_in!O33=0,0,11630*1000*SER_hh_tes_in!O33/SER_hh_num_in!O33)</f>
        <v>7415.442744857045</v>
      </c>
      <c r="P33" s="68">
        <f>IF(SER_hh_tes_in!P33=0,0,11630*1000*SER_hh_tes_in!P33/SER_hh_num_in!P33)</f>
        <v>7424.9586239492264</v>
      </c>
      <c r="Q33" s="68">
        <f>IF(SER_hh_tes_in!Q33=0,0,11630*1000*SER_hh_tes_in!Q33/SER_hh_num_in!Q33)</f>
        <v>6625.5032417460698</v>
      </c>
      <c r="R33" s="68">
        <f>IF(SER_hh_tes_in!R33=0,0,11630*1000*SER_hh_tes_in!R33/SER_hh_num_in!R33)</f>
        <v>6962.3972645403474</v>
      </c>
      <c r="S33" s="68">
        <f>IF(SER_hh_tes_in!S33=0,0,11630*1000*SER_hh_tes_in!S33/SER_hh_num_in!S33)</f>
        <v>6695.4881706263168</v>
      </c>
      <c r="T33" s="68">
        <f>IF(SER_hh_tes_in!T33=0,0,11630*1000*SER_hh_tes_in!T33/SER_hh_num_in!T33)</f>
        <v>6889.7393564934237</v>
      </c>
      <c r="U33" s="68">
        <f>IF(SER_hh_tes_in!U33=0,0,11630*1000*SER_hh_tes_in!U33/SER_hh_num_in!U33)</f>
        <v>7490.6427031553139</v>
      </c>
      <c r="V33" s="68">
        <f>IF(SER_hh_tes_in!V33=0,0,11630*1000*SER_hh_tes_in!V33/SER_hh_num_in!V33)</f>
        <v>6947.083372996347</v>
      </c>
      <c r="W33" s="68">
        <f>IF(SER_hh_tes_in!W33=0,0,11630*1000*SER_hh_tes_in!W33/SER_hh_num_in!W33)</f>
        <v>7985.6260880325126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5739.8647488991837</v>
      </c>
      <c r="D3" s="126">
        <f>IF(SER_hh_emi_in!D3=0,0,1000000*SER_hh_emi_in!D3/SER_hh_num_in!D3)</f>
        <v>10426.192794150576</v>
      </c>
      <c r="E3" s="126">
        <f>IF(SER_hh_emi_in!E3=0,0,1000000*SER_hh_emi_in!E3/SER_hh_num_in!E3)</f>
        <v>7685.2941685250016</v>
      </c>
      <c r="F3" s="126">
        <f>IF(SER_hh_emi_in!F3=0,0,1000000*SER_hh_emi_in!F3/SER_hh_num_in!F3)</f>
        <v>10800.067627665583</v>
      </c>
      <c r="G3" s="126">
        <f>IF(SER_hh_emi_in!G3=0,0,1000000*SER_hh_emi_in!G3/SER_hh_num_in!G3)</f>
        <v>10528.700918788512</v>
      </c>
      <c r="H3" s="126">
        <f>IF(SER_hh_emi_in!H3=0,0,1000000*SER_hh_emi_in!H3/SER_hh_num_in!H3)</f>
        <v>11545.995788377222</v>
      </c>
      <c r="I3" s="126">
        <f>IF(SER_hh_emi_in!I3=0,0,1000000*SER_hh_emi_in!I3/SER_hh_num_in!I3)</f>
        <v>6567.8073064506416</v>
      </c>
      <c r="J3" s="126">
        <f>IF(SER_hh_emi_in!J3=0,0,1000000*SER_hh_emi_in!J3/SER_hh_num_in!J3)</f>
        <v>6685.2255601923325</v>
      </c>
      <c r="K3" s="126">
        <f>IF(SER_hh_emi_in!K3=0,0,1000000*SER_hh_emi_in!K3/SER_hh_num_in!K3)</f>
        <v>9409.714947946919</v>
      </c>
      <c r="L3" s="126">
        <f>IF(SER_hh_emi_in!L3=0,0,1000000*SER_hh_emi_in!L3/SER_hh_num_in!L3)</f>
        <v>7135.7463546947911</v>
      </c>
      <c r="M3" s="126">
        <f>IF(SER_hh_emi_in!M3=0,0,1000000*SER_hh_emi_in!M3/SER_hh_num_in!M3)</f>
        <v>5733.0905178401299</v>
      </c>
      <c r="N3" s="126">
        <f>IF(SER_hh_emi_in!N3=0,0,1000000*SER_hh_emi_in!N3/SER_hh_num_in!N3)</f>
        <v>5095.2245344216453</v>
      </c>
      <c r="O3" s="126">
        <f>IF(SER_hh_emi_in!O3=0,0,1000000*SER_hh_emi_in!O3/SER_hh_num_in!O3)</f>
        <v>5703.2321423106423</v>
      </c>
      <c r="P3" s="126">
        <f>IF(SER_hh_emi_in!P3=0,0,1000000*SER_hh_emi_in!P3/SER_hh_num_in!P3)</f>
        <v>2814.4052036865683</v>
      </c>
      <c r="Q3" s="126">
        <f>IF(SER_hh_emi_in!Q3=0,0,1000000*SER_hh_emi_in!Q3/SER_hh_num_in!Q3)</f>
        <v>4131.2327343889565</v>
      </c>
      <c r="R3" s="126">
        <f>IF(SER_hh_emi_in!R3=0,0,1000000*SER_hh_emi_in!R3/SER_hh_num_in!R3)</f>
        <v>4695.1004507707739</v>
      </c>
      <c r="S3" s="126">
        <f>IF(SER_hh_emi_in!S3=0,0,1000000*SER_hh_emi_in!S3/SER_hh_num_in!S3)</f>
        <v>4357.9949710949486</v>
      </c>
      <c r="T3" s="126">
        <f>IF(SER_hh_emi_in!T3=0,0,1000000*SER_hh_emi_in!T3/SER_hh_num_in!T3)</f>
        <v>4896.0782868926099</v>
      </c>
      <c r="U3" s="126">
        <f>IF(SER_hh_emi_in!U3=0,0,1000000*SER_hh_emi_in!U3/SER_hh_num_in!U3)</f>
        <v>3798.7376750932985</v>
      </c>
      <c r="V3" s="126">
        <f>IF(SER_hh_emi_in!V3=0,0,1000000*SER_hh_emi_in!V3/SER_hh_num_in!V3)</f>
        <v>2215.3879329993633</v>
      </c>
      <c r="W3" s="126">
        <f>IF(SER_hh_emi_in!W3=0,0,1000000*SER_hh_emi_in!W3/SER_hh_num_in!W3)</f>
        <v>2495.1095713586615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4789.1181779102035</v>
      </c>
      <c r="D4" s="131">
        <f>IF(SER_hh_emi_in!D4=0,0,1000000*SER_hh_emi_in!D4/SER_hh_num_in!D4)</f>
        <v>9367.7210833910631</v>
      </c>
      <c r="E4" s="131">
        <f>IF(SER_hh_emi_in!E4=0,0,1000000*SER_hh_emi_in!E4/SER_hh_num_in!E4)</f>
        <v>6930.649079072532</v>
      </c>
      <c r="F4" s="131">
        <f>IF(SER_hh_emi_in!F4=0,0,1000000*SER_hh_emi_in!F4/SER_hh_num_in!F4)</f>
        <v>10152.300181054383</v>
      </c>
      <c r="G4" s="131">
        <f>IF(SER_hh_emi_in!G4=0,0,1000000*SER_hh_emi_in!G4/SER_hh_num_in!G4)</f>
        <v>9671.0874124339243</v>
      </c>
      <c r="H4" s="131">
        <f>IF(SER_hh_emi_in!H4=0,0,1000000*SER_hh_emi_in!H4/SER_hh_num_in!H4)</f>
        <v>10312.514353545765</v>
      </c>
      <c r="I4" s="131">
        <f>IF(SER_hh_emi_in!I4=0,0,1000000*SER_hh_emi_in!I4/SER_hh_num_in!I4)</f>
        <v>5305.9636705715948</v>
      </c>
      <c r="J4" s="131">
        <f>IF(SER_hh_emi_in!J4=0,0,1000000*SER_hh_emi_in!J4/SER_hh_num_in!J4)</f>
        <v>5339.7936550857276</v>
      </c>
      <c r="K4" s="131">
        <f>IF(SER_hh_emi_in!K4=0,0,1000000*SER_hh_emi_in!K4/SER_hh_num_in!K4)</f>
        <v>8181.9541732230819</v>
      </c>
      <c r="L4" s="131">
        <f>IF(SER_hh_emi_in!L4=0,0,1000000*SER_hh_emi_in!L4/SER_hh_num_in!L4)</f>
        <v>6648.8872445514262</v>
      </c>
      <c r="M4" s="131">
        <f>IF(SER_hh_emi_in!M4=0,0,1000000*SER_hh_emi_in!M4/SER_hh_num_in!M4)</f>
        <v>5571.1697513863464</v>
      </c>
      <c r="N4" s="131">
        <f>IF(SER_hh_emi_in!N4=0,0,1000000*SER_hh_emi_in!N4/SER_hh_num_in!N4)</f>
        <v>4920.7299605942089</v>
      </c>
      <c r="O4" s="131">
        <f>IF(SER_hh_emi_in!O4=0,0,1000000*SER_hh_emi_in!O4/SER_hh_num_in!O4)</f>
        <v>5475.1284242140591</v>
      </c>
      <c r="P4" s="131">
        <f>IF(SER_hh_emi_in!P4=0,0,1000000*SER_hh_emi_in!P4/SER_hh_num_in!P4)</f>
        <v>2380.201708607608</v>
      </c>
      <c r="Q4" s="131">
        <f>IF(SER_hh_emi_in!Q4=0,0,1000000*SER_hh_emi_in!Q4/SER_hh_num_in!Q4)</f>
        <v>3211.3130828410808</v>
      </c>
      <c r="R4" s="131">
        <f>IF(SER_hh_emi_in!R4=0,0,1000000*SER_hh_emi_in!R4/SER_hh_num_in!R4)</f>
        <v>3772.7058726256737</v>
      </c>
      <c r="S4" s="131">
        <f>IF(SER_hh_emi_in!S4=0,0,1000000*SER_hh_emi_in!S4/SER_hh_num_in!S4)</f>
        <v>3687.1269658328683</v>
      </c>
      <c r="T4" s="131">
        <f>IF(SER_hh_emi_in!T4=0,0,1000000*SER_hh_emi_in!T4/SER_hh_num_in!T4)</f>
        <v>4354.5846646288019</v>
      </c>
      <c r="U4" s="131">
        <f>IF(SER_hh_emi_in!U4=0,0,1000000*SER_hh_emi_in!U4/SER_hh_num_in!U4)</f>
        <v>3455.5282967994549</v>
      </c>
      <c r="V4" s="131">
        <f>IF(SER_hh_emi_in!V4=0,0,1000000*SER_hh_emi_in!V4/SER_hh_num_in!V4)</f>
        <v>1785.9931865106691</v>
      </c>
      <c r="W4" s="131">
        <f>IF(SER_hh_emi_in!W4=0,0,1000000*SER_hh_emi_in!W4/SER_hh_num_in!W4)</f>
        <v>2218.9520806453429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38417.5864946644</v>
      </c>
      <c r="D5" s="133">
        <f>IF(SER_hh_emi_in!D5=0,0,1000000*SER_hh_emi_in!D5/SER_hh_num_in!D5)</f>
        <v>41178.426594623386</v>
      </c>
      <c r="E5" s="133">
        <f>IF(SER_hh_emi_in!E5=0,0,1000000*SER_hh_emi_in!E5/SER_hh_num_in!E5)</f>
        <v>38590.078987293244</v>
      </c>
      <c r="F5" s="133">
        <f>IF(SER_hh_emi_in!F5=0,0,1000000*SER_hh_emi_in!F5/SER_hh_num_in!F5)</f>
        <v>33798.814195830826</v>
      </c>
      <c r="G5" s="133">
        <f>IF(SER_hh_emi_in!G5=0,0,1000000*SER_hh_emi_in!G5/SER_hh_num_in!G5)</f>
        <v>34675.785359895155</v>
      </c>
      <c r="H5" s="133">
        <f>IF(SER_hh_emi_in!H5=0,0,1000000*SER_hh_emi_in!H5/SER_hh_num_in!H5)</f>
        <v>43233.233450021966</v>
      </c>
      <c r="I5" s="133">
        <f>IF(SER_hh_emi_in!I5=0,0,1000000*SER_hh_emi_in!I5/SER_hh_num_in!I5)</f>
        <v>31625.274883822793</v>
      </c>
      <c r="J5" s="133">
        <f>IF(SER_hh_emi_in!J5=0,0,1000000*SER_hh_emi_in!J5/SER_hh_num_in!J5)</f>
        <v>23101.006145243533</v>
      </c>
      <c r="K5" s="133">
        <f>IF(SER_hh_emi_in!K5=0,0,1000000*SER_hh_emi_in!K5/SER_hh_num_in!K5)</f>
        <v>26335.422202240381</v>
      </c>
      <c r="L5" s="133">
        <f>IF(SER_hh_emi_in!L5=0,0,1000000*SER_hh_emi_in!L5/SER_hh_num_in!L5)</f>
        <v>24831.154975043926</v>
      </c>
      <c r="M5" s="133">
        <f>IF(SER_hh_emi_in!M5=0,0,1000000*SER_hh_emi_in!M5/SER_hh_num_in!M5)</f>
        <v>28522.842237314657</v>
      </c>
      <c r="N5" s="133">
        <f>IF(SER_hh_emi_in!N5=0,0,1000000*SER_hh_emi_in!N5/SER_hh_num_in!N5)</f>
        <v>19721.383547017685</v>
      </c>
      <c r="O5" s="133">
        <f>IF(SER_hh_emi_in!O5=0,0,1000000*SER_hh_emi_in!O5/SER_hh_num_in!O5)</f>
        <v>22698.138101895536</v>
      </c>
      <c r="P5" s="133">
        <f>IF(SER_hh_emi_in!P5=0,0,1000000*SER_hh_emi_in!P5/SER_hh_num_in!P5)</f>
        <v>20117.627918460948</v>
      </c>
      <c r="Q5" s="133">
        <f>IF(SER_hh_emi_in!Q5=0,0,1000000*SER_hh_emi_in!Q5/SER_hh_num_in!Q5)</f>
        <v>0</v>
      </c>
      <c r="R5" s="133">
        <f>IF(SER_hh_emi_in!R5=0,0,1000000*SER_hh_emi_in!R5/SER_hh_num_in!R5)</f>
        <v>18464.27521582368</v>
      </c>
      <c r="S5" s="133">
        <f>IF(SER_hh_emi_in!S5=0,0,1000000*SER_hh_emi_in!S5/SER_hh_num_in!S5)</f>
        <v>19009.173960548174</v>
      </c>
      <c r="T5" s="133">
        <f>IF(SER_hh_emi_in!T5=0,0,1000000*SER_hh_emi_in!T5/SER_hh_num_in!T5)</f>
        <v>19731.301026013909</v>
      </c>
      <c r="U5" s="133">
        <f>IF(SER_hh_emi_in!U5=0,0,1000000*SER_hh_emi_in!U5/SER_hh_num_in!U5)</f>
        <v>17344.59528062215</v>
      </c>
      <c r="V5" s="133">
        <f>IF(SER_hh_emi_in!V5=0,0,1000000*SER_hh_emi_in!V5/SER_hh_num_in!V5)</f>
        <v>0</v>
      </c>
      <c r="W5" s="133">
        <f>IF(SER_hh_emi_in!W5=0,0,1000000*SER_hh_emi_in!W5/SER_hh_num_in!W5)</f>
        <v>16332.391065758762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0</v>
      </c>
      <c r="D7" s="133">
        <f>IF(SER_hh_emi_in!D7=0,0,1000000*SER_hh_emi_in!D7/SER_hh_num_in!D7)</f>
        <v>0</v>
      </c>
      <c r="E7" s="133">
        <f>IF(SER_hh_emi_in!E7=0,0,1000000*SER_hh_emi_in!E7/SER_hh_num_in!E7)</f>
        <v>0</v>
      </c>
      <c r="F7" s="133">
        <f>IF(SER_hh_emi_in!F7=0,0,1000000*SER_hh_emi_in!F7/SER_hh_num_in!F7)</f>
        <v>0</v>
      </c>
      <c r="G7" s="133">
        <f>IF(SER_hh_emi_in!G7=0,0,1000000*SER_hh_emi_in!G7/SER_hh_num_in!G7)</f>
        <v>0</v>
      </c>
      <c r="H7" s="133">
        <f>IF(SER_hh_emi_in!H7=0,0,1000000*SER_hh_emi_in!H7/SER_hh_num_in!H7)</f>
        <v>0</v>
      </c>
      <c r="I7" s="133">
        <f>IF(SER_hh_emi_in!I7=0,0,1000000*SER_hh_emi_in!I7/SER_hh_num_in!I7)</f>
        <v>0</v>
      </c>
      <c r="J7" s="133">
        <f>IF(SER_hh_emi_in!J7=0,0,1000000*SER_hh_emi_in!J7/SER_hh_num_in!J7)</f>
        <v>40683.456286268323</v>
      </c>
      <c r="K7" s="133">
        <f>IF(SER_hh_emi_in!K7=0,0,1000000*SER_hh_emi_in!K7/SER_hh_num_in!K7)</f>
        <v>12882.286383972149</v>
      </c>
      <c r="L7" s="133">
        <f>IF(SER_hh_emi_in!L7=0,0,1000000*SER_hh_emi_in!L7/SER_hh_num_in!L7)</f>
        <v>19437.311972504525</v>
      </c>
      <c r="M7" s="133">
        <f>IF(SER_hh_emi_in!M7=0,0,1000000*SER_hh_emi_in!M7/SER_hh_num_in!M7)</f>
        <v>25894.602649616361</v>
      </c>
      <c r="N7" s="133">
        <f>IF(SER_hh_emi_in!N7=0,0,1000000*SER_hh_emi_in!N7/SER_hh_num_in!N7)</f>
        <v>15924.024138861589</v>
      </c>
      <c r="O7" s="133">
        <f>IF(SER_hh_emi_in!O7=0,0,1000000*SER_hh_emi_in!O7/SER_hh_num_in!O7)</f>
        <v>15901.208750316542</v>
      </c>
      <c r="P7" s="133">
        <f>IF(SER_hh_emi_in!P7=0,0,1000000*SER_hh_emi_in!P7/SER_hh_num_in!P7)</f>
        <v>0</v>
      </c>
      <c r="Q7" s="133">
        <f>IF(SER_hh_emi_in!Q7=0,0,1000000*SER_hh_emi_in!Q7/SER_hh_num_in!Q7)</f>
        <v>0</v>
      </c>
      <c r="R7" s="133">
        <f>IF(SER_hh_emi_in!R7=0,0,1000000*SER_hh_emi_in!R7/SER_hh_num_in!R7)</f>
        <v>0</v>
      </c>
      <c r="S7" s="133">
        <f>IF(SER_hh_emi_in!S7=0,0,1000000*SER_hh_emi_in!S7/SER_hh_num_in!S7)</f>
        <v>0</v>
      </c>
      <c r="T7" s="133">
        <f>IF(SER_hh_emi_in!T7=0,0,1000000*SER_hh_emi_in!T7/SER_hh_num_in!T7)</f>
        <v>0</v>
      </c>
      <c r="U7" s="133">
        <f>IF(SER_hh_emi_in!U7=0,0,1000000*SER_hh_emi_in!U7/SER_hh_num_in!U7)</f>
        <v>12260.192353157932</v>
      </c>
      <c r="V7" s="133">
        <f>IF(SER_hh_emi_in!V7=0,0,1000000*SER_hh_emi_in!V7/SER_hh_num_in!V7)</f>
        <v>11610.417863426013</v>
      </c>
      <c r="W7" s="133">
        <f>IF(SER_hh_emi_in!W7=0,0,1000000*SER_hh_emi_in!W7/SER_hh_num_in!W7)</f>
        <v>12438.009413008971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0</v>
      </c>
      <c r="D8" s="133">
        <f>IF(SER_hh_emi_in!D8=0,0,1000000*SER_hh_emi_in!D8/SER_hh_num_in!D8)</f>
        <v>0</v>
      </c>
      <c r="E8" s="133">
        <f>IF(SER_hh_emi_in!E8=0,0,1000000*SER_hh_emi_in!E8/SER_hh_num_in!E8)</f>
        <v>0</v>
      </c>
      <c r="F8" s="133">
        <f>IF(SER_hh_emi_in!F8=0,0,1000000*SER_hh_emi_in!F8/SER_hh_num_in!F8)</f>
        <v>0</v>
      </c>
      <c r="G8" s="133">
        <f>IF(SER_hh_emi_in!G8=0,0,1000000*SER_hh_emi_in!G8/SER_hh_num_in!G8)</f>
        <v>0</v>
      </c>
      <c r="H8" s="133">
        <f>IF(SER_hh_emi_in!H8=0,0,1000000*SER_hh_emi_in!H8/SER_hh_num_in!H8)</f>
        <v>0</v>
      </c>
      <c r="I8" s="133">
        <f>IF(SER_hh_emi_in!I8=0,0,1000000*SER_hh_emi_in!I8/SER_hh_num_in!I8)</f>
        <v>0</v>
      </c>
      <c r="J8" s="133">
        <f>IF(SER_hh_emi_in!J8=0,0,1000000*SER_hh_emi_in!J8/SER_hh_num_in!J8)</f>
        <v>0</v>
      </c>
      <c r="K8" s="133">
        <f>IF(SER_hh_emi_in!K8=0,0,1000000*SER_hh_emi_in!K8/SER_hh_num_in!K8)</f>
        <v>0</v>
      </c>
      <c r="L8" s="133">
        <f>IF(SER_hh_emi_in!L8=0,0,1000000*SER_hh_emi_in!L8/SER_hh_num_in!L8)</f>
        <v>0</v>
      </c>
      <c r="M8" s="133">
        <f>IF(SER_hh_emi_in!M8=0,0,1000000*SER_hh_emi_in!M8/SER_hh_num_in!M8)</f>
        <v>0</v>
      </c>
      <c r="N8" s="133">
        <f>IF(SER_hh_emi_in!N8=0,0,1000000*SER_hh_emi_in!N8/SER_hh_num_in!N8)</f>
        <v>0</v>
      </c>
      <c r="O8" s="133">
        <f>IF(SER_hh_emi_in!O8=0,0,1000000*SER_hh_emi_in!O8/SER_hh_num_in!O8)</f>
        <v>0</v>
      </c>
      <c r="P8" s="133">
        <f>IF(SER_hh_emi_in!P8=0,0,1000000*SER_hh_emi_in!P8/SER_hh_num_in!P8)</f>
        <v>0</v>
      </c>
      <c r="Q8" s="133">
        <f>IF(SER_hh_emi_in!Q8=0,0,1000000*SER_hh_emi_in!Q8/SER_hh_num_in!Q8)</f>
        <v>0</v>
      </c>
      <c r="R8" s="133">
        <f>IF(SER_hh_emi_in!R8=0,0,1000000*SER_hh_emi_in!R8/SER_hh_num_in!R8)</f>
        <v>0</v>
      </c>
      <c r="S8" s="133">
        <f>IF(SER_hh_emi_in!S8=0,0,1000000*SER_hh_emi_in!S8/SER_hh_num_in!S8)</f>
        <v>0</v>
      </c>
      <c r="T8" s="133">
        <f>IF(SER_hh_emi_in!T8=0,0,1000000*SER_hh_emi_in!T8/SER_hh_num_in!T8)</f>
        <v>0</v>
      </c>
      <c r="U8" s="133">
        <f>IF(SER_hh_emi_in!U8=0,0,1000000*SER_hh_emi_in!U8/SER_hh_num_in!U8)</f>
        <v>0</v>
      </c>
      <c r="V8" s="133">
        <f>IF(SER_hh_emi_in!V8=0,0,1000000*SER_hh_emi_in!V8/SER_hh_num_in!V8)</f>
        <v>0</v>
      </c>
      <c r="W8" s="133">
        <f>IF(SER_hh_emi_in!W8=0,0,1000000*SER_hh_emi_in!W8/SER_hh_num_in!W8)</f>
        <v>0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24233.04998118139</v>
      </c>
      <c r="D9" s="133">
        <f>IF(SER_hh_emi_in!D9=0,0,1000000*SER_hh_emi_in!D9/SER_hh_num_in!D9)</f>
        <v>23043.977843514687</v>
      </c>
      <c r="E9" s="133">
        <f>IF(SER_hh_emi_in!E9=0,0,1000000*SER_hh_emi_in!E9/SER_hh_num_in!E9)</f>
        <v>20292.266283697722</v>
      </c>
      <c r="F9" s="133">
        <f>IF(SER_hh_emi_in!F9=0,0,1000000*SER_hh_emi_in!F9/SER_hh_num_in!F9)</f>
        <v>24244.709935529801</v>
      </c>
      <c r="G9" s="133">
        <f>IF(SER_hh_emi_in!G9=0,0,1000000*SER_hh_emi_in!G9/SER_hh_num_in!G9)</f>
        <v>20021.340042409196</v>
      </c>
      <c r="H9" s="133">
        <f>IF(SER_hh_emi_in!H9=0,0,1000000*SER_hh_emi_in!H9/SER_hh_num_in!H9)</f>
        <v>18407.405913136379</v>
      </c>
      <c r="I9" s="133">
        <f>IF(SER_hh_emi_in!I9=0,0,1000000*SER_hh_emi_in!I9/SER_hh_num_in!I9)</f>
        <v>20880.843022844463</v>
      </c>
      <c r="J9" s="133">
        <f>IF(SER_hh_emi_in!J9=0,0,1000000*SER_hh_emi_in!J9/SER_hh_num_in!J9)</f>
        <v>17119.643657876633</v>
      </c>
      <c r="K9" s="133">
        <f>IF(SER_hh_emi_in!K9=0,0,1000000*SER_hh_emi_in!K9/SER_hh_num_in!K9)</f>
        <v>14230.460879460279</v>
      </c>
      <c r="L9" s="133">
        <f>IF(SER_hh_emi_in!L9=0,0,1000000*SER_hh_emi_in!L9/SER_hh_num_in!L9)</f>
        <v>15190.150937642777</v>
      </c>
      <c r="M9" s="133">
        <f>IF(SER_hh_emi_in!M9=0,0,1000000*SER_hh_emi_in!M9/SER_hh_num_in!M9)</f>
        <v>12640.071195719198</v>
      </c>
      <c r="N9" s="133">
        <f>IF(SER_hh_emi_in!N9=0,0,1000000*SER_hh_emi_in!N9/SER_hh_num_in!N9)</f>
        <v>12990.692504224389</v>
      </c>
      <c r="O9" s="133">
        <f>IF(SER_hh_emi_in!O9=0,0,1000000*SER_hh_emi_in!O9/SER_hh_num_in!O9)</f>
        <v>12097.401103395225</v>
      </c>
      <c r="P9" s="133">
        <f>IF(SER_hh_emi_in!P9=0,0,1000000*SER_hh_emi_in!P9/SER_hh_num_in!P9)</f>
        <v>9389.1498670068868</v>
      </c>
      <c r="Q9" s="133">
        <f>IF(SER_hh_emi_in!Q9=0,0,1000000*SER_hh_emi_in!Q9/SER_hh_num_in!Q9)</f>
        <v>9649.1807358639599</v>
      </c>
      <c r="R9" s="133">
        <f>IF(SER_hh_emi_in!R9=0,0,1000000*SER_hh_emi_in!R9/SER_hh_num_in!R9)</f>
        <v>9679.3191171713206</v>
      </c>
      <c r="S9" s="133">
        <f>IF(SER_hh_emi_in!S9=0,0,1000000*SER_hh_emi_in!S9/SER_hh_num_in!S9)</f>
        <v>9854.4017300546238</v>
      </c>
      <c r="T9" s="133">
        <f>IF(SER_hh_emi_in!T9=0,0,1000000*SER_hh_emi_in!T9/SER_hh_num_in!T9)</f>
        <v>9769.7299062003494</v>
      </c>
      <c r="U9" s="133">
        <f>IF(SER_hh_emi_in!U9=0,0,1000000*SER_hh_emi_in!U9/SER_hh_num_in!U9)</f>
        <v>9318.2128717248179</v>
      </c>
      <c r="V9" s="133">
        <f>IF(SER_hh_emi_in!V9=0,0,1000000*SER_hh_emi_in!V9/SER_hh_num_in!V9)</f>
        <v>8612.2588434023837</v>
      </c>
      <c r="W9" s="133">
        <f>IF(SER_hh_emi_in!W9=0,0,1000000*SER_hh_emi_in!W9/SER_hh_num_in!W9)</f>
        <v>8606.2561504653677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0</v>
      </c>
      <c r="D16" s="131">
        <f>IF(SER_hh_emi_in!D16=0,0,1000000*SER_hh_emi_in!D16/SER_hh_num_in!D16)</f>
        <v>0</v>
      </c>
      <c r="E16" s="131">
        <f>IF(SER_hh_emi_in!E16=0,0,1000000*SER_hh_emi_in!E16/SER_hh_num_in!E16)</f>
        <v>0</v>
      </c>
      <c r="F16" s="131">
        <f>IF(SER_hh_emi_in!F16=0,0,1000000*SER_hh_emi_in!F16/SER_hh_num_in!F16)</f>
        <v>0</v>
      </c>
      <c r="G16" s="131">
        <f>IF(SER_hh_emi_in!G16=0,0,1000000*SER_hh_emi_in!G16/SER_hh_num_in!G16)</f>
        <v>0</v>
      </c>
      <c r="H16" s="131">
        <f>IF(SER_hh_emi_in!H16=0,0,1000000*SER_hh_emi_in!H16/SER_hh_num_in!H16)</f>
        <v>0</v>
      </c>
      <c r="I16" s="131">
        <f>IF(SER_hh_emi_in!I16=0,0,1000000*SER_hh_emi_in!I16/SER_hh_num_in!I16)</f>
        <v>0</v>
      </c>
      <c r="J16" s="131">
        <f>IF(SER_hh_emi_in!J16=0,0,1000000*SER_hh_emi_in!J16/SER_hh_num_in!J16)</f>
        <v>0</v>
      </c>
      <c r="K16" s="131">
        <f>IF(SER_hh_emi_in!K16=0,0,1000000*SER_hh_emi_in!K16/SER_hh_num_in!K16)</f>
        <v>0</v>
      </c>
      <c r="L16" s="131">
        <f>IF(SER_hh_emi_in!L16=0,0,1000000*SER_hh_emi_in!L16/SER_hh_num_in!L16)</f>
        <v>0</v>
      </c>
      <c r="M16" s="131">
        <f>IF(SER_hh_emi_in!M16=0,0,1000000*SER_hh_emi_in!M16/SER_hh_num_in!M16)</f>
        <v>0</v>
      </c>
      <c r="N16" s="131">
        <f>IF(SER_hh_emi_in!N16=0,0,1000000*SER_hh_emi_in!N16/SER_hh_num_in!N16)</f>
        <v>0</v>
      </c>
      <c r="O16" s="131">
        <f>IF(SER_hh_emi_in!O16=0,0,1000000*SER_hh_emi_in!O16/SER_hh_num_in!O16)</f>
        <v>0</v>
      </c>
      <c r="P16" s="131">
        <f>IF(SER_hh_emi_in!P16=0,0,1000000*SER_hh_emi_in!P16/SER_hh_num_in!P16)</f>
        <v>0</v>
      </c>
      <c r="Q16" s="131">
        <f>IF(SER_hh_emi_in!Q16=0,0,1000000*SER_hh_emi_in!Q16/SER_hh_num_in!Q16)</f>
        <v>0</v>
      </c>
      <c r="R16" s="131">
        <f>IF(SER_hh_emi_in!R16=0,0,1000000*SER_hh_emi_in!R16/SER_hh_num_in!R16)</f>
        <v>0</v>
      </c>
      <c r="S16" s="131">
        <f>IF(SER_hh_emi_in!S16=0,0,1000000*SER_hh_emi_in!S16/SER_hh_num_in!S16)</f>
        <v>0</v>
      </c>
      <c r="T16" s="131">
        <f>IF(SER_hh_emi_in!T16=0,0,1000000*SER_hh_emi_in!T16/SER_hh_num_in!T16)</f>
        <v>0</v>
      </c>
      <c r="U16" s="131">
        <f>IF(SER_hh_emi_in!U16=0,0,1000000*SER_hh_emi_in!U16/SER_hh_num_in!U16)</f>
        <v>0</v>
      </c>
      <c r="V16" s="131">
        <f>IF(SER_hh_emi_in!V16=0,0,1000000*SER_hh_emi_in!V16/SER_hh_num_in!V16)</f>
        <v>0</v>
      </c>
      <c r="W16" s="131">
        <f>IF(SER_hh_emi_in!W16=0,0,1000000*SER_hh_emi_in!W16/SER_hh_num_in!W16)</f>
        <v>0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0</v>
      </c>
      <c r="D17" s="133">
        <f>IF(SER_hh_emi_in!D17=0,0,1000000*SER_hh_emi_in!D17/SER_hh_num_in!D17)</f>
        <v>0</v>
      </c>
      <c r="E17" s="133">
        <f>IF(SER_hh_emi_in!E17=0,0,1000000*SER_hh_emi_in!E17/SER_hh_num_in!E17)</f>
        <v>0</v>
      </c>
      <c r="F17" s="133">
        <f>IF(SER_hh_emi_in!F17=0,0,1000000*SER_hh_emi_in!F17/SER_hh_num_in!F17)</f>
        <v>0</v>
      </c>
      <c r="G17" s="133">
        <f>IF(SER_hh_emi_in!G17=0,0,1000000*SER_hh_emi_in!G17/SER_hh_num_in!G17)</f>
        <v>0</v>
      </c>
      <c r="H17" s="133">
        <f>IF(SER_hh_emi_in!H17=0,0,1000000*SER_hh_emi_in!H17/SER_hh_num_in!H17)</f>
        <v>0</v>
      </c>
      <c r="I17" s="133">
        <f>IF(SER_hh_emi_in!I17=0,0,1000000*SER_hh_emi_in!I17/SER_hh_num_in!I17)</f>
        <v>0</v>
      </c>
      <c r="J17" s="133">
        <f>IF(SER_hh_emi_in!J17=0,0,1000000*SER_hh_emi_in!J17/SER_hh_num_in!J17)</f>
        <v>0</v>
      </c>
      <c r="K17" s="133">
        <f>IF(SER_hh_emi_in!K17=0,0,1000000*SER_hh_emi_in!K17/SER_hh_num_in!K17)</f>
        <v>0</v>
      </c>
      <c r="L17" s="133">
        <f>IF(SER_hh_emi_in!L17=0,0,1000000*SER_hh_emi_in!L17/SER_hh_num_in!L17)</f>
        <v>0</v>
      </c>
      <c r="M17" s="133">
        <f>IF(SER_hh_emi_in!M17=0,0,1000000*SER_hh_emi_in!M17/SER_hh_num_in!M17)</f>
        <v>0</v>
      </c>
      <c r="N17" s="133">
        <f>IF(SER_hh_emi_in!N17=0,0,1000000*SER_hh_emi_in!N17/SER_hh_num_in!N17)</f>
        <v>0</v>
      </c>
      <c r="O17" s="133">
        <f>IF(SER_hh_emi_in!O17=0,0,1000000*SER_hh_emi_in!O17/SER_hh_num_in!O17)</f>
        <v>0</v>
      </c>
      <c r="P17" s="133">
        <f>IF(SER_hh_emi_in!P17=0,0,1000000*SER_hh_emi_in!P17/SER_hh_num_in!P17)</f>
        <v>0</v>
      </c>
      <c r="Q17" s="133">
        <f>IF(SER_hh_emi_in!Q17=0,0,1000000*SER_hh_emi_in!Q17/SER_hh_num_in!Q17)</f>
        <v>0</v>
      </c>
      <c r="R17" s="133">
        <f>IF(SER_hh_emi_in!R17=0,0,1000000*SER_hh_emi_in!R17/SER_hh_num_in!R17)</f>
        <v>0</v>
      </c>
      <c r="S17" s="133">
        <f>IF(SER_hh_emi_in!S17=0,0,1000000*SER_hh_emi_in!S17/SER_hh_num_in!S17)</f>
        <v>0</v>
      </c>
      <c r="T17" s="133">
        <f>IF(SER_hh_emi_in!T17=0,0,1000000*SER_hh_emi_in!T17/SER_hh_num_in!T17)</f>
        <v>0</v>
      </c>
      <c r="U17" s="133">
        <f>IF(SER_hh_emi_in!U17=0,0,1000000*SER_hh_emi_in!U17/SER_hh_num_in!U17)</f>
        <v>0</v>
      </c>
      <c r="V17" s="133">
        <f>IF(SER_hh_emi_in!V17=0,0,1000000*SER_hh_emi_in!V17/SER_hh_num_in!V17)</f>
        <v>0</v>
      </c>
      <c r="W17" s="133">
        <f>IF(SER_hh_emi_in!W17=0,0,1000000*SER_hh_emi_in!W17/SER_hh_num_in!W17)</f>
        <v>0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115.17226399100971</v>
      </c>
      <c r="D19" s="131">
        <f>IF(SER_hh_emi_in!D19=0,0,1000000*SER_hh_emi_in!D19/SER_hh_num_in!D19)</f>
        <v>163.32840424292152</v>
      </c>
      <c r="E19" s="131">
        <f>IF(SER_hh_emi_in!E19=0,0,1000000*SER_hh_emi_in!E19/SER_hh_num_in!E19)</f>
        <v>132.42219338934484</v>
      </c>
      <c r="F19" s="131">
        <f>IF(SER_hh_emi_in!F19=0,0,1000000*SER_hh_emi_in!F19/SER_hh_num_in!F19)</f>
        <v>208.63226906329081</v>
      </c>
      <c r="G19" s="131">
        <f>IF(SER_hh_emi_in!G19=0,0,1000000*SER_hh_emi_in!G19/SER_hh_num_in!G19)</f>
        <v>220.44233813257566</v>
      </c>
      <c r="H19" s="131">
        <f>IF(SER_hh_emi_in!H19=0,0,1000000*SER_hh_emi_in!H19/SER_hh_num_in!H19)</f>
        <v>364.13756950858624</v>
      </c>
      <c r="I19" s="131">
        <f>IF(SER_hh_emi_in!I19=0,0,1000000*SER_hh_emi_in!I19/SER_hh_num_in!I19)</f>
        <v>346.03596083588542</v>
      </c>
      <c r="J19" s="131">
        <f>IF(SER_hh_emi_in!J19=0,0,1000000*SER_hh_emi_in!J19/SER_hh_num_in!J19)</f>
        <v>386.22159679164912</v>
      </c>
      <c r="K19" s="131">
        <f>IF(SER_hh_emi_in!K19=0,0,1000000*SER_hh_emi_in!K19/SER_hh_num_in!K19)</f>
        <v>368.87738535014216</v>
      </c>
      <c r="L19" s="131">
        <f>IF(SER_hh_emi_in!L19=0,0,1000000*SER_hh_emi_in!L19/SER_hh_num_in!L19)</f>
        <v>192.30999361787985</v>
      </c>
      <c r="M19" s="131">
        <f>IF(SER_hh_emi_in!M19=0,0,1000000*SER_hh_emi_in!M19/SER_hh_num_in!M19)</f>
        <v>161.9207664537843</v>
      </c>
      <c r="N19" s="131">
        <f>IF(SER_hh_emi_in!N19=0,0,1000000*SER_hh_emi_in!N19/SER_hh_num_in!N19)</f>
        <v>174.49457382743662</v>
      </c>
      <c r="O19" s="131">
        <f>IF(SER_hh_emi_in!O19=0,0,1000000*SER_hh_emi_in!O19/SER_hh_num_in!O19)</f>
        <v>198.8791587327627</v>
      </c>
      <c r="P19" s="131">
        <f>IF(SER_hh_emi_in!P19=0,0,1000000*SER_hh_emi_in!P19/SER_hh_num_in!P19)</f>
        <v>135.43209122969009</v>
      </c>
      <c r="Q19" s="131">
        <f>IF(SER_hh_emi_in!Q19=0,0,1000000*SER_hh_emi_in!Q19/SER_hh_num_in!Q19)</f>
        <v>259.11058027488184</v>
      </c>
      <c r="R19" s="131">
        <f>IF(SER_hh_emi_in!R19=0,0,1000000*SER_hh_emi_in!R19/SER_hh_num_in!R19)</f>
        <v>282.36532428934561</v>
      </c>
      <c r="S19" s="131">
        <f>IF(SER_hh_emi_in!S19=0,0,1000000*SER_hh_emi_in!S19/SER_hh_num_in!S19)</f>
        <v>252.62645847369669</v>
      </c>
      <c r="T19" s="131">
        <f>IF(SER_hh_emi_in!T19=0,0,1000000*SER_hh_emi_in!T19/SER_hh_num_in!T19)</f>
        <v>310.85837615008995</v>
      </c>
      <c r="U19" s="131">
        <f>IF(SER_hh_emi_in!U19=0,0,1000000*SER_hh_emi_in!U19/SER_hh_num_in!U19)</f>
        <v>343.209378293844</v>
      </c>
      <c r="V19" s="131">
        <f>IF(SER_hh_emi_in!V19=0,0,1000000*SER_hh_emi_in!V19/SER_hh_num_in!V19)</f>
        <v>429.39474648869401</v>
      </c>
      <c r="W19" s="131">
        <f>IF(SER_hh_emi_in!W19=0,0,1000000*SER_hh_emi_in!W19/SER_hh_num_in!W19)</f>
        <v>276.15749071331823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0</v>
      </c>
      <c r="D21" s="133">
        <f>IF(SER_hh_emi_in!D21=0,0,1000000*SER_hh_emi_in!D21/SER_hh_num_in!D21)</f>
        <v>0</v>
      </c>
      <c r="E21" s="133">
        <f>IF(SER_hh_emi_in!E21=0,0,1000000*SER_hh_emi_in!E21/SER_hh_num_in!E21)</f>
        <v>0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0</v>
      </c>
      <c r="I21" s="133">
        <f>IF(SER_hh_emi_in!I21=0,0,1000000*SER_hh_emi_in!I21/SER_hh_num_in!I21)</f>
        <v>0</v>
      </c>
      <c r="J21" s="133">
        <f>IF(SER_hh_emi_in!J21=0,0,1000000*SER_hh_emi_in!J21/SER_hh_num_in!J21)</f>
        <v>0</v>
      </c>
      <c r="K21" s="133">
        <f>IF(SER_hh_emi_in!K21=0,0,1000000*SER_hh_emi_in!K21/SER_hh_num_in!K21)</f>
        <v>0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0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0</v>
      </c>
      <c r="D22" s="133">
        <f>IF(SER_hh_emi_in!D22=0,0,1000000*SER_hh_emi_in!D22/SER_hh_num_in!D22)</f>
        <v>0</v>
      </c>
      <c r="E22" s="133">
        <f>IF(SER_hh_emi_in!E22=0,0,1000000*SER_hh_emi_in!E22/SER_hh_num_in!E22)</f>
        <v>0</v>
      </c>
      <c r="F22" s="133">
        <f>IF(SER_hh_emi_in!F22=0,0,1000000*SER_hh_emi_in!F22/SER_hh_num_in!F22)</f>
        <v>0</v>
      </c>
      <c r="G22" s="133">
        <f>IF(SER_hh_emi_in!G22=0,0,1000000*SER_hh_emi_in!G22/SER_hh_num_in!G22)</f>
        <v>0</v>
      </c>
      <c r="H22" s="133">
        <f>IF(SER_hh_emi_in!H22=0,0,1000000*SER_hh_emi_in!H22/SER_hh_num_in!H22)</f>
        <v>0</v>
      </c>
      <c r="I22" s="133">
        <f>IF(SER_hh_emi_in!I22=0,0,1000000*SER_hh_emi_in!I22/SER_hh_num_in!I22)</f>
        <v>0</v>
      </c>
      <c r="J22" s="133">
        <f>IF(SER_hh_emi_in!J22=0,0,1000000*SER_hh_emi_in!J22/SER_hh_num_in!J22)</f>
        <v>4696.7717259078963</v>
      </c>
      <c r="K22" s="133">
        <f>IF(SER_hh_emi_in!K22=0,0,1000000*SER_hh_emi_in!K22/SER_hh_num_in!K22)</f>
        <v>4075.34125886731</v>
      </c>
      <c r="L22" s="133">
        <f>IF(SER_hh_emi_in!L22=0,0,1000000*SER_hh_emi_in!L22/SER_hh_num_in!L22)</f>
        <v>4299.8196277609177</v>
      </c>
      <c r="M22" s="133">
        <f>IF(SER_hh_emi_in!M22=0,0,1000000*SER_hh_emi_in!M22/SER_hh_num_in!M22)</f>
        <v>4232.4284855348878</v>
      </c>
      <c r="N22" s="133">
        <f>IF(SER_hh_emi_in!N22=0,0,1000000*SER_hh_emi_in!N22/SER_hh_num_in!N22)</f>
        <v>3724.5041127931299</v>
      </c>
      <c r="O22" s="133">
        <f>IF(SER_hh_emi_in!O22=0,0,1000000*SER_hh_emi_in!O22/SER_hh_num_in!O22)</f>
        <v>3958.5390174198956</v>
      </c>
      <c r="P22" s="133">
        <f>IF(SER_hh_emi_in!P22=0,0,1000000*SER_hh_emi_in!P22/SER_hh_num_in!P22)</f>
        <v>0</v>
      </c>
      <c r="Q22" s="133">
        <f>IF(SER_hh_emi_in!Q22=0,0,1000000*SER_hh_emi_in!Q22/SER_hh_num_in!Q22)</f>
        <v>3559.8629209373876</v>
      </c>
      <c r="R22" s="133">
        <f>IF(SER_hh_emi_in!R22=0,0,1000000*SER_hh_emi_in!R22/SER_hh_num_in!R22)</f>
        <v>0</v>
      </c>
      <c r="S22" s="133">
        <f>IF(SER_hh_emi_in!S22=0,0,1000000*SER_hh_emi_in!S22/SER_hh_num_in!S22)</f>
        <v>3679.7689938217522</v>
      </c>
      <c r="T22" s="133">
        <f>IF(SER_hh_emi_in!T22=0,0,1000000*SER_hh_emi_in!T22/SER_hh_num_in!T22)</f>
        <v>2599.7806845120213</v>
      </c>
      <c r="U22" s="133">
        <f>IF(SER_hh_emi_in!U22=0,0,1000000*SER_hh_emi_in!U22/SER_hh_num_in!U22)</f>
        <v>2954.8435842034642</v>
      </c>
      <c r="V22" s="133">
        <f>IF(SER_hh_emi_in!V22=0,0,1000000*SER_hh_emi_in!V22/SER_hh_num_in!V22)</f>
        <v>2899.0940996347695</v>
      </c>
      <c r="W22" s="133">
        <f>IF(SER_hh_emi_in!W22=0,0,1000000*SER_hh_emi_in!W22/SER_hh_num_in!W22)</f>
        <v>3128.1206660050102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2910.2678740729666</v>
      </c>
      <c r="D23" s="133">
        <f>IF(SER_hh_emi_in!D23=0,0,1000000*SER_hh_emi_in!D23/SER_hh_num_in!D23)</f>
        <v>2842.0943394781907</v>
      </c>
      <c r="E23" s="133">
        <f>IF(SER_hh_emi_in!E23=0,0,1000000*SER_hh_emi_in!E23/SER_hh_num_in!E23)</f>
        <v>2679.4623089943261</v>
      </c>
      <c r="F23" s="133">
        <f>IF(SER_hh_emi_in!F23=0,0,1000000*SER_hh_emi_in!F23/SER_hh_num_in!F23)</f>
        <v>2995.2210356106075</v>
      </c>
      <c r="G23" s="133">
        <f>IF(SER_hh_emi_in!G23=0,0,1000000*SER_hh_emi_in!G23/SER_hh_num_in!G23)</f>
        <v>2670.9365579777318</v>
      </c>
      <c r="H23" s="133">
        <f>IF(SER_hh_emi_in!H23=0,0,1000000*SER_hh_emi_in!H23/SER_hh_num_in!H23)</f>
        <v>2581.7360660976301</v>
      </c>
      <c r="I23" s="133">
        <f>IF(SER_hh_emi_in!I23=0,0,1000000*SER_hh_emi_in!I23/SER_hh_num_in!I23)</f>
        <v>3079.1451301860111</v>
      </c>
      <c r="J23" s="133">
        <f>IF(SER_hh_emi_in!J23=0,0,1000000*SER_hh_emi_in!J23/SER_hh_num_in!J23)</f>
        <v>3029.1678046453235</v>
      </c>
      <c r="K23" s="133">
        <f>IF(SER_hh_emi_in!K23=0,0,1000000*SER_hh_emi_in!K23/SER_hh_num_in!K23)</f>
        <v>2811.2023947560624</v>
      </c>
      <c r="L23" s="133">
        <f>IF(SER_hh_emi_in!L23=0,0,1000000*SER_hh_emi_in!L23/SER_hh_num_in!L23)</f>
        <v>2759.4378443515643</v>
      </c>
      <c r="M23" s="133">
        <f>IF(SER_hh_emi_in!M23=0,0,1000000*SER_hh_emi_in!M23/SER_hh_num_in!M23)</f>
        <v>2732.8539532824448</v>
      </c>
      <c r="N23" s="133">
        <f>IF(SER_hh_emi_in!N23=0,0,1000000*SER_hh_emi_in!N23/SER_hh_num_in!N23)</f>
        <v>2667.8243212181051</v>
      </c>
      <c r="O23" s="133">
        <f>IF(SER_hh_emi_in!O23=0,0,1000000*SER_hh_emi_in!O23/SER_hh_num_in!O23)</f>
        <v>2601.1860684708131</v>
      </c>
      <c r="P23" s="133">
        <f>IF(SER_hh_emi_in!P23=0,0,1000000*SER_hh_emi_in!P23/SER_hh_num_in!P23)</f>
        <v>2230.5475036643943</v>
      </c>
      <c r="Q23" s="133">
        <f>IF(SER_hh_emi_in!Q23=0,0,1000000*SER_hh_emi_in!Q23/SER_hh_num_in!Q23)</f>
        <v>2276.3723599899713</v>
      </c>
      <c r="R23" s="133">
        <f>IF(SER_hh_emi_in!R23=0,0,1000000*SER_hh_emi_in!R23/SER_hh_num_in!R23)</f>
        <v>2285.1525613069439</v>
      </c>
      <c r="S23" s="133">
        <f>IF(SER_hh_emi_in!S23=0,0,1000000*SER_hh_emi_in!S23/SER_hh_num_in!S23)</f>
        <v>2200.6982853162131</v>
      </c>
      <c r="T23" s="133">
        <f>IF(SER_hh_emi_in!T23=0,0,1000000*SER_hh_emi_in!T23/SER_hh_num_in!T23)</f>
        <v>2164.965018544784</v>
      </c>
      <c r="U23" s="133">
        <f>IF(SER_hh_emi_in!U23=0,0,1000000*SER_hh_emi_in!U23/SER_hh_num_in!U23)</f>
        <v>2099.7673329087766</v>
      </c>
      <c r="V23" s="133">
        <f>IF(SER_hh_emi_in!V23=0,0,1000000*SER_hh_emi_in!V23/SER_hh_num_in!V23)</f>
        <v>1975.8630850194411</v>
      </c>
      <c r="W23" s="133">
        <f>IF(SER_hh_emi_in!W23=0,0,1000000*SER_hh_emi_in!W23/SER_hh_num_in!W23)</f>
        <v>2033.9422155226594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835.57430699797089</v>
      </c>
      <c r="D29" s="131">
        <f>IF(SER_hh_emi_in!D29=0,0,1000000*SER_hh_emi_in!D29/SER_hh_num_in!D29)</f>
        <v>895.14330651659168</v>
      </c>
      <c r="E29" s="131">
        <f>IF(SER_hh_emi_in!E29=0,0,1000000*SER_hh_emi_in!E29/SER_hh_num_in!E29)</f>
        <v>622.22289606312484</v>
      </c>
      <c r="F29" s="131">
        <f>IF(SER_hh_emi_in!F29=0,0,1000000*SER_hh_emi_in!F29/SER_hh_num_in!F29)</f>
        <v>439.13517754791008</v>
      </c>
      <c r="G29" s="131">
        <f>IF(SER_hh_emi_in!G29=0,0,1000000*SER_hh_emi_in!G29/SER_hh_num_in!G29)</f>
        <v>637.17116822201092</v>
      </c>
      <c r="H29" s="131">
        <f>IF(SER_hh_emi_in!H29=0,0,1000000*SER_hh_emi_in!H29/SER_hh_num_in!H29)</f>
        <v>869.34386532286908</v>
      </c>
      <c r="I29" s="131">
        <f>IF(SER_hh_emi_in!I29=0,0,1000000*SER_hh_emi_in!I29/SER_hh_num_in!I29)</f>
        <v>915.80767504316168</v>
      </c>
      <c r="J29" s="131">
        <f>IF(SER_hh_emi_in!J29=0,0,1000000*SER_hh_emi_in!J29/SER_hh_num_in!J29)</f>
        <v>959.21030831495534</v>
      </c>
      <c r="K29" s="131">
        <f>IF(SER_hh_emi_in!K29=0,0,1000000*SER_hh_emi_in!K29/SER_hh_num_in!K29)</f>
        <v>858.88338937369576</v>
      </c>
      <c r="L29" s="131">
        <f>IF(SER_hh_emi_in!L29=0,0,1000000*SER_hh_emi_in!L29/SER_hh_num_in!L29)</f>
        <v>294.54911652548498</v>
      </c>
      <c r="M29" s="131">
        <f>IF(SER_hh_emi_in!M29=0,0,1000000*SER_hh_emi_in!M29/SER_hh_num_in!M29)</f>
        <v>0</v>
      </c>
      <c r="N29" s="131">
        <f>IF(SER_hh_emi_in!N29=0,0,1000000*SER_hh_emi_in!N29/SER_hh_num_in!N29)</f>
        <v>0</v>
      </c>
      <c r="O29" s="131">
        <f>IF(SER_hh_emi_in!O29=0,0,1000000*SER_hh_emi_in!O29/SER_hh_num_in!O29)</f>
        <v>29.22455936382104</v>
      </c>
      <c r="P29" s="131">
        <f>IF(SER_hh_emi_in!P29=0,0,1000000*SER_hh_emi_in!P29/SER_hh_num_in!P29)</f>
        <v>298.77140384927054</v>
      </c>
      <c r="Q29" s="131">
        <f>IF(SER_hh_emi_in!Q29=0,0,1000000*SER_hh_emi_in!Q29/SER_hh_num_in!Q29)</f>
        <v>660.80907127299429</v>
      </c>
      <c r="R29" s="131">
        <f>IF(SER_hh_emi_in!R29=0,0,1000000*SER_hh_emi_in!R29/SER_hh_num_in!R29)</f>
        <v>640.02925385575418</v>
      </c>
      <c r="S29" s="131">
        <f>IF(SER_hh_emi_in!S29=0,0,1000000*SER_hh_emi_in!S29/SER_hh_num_in!S29)</f>
        <v>418.24154678838346</v>
      </c>
      <c r="T29" s="131">
        <f>IF(SER_hh_emi_in!T29=0,0,1000000*SER_hh_emi_in!T29/SER_hh_num_in!T29)</f>
        <v>230.63524611371864</v>
      </c>
      <c r="U29" s="131">
        <f>IF(SER_hh_emi_in!U29=0,0,1000000*SER_hh_emi_in!U29/SER_hh_num_in!U29)</f>
        <v>0</v>
      </c>
      <c r="V29" s="131">
        <f>IF(SER_hh_emi_in!V29=0,0,1000000*SER_hh_emi_in!V29/SER_hh_num_in!V29)</f>
        <v>0</v>
      </c>
      <c r="W29" s="131">
        <f>IF(SER_hh_emi_in!W29=0,0,1000000*SER_hh_emi_in!W29/SER_hh_num_in!W29)</f>
        <v>0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0</v>
      </c>
      <c r="D30" s="133">
        <f>IF(SER_hh_emi_in!D30=0,0,1000000*SER_hh_emi_in!D30/SER_hh_num_in!D30)</f>
        <v>0</v>
      </c>
      <c r="E30" s="133">
        <f>IF(SER_hh_emi_in!E30=0,0,1000000*SER_hh_emi_in!E30/SER_hh_num_in!E30)</f>
        <v>0</v>
      </c>
      <c r="F30" s="133">
        <f>IF(SER_hh_emi_in!F30=0,0,1000000*SER_hh_emi_in!F30/SER_hh_num_in!F30)</f>
        <v>0</v>
      </c>
      <c r="G30" s="133">
        <f>IF(SER_hh_emi_in!G30=0,0,1000000*SER_hh_emi_in!G30/SER_hh_num_in!G30)</f>
        <v>0</v>
      </c>
      <c r="H30" s="133">
        <f>IF(SER_hh_emi_in!H30=0,0,1000000*SER_hh_emi_in!H30/SER_hh_num_in!H30)</f>
        <v>0</v>
      </c>
      <c r="I30" s="133">
        <f>IF(SER_hh_emi_in!I30=0,0,1000000*SER_hh_emi_in!I30/SER_hh_num_in!I30)</f>
        <v>0</v>
      </c>
      <c r="J30" s="133">
        <f>IF(SER_hh_emi_in!J30=0,0,1000000*SER_hh_emi_in!J30/SER_hh_num_in!J30)</f>
        <v>0</v>
      </c>
      <c r="K30" s="133">
        <f>IF(SER_hh_emi_in!K30=0,0,1000000*SER_hh_emi_in!K30/SER_hh_num_in!K30)</f>
        <v>0</v>
      </c>
      <c r="L30" s="133">
        <f>IF(SER_hh_emi_in!L30=0,0,1000000*SER_hh_emi_in!L30/SER_hh_num_in!L30)</f>
        <v>0</v>
      </c>
      <c r="M30" s="133">
        <f>IF(SER_hh_emi_in!M30=0,0,1000000*SER_hh_emi_in!M30/SER_hh_num_in!M30)</f>
        <v>0</v>
      </c>
      <c r="N30" s="133">
        <f>IF(SER_hh_emi_in!N30=0,0,1000000*SER_hh_emi_in!N30/SER_hh_num_in!N30)</f>
        <v>0</v>
      </c>
      <c r="O30" s="133">
        <f>IF(SER_hh_emi_in!O30=0,0,1000000*SER_hh_emi_in!O30/SER_hh_num_in!O30)</f>
        <v>0</v>
      </c>
      <c r="P30" s="133">
        <f>IF(SER_hh_emi_in!P30=0,0,1000000*SER_hh_emi_in!P30/SER_hh_num_in!P30)</f>
        <v>0</v>
      </c>
      <c r="Q30" s="133">
        <f>IF(SER_hh_emi_in!Q30=0,0,1000000*SER_hh_emi_in!Q30/SER_hh_num_in!Q30)</f>
        <v>0</v>
      </c>
      <c r="R30" s="133">
        <f>IF(SER_hh_emi_in!R30=0,0,1000000*SER_hh_emi_in!R30/SER_hh_num_in!R30)</f>
        <v>0</v>
      </c>
      <c r="S30" s="133">
        <f>IF(SER_hh_emi_in!S30=0,0,1000000*SER_hh_emi_in!S30/SER_hh_num_in!S30)</f>
        <v>0</v>
      </c>
      <c r="T30" s="133">
        <f>IF(SER_hh_emi_in!T30=0,0,1000000*SER_hh_emi_in!T30/SER_hh_num_in!T30)</f>
        <v>0</v>
      </c>
      <c r="U30" s="133">
        <f>IF(SER_hh_emi_in!U30=0,0,1000000*SER_hh_emi_in!U30/SER_hh_num_in!U30)</f>
        <v>0</v>
      </c>
      <c r="V30" s="133">
        <f>IF(SER_hh_emi_in!V30=0,0,1000000*SER_hh_emi_in!V30/SER_hh_num_in!V30)</f>
        <v>0</v>
      </c>
      <c r="W30" s="133">
        <f>IF(SER_hh_emi_in!W30=0,0,1000000*SER_hh_emi_in!W30/SER_hh_num_in!W30)</f>
        <v>0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2974.3956513391295</v>
      </c>
      <c r="D31" s="133">
        <f>IF(SER_hh_emi_in!D31=0,0,1000000*SER_hh_emi_in!D31/SER_hh_num_in!D31)</f>
        <v>3017.9365888513958</v>
      </c>
      <c r="E31" s="133">
        <f>IF(SER_hh_emi_in!E31=0,0,1000000*SER_hh_emi_in!E31/SER_hh_num_in!E31)</f>
        <v>2958.9710355378916</v>
      </c>
      <c r="F31" s="133">
        <f>IF(SER_hh_emi_in!F31=0,0,1000000*SER_hh_emi_in!F31/SER_hh_num_in!F31)</f>
        <v>2721.366103675573</v>
      </c>
      <c r="G31" s="133">
        <f>IF(SER_hh_emi_in!G31=0,0,1000000*SER_hh_emi_in!G31/SER_hh_num_in!G31)</f>
        <v>2729.1046420206881</v>
      </c>
      <c r="H31" s="133">
        <f>IF(SER_hh_emi_in!H31=0,0,1000000*SER_hh_emi_in!H31/SER_hh_num_in!H31)</f>
        <v>2610.5066846907121</v>
      </c>
      <c r="I31" s="133">
        <f>IF(SER_hh_emi_in!I31=0,0,1000000*SER_hh_emi_in!I31/SER_hh_num_in!I31)</f>
        <v>2922.397970491998</v>
      </c>
      <c r="J31" s="133">
        <f>IF(SER_hh_emi_in!J31=0,0,1000000*SER_hh_emi_in!J31/SER_hh_num_in!J31)</f>
        <v>2858.0658377115965</v>
      </c>
      <c r="K31" s="133">
        <f>IF(SER_hh_emi_in!K31=0,0,1000000*SER_hh_emi_in!K31/SER_hh_num_in!K31)</f>
        <v>2703.9360969853483</v>
      </c>
      <c r="L31" s="133">
        <f>IF(SER_hh_emi_in!L31=0,0,1000000*SER_hh_emi_in!L31/SER_hh_num_in!L31)</f>
        <v>2569.6337876174603</v>
      </c>
      <c r="M31" s="133">
        <f>IF(SER_hh_emi_in!M31=0,0,1000000*SER_hh_emi_in!M31/SER_hh_num_in!M31)</f>
        <v>0</v>
      </c>
      <c r="N31" s="133">
        <f>IF(SER_hh_emi_in!N31=0,0,1000000*SER_hh_emi_in!N31/SER_hh_num_in!N31)</f>
        <v>0</v>
      </c>
      <c r="O31" s="133">
        <f>IF(SER_hh_emi_in!O31=0,0,1000000*SER_hh_emi_in!O31/SER_hh_num_in!O31)</f>
        <v>2327.6759077822257</v>
      </c>
      <c r="P31" s="133">
        <f>IF(SER_hh_emi_in!P31=0,0,1000000*SER_hh_emi_in!P31/SER_hh_num_in!P31)</f>
        <v>2081.8254234284777</v>
      </c>
      <c r="Q31" s="133">
        <f>IF(SER_hh_emi_in!Q31=0,0,1000000*SER_hh_emi_in!Q31/SER_hh_num_in!Q31)</f>
        <v>2293.2139350916759</v>
      </c>
      <c r="R31" s="133">
        <f>IF(SER_hh_emi_in!R31=0,0,1000000*SER_hh_emi_in!R31/SER_hh_num_in!R31)</f>
        <v>2351.6450970459769</v>
      </c>
      <c r="S31" s="133">
        <f>IF(SER_hh_emi_in!S31=0,0,1000000*SER_hh_emi_in!S31/SER_hh_num_in!S31)</f>
        <v>2234.3928920210487</v>
      </c>
      <c r="T31" s="133">
        <f>IF(SER_hh_emi_in!T31=0,0,1000000*SER_hh_emi_in!T31/SER_hh_num_in!T31)</f>
        <v>2557.9596340573726</v>
      </c>
      <c r="U31" s="133">
        <f>IF(SER_hh_emi_in!U31=0,0,1000000*SER_hh_emi_in!U31/SER_hh_num_in!U31)</f>
        <v>0</v>
      </c>
      <c r="V31" s="133">
        <f>IF(SER_hh_emi_in!V31=0,0,1000000*SER_hh_emi_in!V31/SER_hh_num_in!V31)</f>
        <v>0</v>
      </c>
      <c r="W31" s="133">
        <f>IF(SER_hh_emi_in!W31=0,0,1000000*SER_hh_emi_in!W31/SER_hh_num_in!W31)</f>
        <v>0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141.84589977963941</v>
      </c>
      <c r="D3" s="126">
        <f>IF(SER_hh_fech_in!D3=0,0,SER_hh_fech_in!D3/SER_summary!D$27)</f>
        <v>138.04756719640764</v>
      </c>
      <c r="E3" s="126">
        <f>IF(SER_hh_fech_in!E3=0,0,SER_hh_fech_in!E3/SER_summary!E$27)</f>
        <v>132.11561008298307</v>
      </c>
      <c r="F3" s="126">
        <f>IF(SER_hh_fech_in!F3=0,0,SER_hh_fech_in!F3/SER_summary!F$27)</f>
        <v>132.33916772843261</v>
      </c>
      <c r="G3" s="126">
        <f>IF(SER_hh_fech_in!G3=0,0,SER_hh_fech_in!G3/SER_summary!G$27)</f>
        <v>126.2136732310707</v>
      </c>
      <c r="H3" s="126">
        <f>IF(SER_hh_fech_in!H3=0,0,SER_hh_fech_in!H3/SER_summary!H$27)</f>
        <v>132.57212045788071</v>
      </c>
      <c r="I3" s="126">
        <f>IF(SER_hh_fech_in!I3=0,0,SER_hh_fech_in!I3/SER_summary!I$27)</f>
        <v>118.54731720165222</v>
      </c>
      <c r="J3" s="126">
        <f>IF(SER_hh_fech_in!J3=0,0,SER_hh_fech_in!J3/SER_summary!J$27)</f>
        <v>104.91342529975608</v>
      </c>
      <c r="K3" s="126">
        <f>IF(SER_hh_fech_in!K3=0,0,SER_hh_fech_in!K3/SER_summary!K$27)</f>
        <v>109.86356792250324</v>
      </c>
      <c r="L3" s="126">
        <f>IF(SER_hh_fech_in!L3=0,0,SER_hh_fech_in!L3/SER_summary!L$27)</f>
        <v>106.74732563114472</v>
      </c>
      <c r="M3" s="126">
        <f>IF(SER_hh_fech_in!M3=0,0,SER_hh_fech_in!M3/SER_summary!M$27)</f>
        <v>94.167630256068932</v>
      </c>
      <c r="N3" s="126">
        <f>IF(SER_hh_fech_in!N3=0,0,SER_hh_fech_in!N3/SER_summary!N$27)</f>
        <v>99.294687127370764</v>
      </c>
      <c r="O3" s="126">
        <f>IF(SER_hh_fech_in!O3=0,0,SER_hh_fech_in!O3/SER_summary!O$27)</f>
        <v>90.964127124044964</v>
      </c>
      <c r="P3" s="126">
        <f>IF(SER_hh_fech_in!P3=0,0,SER_hh_fech_in!P3/SER_summary!P$27)</f>
        <v>79.235444443427767</v>
      </c>
      <c r="Q3" s="126">
        <f>IF(SER_hh_fech_in!Q3=0,0,SER_hh_fech_in!Q3/SER_summary!Q$27)</f>
        <v>79.625922094985128</v>
      </c>
      <c r="R3" s="126">
        <f>IF(SER_hh_fech_in!R3=0,0,SER_hh_fech_in!R3/SER_summary!R$27)</f>
        <v>78.918692028944136</v>
      </c>
      <c r="S3" s="126">
        <f>IF(SER_hh_fech_in!S3=0,0,SER_hh_fech_in!S3/SER_summary!S$27)</f>
        <v>80.510788519132944</v>
      </c>
      <c r="T3" s="126">
        <f>IF(SER_hh_fech_in!T3=0,0,SER_hh_fech_in!T3/SER_summary!T$27)</f>
        <v>82.016369224978348</v>
      </c>
      <c r="U3" s="126">
        <f>IF(SER_hh_fech_in!U3=0,0,SER_hh_fech_in!U3/SER_summary!U$27)</f>
        <v>76.115484837001617</v>
      </c>
      <c r="V3" s="126">
        <f>IF(SER_hh_fech_in!V3=0,0,SER_hh_fech_in!V3/SER_summary!V$27)</f>
        <v>66.127501785931756</v>
      </c>
      <c r="W3" s="126">
        <f>IF(SER_hh_fech_in!W3=0,0,SER_hh_fech_in!W3/SER_summary!W$27)</f>
        <v>75.18379009820724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113.18180315936938</v>
      </c>
      <c r="D4" s="131">
        <f>IF(SER_hh_fech_in!D4=0,0,SER_hh_fech_in!D4/SER_summary!D$27)</f>
        <v>109.45212532058645</v>
      </c>
      <c r="E4" s="131">
        <f>IF(SER_hh_fech_in!E4=0,0,SER_hh_fech_in!E4/SER_summary!E$27)</f>
        <v>105.54790135274217</v>
      </c>
      <c r="F4" s="131">
        <f>IF(SER_hh_fech_in!F4=0,0,SER_hh_fech_in!F4/SER_summary!F$27)</f>
        <v>105.49830381517135</v>
      </c>
      <c r="G4" s="131">
        <f>IF(SER_hh_fech_in!G4=0,0,SER_hh_fech_in!G4/SER_summary!G$27)</f>
        <v>98.401696982893469</v>
      </c>
      <c r="H4" s="131">
        <f>IF(SER_hh_fech_in!H4=0,0,SER_hh_fech_in!H4/SER_summary!H$27)</f>
        <v>103.33722553817141</v>
      </c>
      <c r="I4" s="131">
        <f>IF(SER_hh_fech_in!I4=0,0,SER_hh_fech_in!I4/SER_summary!I$27)</f>
        <v>91.395655559319749</v>
      </c>
      <c r="J4" s="131">
        <f>IF(SER_hh_fech_in!J4=0,0,SER_hh_fech_in!J4/SER_summary!J$27)</f>
        <v>77.037477078217208</v>
      </c>
      <c r="K4" s="131">
        <f>IF(SER_hh_fech_in!K4=0,0,SER_hh_fech_in!K4/SER_summary!K$27)</f>
        <v>78.426258981493305</v>
      </c>
      <c r="L4" s="131">
        <f>IF(SER_hh_fech_in!L4=0,0,SER_hh_fech_in!L4/SER_summary!L$27)</f>
        <v>77.092401224993822</v>
      </c>
      <c r="M4" s="131">
        <f>IF(SER_hh_fech_in!M4=0,0,SER_hh_fech_in!M4/SER_summary!M$27)</f>
        <v>68.030889352721758</v>
      </c>
      <c r="N4" s="131">
        <f>IF(SER_hh_fech_in!N4=0,0,SER_hh_fech_in!N4/SER_summary!N$27)</f>
        <v>70.212666954001435</v>
      </c>
      <c r="O4" s="131">
        <f>IF(SER_hh_fech_in!O4=0,0,SER_hh_fech_in!O4/SER_summary!O$27)</f>
        <v>63.449806867761232</v>
      </c>
      <c r="P4" s="131">
        <f>IF(SER_hh_fech_in!P4=0,0,SER_hh_fech_in!P4/SER_summary!P$27)</f>
        <v>52.661472363332706</v>
      </c>
      <c r="Q4" s="131">
        <f>IF(SER_hh_fech_in!Q4=0,0,SER_hh_fech_in!Q4/SER_summary!Q$27)</f>
        <v>51.392939872990546</v>
      </c>
      <c r="R4" s="131">
        <f>IF(SER_hh_fech_in!R4=0,0,SER_hh_fech_in!R4/SER_summary!R$27)</f>
        <v>50.849024201111597</v>
      </c>
      <c r="S4" s="131">
        <f>IF(SER_hh_fech_in!S4=0,0,SER_hh_fech_in!S4/SER_summary!S$27)</f>
        <v>53.554251821381257</v>
      </c>
      <c r="T4" s="131">
        <f>IF(SER_hh_fech_in!T4=0,0,SER_hh_fech_in!T4/SER_summary!T$27)</f>
        <v>55.177319810377924</v>
      </c>
      <c r="U4" s="131">
        <f>IF(SER_hh_fech_in!U4=0,0,SER_hh_fech_in!U4/SER_summary!U$27)</f>
        <v>49.438240567600992</v>
      </c>
      <c r="V4" s="131">
        <f>IF(SER_hh_fech_in!V4=0,0,SER_hh_fech_in!V4/SER_summary!V$27)</f>
        <v>42.101317135371978</v>
      </c>
      <c r="W4" s="131">
        <f>IF(SER_hh_fech_in!W4=0,0,SER_hh_fech_in!W4/SER_summary!W$27)</f>
        <v>47.983268246351898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123.38703384945498</v>
      </c>
      <c r="D5" s="133">
        <f>IF(SER_hh_fech_in!D5=0,0,SER_hh_fech_in!D5/SER_summary!D$27)</f>
        <v>132.38948879444249</v>
      </c>
      <c r="E5" s="133">
        <f>IF(SER_hh_fech_in!E5=0,0,SER_hh_fech_in!E5/SER_summary!E$27)</f>
        <v>124.06789797869482</v>
      </c>
      <c r="F5" s="133">
        <f>IF(SER_hh_fech_in!F5=0,0,SER_hh_fech_in!F5/SER_summary!F$27)</f>
        <v>108.45628788397507</v>
      </c>
      <c r="G5" s="133">
        <f>IF(SER_hh_fech_in!G5=0,0,SER_hh_fech_in!G5/SER_summary!G$27)</f>
        <v>111.17257685053117</v>
      </c>
      <c r="H5" s="133">
        <f>IF(SER_hh_fech_in!H5=0,0,SER_hh_fech_in!H5/SER_summary!H$27)</f>
        <v>138.70034491071669</v>
      </c>
      <c r="I5" s="133">
        <f>IF(SER_hh_fech_in!I5=0,0,SER_hh_fech_in!I5/SER_summary!I$27)</f>
        <v>101.14493689827719</v>
      </c>
      <c r="J5" s="133">
        <f>IF(SER_hh_fech_in!J5=0,0,SER_hh_fech_in!J5/SER_summary!J$27)</f>
        <v>73.651496443981543</v>
      </c>
      <c r="K5" s="133">
        <f>IF(SER_hh_fech_in!K5=0,0,SER_hh_fech_in!K5/SER_summary!K$27)</f>
        <v>84.189622048982343</v>
      </c>
      <c r="L5" s="133">
        <f>IF(SER_hh_fech_in!L5=0,0,SER_hh_fech_in!L5/SER_summary!L$27)</f>
        <v>79.185674170937418</v>
      </c>
      <c r="M5" s="133">
        <f>IF(SER_hh_fech_in!M5=0,0,SER_hh_fech_in!M5/SER_summary!M$27)</f>
        <v>91.561726794961288</v>
      </c>
      <c r="N5" s="133">
        <f>IF(SER_hh_fech_in!N5=0,0,SER_hh_fech_in!N5/SER_summary!N$27)</f>
        <v>62.651312824459708</v>
      </c>
      <c r="O5" s="133">
        <f>IF(SER_hh_fech_in!O5=0,0,SER_hh_fech_in!O5/SER_summary!O$27)</f>
        <v>72.299236248417756</v>
      </c>
      <c r="P5" s="133">
        <f>IF(SER_hh_fech_in!P5=0,0,SER_hh_fech_in!P5/SER_summary!P$27)</f>
        <v>63.979918559446496</v>
      </c>
      <c r="Q5" s="133">
        <f>IF(SER_hh_fech_in!Q5=0,0,SER_hh_fech_in!Q5/SER_summary!Q$27)</f>
        <v>0</v>
      </c>
      <c r="R5" s="133">
        <f>IF(SER_hh_fech_in!R5=0,0,SER_hh_fech_in!R5/SER_summary!R$27)</f>
        <v>58.959482128274466</v>
      </c>
      <c r="S5" s="133">
        <f>IF(SER_hh_fech_in!S5=0,0,SER_hh_fech_in!S5/SER_summary!S$27)</f>
        <v>60.683651288191889</v>
      </c>
      <c r="T5" s="133">
        <f>IF(SER_hh_fech_in!T5=0,0,SER_hh_fech_in!T5/SER_summary!T$27)</f>
        <v>62.839168403832105</v>
      </c>
      <c r="U5" s="133">
        <f>IF(SER_hh_fech_in!U5=0,0,SER_hh_fech_in!U5/SER_summary!U$27)</f>
        <v>55.345660603212302</v>
      </c>
      <c r="V5" s="133">
        <f>IF(SER_hh_fech_in!V5=0,0,SER_hh_fech_in!V5/SER_summary!V$27)</f>
        <v>0</v>
      </c>
      <c r="W5" s="133">
        <f>IF(SER_hh_fech_in!W5=0,0,SER_hh_fech_in!W5/SER_summary!W$27)</f>
        <v>52.151968514888466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0</v>
      </c>
      <c r="D7" s="133">
        <f>IF(SER_hh_fech_in!D7=0,0,SER_hh_fech_in!D7/SER_summary!D$27)</f>
        <v>0</v>
      </c>
      <c r="E7" s="133">
        <f>IF(SER_hh_fech_in!E7=0,0,SER_hh_fech_in!E7/SER_summary!E$27)</f>
        <v>0</v>
      </c>
      <c r="F7" s="133">
        <f>IF(SER_hh_fech_in!F7=0,0,SER_hh_fech_in!F7/SER_summary!F$27)</f>
        <v>0</v>
      </c>
      <c r="G7" s="133">
        <f>IF(SER_hh_fech_in!G7=0,0,SER_hh_fech_in!G7/SER_summary!G$27)</f>
        <v>0</v>
      </c>
      <c r="H7" s="133">
        <f>IF(SER_hh_fech_in!H7=0,0,SER_hh_fech_in!H7/SER_summary!H$27)</f>
        <v>0</v>
      </c>
      <c r="I7" s="133">
        <f>IF(SER_hh_fech_in!I7=0,0,SER_hh_fech_in!I7/SER_summary!I$27)</f>
        <v>0</v>
      </c>
      <c r="J7" s="133">
        <f>IF(SER_hh_fech_in!J7=0,0,SER_hh_fech_in!J7/SER_summary!J$27)</f>
        <v>169.53980064458142</v>
      </c>
      <c r="K7" s="133">
        <f>IF(SER_hh_fech_in!K7=0,0,SER_hh_fech_in!K7/SER_summary!K$27)</f>
        <v>52.909444020482226</v>
      </c>
      <c r="L7" s="133">
        <f>IF(SER_hh_fech_in!L7=0,0,SER_hh_fech_in!L7/SER_summary!L$27)</f>
        <v>80.120711714439281</v>
      </c>
      <c r="M7" s="133">
        <f>IF(SER_hh_fech_in!M7=0,0,SER_hh_fech_in!M7/SER_summary!M$27)</f>
        <v>106.96304751729353</v>
      </c>
      <c r="N7" s="133">
        <f>IF(SER_hh_fech_in!N7=0,0,SER_hh_fech_in!N7/SER_summary!N$27)</f>
        <v>66.326886168430988</v>
      </c>
      <c r="O7" s="133">
        <f>IF(SER_hh_fech_in!O7=0,0,SER_hh_fech_in!O7/SER_summary!O$27)</f>
        <v>66.231855310293653</v>
      </c>
      <c r="P7" s="133">
        <f>IF(SER_hh_fech_in!P7=0,0,SER_hh_fech_in!P7/SER_summary!P$27)</f>
        <v>0</v>
      </c>
      <c r="Q7" s="133">
        <f>IF(SER_hh_fech_in!Q7=0,0,SER_hh_fech_in!Q7/SER_summary!Q$27)</f>
        <v>0</v>
      </c>
      <c r="R7" s="133">
        <f>IF(SER_hh_fech_in!R7=0,0,SER_hh_fech_in!R7/SER_summary!R$27)</f>
        <v>0</v>
      </c>
      <c r="S7" s="133">
        <f>IF(SER_hh_fech_in!S7=0,0,SER_hh_fech_in!S7/SER_summary!S$27)</f>
        <v>0</v>
      </c>
      <c r="T7" s="133">
        <f>IF(SER_hh_fech_in!T7=0,0,SER_hh_fech_in!T7/SER_summary!T$27)</f>
        <v>0</v>
      </c>
      <c r="U7" s="133">
        <f>IF(SER_hh_fech_in!U7=0,0,SER_hh_fech_in!U7/SER_summary!U$27)</f>
        <v>51.90156593197986</v>
      </c>
      <c r="V7" s="133">
        <f>IF(SER_hh_fech_in!V7=0,0,SER_hh_fech_in!V7/SER_summary!V$27)</f>
        <v>49.05474000002728</v>
      </c>
      <c r="W7" s="133">
        <f>IF(SER_hh_fech_in!W7=0,0,SER_hh_fech_in!W7/SER_summary!W$27)</f>
        <v>52.502467397058496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0</v>
      </c>
      <c r="D8" s="133">
        <f>IF(SER_hh_fech_in!D8=0,0,SER_hh_fech_in!D8/SER_summary!D$27)</f>
        <v>0</v>
      </c>
      <c r="E8" s="133">
        <f>IF(SER_hh_fech_in!E8=0,0,SER_hh_fech_in!E8/SER_summary!E$27)</f>
        <v>0</v>
      </c>
      <c r="F8" s="133">
        <f>IF(SER_hh_fech_in!F8=0,0,SER_hh_fech_in!F8/SER_summary!F$27)</f>
        <v>0</v>
      </c>
      <c r="G8" s="133">
        <f>IF(SER_hh_fech_in!G8=0,0,SER_hh_fech_in!G8/SER_summary!G$27)</f>
        <v>0</v>
      </c>
      <c r="H8" s="133">
        <f>IF(SER_hh_fech_in!H8=0,0,SER_hh_fech_in!H8/SER_summary!H$27)</f>
        <v>0</v>
      </c>
      <c r="I8" s="133">
        <f>IF(SER_hh_fech_in!I8=0,0,SER_hh_fech_in!I8/SER_summary!I$27)</f>
        <v>0</v>
      </c>
      <c r="J8" s="133">
        <f>IF(SER_hh_fech_in!J8=0,0,SER_hh_fech_in!J8/SER_summary!J$27)</f>
        <v>0</v>
      </c>
      <c r="K8" s="133">
        <f>IF(SER_hh_fech_in!K8=0,0,SER_hh_fech_in!K8/SER_summary!K$27)</f>
        <v>0</v>
      </c>
      <c r="L8" s="133">
        <f>IF(SER_hh_fech_in!L8=0,0,SER_hh_fech_in!L8/SER_summary!L$27)</f>
        <v>0</v>
      </c>
      <c r="M8" s="133">
        <f>IF(SER_hh_fech_in!M8=0,0,SER_hh_fech_in!M8/SER_summary!M$27)</f>
        <v>0</v>
      </c>
      <c r="N8" s="133">
        <f>IF(SER_hh_fech_in!N8=0,0,SER_hh_fech_in!N8/SER_summary!N$27)</f>
        <v>0</v>
      </c>
      <c r="O8" s="133">
        <f>IF(SER_hh_fech_in!O8=0,0,SER_hh_fech_in!O8/SER_summary!O$27)</f>
        <v>0</v>
      </c>
      <c r="P8" s="133">
        <f>IF(SER_hh_fech_in!P8=0,0,SER_hh_fech_in!P8/SER_summary!P$27)</f>
        <v>0</v>
      </c>
      <c r="Q8" s="133">
        <f>IF(SER_hh_fech_in!Q8=0,0,SER_hh_fech_in!Q8/SER_summary!Q$27)</f>
        <v>0</v>
      </c>
      <c r="R8" s="133">
        <f>IF(SER_hh_fech_in!R8=0,0,SER_hh_fech_in!R8/SER_summary!R$27)</f>
        <v>0</v>
      </c>
      <c r="S8" s="133">
        <f>IF(SER_hh_fech_in!S8=0,0,SER_hh_fech_in!S8/SER_summary!S$27)</f>
        <v>0</v>
      </c>
      <c r="T8" s="133">
        <f>IF(SER_hh_fech_in!T8=0,0,SER_hh_fech_in!T8/SER_summary!T$27)</f>
        <v>0</v>
      </c>
      <c r="U8" s="133">
        <f>IF(SER_hh_fech_in!U8=0,0,SER_hh_fech_in!U8/SER_summary!U$27)</f>
        <v>0</v>
      </c>
      <c r="V8" s="133">
        <f>IF(SER_hh_fech_in!V8=0,0,SER_hh_fech_in!V8/SER_summary!V$27)</f>
        <v>0</v>
      </c>
      <c r="W8" s="133">
        <f>IF(SER_hh_fech_in!W8=0,0,SER_hh_fech_in!W8/SER_summary!W$27)</f>
        <v>0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133.3215047048997</v>
      </c>
      <c r="D9" s="133">
        <f>IF(SER_hh_fech_in!D9=0,0,SER_hh_fech_in!D9/SER_summary!D$27)</f>
        <v>129.45520505780746</v>
      </c>
      <c r="E9" s="133">
        <f>IF(SER_hh_fech_in!E9=0,0,SER_hh_fech_in!E9/SER_summary!E$27)</f>
        <v>114.24020489278104</v>
      </c>
      <c r="F9" s="133">
        <f>IF(SER_hh_fech_in!F9=0,0,SER_hh_fech_in!F9/SER_summary!F$27)</f>
        <v>134.18342681248325</v>
      </c>
      <c r="G9" s="133">
        <f>IF(SER_hh_fech_in!G9=0,0,SER_hh_fech_in!G9/SER_summary!G$27)</f>
        <v>111.34653939560751</v>
      </c>
      <c r="H9" s="133">
        <f>IF(SER_hh_fech_in!H9=0,0,SER_hh_fech_in!H9/SER_summary!H$27)</f>
        <v>102.43924754945064</v>
      </c>
      <c r="I9" s="133">
        <f>IF(SER_hh_fech_in!I9=0,0,SER_hh_fech_in!I9/SER_summary!I$27)</f>
        <v>116.02223944888145</v>
      </c>
      <c r="J9" s="133">
        <f>IF(SER_hh_fech_in!J9=0,0,SER_hh_fech_in!J9/SER_summary!J$27)</f>
        <v>95.3335729140653</v>
      </c>
      <c r="K9" s="133">
        <f>IF(SER_hh_fech_in!K9=0,0,SER_hh_fech_in!K9/SER_summary!K$27)</f>
        <v>79.855491265903453</v>
      </c>
      <c r="L9" s="133">
        <f>IF(SER_hh_fech_in!L9=0,0,SER_hh_fech_in!L9/SER_summary!L$27)</f>
        <v>85.674909511307433</v>
      </c>
      <c r="M9" s="133">
        <f>IF(SER_hh_fech_in!M9=0,0,SER_hh_fech_in!M9/SER_summary!M$27)</f>
        <v>71.777962696644778</v>
      </c>
      <c r="N9" s="133">
        <f>IF(SER_hh_fech_in!N9=0,0,SER_hh_fech_in!N9/SER_summary!N$27)</f>
        <v>73.601727694230192</v>
      </c>
      <c r="O9" s="133">
        <f>IF(SER_hh_fech_in!O9=0,0,SER_hh_fech_in!O9/SER_summary!O$27)</f>
        <v>68.768986708539614</v>
      </c>
      <c r="P9" s="133">
        <f>IF(SER_hh_fech_in!P9=0,0,SER_hh_fech_in!P9/SER_summary!P$27)</f>
        <v>55.936857837981229</v>
      </c>
      <c r="Q9" s="133">
        <f>IF(SER_hh_fech_in!Q9=0,0,SER_hh_fech_in!Q9/SER_summary!Q$27)</f>
        <v>57.024164119422529</v>
      </c>
      <c r="R9" s="133">
        <f>IF(SER_hh_fech_in!R9=0,0,SER_hh_fech_in!R9/SER_summary!R$27)</f>
        <v>57.525650957346798</v>
      </c>
      <c r="S9" s="133">
        <f>IF(SER_hh_fech_in!S9=0,0,SER_hh_fech_in!S9/SER_summary!S$27)</f>
        <v>57.976778422824296</v>
      </c>
      <c r="T9" s="133">
        <f>IF(SER_hh_fech_in!T9=0,0,SER_hh_fech_in!T9/SER_summary!T$27)</f>
        <v>57.314252502643491</v>
      </c>
      <c r="U9" s="133">
        <f>IF(SER_hh_fech_in!U9=0,0,SER_hh_fech_in!U9/SER_summary!U$27)</f>
        <v>54.571387897221626</v>
      </c>
      <c r="V9" s="133">
        <f>IF(SER_hh_fech_in!V9=0,0,SER_hh_fech_in!V9/SER_summary!V$27)</f>
        <v>50.563867825849158</v>
      </c>
      <c r="W9" s="133">
        <f>IF(SER_hh_fech_in!W9=0,0,SER_hh_fech_in!W9/SER_summary!W$27)</f>
        <v>51.109661369090709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150.84175558497591</v>
      </c>
      <c r="D10" s="133">
        <f>IF(SER_hh_fech_in!D10=0,0,SER_hh_fech_in!D10/SER_summary!D$27)</f>
        <v>152.7784164688656</v>
      </c>
      <c r="E10" s="133">
        <f>IF(SER_hh_fech_in!E10=0,0,SER_hh_fech_in!E10/SER_summary!E$27)</f>
        <v>137.27842683259209</v>
      </c>
      <c r="F10" s="133">
        <f>IF(SER_hh_fech_in!F10=0,0,SER_hh_fech_in!F10/SER_summary!F$27)</f>
        <v>131.95493153524927</v>
      </c>
      <c r="G10" s="133">
        <f>IF(SER_hh_fech_in!G10=0,0,SER_hh_fech_in!G10/SER_summary!G$27)</f>
        <v>132.32064004601796</v>
      </c>
      <c r="H10" s="133">
        <f>IF(SER_hh_fech_in!H10=0,0,SER_hh_fech_in!H10/SER_summary!H$27)</f>
        <v>128.79077633702454</v>
      </c>
      <c r="I10" s="133">
        <f>IF(SER_hh_fech_in!I10=0,0,SER_hh_fech_in!I10/SER_summary!I$27)</f>
        <v>116.75947488220868</v>
      </c>
      <c r="J10" s="133">
        <f>IF(SER_hh_fech_in!J10=0,0,SER_hh_fech_in!J10/SER_summary!J$27)</f>
        <v>111.65442845836843</v>
      </c>
      <c r="K10" s="133">
        <f>IF(SER_hh_fech_in!K10=0,0,SER_hh_fech_in!K10/SER_summary!K$27)</f>
        <v>101.89520474116706</v>
      </c>
      <c r="L10" s="133">
        <f>IF(SER_hh_fech_in!L10=0,0,SER_hh_fech_in!L10/SER_summary!L$27)</f>
        <v>95.490278745584646</v>
      </c>
      <c r="M10" s="133">
        <f>IF(SER_hh_fech_in!M10=0,0,SER_hh_fech_in!M10/SER_summary!M$27)</f>
        <v>94.483835847922037</v>
      </c>
      <c r="N10" s="133">
        <f>IF(SER_hh_fech_in!N10=0,0,SER_hh_fech_in!N10/SER_summary!N$27)</f>
        <v>92.726035252404387</v>
      </c>
      <c r="O10" s="133">
        <f>IF(SER_hh_fech_in!O10=0,0,SER_hh_fech_in!O10/SER_summary!O$27)</f>
        <v>88.988630249921712</v>
      </c>
      <c r="P10" s="133">
        <f>IF(SER_hh_fech_in!P10=0,0,SER_hh_fech_in!P10/SER_summary!P$27)</f>
        <v>80.279804204267137</v>
      </c>
      <c r="Q10" s="133">
        <f>IF(SER_hh_fech_in!Q10=0,0,SER_hh_fech_in!Q10/SER_summary!Q$27)</f>
        <v>76.378867953532904</v>
      </c>
      <c r="R10" s="133">
        <f>IF(SER_hh_fech_in!R10=0,0,SER_hh_fech_in!R10/SER_summary!R$27)</f>
        <v>0</v>
      </c>
      <c r="S10" s="133">
        <f>IF(SER_hh_fech_in!S10=0,0,SER_hh_fech_in!S10/SER_summary!S$27)</f>
        <v>0</v>
      </c>
      <c r="T10" s="133">
        <f>IF(SER_hh_fech_in!T10=0,0,SER_hh_fech_in!T10/SER_summary!T$27)</f>
        <v>77.625743239372156</v>
      </c>
      <c r="U10" s="133">
        <f>IF(SER_hh_fech_in!U10=0,0,SER_hh_fech_in!U10/SER_summary!U$27)</f>
        <v>71.767601181016758</v>
      </c>
      <c r="V10" s="133">
        <f>IF(SER_hh_fech_in!V10=0,0,SER_hh_fech_in!V10/SER_summary!V$27)</f>
        <v>74.310489682843539</v>
      </c>
      <c r="W10" s="133">
        <f>IF(SER_hh_fech_in!W10=0,0,SER_hh_fech_in!W10/SER_summary!W$27)</f>
        <v>68.753318369403246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0</v>
      </c>
      <c r="L11" s="133">
        <f>IF(SER_hh_fech_in!L11=0,0,SER_hh_fech_in!L11/SER_summary!L$27)</f>
        <v>0</v>
      </c>
      <c r="M11" s="133">
        <f>IF(SER_hh_fech_in!M11=0,0,SER_hh_fech_in!M11/SER_summary!M$27)</f>
        <v>0</v>
      </c>
      <c r="N11" s="133">
        <f>IF(SER_hh_fech_in!N11=0,0,SER_hh_fech_in!N11/SER_summary!N$27)</f>
        <v>0</v>
      </c>
      <c r="O11" s="133">
        <f>IF(SER_hh_fech_in!O11=0,0,SER_hh_fech_in!O11/SER_summary!O$27)</f>
        <v>0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104.64724954052589</v>
      </c>
      <c r="D12" s="133">
        <f>IF(SER_hh_fech_in!D12=0,0,SER_hh_fech_in!D12/SER_summary!D$27)</f>
        <v>98.300949113758378</v>
      </c>
      <c r="E12" s="133">
        <f>IF(SER_hh_fech_in!E12=0,0,SER_hh_fech_in!E12/SER_summary!E$27)</f>
        <v>96.640972225651723</v>
      </c>
      <c r="F12" s="133">
        <f>IF(SER_hh_fech_in!F12=0,0,SER_hh_fech_in!F12/SER_summary!F$27)</f>
        <v>92.937309555938299</v>
      </c>
      <c r="G12" s="133">
        <f>IF(SER_hh_fech_in!G12=0,0,SER_hh_fech_in!G12/SER_summary!G$27)</f>
        <v>87.451596404577501</v>
      </c>
      <c r="H12" s="133">
        <f>IF(SER_hh_fech_in!H12=0,0,SER_hh_fech_in!H12/SER_summary!H$27)</f>
        <v>90.868906986834617</v>
      </c>
      <c r="I12" s="133">
        <f>IF(SER_hh_fech_in!I12=0,0,SER_hh_fech_in!I12/SER_summary!I$27)</f>
        <v>83.111834673549893</v>
      </c>
      <c r="J12" s="133">
        <f>IF(SER_hh_fech_in!J12=0,0,SER_hh_fech_in!J12/SER_summary!J$27)</f>
        <v>64.68392660783806</v>
      </c>
      <c r="K12" s="133">
        <f>IF(SER_hh_fech_in!K12=0,0,SER_hh_fech_in!K12/SER_summary!K$27)</f>
        <v>68.888462353258731</v>
      </c>
      <c r="L12" s="133">
        <f>IF(SER_hh_fech_in!L12=0,0,SER_hh_fech_in!L12/SER_summary!L$27)</f>
        <v>71.236153214695904</v>
      </c>
      <c r="M12" s="133">
        <f>IF(SER_hh_fech_in!M12=0,0,SER_hh_fech_in!M12/SER_summary!M$27)</f>
        <v>55.156899515812576</v>
      </c>
      <c r="N12" s="133">
        <f>IF(SER_hh_fech_in!N12=0,0,SER_hh_fech_in!N12/SER_summary!N$27)</f>
        <v>65.207514089101508</v>
      </c>
      <c r="O12" s="133">
        <f>IF(SER_hh_fech_in!O12=0,0,SER_hh_fech_in!O12/SER_summary!O$27)</f>
        <v>52.877565423094055</v>
      </c>
      <c r="P12" s="133">
        <f>IF(SER_hh_fech_in!P12=0,0,SER_hh_fech_in!P12/SER_summary!P$27)</f>
        <v>49.540471793778622</v>
      </c>
      <c r="Q12" s="133">
        <f>IF(SER_hh_fech_in!Q12=0,0,SER_hh_fech_in!Q12/SER_summary!Q$27)</f>
        <v>48.486169286642792</v>
      </c>
      <c r="R12" s="133">
        <f>IF(SER_hh_fech_in!R12=0,0,SER_hh_fech_in!R12/SER_summary!R$27)</f>
        <v>46.212071734316737</v>
      </c>
      <c r="S12" s="133">
        <f>IF(SER_hh_fech_in!S12=0,0,SER_hh_fech_in!S12/SER_summary!S$27)</f>
        <v>52.950701208771086</v>
      </c>
      <c r="T12" s="133">
        <f>IF(SER_hh_fech_in!T12=0,0,SER_hh_fech_in!T12/SER_summary!T$27)</f>
        <v>52.227942987630591</v>
      </c>
      <c r="U12" s="133">
        <f>IF(SER_hh_fech_in!U12=0,0,SER_hh_fech_in!U12/SER_summary!U$27)</f>
        <v>43.466949235124211</v>
      </c>
      <c r="V12" s="133">
        <f>IF(SER_hh_fech_in!V12=0,0,SER_hh_fech_in!V12/SER_summary!V$27)</f>
        <v>37.75242514095924</v>
      </c>
      <c r="W12" s="133">
        <f>IF(SER_hh_fech_in!W12=0,0,SER_hh_fech_in!W12/SER_summary!W$27)</f>
        <v>46.357851591776914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57.99073845064212</v>
      </c>
      <c r="D13" s="133">
        <f>IF(SER_hh_fech_in!D13=0,0,SER_hh_fech_in!D13/SER_summary!D$27)</f>
        <v>41.980920519893765</v>
      </c>
      <c r="E13" s="133">
        <f>IF(SER_hh_fech_in!E13=0,0,SER_hh_fech_in!E13/SER_summary!E$27)</f>
        <v>47.931019994000067</v>
      </c>
      <c r="F13" s="133">
        <f>IF(SER_hh_fech_in!F13=0,0,SER_hh_fech_in!F13/SER_summary!F$27)</f>
        <v>42.145461327705917</v>
      </c>
      <c r="G13" s="133">
        <f>IF(SER_hh_fech_in!G13=0,0,SER_hh_fech_in!G13/SER_summary!G$27)</f>
        <v>40.113491310782585</v>
      </c>
      <c r="H13" s="133">
        <f>IF(SER_hh_fech_in!H13=0,0,SER_hh_fech_in!H13/SER_summary!H$27)</f>
        <v>33.360698613568914</v>
      </c>
      <c r="I13" s="133">
        <f>IF(SER_hh_fech_in!I13=0,0,SER_hh_fech_in!I13/SER_summary!I$27)</f>
        <v>26.944156076895528</v>
      </c>
      <c r="J13" s="133">
        <f>IF(SER_hh_fech_in!J13=0,0,SER_hh_fech_in!J13/SER_summary!J$27)</f>
        <v>30.353723371196992</v>
      </c>
      <c r="K13" s="133">
        <f>IF(SER_hh_fech_in!K13=0,0,SER_hh_fech_in!K13/SER_summary!K$27)</f>
        <v>22.904988269925049</v>
      </c>
      <c r="L13" s="133">
        <f>IF(SER_hh_fech_in!L13=0,0,SER_hh_fech_in!L13/SER_summary!L$27)</f>
        <v>16.887893468738653</v>
      </c>
      <c r="M13" s="133">
        <f>IF(SER_hh_fech_in!M13=0,0,SER_hh_fech_in!M13/SER_summary!M$27)</f>
        <v>18.39026727472605</v>
      </c>
      <c r="N13" s="133">
        <f>IF(SER_hh_fech_in!N13=0,0,SER_hh_fech_in!N13/SER_summary!N$27)</f>
        <v>16.828537984677205</v>
      </c>
      <c r="O13" s="133">
        <f>IF(SER_hh_fech_in!O13=0,0,SER_hh_fech_in!O13/SER_summary!O$27)</f>
        <v>14.417160707934421</v>
      </c>
      <c r="P13" s="133">
        <f>IF(SER_hh_fech_in!P13=0,0,SER_hh_fech_in!P13/SER_summary!P$27)</f>
        <v>15.749695131428021</v>
      </c>
      <c r="Q13" s="133">
        <f>IF(SER_hh_fech_in!Q13=0,0,SER_hh_fech_in!Q13/SER_summary!Q$27)</f>
        <v>13.818077963303354</v>
      </c>
      <c r="R13" s="133">
        <f>IF(SER_hh_fech_in!R13=0,0,SER_hh_fech_in!R13/SER_summary!R$27)</f>
        <v>13.381423206232418</v>
      </c>
      <c r="S13" s="133">
        <f>IF(SER_hh_fech_in!S13=0,0,SER_hh_fech_in!S13/SER_summary!S$27)</f>
        <v>13.279902607587619</v>
      </c>
      <c r="T13" s="133">
        <f>IF(SER_hh_fech_in!T13=0,0,SER_hh_fech_in!T13/SER_summary!T$27)</f>
        <v>13.159129067108958</v>
      </c>
      <c r="U13" s="133">
        <f>IF(SER_hh_fech_in!U13=0,0,SER_hh_fech_in!U13/SER_summary!U$27)</f>
        <v>11.317187712228296</v>
      </c>
      <c r="V13" s="133">
        <f>IF(SER_hh_fech_in!V13=0,0,SER_hh_fech_in!V13/SER_summary!V$27)</f>
        <v>9.1061091869477941</v>
      </c>
      <c r="W13" s="133">
        <f>IF(SER_hh_fech_in!W13=0,0,SER_hh_fech_in!W13/SER_summary!W$27)</f>
        <v>14.152745519083741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116.96407781871626</v>
      </c>
      <c r="D14" s="65">
        <f>IF(SER_hh_fech_in!D14=0,0,SER_hh_fech_in!D14/SER_summary!D$27)</f>
        <v>95.436259701139107</v>
      </c>
      <c r="E14" s="65">
        <f>IF(SER_hh_fech_in!E14=0,0,SER_hh_fech_in!E14/SER_summary!E$27)</f>
        <v>114.64490482173056</v>
      </c>
      <c r="F14" s="65">
        <f>IF(SER_hh_fech_in!F14=0,0,SER_hh_fech_in!F14/SER_summary!F$27)</f>
        <v>106.3763225122236</v>
      </c>
      <c r="G14" s="65">
        <f>IF(SER_hh_fech_in!G14=0,0,SER_hh_fech_in!G14/SER_summary!G$27)</f>
        <v>98.27823291514639</v>
      </c>
      <c r="H14" s="65">
        <f>IF(SER_hh_fech_in!H14=0,0,SER_hh_fech_in!H14/SER_summary!H$27)</f>
        <v>90.809645940336722</v>
      </c>
      <c r="I14" s="65">
        <f>IF(SER_hh_fech_in!I14=0,0,SER_hh_fech_in!I14/SER_summary!I$27)</f>
        <v>86.598951739762896</v>
      </c>
      <c r="J14" s="65">
        <f>IF(SER_hh_fech_in!J14=0,0,SER_hh_fech_in!J14/SER_summary!J$27)</f>
        <v>121.78072988410077</v>
      </c>
      <c r="K14" s="65">
        <f>IF(SER_hh_fech_in!K14=0,0,SER_hh_fech_in!K14/SER_summary!K$27)</f>
        <v>0</v>
      </c>
      <c r="L14" s="65">
        <f>IF(SER_hh_fech_in!L14=0,0,SER_hh_fech_in!L14/SER_summary!L$27)</f>
        <v>0</v>
      </c>
      <c r="M14" s="65">
        <f>IF(SER_hh_fech_in!M14=0,0,SER_hh_fech_in!M14/SER_summary!M$27)</f>
        <v>0</v>
      </c>
      <c r="N14" s="65">
        <f>IF(SER_hh_fech_in!N14=0,0,SER_hh_fech_in!N14/SER_summary!N$27)</f>
        <v>83.330894567965856</v>
      </c>
      <c r="O14" s="65">
        <f>IF(SER_hh_fech_in!O14=0,0,SER_hh_fech_in!O14/SER_summary!O$27)</f>
        <v>54.021163831662712</v>
      </c>
      <c r="P14" s="65">
        <f>IF(SER_hh_fech_in!P14=0,0,SER_hh_fech_in!P14/SER_summary!P$27)</f>
        <v>0</v>
      </c>
      <c r="Q14" s="65">
        <f>IF(SER_hh_fech_in!Q14=0,0,SER_hh_fech_in!Q14/SER_summary!Q$27)</f>
        <v>23.386024146879823</v>
      </c>
      <c r="R14" s="65">
        <f>IF(SER_hh_fech_in!R14=0,0,SER_hh_fech_in!R14/SER_summary!R$27)</f>
        <v>62.211745285470819</v>
      </c>
      <c r="S14" s="65">
        <f>IF(SER_hh_fech_in!S14=0,0,SER_hh_fech_in!S14/SER_summary!S$27)</f>
        <v>36.211124602866157</v>
      </c>
      <c r="T14" s="65">
        <f>IF(SER_hh_fech_in!T14=0,0,SER_hh_fech_in!T14/SER_summary!T$27)</f>
        <v>55.089726056600064</v>
      </c>
      <c r="U14" s="65">
        <f>IF(SER_hh_fech_in!U14=0,0,SER_hh_fech_in!U14/SER_summary!U$27)</f>
        <v>51.507850465774368</v>
      </c>
      <c r="V14" s="65">
        <f>IF(SER_hh_fech_in!V14=0,0,SER_hh_fech_in!V14/SER_summary!V$27)</f>
        <v>35.763494166066074</v>
      </c>
      <c r="W14" s="65">
        <f>IF(SER_hh_fech_in!W14=0,0,SER_hh_fech_in!W14/SER_summary!W$27)</f>
        <v>46.795110085235343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0.54374855959546975</v>
      </c>
      <c r="D15" s="135">
        <f>IF(SER_hh_fech_in!D15=0,0,SER_hh_fech_in!D15/SER_summary!D$27)</f>
        <v>0.60765637875439515</v>
      </c>
      <c r="E15" s="135">
        <f>IF(SER_hh_fech_in!E15=0,0,SER_hh_fech_in!E15/SER_summary!E$27)</f>
        <v>0.51913088134767327</v>
      </c>
      <c r="F15" s="135">
        <f>IF(SER_hh_fech_in!F15=0,0,SER_hh_fech_in!F15/SER_summary!F$27)</f>
        <v>0.59488937617373494</v>
      </c>
      <c r="G15" s="135">
        <f>IF(SER_hh_fech_in!G15=0,0,SER_hh_fech_in!G15/SER_summary!G$27)</f>
        <v>0.50996813010268283</v>
      </c>
      <c r="H15" s="135">
        <f>IF(SER_hh_fech_in!H15=0,0,SER_hh_fech_in!H15/SER_summary!H$27)</f>
        <v>0.56897189484982402</v>
      </c>
      <c r="I15" s="135">
        <f>IF(SER_hh_fech_in!I15=0,0,SER_hh_fech_in!I15/SER_summary!I$27)</f>
        <v>0.45261565367373507</v>
      </c>
      <c r="J15" s="135">
        <f>IF(SER_hh_fech_in!J15=0,0,SER_hh_fech_in!J15/SER_summary!J$27)</f>
        <v>0.39333772380528975</v>
      </c>
      <c r="K15" s="135">
        <f>IF(SER_hh_fech_in!K15=0,0,SER_hh_fech_in!K15/SER_summary!K$27)</f>
        <v>0.39500462825430183</v>
      </c>
      <c r="L15" s="135">
        <f>IF(SER_hh_fech_in!L15=0,0,SER_hh_fech_in!L15/SER_summary!L$27)</f>
        <v>0.37328746760921233</v>
      </c>
      <c r="M15" s="135">
        <f>IF(SER_hh_fech_in!M15=0,0,SER_hh_fech_in!M15/SER_summary!M$27)</f>
        <v>0.33842889319606684</v>
      </c>
      <c r="N15" s="135">
        <f>IF(SER_hh_fech_in!N15=0,0,SER_hh_fech_in!N15/SER_summary!N$27)</f>
        <v>0.36500363278786097</v>
      </c>
      <c r="O15" s="135">
        <f>IF(SER_hh_fech_in!O15=0,0,SER_hh_fech_in!O15/SER_summary!O$27)</f>
        <v>0.3712498551679177</v>
      </c>
      <c r="P15" s="135">
        <f>IF(SER_hh_fech_in!P15=0,0,SER_hh_fech_in!P15/SER_summary!P$27)</f>
        <v>0.29084907258124276</v>
      </c>
      <c r="Q15" s="135">
        <f>IF(SER_hh_fech_in!Q15=0,0,SER_hh_fech_in!Q15/SER_summary!Q$27)</f>
        <v>0.33146385984116222</v>
      </c>
      <c r="R15" s="135">
        <f>IF(SER_hh_fech_in!R15=0,0,SER_hh_fech_in!R15/SER_summary!R$27)</f>
        <v>0.28233090691462531</v>
      </c>
      <c r="S15" s="135">
        <f>IF(SER_hh_fech_in!S15=0,0,SER_hh_fech_in!S15/SER_summary!S$27)</f>
        <v>0.29422979902743246</v>
      </c>
      <c r="T15" s="135">
        <f>IF(SER_hh_fech_in!T15=0,0,SER_hh_fech_in!T15/SER_summary!T$27)</f>
        <v>0.343582173431352</v>
      </c>
      <c r="U15" s="135">
        <f>IF(SER_hh_fech_in!U15=0,0,SER_hh_fech_in!U15/SER_summary!U$27)</f>
        <v>0.3281593168412385</v>
      </c>
      <c r="V15" s="135">
        <f>IF(SER_hh_fech_in!V15=0,0,SER_hh_fech_in!V15/SER_summary!V$27)</f>
        <v>0.24020518537825922</v>
      </c>
      <c r="W15" s="135">
        <f>IF(SER_hh_fech_in!W15=0,0,SER_hh_fech_in!W15/SER_summary!W$27)</f>
        <v>0.26161929618763829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8.205296698017845</v>
      </c>
      <c r="D16" s="131">
        <f>IF(SER_hh_fech_in!D16=0,0,SER_hh_fech_in!D16/SER_summary!D$27)</f>
        <v>8.4633993906448097</v>
      </c>
      <c r="E16" s="131">
        <f>IF(SER_hh_fech_in!E16=0,0,SER_hh_fech_in!E16/SER_summary!E$27)</f>
        <v>7.2954485314820259</v>
      </c>
      <c r="F16" s="131">
        <f>IF(SER_hh_fech_in!F16=0,0,SER_hh_fech_in!F16/SER_summary!F$27)</f>
        <v>6.9849728293929605</v>
      </c>
      <c r="G16" s="131">
        <f>IF(SER_hh_fech_in!G16=0,0,SER_hh_fech_in!G16/SER_summary!G$27)</f>
        <v>6.7475685011856079</v>
      </c>
      <c r="H16" s="131">
        <f>IF(SER_hh_fech_in!H16=0,0,SER_hh_fech_in!H16/SER_summary!H$27)</f>
        <v>7.1928829347518191</v>
      </c>
      <c r="I16" s="131">
        <f>IF(SER_hh_fech_in!I16=0,0,SER_hh_fech_in!I16/SER_summary!I$27)</f>
        <v>6.4149484416795177</v>
      </c>
      <c r="J16" s="131">
        <f>IF(SER_hh_fech_in!J16=0,0,SER_hh_fech_in!J16/SER_summary!J$27)</f>
        <v>6.1133971987498663</v>
      </c>
      <c r="K16" s="131">
        <f>IF(SER_hh_fech_in!K16=0,0,SER_hh_fech_in!K16/SER_summary!K$27)</f>
        <v>5.8939677123949865</v>
      </c>
      <c r="L16" s="131">
        <f>IF(SER_hh_fech_in!L16=0,0,SER_hh_fech_in!L16/SER_summary!L$27)</f>
        <v>7.2243596054610908</v>
      </c>
      <c r="M16" s="131">
        <f>IF(SER_hh_fech_in!M16=0,0,SER_hh_fech_in!M16/SER_summary!M$27)</f>
        <v>5.5194044665467956</v>
      </c>
      <c r="N16" s="131">
        <f>IF(SER_hh_fech_in!N16=0,0,SER_hh_fech_in!N16/SER_summary!N$27)</f>
        <v>5.7816846637587407</v>
      </c>
      <c r="O16" s="131">
        <f>IF(SER_hh_fech_in!O16=0,0,SER_hh_fech_in!O16/SER_summary!O$27)</f>
        <v>5.1164126094529143</v>
      </c>
      <c r="P16" s="131">
        <f>IF(SER_hh_fech_in!P16=0,0,SER_hh_fech_in!P16/SER_summary!P$27)</f>
        <v>5.3706999685976182</v>
      </c>
      <c r="Q16" s="131">
        <f>IF(SER_hh_fech_in!Q16=0,0,SER_hh_fech_in!Q16/SER_summary!Q$27)</f>
        <v>4.9907596493189041</v>
      </c>
      <c r="R16" s="131">
        <f>IF(SER_hh_fech_in!R16=0,0,SER_hh_fech_in!R16/SER_summary!R$27)</f>
        <v>4.6060223119310892</v>
      </c>
      <c r="S16" s="131">
        <f>IF(SER_hh_fech_in!S16=0,0,SER_hh_fech_in!S16/SER_summary!S$27)</f>
        <v>4.4787791555166443</v>
      </c>
      <c r="T16" s="131">
        <f>IF(SER_hh_fech_in!T16=0,0,SER_hh_fech_in!T16/SER_summary!T$27)</f>
        <v>4.6659568914577187</v>
      </c>
      <c r="U16" s="131">
        <f>IF(SER_hh_fech_in!U16=0,0,SER_hh_fech_in!U16/SER_summary!U$27)</f>
        <v>4.4373040100550529</v>
      </c>
      <c r="V16" s="131">
        <f>IF(SER_hh_fech_in!V16=0,0,SER_hh_fech_in!V16/SER_summary!V$27)</f>
        <v>4.1716340646888179</v>
      </c>
      <c r="W16" s="131">
        <f>IF(SER_hh_fech_in!W16=0,0,SER_hh_fech_in!W16/SER_summary!W$27)</f>
        <v>4.7536852412332644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0</v>
      </c>
      <c r="D17" s="133">
        <f>IF(SER_hh_fech_in!D17=0,0,SER_hh_fech_in!D17/SER_summary!D$27)</f>
        <v>0</v>
      </c>
      <c r="E17" s="133">
        <f>IF(SER_hh_fech_in!E17=0,0,SER_hh_fech_in!E17/SER_summary!E$27)</f>
        <v>0</v>
      </c>
      <c r="F17" s="133">
        <f>IF(SER_hh_fech_in!F17=0,0,SER_hh_fech_in!F17/SER_summary!F$27)</f>
        <v>0</v>
      </c>
      <c r="G17" s="133">
        <f>IF(SER_hh_fech_in!G17=0,0,SER_hh_fech_in!G17/SER_summary!G$27)</f>
        <v>0</v>
      </c>
      <c r="H17" s="133">
        <f>IF(SER_hh_fech_in!H17=0,0,SER_hh_fech_in!H17/SER_summary!H$27)</f>
        <v>0</v>
      </c>
      <c r="I17" s="133">
        <f>IF(SER_hh_fech_in!I17=0,0,SER_hh_fech_in!I17/SER_summary!I$27)</f>
        <v>0</v>
      </c>
      <c r="J17" s="133">
        <f>IF(SER_hh_fech_in!J17=0,0,SER_hh_fech_in!J17/SER_summary!J$27)</f>
        <v>0</v>
      </c>
      <c r="K17" s="133">
        <f>IF(SER_hh_fech_in!K17=0,0,SER_hh_fech_in!K17/SER_summary!K$27)</f>
        <v>0</v>
      </c>
      <c r="L17" s="133">
        <f>IF(SER_hh_fech_in!L17=0,0,SER_hh_fech_in!L17/SER_summary!L$27)</f>
        <v>0</v>
      </c>
      <c r="M17" s="133">
        <f>IF(SER_hh_fech_in!M17=0,0,SER_hh_fech_in!M17/SER_summary!M$27)</f>
        <v>0</v>
      </c>
      <c r="N17" s="133">
        <f>IF(SER_hh_fech_in!N17=0,0,SER_hh_fech_in!N17/SER_summary!N$27)</f>
        <v>0</v>
      </c>
      <c r="O17" s="133">
        <f>IF(SER_hh_fech_in!O17=0,0,SER_hh_fech_in!O17/SER_summary!O$27)</f>
        <v>0</v>
      </c>
      <c r="P17" s="133">
        <f>IF(SER_hh_fech_in!P17=0,0,SER_hh_fech_in!P17/SER_summary!P$27)</f>
        <v>0</v>
      </c>
      <c r="Q17" s="133">
        <f>IF(SER_hh_fech_in!Q17=0,0,SER_hh_fech_in!Q17/SER_summary!Q$27)</f>
        <v>0</v>
      </c>
      <c r="R17" s="133">
        <f>IF(SER_hh_fech_in!R17=0,0,SER_hh_fech_in!R17/SER_summary!R$27)</f>
        <v>0</v>
      </c>
      <c r="S17" s="133">
        <f>IF(SER_hh_fech_in!S17=0,0,SER_hh_fech_in!S17/SER_summary!S$27)</f>
        <v>0</v>
      </c>
      <c r="T17" s="133">
        <f>IF(SER_hh_fech_in!T17=0,0,SER_hh_fech_in!T17/SER_summary!T$27)</f>
        <v>0</v>
      </c>
      <c r="U17" s="133">
        <f>IF(SER_hh_fech_in!U17=0,0,SER_hh_fech_in!U17/SER_summary!U$27)</f>
        <v>0</v>
      </c>
      <c r="V17" s="133">
        <f>IF(SER_hh_fech_in!V17=0,0,SER_hh_fech_in!V17/SER_summary!V$27)</f>
        <v>0</v>
      </c>
      <c r="W17" s="133">
        <f>IF(SER_hh_fech_in!W17=0,0,SER_hh_fech_in!W17/SER_summary!W$27)</f>
        <v>0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8.205296698017845</v>
      </c>
      <c r="D18" s="133">
        <f>IF(SER_hh_fech_in!D18=0,0,SER_hh_fech_in!D18/SER_summary!D$27)</f>
        <v>8.4633993906448097</v>
      </c>
      <c r="E18" s="133">
        <f>IF(SER_hh_fech_in!E18=0,0,SER_hh_fech_in!E18/SER_summary!E$27)</f>
        <v>7.2954485314820259</v>
      </c>
      <c r="F18" s="133">
        <f>IF(SER_hh_fech_in!F18=0,0,SER_hh_fech_in!F18/SER_summary!F$27)</f>
        <v>6.9849728293929605</v>
      </c>
      <c r="G18" s="133">
        <f>IF(SER_hh_fech_in!G18=0,0,SER_hh_fech_in!G18/SER_summary!G$27)</f>
        <v>6.7475685011856079</v>
      </c>
      <c r="H18" s="133">
        <f>IF(SER_hh_fech_in!H18=0,0,SER_hh_fech_in!H18/SER_summary!H$27)</f>
        <v>7.1928829347518191</v>
      </c>
      <c r="I18" s="133">
        <f>IF(SER_hh_fech_in!I18=0,0,SER_hh_fech_in!I18/SER_summary!I$27)</f>
        <v>6.4149484416795177</v>
      </c>
      <c r="J18" s="133">
        <f>IF(SER_hh_fech_in!J18=0,0,SER_hh_fech_in!J18/SER_summary!J$27)</f>
        <v>6.1133971987498663</v>
      </c>
      <c r="K18" s="133">
        <f>IF(SER_hh_fech_in!K18=0,0,SER_hh_fech_in!K18/SER_summary!K$27)</f>
        <v>5.8939677123949865</v>
      </c>
      <c r="L18" s="133">
        <f>IF(SER_hh_fech_in!L18=0,0,SER_hh_fech_in!L18/SER_summary!L$27)</f>
        <v>7.2243596054610908</v>
      </c>
      <c r="M18" s="133">
        <f>IF(SER_hh_fech_in!M18=0,0,SER_hh_fech_in!M18/SER_summary!M$27)</f>
        <v>5.5194044665467956</v>
      </c>
      <c r="N18" s="133">
        <f>IF(SER_hh_fech_in!N18=0,0,SER_hh_fech_in!N18/SER_summary!N$27)</f>
        <v>5.7816846637587407</v>
      </c>
      <c r="O18" s="133">
        <f>IF(SER_hh_fech_in!O18=0,0,SER_hh_fech_in!O18/SER_summary!O$27)</f>
        <v>5.1164126094529143</v>
      </c>
      <c r="P18" s="133">
        <f>IF(SER_hh_fech_in!P18=0,0,SER_hh_fech_in!P18/SER_summary!P$27)</f>
        <v>5.3706999685976182</v>
      </c>
      <c r="Q18" s="133">
        <f>IF(SER_hh_fech_in!Q18=0,0,SER_hh_fech_in!Q18/SER_summary!Q$27)</f>
        <v>4.9907596493189041</v>
      </c>
      <c r="R18" s="133">
        <f>IF(SER_hh_fech_in!R18=0,0,SER_hh_fech_in!R18/SER_summary!R$27)</f>
        <v>4.6060223119310892</v>
      </c>
      <c r="S18" s="133">
        <f>IF(SER_hh_fech_in!S18=0,0,SER_hh_fech_in!S18/SER_summary!S$27)</f>
        <v>4.4787791555166443</v>
      </c>
      <c r="T18" s="133">
        <f>IF(SER_hh_fech_in!T18=0,0,SER_hh_fech_in!T18/SER_summary!T$27)</f>
        <v>4.6659568914577187</v>
      </c>
      <c r="U18" s="133">
        <f>IF(SER_hh_fech_in!U18=0,0,SER_hh_fech_in!U18/SER_summary!U$27)</f>
        <v>4.4373040100550529</v>
      </c>
      <c r="V18" s="133">
        <f>IF(SER_hh_fech_in!V18=0,0,SER_hh_fech_in!V18/SER_summary!V$27)</f>
        <v>4.1716340646888179</v>
      </c>
      <c r="W18" s="133">
        <f>IF(SER_hh_fech_in!W18=0,0,SER_hh_fech_in!W18/SER_summary!W$27)</f>
        <v>4.7536852412332644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13.01027108974586</v>
      </c>
      <c r="D19" s="131">
        <f>IF(SER_hh_fech_in!D19=0,0,SER_hh_fech_in!D19/SER_summary!D$27)</f>
        <v>13.002447548315395</v>
      </c>
      <c r="E19" s="131">
        <f>IF(SER_hh_fech_in!E19=0,0,SER_hh_fech_in!E19/SER_summary!E$27)</f>
        <v>12.49314009532149</v>
      </c>
      <c r="F19" s="131">
        <f>IF(SER_hh_fech_in!F19=0,0,SER_hh_fech_in!F19/SER_summary!F$27)</f>
        <v>12.888294680784254</v>
      </c>
      <c r="G19" s="131">
        <f>IF(SER_hh_fech_in!G19=0,0,SER_hh_fech_in!G19/SER_summary!G$27)</f>
        <v>13.148022772172803</v>
      </c>
      <c r="H19" s="131">
        <f>IF(SER_hh_fech_in!H19=0,0,SER_hh_fech_in!H19/SER_summary!H$27)</f>
        <v>13.646929365404494</v>
      </c>
      <c r="I19" s="131">
        <f>IF(SER_hh_fech_in!I19=0,0,SER_hh_fech_in!I19/SER_summary!I$27)</f>
        <v>13.213220013504721</v>
      </c>
      <c r="J19" s="131">
        <f>IF(SER_hh_fech_in!J19=0,0,SER_hh_fech_in!J19/SER_summary!J$27)</f>
        <v>13.108790823378357</v>
      </c>
      <c r="K19" s="131">
        <f>IF(SER_hh_fech_in!K19=0,0,SER_hh_fech_in!K19/SER_summary!K$27)</f>
        <v>13.087504497648647</v>
      </c>
      <c r="L19" s="131">
        <f>IF(SER_hh_fech_in!L19=0,0,SER_hh_fech_in!L19/SER_summary!L$27)</f>
        <v>12.976022404074504</v>
      </c>
      <c r="M19" s="131">
        <f>IF(SER_hh_fech_in!M19=0,0,SER_hh_fech_in!M19/SER_summary!M$27)</f>
        <v>12.92764253811726</v>
      </c>
      <c r="N19" s="131">
        <f>IF(SER_hh_fech_in!N19=0,0,SER_hh_fech_in!N19/SER_summary!N$27)</f>
        <v>13.089811763341382</v>
      </c>
      <c r="O19" s="131">
        <f>IF(SER_hh_fech_in!O19=0,0,SER_hh_fech_in!O19/SER_summary!O$27)</f>
        <v>12.833028600103463</v>
      </c>
      <c r="P19" s="131">
        <f>IF(SER_hh_fech_in!P19=0,0,SER_hh_fech_in!P19/SER_summary!P$27)</f>
        <v>12.170932097386666</v>
      </c>
      <c r="Q19" s="131">
        <f>IF(SER_hh_fech_in!Q19=0,0,SER_hh_fech_in!Q19/SER_summary!Q$27)</f>
        <v>12.424643012910661</v>
      </c>
      <c r="R19" s="131">
        <f>IF(SER_hh_fech_in!R19=0,0,SER_hh_fech_in!R19/SER_summary!R$27)</f>
        <v>12.402658623479621</v>
      </c>
      <c r="S19" s="131">
        <f>IF(SER_hh_fech_in!S19=0,0,SER_hh_fech_in!S19/SER_summary!S$27)</f>
        <v>12.316124640563272</v>
      </c>
      <c r="T19" s="131">
        <f>IF(SER_hh_fech_in!T19=0,0,SER_hh_fech_in!T19/SER_summary!T$27)</f>
        <v>12.228380769529851</v>
      </c>
      <c r="U19" s="131">
        <f>IF(SER_hh_fech_in!U19=0,0,SER_hh_fech_in!U19/SER_summary!U$27)</f>
        <v>12.064561818882385</v>
      </c>
      <c r="V19" s="131">
        <f>IF(SER_hh_fech_in!V19=0,0,SER_hh_fech_in!V19/SER_summary!V$27)</f>
        <v>10.604633303104109</v>
      </c>
      <c r="W19" s="131">
        <f>IF(SER_hh_fech_in!W19=0,0,SER_hh_fech_in!W19/SER_summary!W$27)</f>
        <v>11.669650904140893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0</v>
      </c>
      <c r="D21" s="133">
        <f>IF(SER_hh_fech_in!D21=0,0,SER_hh_fech_in!D21/SER_summary!D$27)</f>
        <v>0</v>
      </c>
      <c r="E21" s="133">
        <f>IF(SER_hh_fech_in!E21=0,0,SER_hh_fech_in!E21/SER_summary!E$27)</f>
        <v>0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0</v>
      </c>
      <c r="I21" s="133">
        <f>IF(SER_hh_fech_in!I21=0,0,SER_hh_fech_in!I21/SER_summary!I$27)</f>
        <v>0</v>
      </c>
      <c r="J21" s="133">
        <f>IF(SER_hh_fech_in!J21=0,0,SER_hh_fech_in!J21/SER_summary!J$27)</f>
        <v>0</v>
      </c>
      <c r="K21" s="133">
        <f>IF(SER_hh_fech_in!K21=0,0,SER_hh_fech_in!K21/SER_summary!K$27)</f>
        <v>0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0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0</v>
      </c>
      <c r="D22" s="133">
        <f>IF(SER_hh_fech_in!D22=0,0,SER_hh_fech_in!D22/SER_summary!D$27)</f>
        <v>0</v>
      </c>
      <c r="E22" s="133">
        <f>IF(SER_hh_fech_in!E22=0,0,SER_hh_fech_in!E22/SER_summary!E$27)</f>
        <v>0</v>
      </c>
      <c r="F22" s="133">
        <f>IF(SER_hh_fech_in!F22=0,0,SER_hh_fech_in!F22/SER_summary!F$27)</f>
        <v>0</v>
      </c>
      <c r="G22" s="133">
        <f>IF(SER_hh_fech_in!G22=0,0,SER_hh_fech_in!G22/SER_summary!G$27)</f>
        <v>0</v>
      </c>
      <c r="H22" s="133">
        <f>IF(SER_hh_fech_in!H22=0,0,SER_hh_fech_in!H22/SER_summary!H$27)</f>
        <v>0</v>
      </c>
      <c r="I22" s="133">
        <f>IF(SER_hh_fech_in!I22=0,0,SER_hh_fech_in!I22/SER_summary!I$27)</f>
        <v>0</v>
      </c>
      <c r="J22" s="133">
        <f>IF(SER_hh_fech_in!J22=0,0,SER_hh_fech_in!J22/SER_summary!J$27)</f>
        <v>19.572814474769665</v>
      </c>
      <c r="K22" s="133">
        <f>IF(SER_hh_fech_in!K22=0,0,SER_hh_fech_in!K22/SER_summary!K$27)</f>
        <v>16.738025671333943</v>
      </c>
      <c r="L22" s="133">
        <f>IF(SER_hh_fech_in!L22=0,0,SER_hh_fech_in!L22/SER_summary!L$27)</f>
        <v>17.72388122942343</v>
      </c>
      <c r="M22" s="133">
        <f>IF(SER_hh_fech_in!M22=0,0,SER_hh_fech_in!M22/SER_summary!M$27)</f>
        <v>17.482927053855448</v>
      </c>
      <c r="N22" s="133">
        <f>IF(SER_hh_fech_in!N22=0,0,SER_hh_fech_in!N22/SER_summary!N$27)</f>
        <v>15.513337468524055</v>
      </c>
      <c r="O22" s="133">
        <f>IF(SER_hh_fech_in!O22=0,0,SER_hh_fech_in!O22/SER_summary!O$27)</f>
        <v>16.488141722979854</v>
      </c>
      <c r="P22" s="133">
        <f>IF(SER_hh_fech_in!P22=0,0,SER_hh_fech_in!P22/SER_summary!P$27)</f>
        <v>0</v>
      </c>
      <c r="Q22" s="133">
        <f>IF(SER_hh_fech_in!Q22=0,0,SER_hh_fech_in!Q22/SER_summary!Q$27)</f>
        <v>14.82757252019038</v>
      </c>
      <c r="R22" s="133">
        <f>IF(SER_hh_fech_in!R22=0,0,SER_hh_fech_in!R22/SER_summary!R$27)</f>
        <v>0</v>
      </c>
      <c r="S22" s="133">
        <f>IF(SER_hh_fech_in!S22=0,0,SER_hh_fech_in!S22/SER_summary!S$27)</f>
        <v>15.564197242895016</v>
      </c>
      <c r="T22" s="133">
        <f>IF(SER_hh_fech_in!T22=0,0,SER_hh_fech_in!T22/SER_summary!T$27)</f>
        <v>11.07603984744698</v>
      </c>
      <c r="U22" s="133">
        <f>IF(SER_hh_fech_in!U22=0,0,SER_hh_fech_in!U22/SER_summary!U$27)</f>
        <v>12.508858318582714</v>
      </c>
      <c r="V22" s="133">
        <f>IF(SER_hh_fech_in!V22=0,0,SER_hh_fech_in!V22/SER_summary!V$27)</f>
        <v>12.248853483661961</v>
      </c>
      <c r="W22" s="133">
        <f>IF(SER_hh_fech_in!W22=0,0,SER_hh_fech_in!W22/SER_summary!W$27)</f>
        <v>13.204207186820405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16.011244658309487</v>
      </c>
      <c r="D23" s="133">
        <f>IF(SER_hh_fech_in!D23=0,0,SER_hh_fech_in!D23/SER_summary!D$27)</f>
        <v>15.966162960633488</v>
      </c>
      <c r="E23" s="133">
        <f>IF(SER_hh_fech_in!E23=0,0,SER_hh_fech_in!E23/SER_summary!E$27)</f>
        <v>15.084679005415513</v>
      </c>
      <c r="F23" s="133">
        <f>IF(SER_hh_fech_in!F23=0,0,SER_hh_fech_in!F23/SER_summary!F$27)</f>
        <v>16.577184205865965</v>
      </c>
      <c r="G23" s="133">
        <f>IF(SER_hh_fech_in!G23=0,0,SER_hh_fech_in!G23/SER_summary!G$27)</f>
        <v>14.854127747997101</v>
      </c>
      <c r="H23" s="133">
        <f>IF(SER_hh_fech_in!H23=0,0,SER_hh_fech_in!H23/SER_summary!H$27)</f>
        <v>14.367646437001813</v>
      </c>
      <c r="I23" s="133">
        <f>IF(SER_hh_fech_in!I23=0,0,SER_hh_fech_in!I23/SER_summary!I$27)</f>
        <v>17.108950687549051</v>
      </c>
      <c r="J23" s="133">
        <f>IF(SER_hh_fech_in!J23=0,0,SER_hh_fech_in!J23/SER_summary!J$27)</f>
        <v>16.868422938244262</v>
      </c>
      <c r="K23" s="133">
        <f>IF(SER_hh_fech_in!K23=0,0,SER_hh_fech_in!K23/SER_summary!K$27)</f>
        <v>15.775311157008984</v>
      </c>
      <c r="L23" s="133">
        <f>IF(SER_hh_fech_in!L23=0,0,SER_hh_fech_in!L23/SER_summary!L$27)</f>
        <v>15.563676002128297</v>
      </c>
      <c r="M23" s="133">
        <f>IF(SER_hh_fech_in!M23=0,0,SER_hh_fech_in!M23/SER_summary!M$27)</f>
        <v>15.518796221695206</v>
      </c>
      <c r="N23" s="133">
        <f>IF(SER_hh_fech_in!N23=0,0,SER_hh_fech_in!N23/SER_summary!N$27)</f>
        <v>15.115166428770991</v>
      </c>
      <c r="O23" s="133">
        <f>IF(SER_hh_fech_in!O23=0,0,SER_hh_fech_in!O23/SER_summary!O$27)</f>
        <v>14.786723912039548</v>
      </c>
      <c r="P23" s="133">
        <f>IF(SER_hh_fech_in!P23=0,0,SER_hh_fech_in!P23/SER_summary!P$27)</f>
        <v>13.288723726923937</v>
      </c>
      <c r="Q23" s="133">
        <f>IF(SER_hh_fech_in!Q23=0,0,SER_hh_fech_in!Q23/SER_summary!Q$27)</f>
        <v>13.452772272211217</v>
      </c>
      <c r="R23" s="133">
        <f>IF(SER_hh_fech_in!R23=0,0,SER_hh_fech_in!R23/SER_summary!R$27)</f>
        <v>13.5810057540955</v>
      </c>
      <c r="S23" s="133">
        <f>IF(SER_hh_fech_in!S23=0,0,SER_hh_fech_in!S23/SER_summary!S$27)</f>
        <v>12.947452352600626</v>
      </c>
      <c r="T23" s="133">
        <f>IF(SER_hh_fech_in!T23=0,0,SER_hh_fech_in!T23/SER_summary!T$27)</f>
        <v>12.700796534151534</v>
      </c>
      <c r="U23" s="133">
        <f>IF(SER_hh_fech_in!U23=0,0,SER_hh_fech_in!U23/SER_summary!U$27)</f>
        <v>12.297123836458249</v>
      </c>
      <c r="V23" s="133">
        <f>IF(SER_hh_fech_in!V23=0,0,SER_hh_fech_in!V23/SER_summary!V$27)</f>
        <v>11.600589542130843</v>
      </c>
      <c r="W23" s="133">
        <f>IF(SER_hh_fech_in!W23=0,0,SER_hh_fech_in!W23/SER_summary!W$27)</f>
        <v>12.078898891946192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15.716929259634027</v>
      </c>
      <c r="D24" s="133">
        <f>IF(SER_hh_fech_in!D24=0,0,SER_hh_fech_in!D24/SER_summary!D$27)</f>
        <v>15.667995607202199</v>
      </c>
      <c r="E24" s="133">
        <f>IF(SER_hh_fech_in!E24=0,0,SER_hh_fech_in!E24/SER_summary!E$27)</f>
        <v>15.778010004145187</v>
      </c>
      <c r="F24" s="133">
        <f>IF(SER_hh_fech_in!F24=0,0,SER_hh_fech_in!F24/SER_summary!F$27)</f>
        <v>15.666072236603569</v>
      </c>
      <c r="G24" s="133">
        <f>IF(SER_hh_fech_in!G24=0,0,SER_hh_fech_in!G24/SER_summary!G$27)</f>
        <v>15.667334297207198</v>
      </c>
      <c r="H24" s="133">
        <f>IF(SER_hh_fech_in!H24=0,0,SER_hh_fech_in!H24/SER_summary!H$27)</f>
        <v>16.096901839706526</v>
      </c>
      <c r="I24" s="133">
        <f>IF(SER_hh_fech_in!I24=0,0,SER_hh_fech_in!I24/SER_summary!I$27)</f>
        <v>15.052267365846053</v>
      </c>
      <c r="J24" s="133">
        <f>IF(SER_hh_fech_in!J24=0,0,SER_hh_fech_in!J24/SER_summary!J$27)</f>
        <v>14.997491691304042</v>
      </c>
      <c r="K24" s="133">
        <f>IF(SER_hh_fech_in!K24=0,0,SER_hh_fech_in!K24/SER_summary!K$27)</f>
        <v>14.704992891321245</v>
      </c>
      <c r="L24" s="133">
        <f>IF(SER_hh_fech_in!L24=0,0,SER_hh_fech_in!L24/SER_summary!L$27)</f>
        <v>14.596028735124129</v>
      </c>
      <c r="M24" s="133">
        <f>IF(SER_hh_fech_in!M24=0,0,SER_hh_fech_in!M24/SER_summary!M$27)</f>
        <v>14.667106462446883</v>
      </c>
      <c r="N24" s="133">
        <f>IF(SER_hh_fech_in!N24=0,0,SER_hh_fech_in!N24/SER_summary!N$27)</f>
        <v>14.497705329253048</v>
      </c>
      <c r="O24" s="133">
        <f>IF(SER_hh_fech_in!O24=0,0,SER_hh_fech_in!O24/SER_summary!O$27)</f>
        <v>14.595351591539638</v>
      </c>
      <c r="P24" s="133">
        <f>IF(SER_hh_fech_in!P24=0,0,SER_hh_fech_in!P24/SER_summary!P$27)</f>
        <v>14.616002303267878</v>
      </c>
      <c r="Q24" s="133">
        <f>IF(SER_hh_fech_in!Q24=0,0,SER_hh_fech_in!Q24/SER_summary!Q$27)</f>
        <v>14.892849304550973</v>
      </c>
      <c r="R24" s="133">
        <f>IF(SER_hh_fech_in!R24=0,0,SER_hh_fech_in!R24/SER_summary!R$27)</f>
        <v>14.655261891737698</v>
      </c>
      <c r="S24" s="133">
        <f>IF(SER_hh_fech_in!S24=0,0,SER_hh_fech_in!S24/SER_summary!S$27)</f>
        <v>13.338584064346701</v>
      </c>
      <c r="T24" s="133">
        <f>IF(SER_hh_fech_in!T24=0,0,SER_hh_fech_in!T24/SER_summary!T$27)</f>
        <v>13.682330591255164</v>
      </c>
      <c r="U24" s="133">
        <f>IF(SER_hh_fech_in!U24=0,0,SER_hh_fech_in!U24/SER_summary!U$27)</f>
        <v>12.779455484109423</v>
      </c>
      <c r="V24" s="133">
        <f>IF(SER_hh_fech_in!V24=0,0,SER_hh_fech_in!V24/SER_summary!V$27)</f>
        <v>13.15234715858753</v>
      </c>
      <c r="W24" s="133">
        <f>IF(SER_hh_fech_in!W24=0,0,SER_hh_fech_in!W24/SER_summary!W$27)</f>
        <v>12.523711317160497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11.817470276585805</v>
      </c>
      <c r="D25" s="133">
        <f>IF(SER_hh_fech_in!D25=0,0,SER_hh_fech_in!D25/SER_summary!D$27)</f>
        <v>11.503920810470989</v>
      </c>
      <c r="E25" s="133">
        <f>IF(SER_hh_fech_in!E25=0,0,SER_hh_fech_in!E25/SER_summary!E$27)</f>
        <v>11.400822994667779</v>
      </c>
      <c r="F25" s="133">
        <f>IF(SER_hh_fech_in!F25=0,0,SER_hh_fech_in!F25/SER_summary!F$27)</f>
        <v>11.768960139184459</v>
      </c>
      <c r="G25" s="133">
        <f>IF(SER_hh_fech_in!G25=0,0,SER_hh_fech_in!G25/SER_summary!G$27)</f>
        <v>12.153541564120319</v>
      </c>
      <c r="H25" s="133">
        <f>IF(SER_hh_fech_in!H25=0,0,SER_hh_fech_in!H25/SER_summary!H$27)</f>
        <v>12.703279760112267</v>
      </c>
      <c r="I25" s="133">
        <f>IF(SER_hh_fech_in!I25=0,0,SER_hh_fech_in!I25/SER_summary!I$27)</f>
        <v>11.352122350690856</v>
      </c>
      <c r="J25" s="133">
        <f>IF(SER_hh_fech_in!J25=0,0,SER_hh_fech_in!J25/SER_summary!J$27)</f>
        <v>11.354086042413531</v>
      </c>
      <c r="K25" s="133">
        <f>IF(SER_hh_fech_in!K25=0,0,SER_hh_fech_in!K25/SER_summary!K$27)</f>
        <v>12.174130917145048</v>
      </c>
      <c r="L25" s="133">
        <f>IF(SER_hh_fech_in!L25=0,0,SER_hh_fech_in!L25/SER_summary!L$27)</f>
        <v>12.455061796551067</v>
      </c>
      <c r="M25" s="133">
        <f>IF(SER_hh_fech_in!M25=0,0,SER_hh_fech_in!M25/SER_summary!M$27)</f>
        <v>12.127966434573132</v>
      </c>
      <c r="N25" s="133">
        <f>IF(SER_hh_fech_in!N25=0,0,SER_hh_fech_in!N25/SER_summary!N$27)</f>
        <v>12.133883060768678</v>
      </c>
      <c r="O25" s="133">
        <f>IF(SER_hh_fech_in!O25=0,0,SER_hh_fech_in!O25/SER_summary!O$27)</f>
        <v>12.278668704891672</v>
      </c>
      <c r="P25" s="133">
        <f>IF(SER_hh_fech_in!P25=0,0,SER_hh_fech_in!P25/SER_summary!P$27)</f>
        <v>11.867135569265677</v>
      </c>
      <c r="Q25" s="133">
        <f>IF(SER_hh_fech_in!Q25=0,0,SER_hh_fech_in!Q25/SER_summary!Q$27)</f>
        <v>12.24620667178743</v>
      </c>
      <c r="R25" s="133">
        <f>IF(SER_hh_fech_in!R25=0,0,SER_hh_fech_in!R25/SER_summary!R$27)</f>
        <v>12.164343242258033</v>
      </c>
      <c r="S25" s="133">
        <f>IF(SER_hh_fech_in!S25=0,0,SER_hh_fech_in!S25/SER_summary!S$27)</f>
        <v>12.301417469714568</v>
      </c>
      <c r="T25" s="133">
        <f>IF(SER_hh_fech_in!T25=0,0,SER_hh_fech_in!T25/SER_summary!T$27)</f>
        <v>11.971272387256674</v>
      </c>
      <c r="U25" s="133">
        <f>IF(SER_hh_fech_in!U25=0,0,SER_hh_fech_in!U25/SER_summary!U$27)</f>
        <v>11.758305587808303</v>
      </c>
      <c r="V25" s="133">
        <f>IF(SER_hh_fech_in!V25=0,0,SER_hh_fech_in!V25/SER_summary!V$27)</f>
        <v>10.260061037100812</v>
      </c>
      <c r="W25" s="133">
        <f>IF(SER_hh_fech_in!W25=0,0,SER_hh_fech_in!W25/SER_summary!W$27)</f>
        <v>11.471898540600407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14.217384782487633</v>
      </c>
      <c r="D26" s="65">
        <f>IF(SER_hh_fech_in!D26=0,0,SER_hh_fech_in!D26/SER_summary!D$27)</f>
        <v>14.277902168520304</v>
      </c>
      <c r="E26" s="65">
        <f>IF(SER_hh_fech_in!E26=0,0,SER_hh_fech_in!E26/SER_summary!E$27)</f>
        <v>14.03187888449119</v>
      </c>
      <c r="F26" s="65">
        <f>IF(SER_hh_fech_in!F26=0,0,SER_hh_fech_in!F26/SER_summary!F$27)</f>
        <v>14.093751347459504</v>
      </c>
      <c r="G26" s="65">
        <f>IF(SER_hh_fech_in!G26=0,0,SER_hh_fech_in!G26/SER_summary!G$27)</f>
        <v>14.3055544879132</v>
      </c>
      <c r="H26" s="65">
        <f>IF(SER_hh_fech_in!H26=0,0,SER_hh_fech_in!H26/SER_summary!H$27)</f>
        <v>14.529115240120303</v>
      </c>
      <c r="I26" s="65">
        <f>IF(SER_hh_fech_in!I26=0,0,SER_hh_fech_in!I26/SER_summary!I$27)</f>
        <v>14.991004118349714</v>
      </c>
      <c r="J26" s="65">
        <f>IF(SER_hh_fech_in!J26=0,0,SER_hh_fech_in!J26/SER_summary!J$27)</f>
        <v>15.247483334366725</v>
      </c>
      <c r="K26" s="65">
        <f>IF(SER_hh_fech_in!K26=0,0,SER_hh_fech_in!K26/SER_summary!K$27)</f>
        <v>14.132900835151389</v>
      </c>
      <c r="L26" s="65">
        <f>IF(SER_hh_fech_in!L26=0,0,SER_hh_fech_in!L26/SER_summary!L$27)</f>
        <v>13.945566767377292</v>
      </c>
      <c r="M26" s="65">
        <f>IF(SER_hh_fech_in!M26=0,0,SER_hh_fech_in!M26/SER_summary!M$27)</f>
        <v>14.574719882728779</v>
      </c>
      <c r="N26" s="65">
        <f>IF(SER_hh_fech_in!N26=0,0,SER_hh_fech_in!N26/SER_summary!N$27)</f>
        <v>14.679708725814745</v>
      </c>
      <c r="O26" s="65">
        <f>IF(SER_hh_fech_in!O26=0,0,SER_hh_fech_in!O26/SER_summary!O$27)</f>
        <v>13.857555989967143</v>
      </c>
      <c r="P26" s="65">
        <f>IF(SER_hh_fech_in!P26=0,0,SER_hh_fech_in!P26/SER_summary!P$27)</f>
        <v>14.102052914511852</v>
      </c>
      <c r="Q26" s="65">
        <f>IF(SER_hh_fech_in!Q26=0,0,SER_hh_fech_in!Q26/SER_summary!Q$27)</f>
        <v>0</v>
      </c>
      <c r="R26" s="65">
        <f>IF(SER_hh_fech_in!R26=0,0,SER_hh_fech_in!R26/SER_summary!R$27)</f>
        <v>12.47618671583475</v>
      </c>
      <c r="S26" s="65">
        <f>IF(SER_hh_fech_in!S26=0,0,SER_hh_fech_in!S26/SER_summary!S$27)</f>
        <v>12.071792937685444</v>
      </c>
      <c r="T26" s="65">
        <f>IF(SER_hh_fech_in!T26=0,0,SER_hh_fech_in!T26/SER_summary!T$27)</f>
        <v>12.280225043780213</v>
      </c>
      <c r="U26" s="65">
        <f>IF(SER_hh_fech_in!U26=0,0,SER_hh_fech_in!U26/SER_summary!U$27)</f>
        <v>12.253586077671837</v>
      </c>
      <c r="V26" s="65">
        <f>IF(SER_hh_fech_in!V26=0,0,SER_hh_fech_in!V26/SER_summary!V$27)</f>
        <v>10.112837611646583</v>
      </c>
      <c r="W26" s="65">
        <f>IF(SER_hh_fech_in!W26=0,0,SER_hh_fech_in!W26/SER_summary!W$27)</f>
        <v>11.677511522850423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</v>
      </c>
      <c r="E27" s="146">
        <f>IF(SER_hh_fech_in!E27=0,0,SER_hh_fech_in!E27/SER_summary!E$27)</f>
        <v>0</v>
      </c>
      <c r="F27" s="146">
        <f>IF(SER_hh_fech_in!F27=0,0,SER_hh_fech_in!F27/SER_summary!F$27)</f>
        <v>0</v>
      </c>
      <c r="G27" s="146">
        <f>IF(SER_hh_fech_in!G27=0,0,SER_hh_fech_in!G27/SER_summary!G$27)</f>
        <v>0</v>
      </c>
      <c r="H27" s="146">
        <f>IF(SER_hh_fech_in!H27=0,0,SER_hh_fech_in!H27/SER_summary!H$27)</f>
        <v>0</v>
      </c>
      <c r="I27" s="146">
        <f>IF(SER_hh_fech_in!I27=0,0,SER_hh_fech_in!I27/SER_summary!I$27)</f>
        <v>0</v>
      </c>
      <c r="J27" s="146">
        <f>IF(SER_hh_fech_in!J27=0,0,SER_hh_fech_in!J27/SER_summary!J$27)</f>
        <v>0</v>
      </c>
      <c r="K27" s="146">
        <f>IF(SER_hh_fech_in!K27=0,0,SER_hh_fech_in!K27/SER_summary!K$27)</f>
        <v>0</v>
      </c>
      <c r="L27" s="146">
        <f>IF(SER_hh_fech_in!L27=0,0,SER_hh_fech_in!L27/SER_summary!L$27)</f>
        <v>0</v>
      </c>
      <c r="M27" s="146">
        <f>IF(SER_hh_fech_in!M27=0,0,SER_hh_fech_in!M27/SER_summary!M$27)</f>
        <v>0</v>
      </c>
      <c r="N27" s="146">
        <f>IF(SER_hh_fech_in!N27=0,0,SER_hh_fech_in!N27/SER_summary!N$27)</f>
        <v>0</v>
      </c>
      <c r="O27" s="146">
        <f>IF(SER_hh_fech_in!O27=0,0,SER_hh_fech_in!O27/SER_summary!O$27)</f>
        <v>0</v>
      </c>
      <c r="P27" s="146">
        <f>IF(SER_hh_fech_in!P27=0,0,SER_hh_fech_in!P27/SER_summary!P$27)</f>
        <v>0</v>
      </c>
      <c r="Q27" s="146">
        <f>IF(SER_hh_fech_in!Q27=0,0,SER_hh_fech_in!Q27/SER_summary!Q$27)</f>
        <v>0</v>
      </c>
      <c r="R27" s="146">
        <f>IF(SER_hh_fech_in!R27=0,0,SER_hh_fech_in!R27/SER_summary!R$27)</f>
        <v>0</v>
      </c>
      <c r="S27" s="146">
        <f>IF(SER_hh_fech_in!S27=0,0,SER_hh_fech_in!S27/SER_summary!S$27)</f>
        <v>0</v>
      </c>
      <c r="T27" s="146">
        <f>IF(SER_hh_fech_in!T27=0,0,SER_hh_fech_in!T27/SER_summary!T$27)</f>
        <v>0</v>
      </c>
      <c r="U27" s="146">
        <f>IF(SER_hh_fech_in!U27=0,0,SER_hh_fech_in!U27/SER_summary!U$27)</f>
        <v>0</v>
      </c>
      <c r="V27" s="146">
        <f>IF(SER_hh_fech_in!V27=0,0,SER_hh_fech_in!V27/SER_summary!V$27)</f>
        <v>0</v>
      </c>
      <c r="W27" s="146">
        <f>IF(SER_hh_fech_in!W27=0,0,SER_hh_fech_in!W27/SER_summary!W$27)</f>
        <v>0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0</v>
      </c>
      <c r="E28" s="147">
        <f>IF(SER_hh_fech_in!E28=0,0,SER_hh_fech_in!E28/SER_summary!E$27)</f>
        <v>0</v>
      </c>
      <c r="F28" s="147">
        <f>IF(SER_hh_fech_in!F28=0,0,SER_hh_fech_in!F28/SER_summary!F$27)</f>
        <v>0</v>
      </c>
      <c r="G28" s="147">
        <f>IF(SER_hh_fech_in!G28=0,0,SER_hh_fech_in!G28/SER_summary!G$27)</f>
        <v>0</v>
      </c>
      <c r="H28" s="147">
        <f>IF(SER_hh_fech_in!H28=0,0,SER_hh_fech_in!H28/SER_summary!H$27)</f>
        <v>0</v>
      </c>
      <c r="I28" s="147">
        <f>IF(SER_hh_fech_in!I28=0,0,SER_hh_fech_in!I28/SER_summary!I$27)</f>
        <v>0</v>
      </c>
      <c r="J28" s="147">
        <f>IF(SER_hh_fech_in!J28=0,0,SER_hh_fech_in!J28/SER_summary!J$27)</f>
        <v>0</v>
      </c>
      <c r="K28" s="147">
        <f>IF(SER_hh_fech_in!K28=0,0,SER_hh_fech_in!K28/SER_summary!K$27)</f>
        <v>0</v>
      </c>
      <c r="L28" s="147">
        <f>IF(SER_hh_fech_in!L28=0,0,SER_hh_fech_in!L28/SER_summary!L$27)</f>
        <v>0</v>
      </c>
      <c r="M28" s="147">
        <f>IF(SER_hh_fech_in!M28=0,0,SER_hh_fech_in!M28/SER_summary!M$27)</f>
        <v>0</v>
      </c>
      <c r="N28" s="147">
        <f>IF(SER_hh_fech_in!N28=0,0,SER_hh_fech_in!N28/SER_summary!N$27)</f>
        <v>0</v>
      </c>
      <c r="O28" s="147">
        <f>IF(SER_hh_fech_in!O28=0,0,SER_hh_fech_in!O28/SER_summary!O$27)</f>
        <v>0</v>
      </c>
      <c r="P28" s="147">
        <f>IF(SER_hh_fech_in!P28=0,0,SER_hh_fech_in!P28/SER_summary!P$27)</f>
        <v>0</v>
      </c>
      <c r="Q28" s="147">
        <f>IF(SER_hh_fech_in!Q28=0,0,SER_hh_fech_in!Q28/SER_summary!Q$27)</f>
        <v>0</v>
      </c>
      <c r="R28" s="147">
        <f>IF(SER_hh_fech_in!R28=0,0,SER_hh_fech_in!R28/SER_summary!R$27)</f>
        <v>0</v>
      </c>
      <c r="S28" s="147">
        <f>IF(SER_hh_fech_in!S28=0,0,SER_hh_fech_in!S28/SER_summary!S$27)</f>
        <v>0</v>
      </c>
      <c r="T28" s="147">
        <f>IF(SER_hh_fech_in!T28=0,0,SER_hh_fech_in!T28/SER_summary!T$27)</f>
        <v>0</v>
      </c>
      <c r="U28" s="147">
        <f>IF(SER_hh_fech_in!U28=0,0,SER_hh_fech_in!U28/SER_summary!U$27)</f>
        <v>0</v>
      </c>
      <c r="V28" s="147">
        <f>IF(SER_hh_fech_in!V28=0,0,SER_hh_fech_in!V28/SER_summary!V$27)</f>
        <v>0</v>
      </c>
      <c r="W28" s="147">
        <f>IF(SER_hh_fech_in!W28=0,0,SER_hh_fech_in!W28/SER_summary!W$27)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13.714833979239605</v>
      </c>
      <c r="D29" s="131">
        <f>IF(SER_hh_fech_in!D29=0,0,SER_hh_fech_in!D29/SER_summary!D$27)</f>
        <v>13.706316362089433</v>
      </c>
      <c r="E29" s="131">
        <f>IF(SER_hh_fech_in!E29=0,0,SER_hh_fech_in!E29/SER_summary!E$27)</f>
        <v>12.922285102661343</v>
      </c>
      <c r="F29" s="131">
        <f>IF(SER_hh_fech_in!F29=0,0,SER_hh_fech_in!F29/SER_summary!F$27)</f>
        <v>12.549417416833352</v>
      </c>
      <c r="G29" s="131">
        <f>IF(SER_hh_fech_in!G29=0,0,SER_hh_fech_in!G29/SER_summary!G$27)</f>
        <v>13.345562404999036</v>
      </c>
      <c r="H29" s="131">
        <f>IF(SER_hh_fech_in!H29=0,0,SER_hh_fech_in!H29/SER_summary!H$27)</f>
        <v>13.43681285660433</v>
      </c>
      <c r="I29" s="131">
        <f>IF(SER_hh_fech_in!I29=0,0,SER_hh_fech_in!I29/SER_summary!I$27)</f>
        <v>13.04805273302909</v>
      </c>
      <c r="J29" s="131">
        <f>IF(SER_hh_fech_in!J29=0,0,SER_hh_fech_in!J29/SER_summary!J$27)</f>
        <v>12.994145978541678</v>
      </c>
      <c r="K29" s="131">
        <f>IF(SER_hh_fech_in!K29=0,0,SER_hh_fech_in!K29/SER_summary!K$27)</f>
        <v>12.455836730966292</v>
      </c>
      <c r="L29" s="131">
        <f>IF(SER_hh_fech_in!L29=0,0,SER_hh_fech_in!L29/SER_summary!L$27)</f>
        <v>11.520096997028016</v>
      </c>
      <c r="M29" s="131">
        <f>IF(SER_hh_fech_in!M29=0,0,SER_hh_fech_in!M29/SER_summary!M$27)</f>
        <v>10.463351618932373</v>
      </c>
      <c r="N29" s="131">
        <f>IF(SER_hh_fech_in!N29=0,0,SER_hh_fech_in!N29/SER_summary!N$27)</f>
        <v>11.113313494988393</v>
      </c>
      <c r="O29" s="131">
        <f>IF(SER_hh_fech_in!O29=0,0,SER_hh_fech_in!O29/SER_summary!O$27)</f>
        <v>10.70599029160786</v>
      </c>
      <c r="P29" s="131">
        <f>IF(SER_hh_fech_in!P29=0,0,SER_hh_fech_in!P29/SER_summary!P$27)</f>
        <v>10.797405188440766</v>
      </c>
      <c r="Q29" s="131">
        <f>IF(SER_hh_fech_in!Q29=0,0,SER_hh_fech_in!Q29/SER_summary!Q$27)</f>
        <v>10.817579559765026</v>
      </c>
      <c r="R29" s="131">
        <f>IF(SER_hh_fech_in!R29=0,0,SER_hh_fech_in!R29/SER_summary!R$27)</f>
        <v>11.060986892421822</v>
      </c>
      <c r="S29" s="131">
        <f>IF(SER_hh_fech_in!S29=0,0,SER_hh_fech_in!S29/SER_summary!S$27)</f>
        <v>10.161632901671775</v>
      </c>
      <c r="T29" s="131">
        <f>IF(SER_hh_fech_in!T29=0,0,SER_hh_fech_in!T29/SER_summary!T$27)</f>
        <v>9.9447117536128538</v>
      </c>
      <c r="U29" s="131">
        <f>IF(SER_hh_fech_in!U29=0,0,SER_hh_fech_in!U29/SER_summary!U$27)</f>
        <v>10.175378440463181</v>
      </c>
      <c r="V29" s="131">
        <f>IF(SER_hh_fech_in!V29=0,0,SER_hh_fech_in!V29/SER_summary!V$27)</f>
        <v>9.2499172827668659</v>
      </c>
      <c r="W29" s="131">
        <f>IF(SER_hh_fech_in!W29=0,0,SER_hh_fech_in!W29/SER_summary!W$27)</f>
        <v>10.77718570648118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0</v>
      </c>
      <c r="D30" s="133">
        <f>IF(SER_hh_fech_in!D30=0,0,SER_hh_fech_in!D30/SER_summary!D$27)</f>
        <v>0</v>
      </c>
      <c r="E30" s="133">
        <f>IF(SER_hh_fech_in!E30=0,0,SER_hh_fech_in!E30/SER_summary!E$27)</f>
        <v>0</v>
      </c>
      <c r="F30" s="133">
        <f>IF(SER_hh_fech_in!F30=0,0,SER_hh_fech_in!F30/SER_summary!F$27)</f>
        <v>0</v>
      </c>
      <c r="G30" s="133">
        <f>IF(SER_hh_fech_in!G30=0,0,SER_hh_fech_in!G30/SER_summary!G$27)</f>
        <v>0</v>
      </c>
      <c r="H30" s="133">
        <f>IF(SER_hh_fech_in!H30=0,0,SER_hh_fech_in!H30/SER_summary!H$27)</f>
        <v>0</v>
      </c>
      <c r="I30" s="133">
        <f>IF(SER_hh_fech_in!I30=0,0,SER_hh_fech_in!I30/SER_summary!I$27)</f>
        <v>0</v>
      </c>
      <c r="J30" s="133">
        <f>IF(SER_hh_fech_in!J30=0,0,SER_hh_fech_in!J30/SER_summary!J$27)</f>
        <v>0</v>
      </c>
      <c r="K30" s="133">
        <f>IF(SER_hh_fech_in!K30=0,0,SER_hh_fech_in!K30/SER_summary!K$27)</f>
        <v>0</v>
      </c>
      <c r="L30" s="133">
        <f>IF(SER_hh_fech_in!L30=0,0,SER_hh_fech_in!L30/SER_summary!L$27)</f>
        <v>0</v>
      </c>
      <c r="M30" s="133">
        <f>IF(SER_hh_fech_in!M30=0,0,SER_hh_fech_in!M30/SER_summary!M$27)</f>
        <v>0</v>
      </c>
      <c r="N30" s="133">
        <f>IF(SER_hh_fech_in!N30=0,0,SER_hh_fech_in!N30/SER_summary!N$27)</f>
        <v>0</v>
      </c>
      <c r="O30" s="133">
        <f>IF(SER_hh_fech_in!O30=0,0,SER_hh_fech_in!O30/SER_summary!O$27)</f>
        <v>0</v>
      </c>
      <c r="P30" s="133">
        <f>IF(SER_hh_fech_in!P30=0,0,SER_hh_fech_in!P30/SER_summary!P$27)</f>
        <v>0</v>
      </c>
      <c r="Q30" s="133">
        <f>IF(SER_hh_fech_in!Q30=0,0,SER_hh_fech_in!Q30/SER_summary!Q$27)</f>
        <v>0</v>
      </c>
      <c r="R30" s="133">
        <f>IF(SER_hh_fech_in!R30=0,0,SER_hh_fech_in!R30/SER_summary!R$27)</f>
        <v>0</v>
      </c>
      <c r="S30" s="133">
        <f>IF(SER_hh_fech_in!S30=0,0,SER_hh_fech_in!S30/SER_summary!S$27)</f>
        <v>0</v>
      </c>
      <c r="T30" s="133">
        <f>IF(SER_hh_fech_in!T30=0,0,SER_hh_fech_in!T30/SER_summary!T$27)</f>
        <v>0</v>
      </c>
      <c r="U30" s="133">
        <f>IF(SER_hh_fech_in!U30=0,0,SER_hh_fech_in!U30/SER_summary!U$27)</f>
        <v>0</v>
      </c>
      <c r="V30" s="133">
        <f>IF(SER_hh_fech_in!V30=0,0,SER_hh_fech_in!V30/SER_summary!V$27)</f>
        <v>0</v>
      </c>
      <c r="W30" s="133">
        <f>IF(SER_hh_fech_in!W30=0,0,SER_hh_fech_in!W30/SER_summary!W$27)</f>
        <v>0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16.364052570031081</v>
      </c>
      <c r="D31" s="133">
        <f>IF(SER_hh_fech_in!D31=0,0,SER_hh_fech_in!D31/SER_summary!D$27)</f>
        <v>16.953999982740367</v>
      </c>
      <c r="E31" s="133">
        <f>IF(SER_hh_fech_in!E31=0,0,SER_hh_fech_in!E31/SER_summary!E$27)</f>
        <v>16.658240762552019</v>
      </c>
      <c r="F31" s="133">
        <f>IF(SER_hh_fech_in!F31=0,0,SER_hh_fech_in!F31/SER_summary!F$27)</f>
        <v>15.061521889663489</v>
      </c>
      <c r="G31" s="133">
        <f>IF(SER_hh_fech_in!G31=0,0,SER_hh_fech_in!G31/SER_summary!G$27)</f>
        <v>15.177623320607966</v>
      </c>
      <c r="H31" s="133">
        <f>IF(SER_hh_fech_in!H31=0,0,SER_hh_fech_in!H31/SER_summary!H$27)</f>
        <v>14.527758108038755</v>
      </c>
      <c r="I31" s="133">
        <f>IF(SER_hh_fech_in!I31=0,0,SER_hh_fech_in!I31/SER_summary!I$27)</f>
        <v>16.238001345367106</v>
      </c>
      <c r="J31" s="133">
        <f>IF(SER_hh_fech_in!J31=0,0,SER_hh_fech_in!J31/SER_summary!J$27)</f>
        <v>15.915613278978279</v>
      </c>
      <c r="K31" s="133">
        <f>IF(SER_hh_fech_in!K31=0,0,SER_hh_fech_in!K31/SER_summary!K$27)</f>
        <v>15.173376829139212</v>
      </c>
      <c r="L31" s="133">
        <f>IF(SER_hh_fech_in!L31=0,0,SER_hh_fech_in!L31/SER_summary!L$27)</f>
        <v>14.493150406146503</v>
      </c>
      <c r="M31" s="133">
        <f>IF(SER_hh_fech_in!M31=0,0,SER_hh_fech_in!M31/SER_summary!M$27)</f>
        <v>0</v>
      </c>
      <c r="N31" s="133">
        <f>IF(SER_hh_fech_in!N31=0,0,SER_hh_fech_in!N31/SER_summary!N$27)</f>
        <v>0</v>
      </c>
      <c r="O31" s="133">
        <f>IF(SER_hh_fech_in!O31=0,0,SER_hh_fech_in!O31/SER_summary!O$27)</f>
        <v>13.231925782731832</v>
      </c>
      <c r="P31" s="133">
        <f>IF(SER_hh_fech_in!P31=0,0,SER_hh_fech_in!P31/SER_summary!P$27)</f>
        <v>12.402696133652881</v>
      </c>
      <c r="Q31" s="133">
        <f>IF(SER_hh_fech_in!Q31=0,0,SER_hh_fech_in!Q31/SER_summary!Q$27)</f>
        <v>13.552301628010273</v>
      </c>
      <c r="R31" s="133">
        <f>IF(SER_hh_fech_in!R31=0,0,SER_hh_fech_in!R31/SER_summary!R$27)</f>
        <v>13.976180905972335</v>
      </c>
      <c r="S31" s="133">
        <f>IF(SER_hh_fech_in!S31=0,0,SER_hh_fech_in!S31/SER_summary!S$27)</f>
        <v>13.145689120339913</v>
      </c>
      <c r="T31" s="133">
        <f>IF(SER_hh_fech_in!T31=0,0,SER_hh_fech_in!T31/SER_summary!T$27)</f>
        <v>15.006304756172375</v>
      </c>
      <c r="U31" s="133">
        <f>IF(SER_hh_fech_in!U31=0,0,SER_hh_fech_in!U31/SER_summary!U$27)</f>
        <v>0</v>
      </c>
      <c r="V31" s="133">
        <f>IF(SER_hh_fech_in!V31=0,0,SER_hh_fech_in!V31/SER_summary!V$27)</f>
        <v>0</v>
      </c>
      <c r="W31" s="133">
        <f>IF(SER_hh_fech_in!W31=0,0,SER_hh_fech_in!W31/SER_summary!W$27)</f>
        <v>0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22.595941752356552</v>
      </c>
      <c r="H32" s="133">
        <f>IF(SER_hh_fech_in!H32=0,0,SER_hh_fech_in!H32/SER_summary!H$27)</f>
        <v>15.357126183422098</v>
      </c>
      <c r="I32" s="133">
        <f>IF(SER_hh_fech_in!I32=0,0,SER_hh_fech_in!I32/SER_summary!I$27)</f>
        <v>12.215400520865462</v>
      </c>
      <c r="J32" s="133">
        <f>IF(SER_hh_fech_in!J32=0,0,SER_hh_fech_in!J32/SER_summary!J$27)</f>
        <v>20.645596208679546</v>
      </c>
      <c r="K32" s="133">
        <f>IF(SER_hh_fech_in!K32=0,0,SER_hh_fech_in!K32/SER_summary!K$27)</f>
        <v>9.9732009599834992</v>
      </c>
      <c r="L32" s="133">
        <f>IF(SER_hh_fech_in!L32=0,0,SER_hh_fech_in!L32/SER_summary!L$27)</f>
        <v>17.237820366621762</v>
      </c>
      <c r="M32" s="133">
        <f>IF(SER_hh_fech_in!M32=0,0,SER_hh_fech_in!M32/SER_summary!M$27)</f>
        <v>0</v>
      </c>
      <c r="N32" s="133">
        <f>IF(SER_hh_fech_in!N32=0,0,SER_hh_fech_in!N32/SER_summary!N$27)</f>
        <v>9.0179924904121638</v>
      </c>
      <c r="O32" s="133">
        <f>IF(SER_hh_fech_in!O32=0,0,SER_hh_fech_in!O32/SER_summary!O$27)</f>
        <v>9.4184659884709916</v>
      </c>
      <c r="P32" s="133">
        <f>IF(SER_hh_fech_in!P32=0,0,SER_hh_fech_in!P32/SER_summary!P$27)</f>
        <v>8.666100138216196</v>
      </c>
      <c r="Q32" s="133">
        <f>IF(SER_hh_fech_in!Q32=0,0,SER_hh_fech_in!Q32/SER_summary!Q$27)</f>
        <v>15.534819655479925</v>
      </c>
      <c r="R32" s="133">
        <f>IF(SER_hh_fech_in!R32=0,0,SER_hh_fech_in!R32/SER_summary!R$27)</f>
        <v>13.340167919438638</v>
      </c>
      <c r="S32" s="133">
        <f>IF(SER_hh_fech_in!S32=0,0,SER_hh_fech_in!S32/SER_summary!S$27)</f>
        <v>12.98889532134476</v>
      </c>
      <c r="T32" s="133">
        <f>IF(SER_hh_fech_in!T32=0,0,SER_hh_fech_in!T32/SER_summary!T$27)</f>
        <v>12.925220043746108</v>
      </c>
      <c r="U32" s="133">
        <f>IF(SER_hh_fech_in!U32=0,0,SER_hh_fech_in!U32/SER_summary!U$27)</f>
        <v>14.559696728868659</v>
      </c>
      <c r="V32" s="133">
        <f>IF(SER_hh_fech_in!V32=0,0,SER_hh_fech_in!V32/SER_summary!V$27)</f>
        <v>12.595421456841116</v>
      </c>
      <c r="W32" s="133">
        <f>IF(SER_hh_fech_in!W32=0,0,SER_hh_fech_in!W32/SER_summary!W$27)</f>
        <v>16.568177971164022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12.679862547921386</v>
      </c>
      <c r="D33" s="68">
        <f>IF(SER_hh_fech_in!D33=0,0,SER_hh_fech_in!D33/SER_summary!D$27)</f>
        <v>12.336827265387674</v>
      </c>
      <c r="E33" s="68">
        <f>IF(SER_hh_fech_in!E33=0,0,SER_hh_fech_in!E33/SER_summary!E$27)</f>
        <v>11.927485059391337</v>
      </c>
      <c r="F33" s="68">
        <f>IF(SER_hh_fech_in!F33=0,0,SER_hh_fech_in!F33/SER_summary!F$27)</f>
        <v>12.06605114961388</v>
      </c>
      <c r="G33" s="68">
        <f>IF(SER_hh_fech_in!G33=0,0,SER_hh_fech_in!G33/SER_summary!G$27)</f>
        <v>11.829998168929588</v>
      </c>
      <c r="H33" s="68">
        <f>IF(SER_hh_fech_in!H33=0,0,SER_hh_fech_in!H33/SER_summary!H$27)</f>
        <v>12.75436758556844</v>
      </c>
      <c r="I33" s="68">
        <f>IF(SER_hh_fech_in!I33=0,0,SER_hh_fech_in!I33/SER_summary!I$27)</f>
        <v>11.575317350815871</v>
      </c>
      <c r="J33" s="68">
        <f>IF(SER_hh_fech_in!J33=0,0,SER_hh_fech_in!J33/SER_summary!J$27)</f>
        <v>10.940875053349716</v>
      </c>
      <c r="K33" s="68">
        <f>IF(SER_hh_fech_in!K33=0,0,SER_hh_fech_in!K33/SER_summary!K$27)</f>
        <v>11.208174720542623</v>
      </c>
      <c r="L33" s="68">
        <f>IF(SER_hh_fech_in!L33=0,0,SER_hh_fech_in!L33/SER_summary!L$27)</f>
        <v>10.855686280044191</v>
      </c>
      <c r="M33" s="68">
        <f>IF(SER_hh_fech_in!M33=0,0,SER_hh_fech_in!M33/SER_summary!M$27)</f>
        <v>10.463351618932373</v>
      </c>
      <c r="N33" s="68">
        <f>IF(SER_hh_fech_in!N33=0,0,SER_hh_fech_in!N33/SER_summary!N$27)</f>
        <v>11.128921053615194</v>
      </c>
      <c r="O33" s="68">
        <f>IF(SER_hh_fech_in!O33=0,0,SER_hh_fech_in!O33/SER_summary!O$27)</f>
        <v>10.678851000174834</v>
      </c>
      <c r="P33" s="68">
        <f>IF(SER_hh_fech_in!P33=0,0,SER_hh_fech_in!P33/SER_summary!P$27)</f>
        <v>10.59434708653893</v>
      </c>
      <c r="Q33" s="68">
        <f>IF(SER_hh_fech_in!Q33=0,0,SER_hh_fech_in!Q33/SER_summary!Q$27)</f>
        <v>9.3430381980257398</v>
      </c>
      <c r="R33" s="68">
        <f>IF(SER_hh_fech_in!R33=0,0,SER_hh_fech_in!R33/SER_summary!R$27)</f>
        <v>9.6643050430520478</v>
      </c>
      <c r="S33" s="68">
        <f>IF(SER_hh_fech_in!S33=0,0,SER_hh_fech_in!S33/SER_summary!S$27)</f>
        <v>9.1155847687017726</v>
      </c>
      <c r="T33" s="68">
        <f>IF(SER_hh_fech_in!T33=0,0,SER_hh_fech_in!T33/SER_summary!T$27)</f>
        <v>9.1905499989609059</v>
      </c>
      <c r="U33" s="68">
        <f>IF(SER_hh_fech_in!U33=0,0,SER_hh_fech_in!U33/SER_summary!U$27)</f>
        <v>9.8030054386981753</v>
      </c>
      <c r="V33" s="68">
        <f>IF(SER_hh_fech_in!V33=0,0,SER_hh_fech_in!V33/SER_summary!V$27)</f>
        <v>8.9506344974598857</v>
      </c>
      <c r="W33" s="68">
        <f>IF(SER_hh_fech_in!W33=0,0,SER_hh_fech_in!W33/SER_summary!W$27)</f>
        <v>10.170719272151306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101.09461235667442</v>
      </c>
      <c r="D3" s="126">
        <f>IF(SER_hh_tesh_in!D3=0,0,SER_hh_tesh_in!D3/SER_summary!D$27)</f>
        <v>96.467233114716123</v>
      </c>
      <c r="E3" s="126">
        <f>IF(SER_hh_tesh_in!E3=0,0,SER_hh_tesh_in!E3/SER_summary!E$27)</f>
        <v>93.980863749626181</v>
      </c>
      <c r="F3" s="126">
        <f>IF(SER_hh_tesh_in!F3=0,0,SER_hh_tesh_in!F3/SER_summary!F$27)</f>
        <v>93.072622129416658</v>
      </c>
      <c r="G3" s="126">
        <f>IF(SER_hh_tesh_in!G3=0,0,SER_hh_tesh_in!G3/SER_summary!G$27)</f>
        <v>88.973870867158553</v>
      </c>
      <c r="H3" s="126">
        <f>IF(SER_hh_tesh_in!H3=0,0,SER_hh_tesh_in!H3/SER_summary!H$27)</f>
        <v>94.713283716265138</v>
      </c>
      <c r="I3" s="126">
        <f>IF(SER_hh_tesh_in!I3=0,0,SER_hh_tesh_in!I3/SER_summary!I$27)</f>
        <v>85.229181462923762</v>
      </c>
      <c r="J3" s="126">
        <f>IF(SER_hh_tesh_in!J3=0,0,SER_hh_tesh_in!J3/SER_summary!J$27)</f>
        <v>76.343863574296392</v>
      </c>
      <c r="K3" s="126">
        <f>IF(SER_hh_tesh_in!K3=0,0,SER_hh_tesh_in!K3/SER_summary!K$27)</f>
        <v>90.37992556176394</v>
      </c>
      <c r="L3" s="126">
        <f>IF(SER_hh_tesh_in!L3=0,0,SER_hh_tesh_in!L3/SER_summary!L$27)</f>
        <v>89.575104780003784</v>
      </c>
      <c r="M3" s="126">
        <f>IF(SER_hh_tesh_in!M3=0,0,SER_hh_tesh_in!M3/SER_summary!M$27)</f>
        <v>74.179576832052774</v>
      </c>
      <c r="N3" s="126">
        <f>IF(SER_hh_tesh_in!N3=0,0,SER_hh_tesh_in!N3/SER_summary!N$27)</f>
        <v>86.00536592079915</v>
      </c>
      <c r="O3" s="126">
        <f>IF(SER_hh_tesh_in!O3=0,0,SER_hh_tesh_in!O3/SER_summary!O$27)</f>
        <v>77.970120410922291</v>
      </c>
      <c r="P3" s="126">
        <f>IF(SER_hh_tesh_in!P3=0,0,SER_hh_tesh_in!P3/SER_summary!P$27)</f>
        <v>72.721354368274419</v>
      </c>
      <c r="Q3" s="126">
        <f>IF(SER_hh_tesh_in!Q3=0,0,SER_hh_tesh_in!Q3/SER_summary!Q$27)</f>
        <v>78.715629761888991</v>
      </c>
      <c r="R3" s="126">
        <f>IF(SER_hh_tesh_in!R3=0,0,SER_hh_tesh_in!R3/SER_summary!R$27)</f>
        <v>78.180986819268554</v>
      </c>
      <c r="S3" s="126">
        <f>IF(SER_hh_tesh_in!S3=0,0,SER_hh_tesh_in!S3/SER_summary!S$27)</f>
        <v>80.257513012131497</v>
      </c>
      <c r="T3" s="126">
        <f>IF(SER_hh_tesh_in!T3=0,0,SER_hh_tesh_in!T3/SER_summary!T$27)</f>
        <v>83.149859689955008</v>
      </c>
      <c r="U3" s="126">
        <f>IF(SER_hh_tesh_in!U3=0,0,SER_hh_tesh_in!U3/SER_summary!U$27)</f>
        <v>77.880876370927297</v>
      </c>
      <c r="V3" s="126">
        <f>IF(SER_hh_tesh_in!V3=0,0,SER_hh_tesh_in!V3/SER_summary!V$27)</f>
        <v>69.799383587818397</v>
      </c>
      <c r="W3" s="126">
        <f>IF(SER_hh_tesh_in!W3=0,0,SER_hh_tesh_in!W3/SER_summary!W$27)</f>
        <v>81.08930515999964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77.81802351852275</v>
      </c>
      <c r="D4" s="131">
        <f>IF(SER_hh_tesh_in!D4=0,0,SER_hh_tesh_in!D4/SER_summary!D$27)</f>
        <v>73.276209724186728</v>
      </c>
      <c r="E4" s="131">
        <f>IF(SER_hh_tesh_in!E4=0,0,SER_hh_tesh_in!E4/SER_summary!E$27)</f>
        <v>73.076650566838353</v>
      </c>
      <c r="F4" s="131">
        <f>IF(SER_hh_tesh_in!F4=0,0,SER_hh_tesh_in!F4/SER_summary!F$27)</f>
        <v>71.110546974899961</v>
      </c>
      <c r="G4" s="131">
        <f>IF(SER_hh_tesh_in!G4=0,0,SER_hh_tesh_in!G4/SER_summary!G$27)</f>
        <v>66.811593898444926</v>
      </c>
      <c r="H4" s="131">
        <f>IF(SER_hh_tesh_in!H4=0,0,SER_hh_tesh_in!H4/SER_summary!H$27)</f>
        <v>69.542633362044455</v>
      </c>
      <c r="I4" s="131">
        <f>IF(SER_hh_tesh_in!I4=0,0,SER_hh_tesh_in!I4/SER_summary!I$27)</f>
        <v>64.38982963092522</v>
      </c>
      <c r="J4" s="131">
        <f>IF(SER_hh_tesh_in!J4=0,0,SER_hh_tesh_in!J4/SER_summary!J$27)</f>
        <v>52.605292691780669</v>
      </c>
      <c r="K4" s="131">
        <f>IF(SER_hh_tesh_in!K4=0,0,SER_hh_tesh_in!K4/SER_summary!K$27)</f>
        <v>52.242500844653406</v>
      </c>
      <c r="L4" s="131">
        <f>IF(SER_hh_tesh_in!L4=0,0,SER_hh_tesh_in!L4/SER_summary!L$27)</f>
        <v>53.419037533549464</v>
      </c>
      <c r="M4" s="131">
        <f>IF(SER_hh_tesh_in!M4=0,0,SER_hh_tesh_in!M4/SER_summary!M$27)</f>
        <v>46.604811848759674</v>
      </c>
      <c r="N4" s="131">
        <f>IF(SER_hh_tesh_in!N4=0,0,SER_hh_tesh_in!N4/SER_summary!N$27)</f>
        <v>49.175212177300956</v>
      </c>
      <c r="O4" s="131">
        <f>IF(SER_hh_tesh_in!O4=0,0,SER_hh_tesh_in!O4/SER_summary!O$27)</f>
        <v>44.015062609776066</v>
      </c>
      <c r="P4" s="131">
        <f>IF(SER_hh_tesh_in!P4=0,0,SER_hh_tesh_in!P4/SER_summary!P$27)</f>
        <v>39.899678803730609</v>
      </c>
      <c r="Q4" s="131">
        <f>IF(SER_hh_tesh_in!Q4=0,0,SER_hh_tesh_in!Q4/SER_summary!Q$27)</f>
        <v>39.258871973448386</v>
      </c>
      <c r="R4" s="131">
        <f>IF(SER_hh_tesh_in!R4=0,0,SER_hh_tesh_in!R4/SER_summary!R$27)</f>
        <v>39.633275999594481</v>
      </c>
      <c r="S4" s="131">
        <f>IF(SER_hh_tesh_in!S4=0,0,SER_hh_tesh_in!S4/SER_summary!S$27)</f>
        <v>42.19662495531562</v>
      </c>
      <c r="T4" s="131">
        <f>IF(SER_hh_tesh_in!T4=0,0,SER_hh_tesh_in!T4/SER_summary!T$27)</f>
        <v>43.642316636279091</v>
      </c>
      <c r="U4" s="131">
        <f>IF(SER_hh_tesh_in!U4=0,0,SER_hh_tesh_in!U4/SER_summary!U$27)</f>
        <v>38.575582071610675</v>
      </c>
      <c r="V4" s="131">
        <f>IF(SER_hh_tesh_in!V4=0,0,SER_hh_tesh_in!V4/SER_summary!V$27)</f>
        <v>33.270302008033681</v>
      </c>
      <c r="W4" s="131">
        <f>IF(SER_hh_tesh_in!W4=0,0,SER_hh_tesh_in!W4/SER_summary!W$27)</f>
        <v>39.150837084448035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69.408988936275577</v>
      </c>
      <c r="D5" s="133">
        <f>IF(SER_hh_tesh_in!D5=0,0,SER_hh_tesh_in!D5/SER_summary!D$27)</f>
        <v>75.541336958866353</v>
      </c>
      <c r="E5" s="133">
        <f>IF(SER_hh_tesh_in!E5=0,0,SER_hh_tesh_in!E5/SER_summary!E$27)</f>
        <v>71.792041346166513</v>
      </c>
      <c r="F5" s="133">
        <f>IF(SER_hh_tesh_in!F5=0,0,SER_hh_tesh_in!F5/SER_summary!F$27)</f>
        <v>63.6314120386509</v>
      </c>
      <c r="G5" s="133">
        <f>IF(SER_hh_tesh_in!G5=0,0,SER_hh_tesh_in!G5/SER_summary!G$27)</f>
        <v>66.118282887698328</v>
      </c>
      <c r="H5" s="133">
        <f>IF(SER_hh_tesh_in!H5=0,0,SER_hh_tesh_in!H5/SER_summary!H$27)</f>
        <v>83.602528577871567</v>
      </c>
      <c r="I5" s="133">
        <f>IF(SER_hh_tesh_in!I5=0,0,SER_hh_tesh_in!I5/SER_summary!I$27)</f>
        <v>61.775336629825127</v>
      </c>
      <c r="J5" s="133">
        <f>IF(SER_hh_tesh_in!J5=0,0,SER_hh_tesh_in!J5/SER_summary!J$27)</f>
        <v>45.570737417339188</v>
      </c>
      <c r="K5" s="133">
        <f>IF(SER_hh_tesh_in!K5=0,0,SER_hh_tesh_in!K5/SER_summary!K$27)</f>
        <v>52.758928032620524</v>
      </c>
      <c r="L5" s="133">
        <f>IF(SER_hh_tesh_in!L5=0,0,SER_hh_tesh_in!L5/SER_summary!L$27)</f>
        <v>50.247818360209273</v>
      </c>
      <c r="M5" s="133">
        <f>IF(SER_hh_tesh_in!M5=0,0,SER_hh_tesh_in!M5/SER_summary!M$27)</f>
        <v>58.784448330733653</v>
      </c>
      <c r="N5" s="133">
        <f>IF(SER_hh_tesh_in!N5=0,0,SER_hh_tesh_in!N5/SER_summary!N$27)</f>
        <v>40.656108236376312</v>
      </c>
      <c r="O5" s="133">
        <f>IF(SER_hh_tesh_in!O5=0,0,SER_hh_tesh_in!O5/SER_summary!O$27)</f>
        <v>47.376781388317781</v>
      </c>
      <c r="P5" s="133">
        <f>IF(SER_hh_tesh_in!P5=0,0,SER_hh_tesh_in!P5/SER_summary!P$27)</f>
        <v>42.326159376623586</v>
      </c>
      <c r="Q5" s="133">
        <f>IF(SER_hh_tesh_in!Q5=0,0,SER_hh_tesh_in!Q5/SER_summary!Q$27)</f>
        <v>0</v>
      </c>
      <c r="R5" s="133">
        <f>IF(SER_hh_tesh_in!R5=0,0,SER_hh_tesh_in!R5/SER_summary!R$27)</f>
        <v>40.058911849831709</v>
      </c>
      <c r="S5" s="133">
        <f>IF(SER_hh_tesh_in!S5=0,0,SER_hh_tesh_in!S5/SER_summary!S$27)</f>
        <v>41.961371588755313</v>
      </c>
      <c r="T5" s="133">
        <f>IF(SER_hh_tesh_in!T5=0,0,SER_hh_tesh_in!T5/SER_summary!T$27)</f>
        <v>44.243504460944386</v>
      </c>
      <c r="U5" s="133">
        <f>IF(SER_hh_tesh_in!U5=0,0,SER_hh_tesh_in!U5/SER_summary!U$27)</f>
        <v>39.634214017363171</v>
      </c>
      <c r="V5" s="133">
        <f>IF(SER_hh_tesh_in!V5=0,0,SER_hh_tesh_in!V5/SER_summary!V$27)</f>
        <v>0</v>
      </c>
      <c r="W5" s="133">
        <f>IF(SER_hh_tesh_in!W5=0,0,SER_hh_tesh_in!W5/SER_summary!W$27)</f>
        <v>38.321414117708386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0</v>
      </c>
      <c r="D7" s="133">
        <f>IF(SER_hh_tesh_in!D7=0,0,SER_hh_tesh_in!D7/SER_summary!D$27)</f>
        <v>0</v>
      </c>
      <c r="E7" s="133">
        <f>IF(SER_hh_tesh_in!E7=0,0,SER_hh_tesh_in!E7/SER_summary!E$27)</f>
        <v>0</v>
      </c>
      <c r="F7" s="133">
        <f>IF(SER_hh_tesh_in!F7=0,0,SER_hh_tesh_in!F7/SER_summary!F$27)</f>
        <v>0</v>
      </c>
      <c r="G7" s="133">
        <f>IF(SER_hh_tesh_in!G7=0,0,SER_hh_tesh_in!G7/SER_summary!G$27)</f>
        <v>0</v>
      </c>
      <c r="H7" s="133">
        <f>IF(SER_hh_tesh_in!H7=0,0,SER_hh_tesh_in!H7/SER_summary!H$27)</f>
        <v>0</v>
      </c>
      <c r="I7" s="133">
        <f>IF(SER_hh_tesh_in!I7=0,0,SER_hh_tesh_in!I7/SER_summary!I$27)</f>
        <v>0</v>
      </c>
      <c r="J7" s="133">
        <f>IF(SER_hh_tesh_in!J7=0,0,SER_hh_tesh_in!J7/SER_summary!J$27)</f>
        <v>90.078862242740414</v>
      </c>
      <c r="K7" s="133">
        <f>IF(SER_hh_tesh_in!K7=0,0,SER_hh_tesh_in!K7/SER_summary!K$27)</f>
        <v>28.53575539171581</v>
      </c>
      <c r="L7" s="133">
        <f>IF(SER_hh_tesh_in!L7=0,0,SER_hh_tesh_in!L7/SER_summary!L$27)</f>
        <v>43.903502117433582</v>
      </c>
      <c r="M7" s="133">
        <f>IF(SER_hh_tesh_in!M7=0,0,SER_hh_tesh_in!M7/SER_summary!M$27)</f>
        <v>60.092791144337163</v>
      </c>
      <c r="N7" s="133">
        <f>IF(SER_hh_tesh_in!N7=0,0,SER_hh_tesh_in!N7/SER_summary!N$27)</f>
        <v>38.615258751149639</v>
      </c>
      <c r="O7" s="133">
        <f>IF(SER_hh_tesh_in!O7=0,0,SER_hh_tesh_in!O7/SER_summary!O$27)</f>
        <v>40.393893596800325</v>
      </c>
      <c r="P7" s="133">
        <f>IF(SER_hh_tesh_in!P7=0,0,SER_hh_tesh_in!P7/SER_summary!P$27)</f>
        <v>0</v>
      </c>
      <c r="Q7" s="133">
        <f>IF(SER_hh_tesh_in!Q7=0,0,SER_hh_tesh_in!Q7/SER_summary!Q$27)</f>
        <v>0</v>
      </c>
      <c r="R7" s="133">
        <f>IF(SER_hh_tesh_in!R7=0,0,SER_hh_tesh_in!R7/SER_summary!R$27)</f>
        <v>0</v>
      </c>
      <c r="S7" s="133">
        <f>IF(SER_hh_tesh_in!S7=0,0,SER_hh_tesh_in!S7/SER_summary!S$27)</f>
        <v>0</v>
      </c>
      <c r="T7" s="133">
        <f>IF(SER_hh_tesh_in!T7=0,0,SER_hh_tesh_in!T7/SER_summary!T$27)</f>
        <v>0</v>
      </c>
      <c r="U7" s="133">
        <f>IF(SER_hh_tesh_in!U7=0,0,SER_hh_tesh_in!U7/SER_summary!U$27)</f>
        <v>36.430983581227338</v>
      </c>
      <c r="V7" s="133">
        <f>IF(SER_hh_tesh_in!V7=0,0,SER_hh_tesh_in!V7/SER_summary!V$27)</f>
        <v>34.656016515436413</v>
      </c>
      <c r="W7" s="133">
        <f>IF(SER_hh_tesh_in!W7=0,0,SER_hh_tesh_in!W7/SER_summary!W$27)</f>
        <v>37.246200596889736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0</v>
      </c>
      <c r="D8" s="133">
        <f>IF(SER_hh_tesh_in!D8=0,0,SER_hh_tesh_in!D8/SER_summary!D$27)</f>
        <v>0</v>
      </c>
      <c r="E8" s="133">
        <f>IF(SER_hh_tesh_in!E8=0,0,SER_hh_tesh_in!E8/SER_summary!E$27)</f>
        <v>0</v>
      </c>
      <c r="F8" s="133">
        <f>IF(SER_hh_tesh_in!F8=0,0,SER_hh_tesh_in!F8/SER_summary!F$27)</f>
        <v>0</v>
      </c>
      <c r="G8" s="133">
        <f>IF(SER_hh_tesh_in!G8=0,0,SER_hh_tesh_in!G8/SER_summary!G$27)</f>
        <v>0</v>
      </c>
      <c r="H8" s="133">
        <f>IF(SER_hh_tesh_in!H8=0,0,SER_hh_tesh_in!H8/SER_summary!H$27)</f>
        <v>0</v>
      </c>
      <c r="I8" s="133">
        <f>IF(SER_hh_tesh_in!I8=0,0,SER_hh_tesh_in!I8/SER_summary!I$27)</f>
        <v>0</v>
      </c>
      <c r="J8" s="133">
        <f>IF(SER_hh_tesh_in!J8=0,0,SER_hh_tesh_in!J8/SER_summary!J$27)</f>
        <v>0</v>
      </c>
      <c r="K8" s="133">
        <f>IF(SER_hh_tesh_in!K8=0,0,SER_hh_tesh_in!K8/SER_summary!K$27)</f>
        <v>0</v>
      </c>
      <c r="L8" s="133">
        <f>IF(SER_hh_tesh_in!L8=0,0,SER_hh_tesh_in!L8/SER_summary!L$27)</f>
        <v>0</v>
      </c>
      <c r="M8" s="133">
        <f>IF(SER_hh_tesh_in!M8=0,0,SER_hh_tesh_in!M8/SER_summary!M$27)</f>
        <v>0</v>
      </c>
      <c r="N8" s="133">
        <f>IF(SER_hh_tesh_in!N8=0,0,SER_hh_tesh_in!N8/SER_summary!N$27)</f>
        <v>0</v>
      </c>
      <c r="O8" s="133">
        <f>IF(SER_hh_tesh_in!O8=0,0,SER_hh_tesh_in!O8/SER_summary!O$27)</f>
        <v>0</v>
      </c>
      <c r="P8" s="133">
        <f>IF(SER_hh_tesh_in!P8=0,0,SER_hh_tesh_in!P8/SER_summary!P$27)</f>
        <v>0</v>
      </c>
      <c r="Q8" s="133">
        <f>IF(SER_hh_tesh_in!Q8=0,0,SER_hh_tesh_in!Q8/SER_summary!Q$27)</f>
        <v>0</v>
      </c>
      <c r="R8" s="133">
        <f>IF(SER_hh_tesh_in!R8=0,0,SER_hh_tesh_in!R8/SER_summary!R$27)</f>
        <v>0</v>
      </c>
      <c r="S8" s="133">
        <f>IF(SER_hh_tesh_in!S8=0,0,SER_hh_tesh_in!S8/SER_summary!S$27)</f>
        <v>0</v>
      </c>
      <c r="T8" s="133">
        <f>IF(SER_hh_tesh_in!T8=0,0,SER_hh_tesh_in!T8/SER_summary!T$27)</f>
        <v>0</v>
      </c>
      <c r="U8" s="133">
        <f>IF(SER_hh_tesh_in!U8=0,0,SER_hh_tesh_in!U8/SER_summary!U$27)</f>
        <v>0</v>
      </c>
      <c r="V8" s="133">
        <f>IF(SER_hh_tesh_in!V8=0,0,SER_hh_tesh_in!V8/SER_summary!V$27)</f>
        <v>0</v>
      </c>
      <c r="W8" s="133">
        <f>IF(SER_hh_tesh_in!W8=0,0,SER_hh_tesh_in!W8/SER_summary!W$27)</f>
        <v>0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73.668241513253477</v>
      </c>
      <c r="D9" s="133">
        <f>IF(SER_hh_tesh_in!D9=0,0,SER_hh_tesh_in!D9/SER_summary!D$27)</f>
        <v>72.461805092580661</v>
      </c>
      <c r="E9" s="133">
        <f>IF(SER_hh_tesh_in!E9=0,0,SER_hh_tesh_in!E9/SER_summary!E$27)</f>
        <v>64.766196937859362</v>
      </c>
      <c r="F9" s="133">
        <f>IF(SER_hh_tesh_in!F9=0,0,SER_hh_tesh_in!F9/SER_summary!F$27)</f>
        <v>77.024916185646134</v>
      </c>
      <c r="G9" s="133">
        <f>IF(SER_hh_tesh_in!G9=0,0,SER_hh_tesh_in!G9/SER_summary!G$27)</f>
        <v>64.705631717722468</v>
      </c>
      <c r="H9" s="133">
        <f>IF(SER_hh_tesh_in!H9=0,0,SER_hh_tesh_in!H9/SER_summary!H$27)</f>
        <v>60.254516550659737</v>
      </c>
      <c r="I9" s="133">
        <f>IF(SER_hh_tesh_in!I9=0,0,SER_hh_tesh_in!I9/SER_summary!I$27)</f>
        <v>69.066088465919123</v>
      </c>
      <c r="J9" s="133">
        <f>IF(SER_hh_tesh_in!J9=0,0,SER_hh_tesh_in!J9/SER_summary!J$27)</f>
        <v>57.434907108148749</v>
      </c>
      <c r="K9" s="133">
        <f>IF(SER_hh_tesh_in!K9=0,0,SER_hh_tesh_in!K9/SER_summary!K$27)</f>
        <v>48.696688394837459</v>
      </c>
      <c r="L9" s="133">
        <f>IF(SER_hh_tesh_in!L9=0,0,SER_hh_tesh_in!L9/SER_summary!L$27)</f>
        <v>52.891218905765768</v>
      </c>
      <c r="M9" s="133">
        <f>IF(SER_hh_tesh_in!M9=0,0,SER_hh_tesh_in!M9/SER_summary!M$27)</f>
        <v>45.003549077917462</v>
      </c>
      <c r="N9" s="133">
        <f>IF(SER_hh_tesh_in!N9=0,0,SER_hh_tesh_in!N9/SER_summary!N$27)</f>
        <v>47.05701470748722</v>
      </c>
      <c r="O9" s="133">
        <f>IF(SER_hh_tesh_in!O9=0,0,SER_hh_tesh_in!O9/SER_summary!O$27)</f>
        <v>45.030223842818401</v>
      </c>
      <c r="P9" s="133">
        <f>IF(SER_hh_tesh_in!P9=0,0,SER_hh_tesh_in!P9/SER_summary!P$27)</f>
        <v>37.587984726165686</v>
      </c>
      <c r="Q9" s="133">
        <f>IF(SER_hh_tesh_in!Q9=0,0,SER_hh_tesh_in!Q9/SER_summary!Q$27)</f>
        <v>39.148722289849388</v>
      </c>
      <c r="R9" s="133">
        <f>IF(SER_hh_tesh_in!R9=0,0,SER_hh_tesh_in!R9/SER_summary!R$27)</f>
        <v>39.968960633781379</v>
      </c>
      <c r="S9" s="133">
        <f>IF(SER_hh_tesh_in!S9=0,0,SER_hh_tesh_in!S9/SER_summary!S$27)</f>
        <v>40.65269537317635</v>
      </c>
      <c r="T9" s="133">
        <f>IF(SER_hh_tesh_in!T9=0,0,SER_hh_tesh_in!T9/SER_summary!T$27)</f>
        <v>40.479847401513375</v>
      </c>
      <c r="U9" s="133">
        <f>IF(SER_hh_tesh_in!U9=0,0,SER_hh_tesh_in!U9/SER_summary!U$27)</f>
        <v>38.77388379732804</v>
      </c>
      <c r="V9" s="133">
        <f>IF(SER_hh_tesh_in!V9=0,0,SER_hh_tesh_in!V9/SER_summary!V$27)</f>
        <v>36.112497521395099</v>
      </c>
      <c r="W9" s="133">
        <f>IF(SER_hh_tesh_in!W9=0,0,SER_hh_tesh_in!W9/SER_summary!W$27)</f>
        <v>36.632387541558387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76.49577646115516</v>
      </c>
      <c r="D10" s="133">
        <f>IF(SER_hh_tesh_in!D10=0,0,SER_hh_tesh_in!D10/SER_summary!D$27)</f>
        <v>77.516757930500489</v>
      </c>
      <c r="E10" s="133">
        <f>IF(SER_hh_tesh_in!E10=0,0,SER_hh_tesh_in!E10/SER_summary!E$27)</f>
        <v>69.687609334878502</v>
      </c>
      <c r="F10" s="133">
        <f>IF(SER_hh_tesh_in!F10=0,0,SER_hh_tesh_in!F10/SER_summary!F$27)</f>
        <v>67.01936667483757</v>
      </c>
      <c r="G10" s="133">
        <f>IF(SER_hh_tesh_in!G10=0,0,SER_hh_tesh_in!G10/SER_summary!G$27)</f>
        <v>67.239618503909639</v>
      </c>
      <c r="H10" s="133">
        <f>IF(SER_hh_tesh_in!H10=0,0,SER_hh_tesh_in!H10/SER_summary!H$27)</f>
        <v>65.479694342118364</v>
      </c>
      <c r="I10" s="133">
        <f>IF(SER_hh_tesh_in!I10=0,0,SER_hh_tesh_in!I10/SER_summary!I$27)</f>
        <v>59.393538557056431</v>
      </c>
      <c r="J10" s="133">
        <f>IF(SER_hh_tesh_in!J10=0,0,SER_hh_tesh_in!J10/SER_summary!J$27)</f>
        <v>56.82617795831198</v>
      </c>
      <c r="K10" s="133">
        <f>IF(SER_hh_tesh_in!K10=0,0,SER_hh_tesh_in!K10/SER_summary!K$27)</f>
        <v>51.886093491083457</v>
      </c>
      <c r="L10" s="133">
        <f>IF(SER_hh_tesh_in!L10=0,0,SER_hh_tesh_in!L10/SER_summary!L$27)</f>
        <v>48.649636559028821</v>
      </c>
      <c r="M10" s="133">
        <f>IF(SER_hh_tesh_in!M10=0,0,SER_hh_tesh_in!M10/SER_summary!M$27)</f>
        <v>48.159661203266978</v>
      </c>
      <c r="N10" s="133">
        <f>IF(SER_hh_tesh_in!N10=0,0,SER_hh_tesh_in!N10/SER_summary!N$27)</f>
        <v>47.283175958771317</v>
      </c>
      <c r="O10" s="133">
        <f>IF(SER_hh_tesh_in!O10=0,0,SER_hh_tesh_in!O10/SER_summary!O$27)</f>
        <v>45.39284604208973</v>
      </c>
      <c r="P10" s="133">
        <f>IF(SER_hh_tesh_in!P10=0,0,SER_hh_tesh_in!P10/SER_summary!P$27)</f>
        <v>40.962715366099225</v>
      </c>
      <c r="Q10" s="133">
        <f>IF(SER_hh_tesh_in!Q10=0,0,SER_hh_tesh_in!Q10/SER_summary!Q$27)</f>
        <v>38.986102718457431</v>
      </c>
      <c r="R10" s="133">
        <f>IF(SER_hh_tesh_in!R10=0,0,SER_hh_tesh_in!R10/SER_summary!R$27)</f>
        <v>0</v>
      </c>
      <c r="S10" s="133">
        <f>IF(SER_hh_tesh_in!S10=0,0,SER_hh_tesh_in!S10/SER_summary!S$27)</f>
        <v>0</v>
      </c>
      <c r="T10" s="133">
        <f>IF(SER_hh_tesh_in!T10=0,0,SER_hh_tesh_in!T10/SER_summary!T$27)</f>
        <v>39.68987491930438</v>
      </c>
      <c r="U10" s="133">
        <f>IF(SER_hh_tesh_in!U10=0,0,SER_hh_tesh_in!U10/SER_summary!U$27)</f>
        <v>36.71450734925471</v>
      </c>
      <c r="V10" s="133">
        <f>IF(SER_hh_tesh_in!V10=0,0,SER_hh_tesh_in!V10/SER_summary!V$27)</f>
        <v>38.032646589727896</v>
      </c>
      <c r="W10" s="133">
        <f>IF(SER_hh_tesh_in!W10=0,0,SER_hh_tesh_in!W10/SER_summary!W$27)</f>
        <v>35.201291995739496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0</v>
      </c>
      <c r="L11" s="133">
        <f>IF(SER_hh_tesh_in!L11=0,0,SER_hh_tesh_in!L11/SER_summary!L$27)</f>
        <v>0</v>
      </c>
      <c r="M11" s="133">
        <f>IF(SER_hh_tesh_in!M11=0,0,SER_hh_tesh_in!M11/SER_summary!M$27)</f>
        <v>0</v>
      </c>
      <c r="N11" s="133">
        <f>IF(SER_hh_tesh_in!N11=0,0,SER_hh_tesh_in!N11/SER_summary!N$27)</f>
        <v>0</v>
      </c>
      <c r="O11" s="133">
        <f>IF(SER_hh_tesh_in!O11=0,0,SER_hh_tesh_in!O11/SER_summary!O$27)</f>
        <v>0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78.388168881696956</v>
      </c>
      <c r="D12" s="133">
        <f>IF(SER_hh_tesh_in!D12=0,0,SER_hh_tesh_in!D12/SER_summary!D$27)</f>
        <v>73.891911426231914</v>
      </c>
      <c r="E12" s="133">
        <f>IF(SER_hh_tesh_in!E12=0,0,SER_hh_tesh_in!E12/SER_summary!E$27)</f>
        <v>72.90417804137725</v>
      </c>
      <c r="F12" s="133">
        <f>IF(SER_hh_tesh_in!F12=0,0,SER_hh_tesh_in!F12/SER_summary!F$27)</f>
        <v>70.361188779514478</v>
      </c>
      <c r="G12" s="133">
        <f>IF(SER_hh_tesh_in!G12=0,0,SER_hh_tesh_in!G12/SER_summary!G$27)</f>
        <v>66.449921074319022</v>
      </c>
      <c r="H12" s="133">
        <f>IF(SER_hh_tesh_in!H12=0,0,SER_hh_tesh_in!H12/SER_summary!H$27)</f>
        <v>69.303180072429669</v>
      </c>
      <c r="I12" s="133">
        <f>IF(SER_hh_tesh_in!I12=0,0,SER_hh_tesh_in!I12/SER_summary!I$27)</f>
        <v>63.627779572975562</v>
      </c>
      <c r="J12" s="133">
        <f>IF(SER_hh_tesh_in!J12=0,0,SER_hh_tesh_in!J12/SER_summary!J$27)</f>
        <v>49.715574253886096</v>
      </c>
      <c r="K12" s="133">
        <f>IF(SER_hh_tesh_in!K12=0,0,SER_hh_tesh_in!K12/SER_summary!K$27)</f>
        <v>53.167581929055821</v>
      </c>
      <c r="L12" s="133">
        <f>IF(SER_hh_tesh_in!L12=0,0,SER_hh_tesh_in!L12/SER_summary!L$27)</f>
        <v>55.220880301587449</v>
      </c>
      <c r="M12" s="133">
        <f>IF(SER_hh_tesh_in!M12=0,0,SER_hh_tesh_in!M12/SER_summary!M$27)</f>
        <v>43.0153247727078</v>
      </c>
      <c r="N12" s="133">
        <f>IF(SER_hh_tesh_in!N12=0,0,SER_hh_tesh_in!N12/SER_summary!N$27)</f>
        <v>51.267403372493298</v>
      </c>
      <c r="O12" s="133">
        <f>IF(SER_hh_tesh_in!O12=0,0,SER_hh_tesh_in!O12/SER_summary!O$27)</f>
        <v>42.012871783265766</v>
      </c>
      <c r="P12" s="133">
        <f>IF(SER_hh_tesh_in!P12=0,0,SER_hh_tesh_in!P12/SER_summary!P$27)</f>
        <v>39.841428876741809</v>
      </c>
      <c r="Q12" s="133">
        <f>IF(SER_hh_tesh_in!Q12=0,0,SER_hh_tesh_in!Q12/SER_summary!Q$27)</f>
        <v>39.436752358724874</v>
      </c>
      <c r="R12" s="133">
        <f>IF(SER_hh_tesh_in!R12=0,0,SER_hh_tesh_in!R12/SER_summary!R$27)</f>
        <v>37.910781981754269</v>
      </c>
      <c r="S12" s="133">
        <f>IF(SER_hh_tesh_in!S12=0,0,SER_hh_tesh_in!S12/SER_summary!S$27)</f>
        <v>43.799736122304807</v>
      </c>
      <c r="T12" s="133">
        <f>IF(SER_hh_tesh_in!T12=0,0,SER_hh_tesh_in!T12/SER_summary!T$27)</f>
        <v>43.545459914173719</v>
      </c>
      <c r="U12" s="133">
        <f>IF(SER_hh_tesh_in!U12=0,0,SER_hh_tesh_in!U12/SER_summary!U$27)</f>
        <v>36.514624283925038</v>
      </c>
      <c r="V12" s="133">
        <f>IF(SER_hh_tesh_in!V12=0,0,SER_hh_tesh_in!V12/SER_summary!V$27)</f>
        <v>31.939497357680164</v>
      </c>
      <c r="W12" s="133">
        <f>IF(SER_hh_tesh_in!W12=0,0,SER_hh_tesh_in!W12/SER_summary!W$27)</f>
        <v>39.474855476699751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75.254074880114757</v>
      </c>
      <c r="D13" s="133">
        <f>IF(SER_hh_tesh_in!D13=0,0,SER_hh_tesh_in!D13/SER_summary!D$27)</f>
        <v>58.651703824230985</v>
      </c>
      <c r="E13" s="133">
        <f>IF(SER_hh_tesh_in!E13=0,0,SER_hh_tesh_in!E13/SER_summary!E$27)</f>
        <v>71.866023601954481</v>
      </c>
      <c r="F13" s="133">
        <f>IF(SER_hh_tesh_in!F13=0,0,SER_hh_tesh_in!F13/SER_summary!F$27)</f>
        <v>67.603232491354618</v>
      </c>
      <c r="G13" s="133">
        <f>IF(SER_hh_tesh_in!G13=0,0,SER_hh_tesh_in!G13/SER_summary!G$27)</f>
        <v>68.654340112883702</v>
      </c>
      <c r="H13" s="133">
        <f>IF(SER_hh_tesh_in!H13=0,0,SER_hh_tesh_in!H13/SER_summary!H$27)</f>
        <v>60.772124509116288</v>
      </c>
      <c r="I13" s="133">
        <f>IF(SER_hh_tesh_in!I13=0,0,SER_hh_tesh_in!I13/SER_summary!I$27)</f>
        <v>52.126304779784235</v>
      </c>
      <c r="J13" s="133">
        <f>IF(SER_hh_tesh_in!J13=0,0,SER_hh_tesh_in!J13/SER_summary!J$27)</f>
        <v>62.244083947930775</v>
      </c>
      <c r="K13" s="133">
        <f>IF(SER_hh_tesh_in!K13=0,0,SER_hh_tesh_in!K13/SER_summary!K$27)</f>
        <v>49.702809419214773</v>
      </c>
      <c r="L13" s="133">
        <f>IF(SER_hh_tesh_in!L13=0,0,SER_hh_tesh_in!L13/SER_summary!L$27)</f>
        <v>38.717163363028654</v>
      </c>
      <c r="M13" s="133">
        <f>IF(SER_hh_tesh_in!M13=0,0,SER_hh_tesh_in!M13/SER_summary!M$27)</f>
        <v>44.641536234334133</v>
      </c>
      <c r="N13" s="133">
        <f>IF(SER_hh_tesh_in!N13=0,0,SER_hh_tesh_in!N13/SER_summary!N$27)</f>
        <v>43.363506252253153</v>
      </c>
      <c r="O13" s="133">
        <f>IF(SER_hh_tesh_in!O13=0,0,SER_hh_tesh_in!O13/SER_summary!O$27)</f>
        <v>39.489731352348279</v>
      </c>
      <c r="P13" s="133">
        <f>IF(SER_hh_tesh_in!P13=0,0,SER_hh_tesh_in!P13/SER_summary!P$27)</f>
        <v>45.705318855134465</v>
      </c>
      <c r="Q13" s="133">
        <f>IF(SER_hh_tesh_in!Q13=0,0,SER_hh_tesh_in!Q13/SER_summary!Q$27)</f>
        <v>41.945035279474126</v>
      </c>
      <c r="R13" s="133">
        <f>IF(SER_hh_tesh_in!R13=0,0,SER_hh_tesh_in!R13/SER_summary!R$27)</f>
        <v>41.324098418184306</v>
      </c>
      <c r="S13" s="133">
        <f>IF(SER_hh_tesh_in!S13=0,0,SER_hh_tesh_in!S13/SER_summary!S$27)</f>
        <v>41.453146578998378</v>
      </c>
      <c r="T13" s="133">
        <f>IF(SER_hh_tesh_in!T13=0,0,SER_hh_tesh_in!T13/SER_summary!T$27)</f>
        <v>41.357414725916733</v>
      </c>
      <c r="U13" s="133">
        <f>IF(SER_hh_tesh_in!U13=0,0,SER_hh_tesh_in!U13/SER_summary!U$27)</f>
        <v>35.760948263933926</v>
      </c>
      <c r="V13" s="133">
        <f>IF(SER_hh_tesh_in!V13=0,0,SER_hh_tesh_in!V13/SER_summary!V$27)</f>
        <v>28.961192213037005</v>
      </c>
      <c r="W13" s="133">
        <f>IF(SER_hh_tesh_in!W13=0,0,SER_hh_tesh_in!W13/SER_summary!W$27)</f>
        <v>45.343812843742683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79.440132617192035</v>
      </c>
      <c r="D14" s="65">
        <f>IF(SER_hh_tesh_in!D14=0,0,SER_hh_tesh_in!D14/SER_summary!D$27)</f>
        <v>65.241828743609489</v>
      </c>
      <c r="E14" s="65">
        <f>IF(SER_hh_tesh_in!E14=0,0,SER_hh_tesh_in!E14/SER_summary!E$27)</f>
        <v>78.894412454634349</v>
      </c>
      <c r="F14" s="65">
        <f>IF(SER_hh_tesh_in!F14=0,0,SER_hh_tesh_in!F14/SER_summary!F$27)</f>
        <v>73.689550318342924</v>
      </c>
      <c r="G14" s="65">
        <f>IF(SER_hh_tesh_in!G14=0,0,SER_hh_tesh_in!G14/SER_summary!G$27)</f>
        <v>68.538416647310925</v>
      </c>
      <c r="H14" s="65">
        <f>IF(SER_hh_tesh_in!H14=0,0,SER_hh_tesh_in!H14/SER_summary!H$27)</f>
        <v>63.762156954890479</v>
      </c>
      <c r="I14" s="65">
        <f>IF(SER_hh_tesh_in!I14=0,0,SER_hh_tesh_in!I14/SER_summary!I$27)</f>
        <v>61.227846485918953</v>
      </c>
      <c r="J14" s="65">
        <f>IF(SER_hh_tesh_in!J14=0,0,SER_hh_tesh_in!J14/SER_summary!J$27)</f>
        <v>86.721134307451564</v>
      </c>
      <c r="K14" s="65">
        <f>IF(SER_hh_tesh_in!K14=0,0,SER_hh_tesh_in!K14/SER_summary!K$27)</f>
        <v>0</v>
      </c>
      <c r="L14" s="65">
        <f>IF(SER_hh_tesh_in!L14=0,0,SER_hh_tesh_in!L14/SER_summary!L$27)</f>
        <v>0</v>
      </c>
      <c r="M14" s="65">
        <f>IF(SER_hh_tesh_in!M14=0,0,SER_hh_tesh_in!M14/SER_summary!M$27)</f>
        <v>0</v>
      </c>
      <c r="N14" s="65">
        <f>IF(SER_hh_tesh_in!N14=0,0,SER_hh_tesh_in!N14/SER_summary!N$27)</f>
        <v>61.709107854748744</v>
      </c>
      <c r="O14" s="65">
        <f>IF(SER_hh_tesh_in!O14=0,0,SER_hh_tesh_in!O14/SER_summary!O$27)</f>
        <v>40.696062180295328</v>
      </c>
      <c r="P14" s="65">
        <f>IF(SER_hh_tesh_in!P14=0,0,SER_hh_tesh_in!P14/SER_summary!P$27)</f>
        <v>0</v>
      </c>
      <c r="Q14" s="65">
        <f>IF(SER_hh_tesh_in!Q14=0,0,SER_hh_tesh_in!Q14/SER_summary!Q$27)</f>
        <v>18.356642089140465</v>
      </c>
      <c r="R14" s="65">
        <f>IF(SER_hh_tesh_in!R14=0,0,SER_hh_tesh_in!R14/SER_summary!R$27)</f>
        <v>49.921312965832819</v>
      </c>
      <c r="S14" s="65">
        <f>IF(SER_hh_tesh_in!S14=0,0,SER_hh_tesh_in!S14/SER_summary!S$27)</f>
        <v>29.795325017265725</v>
      </c>
      <c r="T14" s="65">
        <f>IF(SER_hh_tesh_in!T14=0,0,SER_hh_tesh_in!T14/SER_summary!T$27)</f>
        <v>46.465099343157064</v>
      </c>
      <c r="U14" s="65">
        <f>IF(SER_hh_tesh_in!U14=0,0,SER_hh_tesh_in!U14/SER_summary!U$27)</f>
        <v>44.383087641362948</v>
      </c>
      <c r="V14" s="65">
        <f>IF(SER_hh_tesh_in!V14=0,0,SER_hh_tesh_in!V14/SER_summary!V$27)</f>
        <v>31.288795754326234</v>
      </c>
      <c r="W14" s="65">
        <f>IF(SER_hh_tesh_in!W14=0,0,SER_hh_tesh_in!W14/SER_summary!W$27)</f>
        <v>41.250558068843937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0.54374855959546975</v>
      </c>
      <c r="D15" s="135">
        <f>IF(SER_hh_tesh_in!D15=0,0,SER_hh_tesh_in!D15/SER_summary!D$27)</f>
        <v>0.60765637875439515</v>
      </c>
      <c r="E15" s="135">
        <f>IF(SER_hh_tesh_in!E15=0,0,SER_hh_tesh_in!E15/SER_summary!E$27)</f>
        <v>0.51913088134767327</v>
      </c>
      <c r="F15" s="135">
        <f>IF(SER_hh_tesh_in!F15=0,0,SER_hh_tesh_in!F15/SER_summary!F$27)</f>
        <v>0.59488937617373494</v>
      </c>
      <c r="G15" s="135">
        <f>IF(SER_hh_tesh_in!G15=0,0,SER_hh_tesh_in!G15/SER_summary!G$27)</f>
        <v>0.50996813010268283</v>
      </c>
      <c r="H15" s="135">
        <f>IF(SER_hh_tesh_in!H15=0,0,SER_hh_tesh_in!H15/SER_summary!H$27)</f>
        <v>0.56897189484982402</v>
      </c>
      <c r="I15" s="135">
        <f>IF(SER_hh_tesh_in!I15=0,0,SER_hh_tesh_in!I15/SER_summary!I$27)</f>
        <v>0.45261565367373507</v>
      </c>
      <c r="J15" s="135">
        <f>IF(SER_hh_tesh_in!J15=0,0,SER_hh_tesh_in!J15/SER_summary!J$27)</f>
        <v>0.39333772380528975</v>
      </c>
      <c r="K15" s="135">
        <f>IF(SER_hh_tesh_in!K15=0,0,SER_hh_tesh_in!K15/SER_summary!K$27)</f>
        <v>0.39500462825430183</v>
      </c>
      <c r="L15" s="135">
        <f>IF(SER_hh_tesh_in!L15=0,0,SER_hh_tesh_in!L15/SER_summary!L$27)</f>
        <v>0.37328746760921233</v>
      </c>
      <c r="M15" s="135">
        <f>IF(SER_hh_tesh_in!M15=0,0,SER_hh_tesh_in!M15/SER_summary!M$27)</f>
        <v>0.33842889319606684</v>
      </c>
      <c r="N15" s="135">
        <f>IF(SER_hh_tesh_in!N15=0,0,SER_hh_tesh_in!N15/SER_summary!N$27)</f>
        <v>0.36500363278786097</v>
      </c>
      <c r="O15" s="135">
        <f>IF(SER_hh_tesh_in!O15=0,0,SER_hh_tesh_in!O15/SER_summary!O$27)</f>
        <v>0.3712498551679177</v>
      </c>
      <c r="P15" s="135">
        <f>IF(SER_hh_tesh_in!P15=0,0,SER_hh_tesh_in!P15/SER_summary!P$27)</f>
        <v>0.29084907258124276</v>
      </c>
      <c r="Q15" s="135">
        <f>IF(SER_hh_tesh_in!Q15=0,0,SER_hh_tesh_in!Q15/SER_summary!Q$27)</f>
        <v>0.33146385984116222</v>
      </c>
      <c r="R15" s="135">
        <f>IF(SER_hh_tesh_in!R15=0,0,SER_hh_tesh_in!R15/SER_summary!R$27)</f>
        <v>0.28233090691462531</v>
      </c>
      <c r="S15" s="135">
        <f>IF(SER_hh_tesh_in!S15=0,0,SER_hh_tesh_in!S15/SER_summary!S$27)</f>
        <v>0.29422979902743246</v>
      </c>
      <c r="T15" s="135">
        <f>IF(SER_hh_tesh_in!T15=0,0,SER_hh_tesh_in!T15/SER_summary!T$27)</f>
        <v>0.343582173431352</v>
      </c>
      <c r="U15" s="135">
        <f>IF(SER_hh_tesh_in!U15=0,0,SER_hh_tesh_in!U15/SER_summary!U$27)</f>
        <v>0.3281593168412385</v>
      </c>
      <c r="V15" s="135">
        <f>IF(SER_hh_tesh_in!V15=0,0,SER_hh_tesh_in!V15/SER_summary!V$27)</f>
        <v>0.24020518537825922</v>
      </c>
      <c r="W15" s="135">
        <f>IF(SER_hh_tesh_in!W15=0,0,SER_hh_tesh_in!W15/SER_summary!W$27)</f>
        <v>0.26161929618763829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21.679032053562228</v>
      </c>
      <c r="D16" s="131">
        <f>IF(SER_hh_tesh_in!D16=0,0,SER_hh_tesh_in!D16/SER_summary!D$27)</f>
        <v>23.176787289983984</v>
      </c>
      <c r="E16" s="131">
        <f>IF(SER_hh_tesh_in!E16=0,0,SER_hh_tesh_in!E16/SER_summary!E$27)</f>
        <v>20.689054589549045</v>
      </c>
      <c r="F16" s="131">
        <f>IF(SER_hh_tesh_in!F16=0,0,SER_hh_tesh_in!F16/SER_summary!F$27)</f>
        <v>20.489736363702356</v>
      </c>
      <c r="G16" s="131">
        <f>IF(SER_hh_tesh_in!G16=0,0,SER_hh_tesh_in!G16/SER_summary!G$27)</f>
        <v>20.457590808124486</v>
      </c>
      <c r="H16" s="131">
        <f>IF(SER_hh_tesh_in!H16=0,0,SER_hh_tesh_in!H16/SER_summary!H$27)</f>
        <v>22.521714347358916</v>
      </c>
      <c r="I16" s="131">
        <f>IF(SER_hh_tesh_in!I16=0,0,SER_hh_tesh_in!I16/SER_summary!I$27)</f>
        <v>20.729220924672202</v>
      </c>
      <c r="J16" s="131">
        <f>IF(SER_hh_tesh_in!J16=0,0,SER_hh_tesh_in!J16/SER_summary!J$27)</f>
        <v>20.379086855011696</v>
      </c>
      <c r="K16" s="131">
        <f>IF(SER_hh_tesh_in!K16=0,0,SER_hh_tesh_in!K16/SER_summary!K$27)</f>
        <v>20.264393241919439</v>
      </c>
      <c r="L16" s="131">
        <f>IF(SER_hh_tesh_in!L16=0,0,SER_hh_tesh_in!L16/SER_summary!L$27)</f>
        <v>25.613968067822089</v>
      </c>
      <c r="M16" s="131">
        <f>IF(SER_hh_tesh_in!M16=0,0,SER_hh_tesh_in!M16/SER_summary!M$27)</f>
        <v>20.276691558064268</v>
      </c>
      <c r="N16" s="131">
        <f>IF(SER_hh_tesh_in!N16=0,0,SER_hh_tesh_in!N16/SER_summary!N$27)</f>
        <v>22.136536129421689</v>
      </c>
      <c r="O16" s="131">
        <f>IF(SER_hh_tesh_in!O16=0,0,SER_hh_tesh_in!O16/SER_summary!O$27)</f>
        <v>20.536571743307046</v>
      </c>
      <c r="P16" s="131">
        <f>IF(SER_hh_tesh_in!P16=0,0,SER_hh_tesh_in!P16/SER_summary!P$27)</f>
        <v>22.635500837798183</v>
      </c>
      <c r="Q16" s="131">
        <f>IF(SER_hh_tesh_in!Q16=0,0,SER_hh_tesh_in!Q16/SER_summary!Q$27)</f>
        <v>21.895275302173868</v>
      </c>
      <c r="R16" s="131">
        <f>IF(SER_hh_tesh_in!R16=0,0,SER_hh_tesh_in!R16/SER_summary!R$27)</f>
        <v>20.705931991510237</v>
      </c>
      <c r="S16" s="131">
        <f>IF(SER_hh_tesh_in!S16=0,0,SER_hh_tesh_in!S16/SER_summary!S$27)</f>
        <v>20.519790870837053</v>
      </c>
      <c r="T16" s="131">
        <f>IF(SER_hh_tesh_in!T16=0,0,SER_hh_tesh_in!T16/SER_summary!T$27)</f>
        <v>21.713238463387533</v>
      </c>
      <c r="U16" s="131">
        <f>IF(SER_hh_tesh_in!U16=0,0,SER_hh_tesh_in!U16/SER_summary!U$27)</f>
        <v>20.939984869871321</v>
      </c>
      <c r="V16" s="131">
        <f>IF(SER_hh_tesh_in!V16=0,0,SER_hh_tesh_in!V16/SER_summary!V$27)</f>
        <v>19.965010933077664</v>
      </c>
      <c r="W16" s="131">
        <f>IF(SER_hh_tesh_in!W16=0,0,SER_hh_tesh_in!W16/SER_summary!W$27)</f>
        <v>23.06161725734836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0</v>
      </c>
      <c r="D17" s="133">
        <f>IF(SER_hh_tesh_in!D17=0,0,SER_hh_tesh_in!D17/SER_summary!D$27)</f>
        <v>0</v>
      </c>
      <c r="E17" s="133">
        <f>IF(SER_hh_tesh_in!E17=0,0,SER_hh_tesh_in!E17/SER_summary!E$27)</f>
        <v>0</v>
      </c>
      <c r="F17" s="133">
        <f>IF(SER_hh_tesh_in!F17=0,0,SER_hh_tesh_in!F17/SER_summary!F$27)</f>
        <v>0</v>
      </c>
      <c r="G17" s="133">
        <f>IF(SER_hh_tesh_in!G17=0,0,SER_hh_tesh_in!G17/SER_summary!G$27)</f>
        <v>0</v>
      </c>
      <c r="H17" s="133">
        <f>IF(SER_hh_tesh_in!H17=0,0,SER_hh_tesh_in!H17/SER_summary!H$27)</f>
        <v>0</v>
      </c>
      <c r="I17" s="133">
        <f>IF(SER_hh_tesh_in!I17=0,0,SER_hh_tesh_in!I17/SER_summary!I$27)</f>
        <v>0</v>
      </c>
      <c r="J17" s="133">
        <f>IF(SER_hh_tesh_in!J17=0,0,SER_hh_tesh_in!J17/SER_summary!J$27)</f>
        <v>0</v>
      </c>
      <c r="K17" s="133">
        <f>IF(SER_hh_tesh_in!K17=0,0,SER_hh_tesh_in!K17/SER_summary!K$27)</f>
        <v>0</v>
      </c>
      <c r="L17" s="133">
        <f>IF(SER_hh_tesh_in!L17=0,0,SER_hh_tesh_in!L17/SER_summary!L$27)</f>
        <v>0</v>
      </c>
      <c r="M17" s="133">
        <f>IF(SER_hh_tesh_in!M17=0,0,SER_hh_tesh_in!M17/SER_summary!M$27)</f>
        <v>0</v>
      </c>
      <c r="N17" s="133">
        <f>IF(SER_hh_tesh_in!N17=0,0,SER_hh_tesh_in!N17/SER_summary!N$27)</f>
        <v>0</v>
      </c>
      <c r="O17" s="133">
        <f>IF(SER_hh_tesh_in!O17=0,0,SER_hh_tesh_in!O17/SER_summary!O$27)</f>
        <v>0</v>
      </c>
      <c r="P17" s="133">
        <f>IF(SER_hh_tesh_in!P17=0,0,SER_hh_tesh_in!P17/SER_summary!P$27)</f>
        <v>0</v>
      </c>
      <c r="Q17" s="133">
        <f>IF(SER_hh_tesh_in!Q17=0,0,SER_hh_tesh_in!Q17/SER_summary!Q$27)</f>
        <v>0</v>
      </c>
      <c r="R17" s="133">
        <f>IF(SER_hh_tesh_in!R17=0,0,SER_hh_tesh_in!R17/SER_summary!R$27)</f>
        <v>0</v>
      </c>
      <c r="S17" s="133">
        <f>IF(SER_hh_tesh_in!S17=0,0,SER_hh_tesh_in!S17/SER_summary!S$27)</f>
        <v>0</v>
      </c>
      <c r="T17" s="133">
        <f>IF(SER_hh_tesh_in!T17=0,0,SER_hh_tesh_in!T17/SER_summary!T$27)</f>
        <v>0</v>
      </c>
      <c r="U17" s="133">
        <f>IF(SER_hh_tesh_in!U17=0,0,SER_hh_tesh_in!U17/SER_summary!U$27)</f>
        <v>0</v>
      </c>
      <c r="V17" s="133">
        <f>IF(SER_hh_tesh_in!V17=0,0,SER_hh_tesh_in!V17/SER_summary!V$27)</f>
        <v>0</v>
      </c>
      <c r="W17" s="133">
        <f>IF(SER_hh_tesh_in!W17=0,0,SER_hh_tesh_in!W17/SER_summary!W$27)</f>
        <v>0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21.679032053562228</v>
      </c>
      <c r="D18" s="133">
        <f>IF(SER_hh_tesh_in!D18=0,0,SER_hh_tesh_in!D18/SER_summary!D$27)</f>
        <v>23.176787289983984</v>
      </c>
      <c r="E18" s="133">
        <f>IF(SER_hh_tesh_in!E18=0,0,SER_hh_tesh_in!E18/SER_summary!E$27)</f>
        <v>20.689054589549045</v>
      </c>
      <c r="F18" s="133">
        <f>IF(SER_hh_tesh_in!F18=0,0,SER_hh_tesh_in!F18/SER_summary!F$27)</f>
        <v>20.489736363702356</v>
      </c>
      <c r="G18" s="133">
        <f>IF(SER_hh_tesh_in!G18=0,0,SER_hh_tesh_in!G18/SER_summary!G$27)</f>
        <v>20.457590808124486</v>
      </c>
      <c r="H18" s="133">
        <f>IF(SER_hh_tesh_in!H18=0,0,SER_hh_tesh_in!H18/SER_summary!H$27)</f>
        <v>22.521714347358916</v>
      </c>
      <c r="I18" s="133">
        <f>IF(SER_hh_tesh_in!I18=0,0,SER_hh_tesh_in!I18/SER_summary!I$27)</f>
        <v>20.729220924672202</v>
      </c>
      <c r="J18" s="133">
        <f>IF(SER_hh_tesh_in!J18=0,0,SER_hh_tesh_in!J18/SER_summary!J$27)</f>
        <v>20.379086855011696</v>
      </c>
      <c r="K18" s="133">
        <f>IF(SER_hh_tesh_in!K18=0,0,SER_hh_tesh_in!K18/SER_summary!K$27)</f>
        <v>20.264393241919439</v>
      </c>
      <c r="L18" s="133">
        <f>IF(SER_hh_tesh_in!L18=0,0,SER_hh_tesh_in!L18/SER_summary!L$27)</f>
        <v>25.613968067822089</v>
      </c>
      <c r="M18" s="133">
        <f>IF(SER_hh_tesh_in!M18=0,0,SER_hh_tesh_in!M18/SER_summary!M$27)</f>
        <v>20.276691558064268</v>
      </c>
      <c r="N18" s="133">
        <f>IF(SER_hh_tesh_in!N18=0,0,SER_hh_tesh_in!N18/SER_summary!N$27)</f>
        <v>22.136536129421689</v>
      </c>
      <c r="O18" s="133">
        <f>IF(SER_hh_tesh_in!O18=0,0,SER_hh_tesh_in!O18/SER_summary!O$27)</f>
        <v>20.536571743307046</v>
      </c>
      <c r="P18" s="133">
        <f>IF(SER_hh_tesh_in!P18=0,0,SER_hh_tesh_in!P18/SER_summary!P$27)</f>
        <v>22.635500837798183</v>
      </c>
      <c r="Q18" s="133">
        <f>IF(SER_hh_tesh_in!Q18=0,0,SER_hh_tesh_in!Q18/SER_summary!Q$27)</f>
        <v>21.895275302173868</v>
      </c>
      <c r="R18" s="133">
        <f>IF(SER_hh_tesh_in!R18=0,0,SER_hh_tesh_in!R18/SER_summary!R$27)</f>
        <v>20.705931991510237</v>
      </c>
      <c r="S18" s="133">
        <f>IF(SER_hh_tesh_in!S18=0,0,SER_hh_tesh_in!S18/SER_summary!S$27)</f>
        <v>20.519790870837053</v>
      </c>
      <c r="T18" s="133">
        <f>IF(SER_hh_tesh_in!T18=0,0,SER_hh_tesh_in!T18/SER_summary!T$27)</f>
        <v>21.713238463387533</v>
      </c>
      <c r="U18" s="133">
        <f>IF(SER_hh_tesh_in!U18=0,0,SER_hh_tesh_in!U18/SER_summary!U$27)</f>
        <v>20.939984869871321</v>
      </c>
      <c r="V18" s="133">
        <f>IF(SER_hh_tesh_in!V18=0,0,SER_hh_tesh_in!V18/SER_summary!V$27)</f>
        <v>19.965010933077664</v>
      </c>
      <c r="W18" s="133">
        <f>IF(SER_hh_tesh_in!W18=0,0,SER_hh_tesh_in!W18/SER_summary!W$27)</f>
        <v>23.06161725734836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8.7857567776955605</v>
      </c>
      <c r="D19" s="131">
        <f>IF(SER_hh_tesh_in!D19=0,0,SER_hh_tesh_in!D19/SER_summary!D$27)</f>
        <v>8.7193252897300901</v>
      </c>
      <c r="E19" s="131">
        <f>IF(SER_hh_tesh_in!E19=0,0,SER_hh_tesh_in!E19/SER_summary!E$27)</f>
        <v>8.6236783786641062</v>
      </c>
      <c r="F19" s="131">
        <f>IF(SER_hh_tesh_in!F19=0,0,SER_hh_tesh_in!F19/SER_summary!F$27)</f>
        <v>8.9004122752363504</v>
      </c>
      <c r="G19" s="131">
        <f>IF(SER_hh_tesh_in!G19=0,0,SER_hh_tesh_in!G19/SER_summary!G$27)</f>
        <v>9.0835787288686909</v>
      </c>
      <c r="H19" s="131">
        <f>IF(SER_hh_tesh_in!H19=0,0,SER_hh_tesh_in!H19/SER_summary!H$27)</f>
        <v>9.3145021889832105</v>
      </c>
      <c r="I19" s="131">
        <f>IF(SER_hh_tesh_in!I19=0,0,SER_hh_tesh_in!I19/SER_summary!I$27)</f>
        <v>9.0990859141040019</v>
      </c>
      <c r="J19" s="131">
        <f>IF(SER_hh_tesh_in!J19=0,0,SER_hh_tesh_in!J19/SER_summary!J$27)</f>
        <v>9.1422377866436815</v>
      </c>
      <c r="K19" s="131">
        <f>IF(SER_hh_tesh_in!K19=0,0,SER_hh_tesh_in!K19/SER_summary!K$27)</f>
        <v>9.3428858179489342</v>
      </c>
      <c r="L19" s="131">
        <f>IF(SER_hh_tesh_in!L19=0,0,SER_hh_tesh_in!L19/SER_summary!L$27)</f>
        <v>9.5538826486590391</v>
      </c>
      <c r="M19" s="131">
        <f>IF(SER_hh_tesh_in!M19=0,0,SER_hh_tesh_in!M19/SER_summary!M$27)</f>
        <v>9.5141372274920037</v>
      </c>
      <c r="N19" s="131">
        <f>IF(SER_hh_tesh_in!N19=0,0,SER_hh_tesh_in!N19/SER_summary!N$27)</f>
        <v>9.649620932139829</v>
      </c>
      <c r="O19" s="131">
        <f>IF(SER_hh_tesh_in!O19=0,0,SER_hh_tesh_in!O19/SER_summary!O$27)</f>
        <v>9.7783407089215189</v>
      </c>
      <c r="P19" s="131">
        <f>IF(SER_hh_tesh_in!P19=0,0,SER_hh_tesh_in!P19/SER_summary!P$27)</f>
        <v>9.6309666440129451</v>
      </c>
      <c r="Q19" s="131">
        <f>IF(SER_hh_tesh_in!Q19=0,0,SER_hh_tesh_in!Q19/SER_summary!Q$27)</f>
        <v>10.008795393378026</v>
      </c>
      <c r="R19" s="131">
        <f>IF(SER_hh_tesh_in!R19=0,0,SER_hh_tesh_in!R19/SER_summary!R$27)</f>
        <v>10.014178616026005</v>
      </c>
      <c r="S19" s="131">
        <f>IF(SER_hh_tesh_in!S19=0,0,SER_hh_tesh_in!S19/SER_summary!S$27)</f>
        <v>10.054542380508767</v>
      </c>
      <c r="T19" s="131">
        <f>IF(SER_hh_tesh_in!T19=0,0,SER_hh_tesh_in!T19/SER_summary!T$27)</f>
        <v>10.042661732489</v>
      </c>
      <c r="U19" s="131">
        <f>IF(SER_hh_tesh_in!U19=0,0,SER_hh_tesh_in!U19/SER_summary!U$27)</f>
        <v>10.038010033249755</v>
      </c>
      <c r="V19" s="131">
        <f>IF(SER_hh_tesh_in!V19=0,0,SER_hh_tesh_in!V19/SER_summary!V$27)</f>
        <v>8.8816581773839651</v>
      </c>
      <c r="W19" s="131">
        <f>IF(SER_hh_tesh_in!W19=0,0,SER_hh_tesh_in!W19/SER_summary!W$27)</f>
        <v>9.9351313755041701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0</v>
      </c>
      <c r="D21" s="133">
        <f>IF(SER_hh_tesh_in!D21=0,0,SER_hh_tesh_in!D21/SER_summary!D$27)</f>
        <v>0</v>
      </c>
      <c r="E21" s="133">
        <f>IF(SER_hh_tesh_in!E21=0,0,SER_hh_tesh_in!E21/SER_summary!E$27)</f>
        <v>0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0</v>
      </c>
      <c r="I21" s="133">
        <f>IF(SER_hh_tesh_in!I21=0,0,SER_hh_tesh_in!I21/SER_summary!I$27)</f>
        <v>0</v>
      </c>
      <c r="J21" s="133">
        <f>IF(SER_hh_tesh_in!J21=0,0,SER_hh_tesh_in!J21/SER_summary!J$27)</f>
        <v>0</v>
      </c>
      <c r="K21" s="133">
        <f>IF(SER_hh_tesh_in!K21=0,0,SER_hh_tesh_in!K21/SER_summary!K$27)</f>
        <v>0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0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0</v>
      </c>
      <c r="D22" s="133">
        <f>IF(SER_hh_tesh_in!D22=0,0,SER_hh_tesh_in!D22/SER_summary!D$27)</f>
        <v>0</v>
      </c>
      <c r="E22" s="133">
        <f>IF(SER_hh_tesh_in!E22=0,0,SER_hh_tesh_in!E22/SER_summary!E$27)</f>
        <v>0</v>
      </c>
      <c r="F22" s="133">
        <f>IF(SER_hh_tesh_in!F22=0,0,SER_hh_tesh_in!F22/SER_summary!F$27)</f>
        <v>0</v>
      </c>
      <c r="G22" s="133">
        <f>IF(SER_hh_tesh_in!G22=0,0,SER_hh_tesh_in!G22/SER_summary!G$27)</f>
        <v>0</v>
      </c>
      <c r="H22" s="133">
        <f>IF(SER_hh_tesh_in!H22=0,0,SER_hh_tesh_in!H22/SER_summary!H$27)</f>
        <v>0</v>
      </c>
      <c r="I22" s="133">
        <f>IF(SER_hh_tesh_in!I22=0,0,SER_hh_tesh_in!I22/SER_summary!I$27)</f>
        <v>0</v>
      </c>
      <c r="J22" s="133">
        <f>IF(SER_hh_tesh_in!J22=0,0,SER_hh_tesh_in!J22/SER_summary!J$27)</f>
        <v>9.9910050316492676</v>
      </c>
      <c r="K22" s="133">
        <f>IF(SER_hh_tesh_in!K22=0,0,SER_hh_tesh_in!K22/SER_summary!K$27)</f>
        <v>8.6308788693658389</v>
      </c>
      <c r="L22" s="133">
        <f>IF(SER_hh_tesh_in!L22=0,0,SER_hh_tesh_in!L22/SER_summary!L$27)</f>
        <v>9.2484686897865362</v>
      </c>
      <c r="M22" s="133">
        <f>IF(SER_hh_tesh_in!M22=0,0,SER_hh_tesh_in!M22/SER_summary!M$27)</f>
        <v>9.3493671702650776</v>
      </c>
      <c r="N22" s="133">
        <f>IF(SER_hh_tesh_in!N22=0,0,SER_hh_tesh_in!N22/SER_summary!N$27)</f>
        <v>8.6313676103316777</v>
      </c>
      <c r="O22" s="133">
        <f>IF(SER_hh_tesh_in!O22=0,0,SER_hh_tesh_in!O22/SER_summary!O$27)</f>
        <v>9.698155012967975</v>
      </c>
      <c r="P22" s="133">
        <f>IF(SER_hh_tesh_in!P22=0,0,SER_hh_tesh_in!P22/SER_summary!P$27)</f>
        <v>0</v>
      </c>
      <c r="Q22" s="133">
        <f>IF(SER_hh_tesh_in!Q22=0,0,SER_hh_tesh_in!Q22/SER_summary!Q$27)</f>
        <v>9.8177931963271448</v>
      </c>
      <c r="R22" s="133">
        <f>IF(SER_hh_tesh_in!R22=0,0,SER_hh_tesh_in!R22/SER_summary!R$27)</f>
        <v>0</v>
      </c>
      <c r="S22" s="133">
        <f>IF(SER_hh_tesh_in!S22=0,0,SER_hh_tesh_in!S22/SER_summary!S$27)</f>
        <v>11.031297653466005</v>
      </c>
      <c r="T22" s="133">
        <f>IF(SER_hh_tesh_in!T22=0,0,SER_hh_tesh_in!T22/SER_summary!T$27)</f>
        <v>8.0798122866683926</v>
      </c>
      <c r="U22" s="133">
        <f>IF(SER_hh_tesh_in!U22=0,0,SER_hh_tesh_in!U22/SER_summary!U$27)</f>
        <v>9.3410666235422912</v>
      </c>
      <c r="V22" s="133">
        <f>IF(SER_hh_tesh_in!V22=0,0,SER_hh_tesh_in!V22/SER_summary!V$27)</f>
        <v>9.3002753829520834</v>
      </c>
      <c r="W22" s="133">
        <f>IF(SER_hh_tesh_in!W22=0,0,SER_hh_tesh_in!W22/SER_summary!W$27)</f>
        <v>10.103423437245135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8.5573487875722805</v>
      </c>
      <c r="D23" s="133">
        <f>IF(SER_hh_tesh_in!D23=0,0,SER_hh_tesh_in!D23/SER_summary!D$27)</f>
        <v>8.6396947029418012</v>
      </c>
      <c r="E23" s="133">
        <f>IF(SER_hh_tesh_in!E23=0,0,SER_hh_tesh_in!E23/SER_summary!E$27)</f>
        <v>8.2676131827356496</v>
      </c>
      <c r="F23" s="133">
        <f>IF(SER_hh_tesh_in!F23=0,0,SER_hh_tesh_in!F23/SER_summary!F$27)</f>
        <v>9.2018494653503531</v>
      </c>
      <c r="G23" s="133">
        <f>IF(SER_hh_tesh_in!G23=0,0,SER_hh_tesh_in!G23/SER_summary!G$27)</f>
        <v>8.3534473951250021</v>
      </c>
      <c r="H23" s="133">
        <f>IF(SER_hh_tesh_in!H23=0,0,SER_hh_tesh_in!H23/SER_summary!H$27)</f>
        <v>8.1877575353340628</v>
      </c>
      <c r="I23" s="133">
        <f>IF(SER_hh_tesh_in!I23=0,0,SER_hh_tesh_in!I23/SER_summary!I$27)</f>
        <v>9.8832807648005367</v>
      </c>
      <c r="J23" s="133">
        <f>IF(SER_hh_tesh_in!J23=0,0,SER_hh_tesh_in!J23/SER_summary!J$27)</f>
        <v>9.8840046312733456</v>
      </c>
      <c r="K23" s="133">
        <f>IF(SER_hh_tesh_in!K23=0,0,SER_hh_tesh_in!K23/SER_summary!K$27)</f>
        <v>9.3844866553217017</v>
      </c>
      <c r="L23" s="133">
        <f>IF(SER_hh_tesh_in!L23=0,0,SER_hh_tesh_in!L23/SER_summary!L$27)</f>
        <v>9.4085322875970316</v>
      </c>
      <c r="M23" s="133">
        <f>IF(SER_hh_tesh_in!M23=0,0,SER_hh_tesh_in!M23/SER_summary!M$27)</f>
        <v>9.6075017072399298</v>
      </c>
      <c r="N23" s="133">
        <f>IF(SER_hh_tesh_in!N23=0,0,SER_hh_tesh_in!N23/SER_summary!N$27)</f>
        <v>9.6721538019284736</v>
      </c>
      <c r="O23" s="133">
        <f>IF(SER_hh_tesh_in!O23=0,0,SER_hh_tesh_in!O23/SER_summary!O$27)</f>
        <v>9.8761933144337721</v>
      </c>
      <c r="P23" s="133">
        <f>IF(SER_hh_tesh_in!P23=0,0,SER_hh_tesh_in!P23/SER_summary!P$27)</f>
        <v>9.3088332103965943</v>
      </c>
      <c r="Q23" s="133">
        <f>IF(SER_hh_tesh_in!Q23=0,0,SER_hh_tesh_in!Q23/SER_summary!Q$27)</f>
        <v>9.8134266185895953</v>
      </c>
      <c r="R23" s="133">
        <f>IF(SER_hh_tesh_in!R23=0,0,SER_hh_tesh_in!R23/SER_summary!R$27)</f>
        <v>10.165633830224957</v>
      </c>
      <c r="S23" s="133">
        <f>IF(SER_hh_tesh_in!S23=0,0,SER_hh_tesh_in!S23/SER_summary!S$27)</f>
        <v>9.9164119515758564</v>
      </c>
      <c r="T23" s="133">
        <f>IF(SER_hh_tesh_in!T23=0,0,SER_hh_tesh_in!T23/SER_summary!T$27)</f>
        <v>9.9213055141772113</v>
      </c>
      <c r="U23" s="133">
        <f>IF(SER_hh_tesh_in!U23=0,0,SER_hh_tesh_in!U23/SER_summary!U$27)</f>
        <v>9.7613833429816452</v>
      </c>
      <c r="V23" s="133">
        <f>IF(SER_hh_tesh_in!V23=0,0,SER_hh_tesh_in!V23/SER_summary!V$27)</f>
        <v>9.3182750945807253</v>
      </c>
      <c r="W23" s="133">
        <f>IF(SER_hh_tesh_in!W23=0,0,SER_hh_tesh_in!W23/SER_summary!W$27)</f>
        <v>9.7614853582270058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8.4391517724968672</v>
      </c>
      <c r="D24" s="133">
        <f>IF(SER_hh_tesh_in!D24=0,0,SER_hh_tesh_in!D24/SER_summary!D$27)</f>
        <v>8.5924266504283597</v>
      </c>
      <c r="E24" s="133">
        <f>IF(SER_hh_tesh_in!E24=0,0,SER_hh_tesh_in!E24/SER_summary!E$27)</f>
        <v>8.8352884643354788</v>
      </c>
      <c r="F24" s="133">
        <f>IF(SER_hh_tesh_in!F24=0,0,SER_hh_tesh_in!F24/SER_summary!F$27)</f>
        <v>8.9553728565754938</v>
      </c>
      <c r="G24" s="133">
        <f>IF(SER_hh_tesh_in!G24=0,0,SER_hh_tesh_in!G24/SER_summary!G$27)</f>
        <v>9.1402351296581887</v>
      </c>
      <c r="H24" s="133">
        <f>IF(SER_hh_tesh_in!H24=0,0,SER_hh_tesh_in!H24/SER_summary!H$27)</f>
        <v>9.5812166760021071</v>
      </c>
      <c r="I24" s="133">
        <f>IF(SER_hh_tesh_in!I24=0,0,SER_hh_tesh_in!I24/SER_summary!I$27)</f>
        <v>9.1382948016887404</v>
      </c>
      <c r="J24" s="133">
        <f>IF(SER_hh_tesh_in!J24=0,0,SER_hh_tesh_in!J24/SER_summary!J$27)</f>
        <v>9.2835399861438344</v>
      </c>
      <c r="K24" s="133">
        <f>IF(SER_hh_tesh_in!K24=0,0,SER_hh_tesh_in!K24/SER_summary!K$27)</f>
        <v>9.2770518664294208</v>
      </c>
      <c r="L24" s="133">
        <f>IF(SER_hh_tesh_in!L24=0,0,SER_hh_tesh_in!L24/SER_summary!L$27)</f>
        <v>9.380501103562116</v>
      </c>
      <c r="M24" s="133">
        <f>IF(SER_hh_tesh_in!M24=0,0,SER_hh_tesh_in!M24/SER_summary!M$27)</f>
        <v>9.5855354936469048</v>
      </c>
      <c r="N24" s="133">
        <f>IF(SER_hh_tesh_in!N24=0,0,SER_hh_tesh_in!N24/SER_summary!N$27)</f>
        <v>9.6121421791292931</v>
      </c>
      <c r="O24" s="133">
        <f>IF(SER_hh_tesh_in!O24=0,0,SER_hh_tesh_in!O24/SER_summary!O$27)</f>
        <v>9.7911542946646684</v>
      </c>
      <c r="P24" s="133">
        <f>IF(SER_hh_tesh_in!P24=0,0,SER_hh_tesh_in!P24/SER_summary!P$27)</f>
        <v>9.9052406428420525</v>
      </c>
      <c r="Q24" s="133">
        <f>IF(SER_hh_tesh_in!Q24=0,0,SER_hh_tesh_in!Q24/SER_summary!Q$27)</f>
        <v>10.2144492668511</v>
      </c>
      <c r="R24" s="133">
        <f>IF(SER_hh_tesh_in!R24=0,0,SER_hh_tesh_in!R24/SER_summary!R$27)</f>
        <v>10.227917270377045</v>
      </c>
      <c r="S24" s="133">
        <f>IF(SER_hh_tesh_in!S24=0,0,SER_hh_tesh_in!S24/SER_summary!S$27)</f>
        <v>9.4889693068567667</v>
      </c>
      <c r="T24" s="133">
        <f>IF(SER_hh_tesh_in!T24=0,0,SER_hh_tesh_in!T24/SER_summary!T$27)</f>
        <v>9.9190036109925988</v>
      </c>
      <c r="U24" s="133">
        <f>IF(SER_hh_tesh_in!U24=0,0,SER_hh_tesh_in!U24/SER_summary!U$27)</f>
        <v>9.4240556030337146</v>
      </c>
      <c r="V24" s="133">
        <f>IF(SER_hh_tesh_in!V24=0,0,SER_hh_tesh_in!V24/SER_summary!V$27)</f>
        <v>9.8367170183652384</v>
      </c>
      <c r="W24" s="133">
        <f>IF(SER_hh_tesh_in!W24=0,0,SER_hh_tesh_in!W24/SER_summary!W$27)</f>
        <v>9.47200556848113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8.8259127464409932</v>
      </c>
      <c r="D25" s="133">
        <f>IF(SER_hh_tesh_in!D25=0,0,SER_hh_tesh_in!D25/SER_summary!D$27)</f>
        <v>8.6255985815692888</v>
      </c>
      <c r="E25" s="133">
        <f>IF(SER_hh_tesh_in!E25=0,0,SER_hh_tesh_in!E25/SER_summary!E$27)</f>
        <v>8.5827599012426123</v>
      </c>
      <c r="F25" s="133">
        <f>IF(SER_hh_tesh_in!F25=0,0,SER_hh_tesh_in!F25/SER_summary!F$27)</f>
        <v>8.8956047283394923</v>
      </c>
      <c r="G25" s="133">
        <f>IF(SER_hh_tesh_in!G25=0,0,SER_hh_tesh_in!G25/SER_summary!G$27)</f>
        <v>9.2240520065971765</v>
      </c>
      <c r="H25" s="133">
        <f>IF(SER_hh_tesh_in!H25=0,0,SER_hh_tesh_in!H25/SER_summary!H$27)</f>
        <v>9.6815822683808204</v>
      </c>
      <c r="I25" s="133">
        <f>IF(SER_hh_tesh_in!I25=0,0,SER_hh_tesh_in!I25/SER_summary!I$27)</f>
        <v>8.6887542884086013</v>
      </c>
      <c r="J25" s="133">
        <f>IF(SER_hh_tesh_in!J25=0,0,SER_hh_tesh_in!J25/SER_summary!J$27)</f>
        <v>8.7288299110959429</v>
      </c>
      <c r="K25" s="133">
        <f>IF(SER_hh_tesh_in!K25=0,0,SER_hh_tesh_in!K25/SER_summary!K$27)</f>
        <v>9.4030277903380259</v>
      </c>
      <c r="L25" s="133">
        <f>IF(SER_hh_tesh_in!L25=0,0,SER_hh_tesh_in!L25/SER_summary!L$27)</f>
        <v>9.6674200144530023</v>
      </c>
      <c r="M25" s="133">
        <f>IF(SER_hh_tesh_in!M25=0,0,SER_hh_tesh_in!M25/SER_summary!M$27)</f>
        <v>9.4774514915968773</v>
      </c>
      <c r="N25" s="133">
        <f>IF(SER_hh_tesh_in!N25=0,0,SER_hh_tesh_in!N25/SER_summary!N$27)</f>
        <v>9.5685922247805735</v>
      </c>
      <c r="O25" s="133">
        <f>IF(SER_hh_tesh_in!O25=0,0,SER_hh_tesh_in!O25/SER_summary!O$27)</f>
        <v>9.7974169646332783</v>
      </c>
      <c r="P25" s="133">
        <f>IF(SER_hh_tesh_in!P25=0,0,SER_hh_tesh_in!P25/SER_summary!P$27)</f>
        <v>9.5982065637541254</v>
      </c>
      <c r="Q25" s="133">
        <f>IF(SER_hh_tesh_in!Q25=0,0,SER_hh_tesh_in!Q25/SER_summary!Q$27)</f>
        <v>10.030554289298706</v>
      </c>
      <c r="R25" s="133">
        <f>IF(SER_hh_tesh_in!R25=0,0,SER_hh_tesh_in!R25/SER_summary!R$27)</f>
        <v>10.059218127073644</v>
      </c>
      <c r="S25" s="133">
        <f>IF(SER_hh_tesh_in!S25=0,0,SER_hh_tesh_in!S25/SER_summary!S$27)</f>
        <v>10.266735714863566</v>
      </c>
      <c r="T25" s="133">
        <f>IF(SER_hh_tesh_in!T25=0,0,SER_hh_tesh_in!T25/SER_summary!T$27)</f>
        <v>10.079663835663965</v>
      </c>
      <c r="U25" s="133">
        <f>IF(SER_hh_tesh_in!U25=0,0,SER_hh_tesh_in!U25/SER_summary!U$27)</f>
        <v>9.9835247640898803</v>
      </c>
      <c r="V25" s="133">
        <f>IF(SER_hh_tesh_in!V25=0,0,SER_hh_tesh_in!V25/SER_summary!V$27)</f>
        <v>8.7802334347000404</v>
      </c>
      <c r="W25" s="133">
        <f>IF(SER_hh_tesh_in!W25=0,0,SER_hh_tesh_in!W25/SER_summary!W$27)</f>
        <v>9.8881599221354826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8.7817295798074007</v>
      </c>
      <c r="D26" s="65">
        <f>IF(SER_hh_tesh_in!D26=0,0,SER_hh_tesh_in!D26/SER_summary!D$27)</f>
        <v>8.858640196995232</v>
      </c>
      <c r="E26" s="65">
        <f>IF(SER_hh_tesh_in!E26=0,0,SER_hh_tesh_in!E26/SER_summary!E$27)</f>
        <v>8.7478339276379895</v>
      </c>
      <c r="F26" s="65">
        <f>IF(SER_hh_tesh_in!F26=0,0,SER_hh_tesh_in!F26/SER_summary!F$27)</f>
        <v>8.8288323751442412</v>
      </c>
      <c r="G26" s="65">
        <f>IF(SER_hh_tesh_in!G26=0,0,SER_hh_tesh_in!G26/SER_summary!G$27)</f>
        <v>9.0074065388997404</v>
      </c>
      <c r="H26" s="65">
        <f>IF(SER_hh_tesh_in!H26=0,0,SER_hh_tesh_in!H26/SER_summary!H$27)</f>
        <v>9.1973791216013936</v>
      </c>
      <c r="I26" s="65">
        <f>IF(SER_hh_tesh_in!I26=0,0,SER_hh_tesh_in!I26/SER_summary!I$27)</f>
        <v>9.5438841126511011</v>
      </c>
      <c r="J26" s="65">
        <f>IF(SER_hh_tesh_in!J26=0,0,SER_hh_tesh_in!J26/SER_summary!J$27)</f>
        <v>9.7682983054246506</v>
      </c>
      <c r="K26" s="65">
        <f>IF(SER_hh_tesh_in!K26=0,0,SER_hh_tesh_in!K26/SER_summary!K$27)</f>
        <v>9.1187538480200256</v>
      </c>
      <c r="L26" s="65">
        <f>IF(SER_hh_tesh_in!L26=0,0,SER_hh_tesh_in!L26/SER_summary!L$27)</f>
        <v>9.0700516265535569</v>
      </c>
      <c r="M26" s="65">
        <f>IF(SER_hh_tesh_in!M26=0,0,SER_hh_tesh_in!M26/SER_summary!M$27)</f>
        <v>9.6158278688705305</v>
      </c>
      <c r="N26" s="65">
        <f>IF(SER_hh_tesh_in!N26=0,0,SER_hh_tesh_in!N26/SER_summary!N$27)</f>
        <v>9.9073873954477296</v>
      </c>
      <c r="O26" s="65">
        <f>IF(SER_hh_tesh_in!O26=0,0,SER_hh_tesh_in!O26/SER_summary!O$27)</f>
        <v>9.6703360265995855</v>
      </c>
      <c r="P26" s="65">
        <f>IF(SER_hh_tesh_in!P26=0,0,SER_hh_tesh_in!P26/SER_summary!P$27)</f>
        <v>10.261696238174748</v>
      </c>
      <c r="Q26" s="65">
        <f>IF(SER_hh_tesh_in!Q26=0,0,SER_hh_tesh_in!Q26/SER_summary!Q$27)</f>
        <v>0</v>
      </c>
      <c r="R26" s="65">
        <f>IF(SER_hh_tesh_in!R26=0,0,SER_hh_tesh_in!R26/SER_summary!R$27)</f>
        <v>9.7056765255523807</v>
      </c>
      <c r="S26" s="65">
        <f>IF(SER_hh_tesh_in!S26=0,0,SER_hh_tesh_in!S26/SER_summary!S$27)</f>
        <v>9.641930799133533</v>
      </c>
      <c r="T26" s="65">
        <f>IF(SER_hh_tesh_in!T26=0,0,SER_hh_tesh_in!T26/SER_summary!T$27)</f>
        <v>10.055695417124117</v>
      </c>
      <c r="U26" s="65">
        <f>IF(SER_hh_tesh_in!U26=0,0,SER_hh_tesh_in!U26/SER_summary!U$27)</f>
        <v>10.265672170223411</v>
      </c>
      <c r="V26" s="65">
        <f>IF(SER_hh_tesh_in!V26=0,0,SER_hh_tesh_in!V26/SER_summary!V$27)</f>
        <v>8.642197051482535</v>
      </c>
      <c r="W26" s="65">
        <f>IF(SER_hh_tesh_in!W26=0,0,SER_hh_tesh_in!W26/SER_summary!W$27)</f>
        <v>10.133838566084405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</v>
      </c>
      <c r="E27" s="146">
        <f>IF(SER_hh_tesh_in!E27=0,0,SER_hh_tesh_in!E27/SER_summary!E$27)</f>
        <v>0</v>
      </c>
      <c r="F27" s="146">
        <f>IF(SER_hh_tesh_in!F27=0,0,SER_hh_tesh_in!F27/SER_summary!F$27)</f>
        <v>0</v>
      </c>
      <c r="G27" s="146">
        <f>IF(SER_hh_tesh_in!G27=0,0,SER_hh_tesh_in!G27/SER_summary!G$27)</f>
        <v>0</v>
      </c>
      <c r="H27" s="146">
        <f>IF(SER_hh_tesh_in!H27=0,0,SER_hh_tesh_in!H27/SER_summary!H$27)</f>
        <v>0</v>
      </c>
      <c r="I27" s="146">
        <f>IF(SER_hh_tesh_in!I27=0,0,SER_hh_tesh_in!I27/SER_summary!I$27)</f>
        <v>0</v>
      </c>
      <c r="J27" s="146">
        <f>IF(SER_hh_tesh_in!J27=0,0,SER_hh_tesh_in!J27/SER_summary!J$27)</f>
        <v>0</v>
      </c>
      <c r="K27" s="146">
        <f>IF(SER_hh_tesh_in!K27=0,0,SER_hh_tesh_in!K27/SER_summary!K$27)</f>
        <v>0</v>
      </c>
      <c r="L27" s="146">
        <f>IF(SER_hh_tesh_in!L27=0,0,SER_hh_tesh_in!L27/SER_summary!L$27)</f>
        <v>0</v>
      </c>
      <c r="M27" s="146">
        <f>IF(SER_hh_tesh_in!M27=0,0,SER_hh_tesh_in!M27/SER_summary!M$27)</f>
        <v>0</v>
      </c>
      <c r="N27" s="146">
        <f>IF(SER_hh_tesh_in!N27=0,0,SER_hh_tesh_in!N27/SER_summary!N$27)</f>
        <v>0</v>
      </c>
      <c r="O27" s="146">
        <f>IF(SER_hh_tesh_in!O27=0,0,SER_hh_tesh_in!O27/SER_summary!O$27)</f>
        <v>0</v>
      </c>
      <c r="P27" s="146">
        <f>IF(SER_hh_tesh_in!P27=0,0,SER_hh_tesh_in!P27/SER_summary!P$27)</f>
        <v>0</v>
      </c>
      <c r="Q27" s="146">
        <f>IF(SER_hh_tesh_in!Q27=0,0,SER_hh_tesh_in!Q27/SER_summary!Q$27)</f>
        <v>0</v>
      </c>
      <c r="R27" s="146">
        <f>IF(SER_hh_tesh_in!R27=0,0,SER_hh_tesh_in!R27/SER_summary!R$27)</f>
        <v>0</v>
      </c>
      <c r="S27" s="146">
        <f>IF(SER_hh_tesh_in!S27=0,0,SER_hh_tesh_in!S27/SER_summary!S$27)</f>
        <v>0</v>
      </c>
      <c r="T27" s="146">
        <f>IF(SER_hh_tesh_in!T27=0,0,SER_hh_tesh_in!T27/SER_summary!T$27)</f>
        <v>0</v>
      </c>
      <c r="U27" s="146">
        <f>IF(SER_hh_tesh_in!U27=0,0,SER_hh_tesh_in!U27/SER_summary!U$27)</f>
        <v>0</v>
      </c>
      <c r="V27" s="146">
        <f>IF(SER_hh_tesh_in!V27=0,0,SER_hh_tesh_in!V27/SER_summary!V$27)</f>
        <v>0</v>
      </c>
      <c r="W27" s="146">
        <f>IF(SER_hh_tesh_in!W27=0,0,SER_hh_tesh_in!W27/SER_summary!W$27)</f>
        <v>0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0</v>
      </c>
      <c r="E28" s="147">
        <f>IF(SER_hh_tesh_in!E28=0,0,SER_hh_tesh_in!E28/SER_summary!E$27)</f>
        <v>0</v>
      </c>
      <c r="F28" s="147">
        <f>IF(SER_hh_tesh_in!F28=0,0,SER_hh_tesh_in!F28/SER_summary!F$27)</f>
        <v>0</v>
      </c>
      <c r="G28" s="147">
        <f>IF(SER_hh_tesh_in!G28=0,0,SER_hh_tesh_in!G28/SER_summary!G$27)</f>
        <v>0</v>
      </c>
      <c r="H28" s="147">
        <f>IF(SER_hh_tesh_in!H28=0,0,SER_hh_tesh_in!H28/SER_summary!H$27)</f>
        <v>0</v>
      </c>
      <c r="I28" s="147">
        <f>IF(SER_hh_tesh_in!I28=0,0,SER_hh_tesh_in!I28/SER_summary!I$27)</f>
        <v>0</v>
      </c>
      <c r="J28" s="147">
        <f>IF(SER_hh_tesh_in!J28=0,0,SER_hh_tesh_in!J28/SER_summary!J$27)</f>
        <v>0</v>
      </c>
      <c r="K28" s="147">
        <f>IF(SER_hh_tesh_in!K28=0,0,SER_hh_tesh_in!K28/SER_summary!K$27)</f>
        <v>0</v>
      </c>
      <c r="L28" s="147">
        <f>IF(SER_hh_tesh_in!L28=0,0,SER_hh_tesh_in!L28/SER_summary!L$27)</f>
        <v>0</v>
      </c>
      <c r="M28" s="147">
        <f>IF(SER_hh_tesh_in!M28=0,0,SER_hh_tesh_in!M28/SER_summary!M$27)</f>
        <v>0</v>
      </c>
      <c r="N28" s="147">
        <f>IF(SER_hh_tesh_in!N28=0,0,SER_hh_tesh_in!N28/SER_summary!N$27)</f>
        <v>0</v>
      </c>
      <c r="O28" s="147">
        <f>IF(SER_hh_tesh_in!O28=0,0,SER_hh_tesh_in!O28/SER_summary!O$27)</f>
        <v>0</v>
      </c>
      <c r="P28" s="147">
        <f>IF(SER_hh_tesh_in!P28=0,0,SER_hh_tesh_in!P28/SER_summary!P$27)</f>
        <v>0</v>
      </c>
      <c r="Q28" s="147">
        <f>IF(SER_hh_tesh_in!Q28=0,0,SER_hh_tesh_in!Q28/SER_summary!Q$27)</f>
        <v>0</v>
      </c>
      <c r="R28" s="147">
        <f>IF(SER_hh_tesh_in!R28=0,0,SER_hh_tesh_in!R28/SER_summary!R$27)</f>
        <v>0</v>
      </c>
      <c r="S28" s="147">
        <f>IF(SER_hh_tesh_in!S28=0,0,SER_hh_tesh_in!S28/SER_summary!S$27)</f>
        <v>0</v>
      </c>
      <c r="T28" s="147">
        <f>IF(SER_hh_tesh_in!T28=0,0,SER_hh_tesh_in!T28/SER_summary!T$27)</f>
        <v>0</v>
      </c>
      <c r="U28" s="147">
        <f>IF(SER_hh_tesh_in!U28=0,0,SER_hh_tesh_in!U28/SER_summary!U$27)</f>
        <v>0</v>
      </c>
      <c r="V28" s="147">
        <f>IF(SER_hh_tesh_in!V28=0,0,SER_hh_tesh_in!V28/SER_summary!V$27)</f>
        <v>0</v>
      </c>
      <c r="W28" s="147">
        <f>IF(SER_hh_tesh_in!W28=0,0,SER_hh_tesh_in!W28/SER_summary!W$27)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9.3678655744253323</v>
      </c>
      <c r="D29" s="131">
        <f>IF(SER_hh_tesh_in!D29=0,0,SER_hh_tesh_in!D29/SER_summary!D$27)</f>
        <v>9.3050821973257278</v>
      </c>
      <c r="E29" s="131">
        <f>IF(SER_hh_tesh_in!E29=0,0,SER_hh_tesh_in!E29/SER_summary!E$27)</f>
        <v>9.0127909774557402</v>
      </c>
      <c r="F29" s="131">
        <f>IF(SER_hh_tesh_in!F29=0,0,SER_hh_tesh_in!F29/SER_summary!F$27)</f>
        <v>8.9456539150354022</v>
      </c>
      <c r="G29" s="131">
        <f>IF(SER_hh_tesh_in!G29=0,0,SER_hh_tesh_in!G29/SER_summary!G$27)</f>
        <v>9.0815391074887799</v>
      </c>
      <c r="H29" s="131">
        <f>IF(SER_hh_tesh_in!H29=0,0,SER_hh_tesh_in!H29/SER_summary!H$27)</f>
        <v>9.1206504496984895</v>
      </c>
      <c r="I29" s="131">
        <f>IF(SER_hh_tesh_in!I29=0,0,SER_hh_tesh_in!I29/SER_summary!I$27)</f>
        <v>8.8630692735747143</v>
      </c>
      <c r="J29" s="131">
        <f>IF(SER_hh_tesh_in!J29=0,0,SER_hh_tesh_in!J29/SER_summary!J$27)</f>
        <v>8.6859771120126563</v>
      </c>
      <c r="K29" s="131">
        <f>IF(SER_hh_tesh_in!K29=0,0,SER_hh_tesh_in!K29/SER_summary!K$27)</f>
        <v>8.5301456572421728</v>
      </c>
      <c r="L29" s="131">
        <f>IF(SER_hh_tesh_in!L29=0,0,SER_hh_tesh_in!L29/SER_summary!L$27)</f>
        <v>8.3116406764291142</v>
      </c>
      <c r="M29" s="131">
        <f>IF(SER_hh_tesh_in!M29=0,0,SER_hh_tesh_in!M29/SER_summary!M$27)</f>
        <v>7.9735503892701312</v>
      </c>
      <c r="N29" s="131">
        <f>IF(SER_hh_tesh_in!N29=0,0,SER_hh_tesh_in!N29/SER_summary!N$27)</f>
        <v>8.5005390311005993</v>
      </c>
      <c r="O29" s="131">
        <f>IF(SER_hh_tesh_in!O29=0,0,SER_hh_tesh_in!O29/SER_summary!O$27)</f>
        <v>8.2204078758854795</v>
      </c>
      <c r="P29" s="131">
        <f>IF(SER_hh_tesh_in!P29=0,0,SER_hh_tesh_in!P29/SER_summary!P$27)</f>
        <v>7.9943006527738287</v>
      </c>
      <c r="Q29" s="131">
        <f>IF(SER_hh_tesh_in!Q29=0,0,SER_hh_tesh_in!Q29/SER_summary!Q$27)</f>
        <v>7.5526870928886991</v>
      </c>
      <c r="R29" s="131">
        <f>IF(SER_hh_tesh_in!R29=0,0,SER_hh_tesh_in!R29/SER_summary!R$27)</f>
        <v>7.8276002121378312</v>
      </c>
      <c r="S29" s="131">
        <f>IF(SER_hh_tesh_in!S29=0,0,SER_hh_tesh_in!S29/SER_summary!S$27)</f>
        <v>7.4865548054700639</v>
      </c>
      <c r="T29" s="131">
        <f>IF(SER_hh_tesh_in!T29=0,0,SER_hh_tesh_in!T29/SER_summary!T$27)</f>
        <v>7.7516428577993723</v>
      </c>
      <c r="U29" s="131">
        <f>IF(SER_hh_tesh_in!U29=0,0,SER_hh_tesh_in!U29/SER_summary!U$27)</f>
        <v>8.3272993961955279</v>
      </c>
      <c r="V29" s="131">
        <f>IF(SER_hh_tesh_in!V29=0,0,SER_hh_tesh_in!V29/SER_summary!V$27)</f>
        <v>7.682412469323106</v>
      </c>
      <c r="W29" s="131">
        <f>IF(SER_hh_tesh_in!W29=0,0,SER_hh_tesh_in!W29/SER_summary!W$27)</f>
        <v>8.9417194426990889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0</v>
      </c>
      <c r="D30" s="133">
        <f>IF(SER_hh_tesh_in!D30=0,0,SER_hh_tesh_in!D30/SER_summary!D$27)</f>
        <v>0</v>
      </c>
      <c r="E30" s="133">
        <f>IF(SER_hh_tesh_in!E30=0,0,SER_hh_tesh_in!E30/SER_summary!E$27)</f>
        <v>0</v>
      </c>
      <c r="F30" s="133">
        <f>IF(SER_hh_tesh_in!F30=0,0,SER_hh_tesh_in!F30/SER_summary!F$27)</f>
        <v>0</v>
      </c>
      <c r="G30" s="133">
        <f>IF(SER_hh_tesh_in!G30=0,0,SER_hh_tesh_in!G30/SER_summary!G$27)</f>
        <v>0</v>
      </c>
      <c r="H30" s="133">
        <f>IF(SER_hh_tesh_in!H30=0,0,SER_hh_tesh_in!H30/SER_summary!H$27)</f>
        <v>0</v>
      </c>
      <c r="I30" s="133">
        <f>IF(SER_hh_tesh_in!I30=0,0,SER_hh_tesh_in!I30/SER_summary!I$27)</f>
        <v>0</v>
      </c>
      <c r="J30" s="133">
        <f>IF(SER_hh_tesh_in!J30=0,0,SER_hh_tesh_in!J30/SER_summary!J$27)</f>
        <v>0</v>
      </c>
      <c r="K30" s="133">
        <f>IF(SER_hh_tesh_in!K30=0,0,SER_hh_tesh_in!K30/SER_summary!K$27)</f>
        <v>0</v>
      </c>
      <c r="L30" s="133">
        <f>IF(SER_hh_tesh_in!L30=0,0,SER_hh_tesh_in!L30/SER_summary!L$27)</f>
        <v>0</v>
      </c>
      <c r="M30" s="133">
        <f>IF(SER_hh_tesh_in!M30=0,0,SER_hh_tesh_in!M30/SER_summary!M$27)</f>
        <v>0</v>
      </c>
      <c r="N30" s="133">
        <f>IF(SER_hh_tesh_in!N30=0,0,SER_hh_tesh_in!N30/SER_summary!N$27)</f>
        <v>0</v>
      </c>
      <c r="O30" s="133">
        <f>IF(SER_hh_tesh_in!O30=0,0,SER_hh_tesh_in!O30/SER_summary!O$27)</f>
        <v>0</v>
      </c>
      <c r="P30" s="133">
        <f>IF(SER_hh_tesh_in!P30=0,0,SER_hh_tesh_in!P30/SER_summary!P$27)</f>
        <v>0</v>
      </c>
      <c r="Q30" s="133">
        <f>IF(SER_hh_tesh_in!Q30=0,0,SER_hh_tesh_in!Q30/SER_summary!Q$27)</f>
        <v>0</v>
      </c>
      <c r="R30" s="133">
        <f>IF(SER_hh_tesh_in!R30=0,0,SER_hh_tesh_in!R30/SER_summary!R$27)</f>
        <v>0</v>
      </c>
      <c r="S30" s="133">
        <f>IF(SER_hh_tesh_in!S30=0,0,SER_hh_tesh_in!S30/SER_summary!S$27)</f>
        <v>0</v>
      </c>
      <c r="T30" s="133">
        <f>IF(SER_hh_tesh_in!T30=0,0,SER_hh_tesh_in!T30/SER_summary!T$27)</f>
        <v>0</v>
      </c>
      <c r="U30" s="133">
        <f>IF(SER_hh_tesh_in!U30=0,0,SER_hh_tesh_in!U30/SER_summary!U$27)</f>
        <v>0</v>
      </c>
      <c r="V30" s="133">
        <f>IF(SER_hh_tesh_in!V30=0,0,SER_hh_tesh_in!V30/SER_summary!V$27)</f>
        <v>0</v>
      </c>
      <c r="W30" s="133">
        <f>IF(SER_hh_tesh_in!W30=0,0,SER_hh_tesh_in!W30/SER_summary!W$27)</f>
        <v>0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9.2474144739128299</v>
      </c>
      <c r="D31" s="133">
        <f>IF(SER_hh_tesh_in!D31=0,0,SER_hh_tesh_in!D31/SER_summary!D$27)</f>
        <v>9.6018888073159037</v>
      </c>
      <c r="E31" s="133">
        <f>IF(SER_hh_tesh_in!E31=0,0,SER_hh_tesh_in!E31/SER_summary!E$27)</f>
        <v>9.4548173822411741</v>
      </c>
      <c r="F31" s="133">
        <f>IF(SER_hh_tesh_in!F31=0,0,SER_hh_tesh_in!F31/SER_summary!F$27)</f>
        <v>8.5669953074845768</v>
      </c>
      <c r="G31" s="133">
        <f>IF(SER_hh_tesh_in!G31=0,0,SER_hh_tesh_in!G31/SER_summary!G$27)</f>
        <v>8.6513679066658167</v>
      </c>
      <c r="H31" s="133">
        <f>IF(SER_hh_tesh_in!H31=0,0,SER_hh_tesh_in!H31/SER_summary!H$27)</f>
        <v>8.2982782968823123</v>
      </c>
      <c r="I31" s="133">
        <f>IF(SER_hh_tesh_in!I31=0,0,SER_hh_tesh_in!I31/SER_summary!I$27)</f>
        <v>9.2942618110309088</v>
      </c>
      <c r="J31" s="133">
        <f>IF(SER_hh_tesh_in!J31=0,0,SER_hh_tesh_in!J31/SER_summary!J$27)</f>
        <v>9.1279396243165802</v>
      </c>
      <c r="K31" s="133">
        <f>IF(SER_hh_tesh_in!K31=0,0,SER_hh_tesh_in!K31/SER_summary!K$27)</f>
        <v>8.7189465751158899</v>
      </c>
      <c r="L31" s="133">
        <f>IF(SER_hh_tesh_in!L31=0,0,SER_hh_tesh_in!L31/SER_summary!L$27)</f>
        <v>8.3433433384745559</v>
      </c>
      <c r="M31" s="133">
        <f>IF(SER_hh_tesh_in!M31=0,0,SER_hh_tesh_in!M31/SER_summary!M$27)</f>
        <v>0</v>
      </c>
      <c r="N31" s="133">
        <f>IF(SER_hh_tesh_in!N31=0,0,SER_hh_tesh_in!N31/SER_summary!N$27)</f>
        <v>0</v>
      </c>
      <c r="O31" s="133">
        <f>IF(SER_hh_tesh_in!O31=0,0,SER_hh_tesh_in!O31/SER_summary!O$27)</f>
        <v>7.6247898450418221</v>
      </c>
      <c r="P31" s="133">
        <f>IF(SER_hh_tesh_in!P31=0,0,SER_hh_tesh_in!P31/SER_summary!P$27)</f>
        <v>7.1469529895966266</v>
      </c>
      <c r="Q31" s="133">
        <f>IF(SER_hh_tesh_in!Q31=0,0,SER_hh_tesh_in!Q31/SER_summary!Q$27)</f>
        <v>7.809403825787065</v>
      </c>
      <c r="R31" s="133">
        <f>IF(SER_hh_tesh_in!R31=0,0,SER_hh_tesh_in!R31/SER_summary!R$27)</f>
        <v>8.1037213886373092</v>
      </c>
      <c r="S31" s="133">
        <f>IF(SER_hh_tesh_in!S31=0,0,SER_hh_tesh_in!S31/SER_summary!S$27)</f>
        <v>7.6991786117366487</v>
      </c>
      <c r="T31" s="133">
        <f>IF(SER_hh_tesh_in!T31=0,0,SER_hh_tesh_in!T31/SER_summary!T$27)</f>
        <v>8.8914485299538946</v>
      </c>
      <c r="U31" s="133">
        <f>IF(SER_hh_tesh_in!U31=0,0,SER_hh_tesh_in!U31/SER_summary!U$27)</f>
        <v>0</v>
      </c>
      <c r="V31" s="133">
        <f>IF(SER_hh_tesh_in!V31=0,0,SER_hh_tesh_in!V31/SER_summary!V$27)</f>
        <v>0</v>
      </c>
      <c r="W31" s="133">
        <f>IF(SER_hh_tesh_in!W31=0,0,SER_hh_tesh_in!W31/SER_summary!W$27)</f>
        <v>0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12.799188942203168</v>
      </c>
      <c r="H32" s="133">
        <f>IF(SER_hh_tesh_in!H32=0,0,SER_hh_tesh_in!H32/SER_summary!H$27)</f>
        <v>8.7044484915250973</v>
      </c>
      <c r="I32" s="133">
        <f>IF(SER_hh_tesh_in!I32=0,0,SER_hh_tesh_in!I32/SER_summary!I$27)</f>
        <v>6.9280970908281319</v>
      </c>
      <c r="J32" s="133">
        <f>IF(SER_hh_tesh_in!J32=0,0,SER_hh_tesh_in!J32/SER_summary!J$27)</f>
        <v>11.716584670035321</v>
      </c>
      <c r="K32" s="133">
        <f>IF(SER_hh_tesh_in!K32=0,0,SER_hh_tesh_in!K32/SER_summary!K$27)</f>
        <v>5.6632428964889874</v>
      </c>
      <c r="L32" s="133">
        <f>IF(SER_hh_tesh_in!L32=0,0,SER_hh_tesh_in!L32/SER_summary!L$27)</f>
        <v>9.793973458423757</v>
      </c>
      <c r="M32" s="133">
        <f>IF(SER_hh_tesh_in!M32=0,0,SER_hh_tesh_in!M32/SER_summary!M$27)</f>
        <v>0</v>
      </c>
      <c r="N32" s="133">
        <f>IF(SER_hh_tesh_in!N32=0,0,SER_hh_tesh_in!N32/SER_summary!N$27)</f>
        <v>5.1252934871954761</v>
      </c>
      <c r="O32" s="133">
        <f>IF(SER_hh_tesh_in!O32=0,0,SER_hh_tesh_in!O32/SER_summary!O$27)</f>
        <v>5.3528989341480591</v>
      </c>
      <c r="P32" s="133">
        <f>IF(SER_hh_tesh_in!P32=0,0,SER_hh_tesh_in!P32/SER_summary!P$27)</f>
        <v>4.9252986898144169</v>
      </c>
      <c r="Q32" s="133">
        <f>IF(SER_hh_tesh_in!Q32=0,0,SER_hh_tesh_in!Q32/SER_summary!Q$27)</f>
        <v>8.8290725557422274</v>
      </c>
      <c r="R32" s="133">
        <f>IF(SER_hh_tesh_in!R32=0,0,SER_hh_tesh_in!R32/SER_summary!R$27)</f>
        <v>7.5963515248392088</v>
      </c>
      <c r="S32" s="133">
        <f>IF(SER_hh_tesh_in!S32=0,0,SER_hh_tesh_in!S32/SER_summary!S$27)</f>
        <v>7.419553244532012</v>
      </c>
      <c r="T32" s="133">
        <f>IF(SER_hh_tesh_in!T32=0,0,SER_hh_tesh_in!T32/SER_summary!T$27)</f>
        <v>7.4101474778076266</v>
      </c>
      <c r="U32" s="133">
        <f>IF(SER_hh_tesh_in!U32=0,0,SER_hh_tesh_in!U32/SER_summary!U$27)</f>
        <v>8.3786700402500287</v>
      </c>
      <c r="V32" s="133">
        <f>IF(SER_hh_tesh_in!V32=0,0,SER_hh_tesh_in!V32/SER_summary!V$27)</f>
        <v>7.2736287495092533</v>
      </c>
      <c r="W32" s="133">
        <f>IF(SER_hh_tesh_in!W32=0,0,SER_hh_tesh_in!W32/SER_summary!W$27)</f>
        <v>9.5986879414706774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9.4149222606250316</v>
      </c>
      <c r="D33" s="68">
        <f>IF(SER_hh_tesh_in!D33=0,0,SER_hh_tesh_in!D33/SER_summary!D$27)</f>
        <v>9.1799242497886215</v>
      </c>
      <c r="E33" s="68">
        <f>IF(SER_hh_tesh_in!E33=0,0,SER_hh_tesh_in!E33/SER_summary!E$27)</f>
        <v>8.895089396752315</v>
      </c>
      <c r="F33" s="68">
        <f>IF(SER_hh_tesh_in!F33=0,0,SER_hh_tesh_in!F33/SER_summary!F$27)</f>
        <v>9.0185134635382411</v>
      </c>
      <c r="G33" s="68">
        <f>IF(SER_hh_tesh_in!G33=0,0,SER_hh_tesh_in!G33/SER_summary!G$27)</f>
        <v>8.8624177829084694</v>
      </c>
      <c r="H33" s="68">
        <f>IF(SER_hh_tesh_in!H33=0,0,SER_hh_tesh_in!H33/SER_summary!H$27)</f>
        <v>9.5774548912057913</v>
      </c>
      <c r="I33" s="68">
        <f>IF(SER_hh_tesh_in!I33=0,0,SER_hh_tesh_in!I33/SER_summary!I$27)</f>
        <v>8.7132471977444901</v>
      </c>
      <c r="J33" s="68">
        <f>IF(SER_hh_tesh_in!J33=0,0,SER_hh_tesh_in!J33/SER_summary!J$27)</f>
        <v>8.2568446228325207</v>
      </c>
      <c r="K33" s="68">
        <f>IF(SER_hh_tesh_in!K33=0,0,SER_hh_tesh_in!K33/SER_summary!K$27)</f>
        <v>8.4819014673023752</v>
      </c>
      <c r="L33" s="68">
        <f>IF(SER_hh_tesh_in!L33=0,0,SER_hh_tesh_in!L33/SER_summary!L$27)</f>
        <v>8.2394581957645734</v>
      </c>
      <c r="M33" s="68">
        <f>IF(SER_hh_tesh_in!M33=0,0,SER_hh_tesh_in!M33/SER_summary!M$27)</f>
        <v>7.9735503892701312</v>
      </c>
      <c r="N33" s="68">
        <f>IF(SER_hh_tesh_in!N33=0,0,SER_hh_tesh_in!N33/SER_summary!N$27)</f>
        <v>8.5256804498098546</v>
      </c>
      <c r="O33" s="68">
        <f>IF(SER_hh_tesh_in!O33=0,0,SER_hh_tesh_in!O33/SER_summary!O$27)</f>
        <v>8.2393808276189393</v>
      </c>
      <c r="P33" s="68">
        <f>IF(SER_hh_tesh_in!P33=0,0,SER_hh_tesh_in!P33/SER_summary!P$27)</f>
        <v>8.2499540266102525</v>
      </c>
      <c r="Q33" s="68">
        <f>IF(SER_hh_tesh_in!Q33=0,0,SER_hh_tesh_in!Q33/SER_summary!Q$27)</f>
        <v>7.3616702686067432</v>
      </c>
      <c r="R33" s="68">
        <f>IF(SER_hh_tesh_in!R33=0,0,SER_hh_tesh_in!R33/SER_summary!R$27)</f>
        <v>7.7359969606003851</v>
      </c>
      <c r="S33" s="68">
        <f>IF(SER_hh_tesh_in!S33=0,0,SER_hh_tesh_in!S33/SER_summary!S$27)</f>
        <v>7.4394313006959081</v>
      </c>
      <c r="T33" s="68">
        <f>IF(SER_hh_tesh_in!T33=0,0,SER_hh_tesh_in!T33/SER_summary!T$27)</f>
        <v>7.6552659516593584</v>
      </c>
      <c r="U33" s="68">
        <f>IF(SER_hh_tesh_in!U33=0,0,SER_hh_tesh_in!U33/SER_summary!U$27)</f>
        <v>8.3229363368392377</v>
      </c>
      <c r="V33" s="68">
        <f>IF(SER_hh_tesh_in!V33=0,0,SER_hh_tesh_in!V33/SER_summary!V$27)</f>
        <v>7.7189815255514969</v>
      </c>
      <c r="W33" s="68">
        <f>IF(SER_hh_tesh_in!W33=0,0,SER_hh_tesh_in!W33/SER_summary!W$27)</f>
        <v>8.8729178755916802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6.37762749877687</v>
      </c>
      <c r="D3" s="126">
        <f>IF(SER_hh_emih_in!D3=0,0,SER_hh_emih_in!D3/SER_summary!D$27)</f>
        <v>11.584658660167307</v>
      </c>
      <c r="E3" s="126">
        <f>IF(SER_hh_emih_in!E3=0,0,SER_hh_emih_in!E3/SER_summary!E$27)</f>
        <v>8.5392157428055562</v>
      </c>
      <c r="F3" s="126">
        <f>IF(SER_hh_emih_in!F3=0,0,SER_hh_emih_in!F3/SER_summary!F$27)</f>
        <v>12.000075141850647</v>
      </c>
      <c r="G3" s="126">
        <f>IF(SER_hh_emih_in!G3=0,0,SER_hh_emih_in!G3/SER_summary!G$27)</f>
        <v>11.698556576431681</v>
      </c>
      <c r="H3" s="126">
        <f>IF(SER_hh_emih_in!H3=0,0,SER_hh_emih_in!H3/SER_summary!H$27)</f>
        <v>12.828884209308026</v>
      </c>
      <c r="I3" s="126">
        <f>IF(SER_hh_emih_in!I3=0,0,SER_hh_emih_in!I3/SER_summary!I$27)</f>
        <v>7.2975636738340466</v>
      </c>
      <c r="J3" s="126">
        <f>IF(SER_hh_emih_in!J3=0,0,SER_hh_emih_in!J3/SER_summary!J$27)</f>
        <v>7.4280284002137034</v>
      </c>
      <c r="K3" s="126">
        <f>IF(SER_hh_emih_in!K3=0,0,SER_hh_emih_in!K3/SER_summary!K$27)</f>
        <v>10.455238831052132</v>
      </c>
      <c r="L3" s="126">
        <f>IF(SER_hh_emih_in!L3=0,0,SER_hh_emih_in!L3/SER_summary!L$27)</f>
        <v>7.9286070607719905</v>
      </c>
      <c r="M3" s="126">
        <f>IF(SER_hh_emih_in!M3=0,0,SER_hh_emih_in!M3/SER_summary!M$27)</f>
        <v>6.370100575377923</v>
      </c>
      <c r="N3" s="126">
        <f>IF(SER_hh_emih_in!N3=0,0,SER_hh_emih_in!N3/SER_summary!N$27)</f>
        <v>5.6613605938018274</v>
      </c>
      <c r="O3" s="126">
        <f>IF(SER_hh_emih_in!O3=0,0,SER_hh_emih_in!O3/SER_summary!O$27)</f>
        <v>6.3369246025673807</v>
      </c>
      <c r="P3" s="126">
        <f>IF(SER_hh_emih_in!P3=0,0,SER_hh_emih_in!P3/SER_summary!P$27)</f>
        <v>3.1271168929850761</v>
      </c>
      <c r="Q3" s="126">
        <f>IF(SER_hh_emih_in!Q3=0,0,SER_hh_emih_in!Q3/SER_summary!Q$27)</f>
        <v>4.5902585937655065</v>
      </c>
      <c r="R3" s="126">
        <f>IF(SER_hh_emih_in!R3=0,0,SER_hh_emih_in!R3/SER_summary!R$27)</f>
        <v>5.2167782786341927</v>
      </c>
      <c r="S3" s="126">
        <f>IF(SER_hh_emih_in!S3=0,0,SER_hh_emih_in!S3/SER_summary!S$27)</f>
        <v>4.8422166345499438</v>
      </c>
      <c r="T3" s="126">
        <f>IF(SER_hh_emih_in!T3=0,0,SER_hh_emih_in!T3/SER_summary!T$27)</f>
        <v>5.4400869854362321</v>
      </c>
      <c r="U3" s="126">
        <f>IF(SER_hh_emih_in!U3=0,0,SER_hh_emih_in!U3/SER_summary!U$27)</f>
        <v>4.2208196389925536</v>
      </c>
      <c r="V3" s="126">
        <f>IF(SER_hh_emih_in!V3=0,0,SER_hh_emih_in!V3/SER_summary!V$27)</f>
        <v>2.4615421477770703</v>
      </c>
      <c r="W3" s="126">
        <f>IF(SER_hh_emih_in!W3=0,0,SER_hh_emih_in!W3/SER_summary!W$27)</f>
        <v>2.77234396817629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5.3212424199002255</v>
      </c>
      <c r="D4" s="131">
        <f>IF(SER_hh_emih_in!D4=0,0,SER_hh_emih_in!D4/SER_summary!D$27)</f>
        <v>10.408578981545626</v>
      </c>
      <c r="E4" s="131">
        <f>IF(SER_hh_emih_in!E4=0,0,SER_hh_emih_in!E4/SER_summary!E$27)</f>
        <v>7.7007211989694788</v>
      </c>
      <c r="F4" s="131">
        <f>IF(SER_hh_emih_in!F4=0,0,SER_hh_emih_in!F4/SER_summary!F$27)</f>
        <v>11.280333534504869</v>
      </c>
      <c r="G4" s="131">
        <f>IF(SER_hh_emih_in!G4=0,0,SER_hh_emih_in!G4/SER_summary!G$27)</f>
        <v>10.745652680482138</v>
      </c>
      <c r="H4" s="131">
        <f>IF(SER_hh_emih_in!H4=0,0,SER_hh_emih_in!H4/SER_summary!H$27)</f>
        <v>11.458349281717517</v>
      </c>
      <c r="I4" s="131">
        <f>IF(SER_hh_emih_in!I4=0,0,SER_hh_emih_in!I4/SER_summary!I$27)</f>
        <v>5.8955151895239943</v>
      </c>
      <c r="J4" s="131">
        <f>IF(SER_hh_emih_in!J4=0,0,SER_hh_emih_in!J4/SER_summary!J$27)</f>
        <v>5.9331040612063646</v>
      </c>
      <c r="K4" s="131">
        <f>IF(SER_hh_emih_in!K4=0,0,SER_hh_emih_in!K4/SER_summary!K$27)</f>
        <v>9.0910601924700902</v>
      </c>
      <c r="L4" s="131">
        <f>IF(SER_hh_emih_in!L4=0,0,SER_hh_emih_in!L4/SER_summary!L$27)</f>
        <v>7.3876524939460291</v>
      </c>
      <c r="M4" s="131">
        <f>IF(SER_hh_emih_in!M4=0,0,SER_hh_emih_in!M4/SER_summary!M$27)</f>
        <v>6.1901886126514967</v>
      </c>
      <c r="N4" s="131">
        <f>IF(SER_hh_emih_in!N4=0,0,SER_hh_emih_in!N4/SER_summary!N$27)</f>
        <v>5.4674777339935652</v>
      </c>
      <c r="O4" s="131">
        <f>IF(SER_hh_emih_in!O4=0,0,SER_hh_emih_in!O4/SER_summary!O$27)</f>
        <v>6.0834760269045098</v>
      </c>
      <c r="P4" s="131">
        <f>IF(SER_hh_emih_in!P4=0,0,SER_hh_emih_in!P4/SER_summary!P$27)</f>
        <v>2.6446685651195647</v>
      </c>
      <c r="Q4" s="131">
        <f>IF(SER_hh_emih_in!Q4=0,0,SER_hh_emih_in!Q4/SER_summary!Q$27)</f>
        <v>3.5681256476012004</v>
      </c>
      <c r="R4" s="131">
        <f>IF(SER_hh_emih_in!R4=0,0,SER_hh_emih_in!R4/SER_summary!R$27)</f>
        <v>4.1918954140285258</v>
      </c>
      <c r="S4" s="131">
        <f>IF(SER_hh_emih_in!S4=0,0,SER_hh_emih_in!S4/SER_summary!S$27)</f>
        <v>4.0968077398142988</v>
      </c>
      <c r="T4" s="131">
        <f>IF(SER_hh_emih_in!T4=0,0,SER_hh_emih_in!T4/SER_summary!T$27)</f>
        <v>4.8384274051431122</v>
      </c>
      <c r="U4" s="131">
        <f>IF(SER_hh_emih_in!U4=0,0,SER_hh_emih_in!U4/SER_summary!U$27)</f>
        <v>3.8394758853327278</v>
      </c>
      <c r="V4" s="131">
        <f>IF(SER_hh_emih_in!V4=0,0,SER_hh_emih_in!V4/SER_summary!V$27)</f>
        <v>1.9844368739007434</v>
      </c>
      <c r="W4" s="131">
        <f>IF(SER_hh_emih_in!W4=0,0,SER_hh_emih_in!W4/SER_summary!W$27)</f>
        <v>2.4655023118281583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42.686207216293774</v>
      </c>
      <c r="D5" s="133">
        <f>IF(SER_hh_emih_in!D5=0,0,SER_hh_emih_in!D5/SER_summary!D$27)</f>
        <v>45.753807327359318</v>
      </c>
      <c r="E5" s="133">
        <f>IF(SER_hh_emih_in!E5=0,0,SER_hh_emih_in!E5/SER_summary!E$27)</f>
        <v>42.877865541436933</v>
      </c>
      <c r="F5" s="133">
        <f>IF(SER_hh_emih_in!F5=0,0,SER_hh_emih_in!F5/SER_summary!F$27)</f>
        <v>37.554237995367586</v>
      </c>
      <c r="G5" s="133">
        <f>IF(SER_hh_emih_in!G5=0,0,SER_hh_emih_in!G5/SER_summary!G$27)</f>
        <v>38.528650399883503</v>
      </c>
      <c r="H5" s="133">
        <f>IF(SER_hh_emih_in!H5=0,0,SER_hh_emih_in!H5/SER_summary!H$27)</f>
        <v>48.036926055579968</v>
      </c>
      <c r="I5" s="133">
        <f>IF(SER_hh_emih_in!I5=0,0,SER_hh_emih_in!I5/SER_summary!I$27)</f>
        <v>35.139194315358658</v>
      </c>
      <c r="J5" s="133">
        <f>IF(SER_hh_emih_in!J5=0,0,SER_hh_emih_in!J5/SER_summary!J$27)</f>
        <v>25.667784605826149</v>
      </c>
      <c r="K5" s="133">
        <f>IF(SER_hh_emih_in!K5=0,0,SER_hh_emih_in!K5/SER_summary!K$27)</f>
        <v>29.261580224711533</v>
      </c>
      <c r="L5" s="133">
        <f>IF(SER_hh_emih_in!L5=0,0,SER_hh_emih_in!L5/SER_summary!L$27)</f>
        <v>27.590172194493253</v>
      </c>
      <c r="M5" s="133">
        <f>IF(SER_hh_emih_in!M5=0,0,SER_hh_emih_in!M5/SER_summary!M$27)</f>
        <v>31.692046930349623</v>
      </c>
      <c r="N5" s="133">
        <f>IF(SER_hh_emih_in!N5=0,0,SER_hh_emih_in!N5/SER_summary!N$27)</f>
        <v>21.912648385575203</v>
      </c>
      <c r="O5" s="133">
        <f>IF(SER_hh_emih_in!O5=0,0,SER_hh_emih_in!O5/SER_summary!O$27)</f>
        <v>25.220153446550597</v>
      </c>
      <c r="P5" s="133">
        <f>IF(SER_hh_emih_in!P5=0,0,SER_hh_emih_in!P5/SER_summary!P$27)</f>
        <v>22.352919909401056</v>
      </c>
      <c r="Q5" s="133">
        <f>IF(SER_hh_emih_in!Q5=0,0,SER_hh_emih_in!Q5/SER_summary!Q$27)</f>
        <v>0</v>
      </c>
      <c r="R5" s="133">
        <f>IF(SER_hh_emih_in!R5=0,0,SER_hh_emih_in!R5/SER_summary!R$27)</f>
        <v>20.515861350915198</v>
      </c>
      <c r="S5" s="133">
        <f>IF(SER_hh_emih_in!S5=0,0,SER_hh_emih_in!S5/SER_summary!S$27)</f>
        <v>21.121304400609084</v>
      </c>
      <c r="T5" s="133">
        <f>IF(SER_hh_emih_in!T5=0,0,SER_hh_emih_in!T5/SER_summary!T$27)</f>
        <v>21.923667806682118</v>
      </c>
      <c r="U5" s="133">
        <f>IF(SER_hh_emih_in!U5=0,0,SER_hh_emih_in!U5/SER_summary!U$27)</f>
        <v>19.27177253402461</v>
      </c>
      <c r="V5" s="133">
        <f>IF(SER_hh_emih_in!V5=0,0,SER_hh_emih_in!V5/SER_summary!V$27)</f>
        <v>0</v>
      </c>
      <c r="W5" s="133">
        <f>IF(SER_hh_emih_in!W5=0,0,SER_hh_emih_in!W5/SER_summary!W$27)</f>
        <v>18.1471011841764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0</v>
      </c>
      <c r="D7" s="133">
        <f>IF(SER_hh_emih_in!D7=0,0,SER_hh_emih_in!D7/SER_summary!D$27)</f>
        <v>0</v>
      </c>
      <c r="E7" s="133">
        <f>IF(SER_hh_emih_in!E7=0,0,SER_hh_emih_in!E7/SER_summary!E$27)</f>
        <v>0</v>
      </c>
      <c r="F7" s="133">
        <f>IF(SER_hh_emih_in!F7=0,0,SER_hh_emih_in!F7/SER_summary!F$27)</f>
        <v>0</v>
      </c>
      <c r="G7" s="133">
        <f>IF(SER_hh_emih_in!G7=0,0,SER_hh_emih_in!G7/SER_summary!G$27)</f>
        <v>0</v>
      </c>
      <c r="H7" s="133">
        <f>IF(SER_hh_emih_in!H7=0,0,SER_hh_emih_in!H7/SER_summary!H$27)</f>
        <v>0</v>
      </c>
      <c r="I7" s="133">
        <f>IF(SER_hh_emih_in!I7=0,0,SER_hh_emih_in!I7/SER_summary!I$27)</f>
        <v>0</v>
      </c>
      <c r="J7" s="133">
        <f>IF(SER_hh_emih_in!J7=0,0,SER_hh_emih_in!J7/SER_summary!J$27)</f>
        <v>45.203840318075919</v>
      </c>
      <c r="K7" s="133">
        <f>IF(SER_hh_emih_in!K7=0,0,SER_hh_emih_in!K7/SER_summary!K$27)</f>
        <v>14.313651537746832</v>
      </c>
      <c r="L7" s="133">
        <f>IF(SER_hh_emih_in!L7=0,0,SER_hh_emih_in!L7/SER_summary!L$27)</f>
        <v>21.597013302782806</v>
      </c>
      <c r="M7" s="133">
        <f>IF(SER_hh_emih_in!M7=0,0,SER_hh_emih_in!M7/SER_summary!M$27)</f>
        <v>28.77178072179596</v>
      </c>
      <c r="N7" s="133">
        <f>IF(SER_hh_emih_in!N7=0,0,SER_hh_emih_in!N7/SER_summary!N$27)</f>
        <v>17.693360154290652</v>
      </c>
      <c r="O7" s="133">
        <f>IF(SER_hh_emih_in!O7=0,0,SER_hh_emih_in!O7/SER_summary!O$27)</f>
        <v>17.668009722573935</v>
      </c>
      <c r="P7" s="133">
        <f>IF(SER_hh_emih_in!P7=0,0,SER_hh_emih_in!P7/SER_summary!P$27)</f>
        <v>0</v>
      </c>
      <c r="Q7" s="133">
        <f>IF(SER_hh_emih_in!Q7=0,0,SER_hh_emih_in!Q7/SER_summary!Q$27)</f>
        <v>0</v>
      </c>
      <c r="R7" s="133">
        <f>IF(SER_hh_emih_in!R7=0,0,SER_hh_emih_in!R7/SER_summary!R$27)</f>
        <v>0</v>
      </c>
      <c r="S7" s="133">
        <f>IF(SER_hh_emih_in!S7=0,0,SER_hh_emih_in!S7/SER_summary!S$27)</f>
        <v>0</v>
      </c>
      <c r="T7" s="133">
        <f>IF(SER_hh_emih_in!T7=0,0,SER_hh_emih_in!T7/SER_summary!T$27)</f>
        <v>0</v>
      </c>
      <c r="U7" s="133">
        <f>IF(SER_hh_emih_in!U7=0,0,SER_hh_emih_in!U7/SER_summary!U$27)</f>
        <v>13.622435947953258</v>
      </c>
      <c r="V7" s="133">
        <f>IF(SER_hh_emih_in!V7=0,0,SER_hh_emih_in!V7/SER_summary!V$27)</f>
        <v>12.90046429269557</v>
      </c>
      <c r="W7" s="133">
        <f>IF(SER_hh_emih_in!W7=0,0,SER_hh_emih_in!W7/SER_summary!W$27)</f>
        <v>13.820010458898855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</v>
      </c>
      <c r="D8" s="133">
        <f>IF(SER_hh_emih_in!D8=0,0,SER_hh_emih_in!D8/SER_summary!D$27)</f>
        <v>0</v>
      </c>
      <c r="E8" s="133">
        <f>IF(SER_hh_emih_in!E8=0,0,SER_hh_emih_in!E8/SER_summary!E$27)</f>
        <v>0</v>
      </c>
      <c r="F8" s="133">
        <f>IF(SER_hh_emih_in!F8=0,0,SER_hh_emih_in!F8/SER_summary!F$27)</f>
        <v>0</v>
      </c>
      <c r="G8" s="133">
        <f>IF(SER_hh_emih_in!G8=0,0,SER_hh_emih_in!G8/SER_summary!G$27)</f>
        <v>0</v>
      </c>
      <c r="H8" s="133">
        <f>IF(SER_hh_emih_in!H8=0,0,SER_hh_emih_in!H8/SER_summary!H$27)</f>
        <v>0</v>
      </c>
      <c r="I8" s="133">
        <f>IF(SER_hh_emih_in!I8=0,0,SER_hh_emih_in!I8/SER_summary!I$27)</f>
        <v>0</v>
      </c>
      <c r="J8" s="133">
        <f>IF(SER_hh_emih_in!J8=0,0,SER_hh_emih_in!J8/SER_summary!J$27)</f>
        <v>0</v>
      </c>
      <c r="K8" s="133">
        <f>IF(SER_hh_emih_in!K8=0,0,SER_hh_emih_in!K8/SER_summary!K$27)</f>
        <v>0</v>
      </c>
      <c r="L8" s="133">
        <f>IF(SER_hh_emih_in!L8=0,0,SER_hh_emih_in!L8/SER_summary!L$27)</f>
        <v>0</v>
      </c>
      <c r="M8" s="133">
        <f>IF(SER_hh_emih_in!M8=0,0,SER_hh_emih_in!M8/SER_summary!M$27)</f>
        <v>0</v>
      </c>
      <c r="N8" s="133">
        <f>IF(SER_hh_emih_in!N8=0,0,SER_hh_emih_in!N8/SER_summary!N$27)</f>
        <v>0</v>
      </c>
      <c r="O8" s="133">
        <f>IF(SER_hh_emih_in!O8=0,0,SER_hh_emih_in!O8/SER_summary!O$27)</f>
        <v>0</v>
      </c>
      <c r="P8" s="133">
        <f>IF(SER_hh_emih_in!P8=0,0,SER_hh_emih_in!P8/SER_summary!P$27)</f>
        <v>0</v>
      </c>
      <c r="Q8" s="133">
        <f>IF(SER_hh_emih_in!Q8=0,0,SER_hh_emih_in!Q8/SER_summary!Q$27)</f>
        <v>0</v>
      </c>
      <c r="R8" s="133">
        <f>IF(SER_hh_emih_in!R8=0,0,SER_hh_emih_in!R8/SER_summary!R$27)</f>
        <v>0</v>
      </c>
      <c r="S8" s="133">
        <f>IF(SER_hh_emih_in!S8=0,0,SER_hh_emih_in!S8/SER_summary!S$27)</f>
        <v>0</v>
      </c>
      <c r="T8" s="133">
        <f>IF(SER_hh_emih_in!T8=0,0,SER_hh_emih_in!T8/SER_summary!T$27)</f>
        <v>0</v>
      </c>
      <c r="U8" s="133">
        <f>IF(SER_hh_emih_in!U8=0,0,SER_hh_emih_in!U8/SER_summary!U$27)</f>
        <v>0</v>
      </c>
      <c r="V8" s="133">
        <f>IF(SER_hh_emih_in!V8=0,0,SER_hh_emih_in!V8/SER_summary!V$27)</f>
        <v>0</v>
      </c>
      <c r="W8" s="133">
        <f>IF(SER_hh_emih_in!W8=0,0,SER_hh_emih_in!W8/SER_summary!W$27)</f>
        <v>0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26.925611090201542</v>
      </c>
      <c r="D9" s="133">
        <f>IF(SER_hh_emih_in!D9=0,0,SER_hh_emih_in!D9/SER_summary!D$27)</f>
        <v>25.60441982612743</v>
      </c>
      <c r="E9" s="133">
        <f>IF(SER_hh_emih_in!E9=0,0,SER_hh_emih_in!E9/SER_summary!E$27)</f>
        <v>22.54696253744191</v>
      </c>
      <c r="F9" s="133">
        <f>IF(SER_hh_emih_in!F9=0,0,SER_hh_emih_in!F9/SER_summary!F$27)</f>
        <v>26.938566595033112</v>
      </c>
      <c r="G9" s="133">
        <f>IF(SER_hh_emih_in!G9=0,0,SER_hh_emih_in!G9/SER_summary!G$27)</f>
        <v>22.245933380454662</v>
      </c>
      <c r="H9" s="133">
        <f>IF(SER_hh_emih_in!H9=0,0,SER_hh_emih_in!H9/SER_summary!H$27)</f>
        <v>20.452673236818203</v>
      </c>
      <c r="I9" s="133">
        <f>IF(SER_hh_emih_in!I9=0,0,SER_hh_emih_in!I9/SER_summary!I$27)</f>
        <v>23.200936692049403</v>
      </c>
      <c r="J9" s="133">
        <f>IF(SER_hh_emih_in!J9=0,0,SER_hh_emih_in!J9/SER_summary!J$27)</f>
        <v>19.021826286529596</v>
      </c>
      <c r="K9" s="133">
        <f>IF(SER_hh_emih_in!K9=0,0,SER_hh_emih_in!K9/SER_summary!K$27)</f>
        <v>15.81162319940031</v>
      </c>
      <c r="L9" s="133">
        <f>IF(SER_hh_emih_in!L9=0,0,SER_hh_emih_in!L9/SER_summary!L$27)</f>
        <v>16.877945486269752</v>
      </c>
      <c r="M9" s="133">
        <f>IF(SER_hh_emih_in!M9=0,0,SER_hh_emih_in!M9/SER_summary!M$27)</f>
        <v>14.044523550799111</v>
      </c>
      <c r="N9" s="133">
        <f>IF(SER_hh_emih_in!N9=0,0,SER_hh_emih_in!N9/SER_summary!N$27)</f>
        <v>14.434102782471541</v>
      </c>
      <c r="O9" s="133">
        <f>IF(SER_hh_emih_in!O9=0,0,SER_hh_emih_in!O9/SER_summary!O$27)</f>
        <v>13.441556781550249</v>
      </c>
      <c r="P9" s="133">
        <f>IF(SER_hh_emih_in!P9=0,0,SER_hh_emih_in!P9/SER_summary!P$27)</f>
        <v>10.432388741118764</v>
      </c>
      <c r="Q9" s="133">
        <f>IF(SER_hh_emih_in!Q9=0,0,SER_hh_emih_in!Q9/SER_summary!Q$27)</f>
        <v>10.721311928737732</v>
      </c>
      <c r="R9" s="133">
        <f>IF(SER_hh_emih_in!R9=0,0,SER_hh_emih_in!R9/SER_summary!R$27)</f>
        <v>10.754799019079243</v>
      </c>
      <c r="S9" s="133">
        <f>IF(SER_hh_emih_in!S9=0,0,SER_hh_emih_in!S9/SER_summary!S$27)</f>
        <v>10.94933525561625</v>
      </c>
      <c r="T9" s="133">
        <f>IF(SER_hh_emih_in!T9=0,0,SER_hh_emih_in!T9/SER_summary!T$27)</f>
        <v>10.85525545133372</v>
      </c>
      <c r="U9" s="133">
        <f>IF(SER_hh_emih_in!U9=0,0,SER_hh_emih_in!U9/SER_summary!U$27)</f>
        <v>10.353569857472021</v>
      </c>
      <c r="V9" s="133">
        <f>IF(SER_hh_emih_in!V9=0,0,SER_hh_emih_in!V9/SER_summary!V$27)</f>
        <v>9.5691764926693157</v>
      </c>
      <c r="W9" s="133">
        <f>IF(SER_hh_emih_in!W9=0,0,SER_hh_emih_in!W9/SER_summary!W$27)</f>
        <v>9.5625068338504065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0</v>
      </c>
      <c r="D16" s="131">
        <f>IF(SER_hh_emih_in!D16=0,0,SER_hh_emih_in!D16/SER_summary!D$27)</f>
        <v>0</v>
      </c>
      <c r="E16" s="131">
        <f>IF(SER_hh_emih_in!E16=0,0,SER_hh_emih_in!E16/SER_summary!E$27)</f>
        <v>0</v>
      </c>
      <c r="F16" s="131">
        <f>IF(SER_hh_emih_in!F16=0,0,SER_hh_emih_in!F16/SER_summary!F$27)</f>
        <v>0</v>
      </c>
      <c r="G16" s="131">
        <f>IF(SER_hh_emih_in!G16=0,0,SER_hh_emih_in!G16/SER_summary!G$27)</f>
        <v>0</v>
      </c>
      <c r="H16" s="131">
        <f>IF(SER_hh_emih_in!H16=0,0,SER_hh_emih_in!H16/SER_summary!H$27)</f>
        <v>0</v>
      </c>
      <c r="I16" s="131">
        <f>IF(SER_hh_emih_in!I16=0,0,SER_hh_emih_in!I16/SER_summary!I$27)</f>
        <v>0</v>
      </c>
      <c r="J16" s="131">
        <f>IF(SER_hh_emih_in!J16=0,0,SER_hh_emih_in!J16/SER_summary!J$27)</f>
        <v>0</v>
      </c>
      <c r="K16" s="131">
        <f>IF(SER_hh_emih_in!K16=0,0,SER_hh_emih_in!K16/SER_summary!K$27)</f>
        <v>0</v>
      </c>
      <c r="L16" s="131">
        <f>IF(SER_hh_emih_in!L16=0,0,SER_hh_emih_in!L16/SER_summary!L$27)</f>
        <v>0</v>
      </c>
      <c r="M16" s="131">
        <f>IF(SER_hh_emih_in!M16=0,0,SER_hh_emih_in!M16/SER_summary!M$27)</f>
        <v>0</v>
      </c>
      <c r="N16" s="131">
        <f>IF(SER_hh_emih_in!N16=0,0,SER_hh_emih_in!N16/SER_summary!N$27)</f>
        <v>0</v>
      </c>
      <c r="O16" s="131">
        <f>IF(SER_hh_emih_in!O16=0,0,SER_hh_emih_in!O16/SER_summary!O$27)</f>
        <v>0</v>
      </c>
      <c r="P16" s="131">
        <f>IF(SER_hh_emih_in!P16=0,0,SER_hh_emih_in!P16/SER_summary!P$27)</f>
        <v>0</v>
      </c>
      <c r="Q16" s="131">
        <f>IF(SER_hh_emih_in!Q16=0,0,SER_hh_emih_in!Q16/SER_summary!Q$27)</f>
        <v>0</v>
      </c>
      <c r="R16" s="131">
        <f>IF(SER_hh_emih_in!R16=0,0,SER_hh_emih_in!R16/SER_summary!R$27)</f>
        <v>0</v>
      </c>
      <c r="S16" s="131">
        <f>IF(SER_hh_emih_in!S16=0,0,SER_hh_emih_in!S16/SER_summary!S$27)</f>
        <v>0</v>
      </c>
      <c r="T16" s="131">
        <f>IF(SER_hh_emih_in!T16=0,0,SER_hh_emih_in!T16/SER_summary!T$27)</f>
        <v>0</v>
      </c>
      <c r="U16" s="131">
        <f>IF(SER_hh_emih_in!U16=0,0,SER_hh_emih_in!U16/SER_summary!U$27)</f>
        <v>0</v>
      </c>
      <c r="V16" s="131">
        <f>IF(SER_hh_emih_in!V16=0,0,SER_hh_emih_in!V16/SER_summary!V$27)</f>
        <v>0</v>
      </c>
      <c r="W16" s="131">
        <f>IF(SER_hh_emih_in!W16=0,0,SER_hh_emih_in!W16/SER_summary!W$27)</f>
        <v>0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0</v>
      </c>
      <c r="D17" s="133">
        <f>IF(SER_hh_emih_in!D17=0,0,SER_hh_emih_in!D17/SER_summary!D$27)</f>
        <v>0</v>
      </c>
      <c r="E17" s="133">
        <f>IF(SER_hh_emih_in!E17=0,0,SER_hh_emih_in!E17/SER_summary!E$27)</f>
        <v>0</v>
      </c>
      <c r="F17" s="133">
        <f>IF(SER_hh_emih_in!F17=0,0,SER_hh_emih_in!F17/SER_summary!F$27)</f>
        <v>0</v>
      </c>
      <c r="G17" s="133">
        <f>IF(SER_hh_emih_in!G17=0,0,SER_hh_emih_in!G17/SER_summary!G$27)</f>
        <v>0</v>
      </c>
      <c r="H17" s="133">
        <f>IF(SER_hh_emih_in!H17=0,0,SER_hh_emih_in!H17/SER_summary!H$27)</f>
        <v>0</v>
      </c>
      <c r="I17" s="133">
        <f>IF(SER_hh_emih_in!I17=0,0,SER_hh_emih_in!I17/SER_summary!I$27)</f>
        <v>0</v>
      </c>
      <c r="J17" s="133">
        <f>IF(SER_hh_emih_in!J17=0,0,SER_hh_emih_in!J17/SER_summary!J$27)</f>
        <v>0</v>
      </c>
      <c r="K17" s="133">
        <f>IF(SER_hh_emih_in!K17=0,0,SER_hh_emih_in!K17/SER_summary!K$27)</f>
        <v>0</v>
      </c>
      <c r="L17" s="133">
        <f>IF(SER_hh_emih_in!L17=0,0,SER_hh_emih_in!L17/SER_summary!L$27)</f>
        <v>0</v>
      </c>
      <c r="M17" s="133">
        <f>IF(SER_hh_emih_in!M17=0,0,SER_hh_emih_in!M17/SER_summary!M$27)</f>
        <v>0</v>
      </c>
      <c r="N17" s="133">
        <f>IF(SER_hh_emih_in!N17=0,0,SER_hh_emih_in!N17/SER_summary!N$27)</f>
        <v>0</v>
      </c>
      <c r="O17" s="133">
        <f>IF(SER_hh_emih_in!O17=0,0,SER_hh_emih_in!O17/SER_summary!O$27)</f>
        <v>0</v>
      </c>
      <c r="P17" s="133">
        <f>IF(SER_hh_emih_in!P17=0,0,SER_hh_emih_in!P17/SER_summary!P$27)</f>
        <v>0</v>
      </c>
      <c r="Q17" s="133">
        <f>IF(SER_hh_emih_in!Q17=0,0,SER_hh_emih_in!Q17/SER_summary!Q$27)</f>
        <v>0</v>
      </c>
      <c r="R17" s="133">
        <f>IF(SER_hh_emih_in!R17=0,0,SER_hh_emih_in!R17/SER_summary!R$27)</f>
        <v>0</v>
      </c>
      <c r="S17" s="133">
        <f>IF(SER_hh_emih_in!S17=0,0,SER_hh_emih_in!S17/SER_summary!S$27)</f>
        <v>0</v>
      </c>
      <c r="T17" s="133">
        <f>IF(SER_hh_emih_in!T17=0,0,SER_hh_emih_in!T17/SER_summary!T$27)</f>
        <v>0</v>
      </c>
      <c r="U17" s="133">
        <f>IF(SER_hh_emih_in!U17=0,0,SER_hh_emih_in!U17/SER_summary!U$27)</f>
        <v>0</v>
      </c>
      <c r="V17" s="133">
        <f>IF(SER_hh_emih_in!V17=0,0,SER_hh_emih_in!V17/SER_summary!V$27)</f>
        <v>0</v>
      </c>
      <c r="W17" s="133">
        <f>IF(SER_hh_emih_in!W17=0,0,SER_hh_emih_in!W17/SER_summary!W$27)</f>
        <v>0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0.127969182212233</v>
      </c>
      <c r="D19" s="131">
        <f>IF(SER_hh_emih_in!D19=0,0,SER_hh_emih_in!D19/SER_summary!D$27)</f>
        <v>0.18147600471435724</v>
      </c>
      <c r="E19" s="131">
        <f>IF(SER_hh_emih_in!E19=0,0,SER_hh_emih_in!E19/SER_summary!E$27)</f>
        <v>0.14713577043260537</v>
      </c>
      <c r="F19" s="131">
        <f>IF(SER_hh_emih_in!F19=0,0,SER_hh_emih_in!F19/SER_summary!F$27)</f>
        <v>0.23181363229254534</v>
      </c>
      <c r="G19" s="131">
        <f>IF(SER_hh_emih_in!G19=0,0,SER_hh_emih_in!G19/SER_summary!G$27)</f>
        <v>0.24493593125841739</v>
      </c>
      <c r="H19" s="131">
        <f>IF(SER_hh_emih_in!H19=0,0,SER_hh_emih_in!H19/SER_summary!H$27)</f>
        <v>0.40459729945398476</v>
      </c>
      <c r="I19" s="131">
        <f>IF(SER_hh_emih_in!I19=0,0,SER_hh_emih_in!I19/SER_summary!I$27)</f>
        <v>0.38448440092876157</v>
      </c>
      <c r="J19" s="131">
        <f>IF(SER_hh_emih_in!J19=0,0,SER_hh_emih_in!J19/SER_summary!J$27)</f>
        <v>0.42913510754627687</v>
      </c>
      <c r="K19" s="131">
        <f>IF(SER_hh_emih_in!K19=0,0,SER_hh_emih_in!K19/SER_summary!K$27)</f>
        <v>0.40986376150015796</v>
      </c>
      <c r="L19" s="131">
        <f>IF(SER_hh_emih_in!L19=0,0,SER_hh_emih_in!L19/SER_summary!L$27)</f>
        <v>0.21367777068653318</v>
      </c>
      <c r="M19" s="131">
        <f>IF(SER_hh_emih_in!M19=0,0,SER_hh_emih_in!M19/SER_summary!M$27)</f>
        <v>0.17991196272642701</v>
      </c>
      <c r="N19" s="131">
        <f>IF(SER_hh_emih_in!N19=0,0,SER_hh_emih_in!N19/SER_summary!N$27)</f>
        <v>0.19388285980826289</v>
      </c>
      <c r="O19" s="131">
        <f>IF(SER_hh_emih_in!O19=0,0,SER_hh_emih_in!O19/SER_summary!O$27)</f>
        <v>0.220976843036403</v>
      </c>
      <c r="P19" s="131">
        <f>IF(SER_hh_emih_in!P19=0,0,SER_hh_emih_in!P19/SER_summary!P$27)</f>
        <v>0.15048010136632234</v>
      </c>
      <c r="Q19" s="131">
        <f>IF(SER_hh_emih_in!Q19=0,0,SER_hh_emih_in!Q19/SER_summary!Q$27)</f>
        <v>0.28790064474986865</v>
      </c>
      <c r="R19" s="131">
        <f>IF(SER_hh_emih_in!R19=0,0,SER_hh_emih_in!R19/SER_summary!R$27)</f>
        <v>0.31373924921038399</v>
      </c>
      <c r="S19" s="131">
        <f>IF(SER_hh_emih_in!S19=0,0,SER_hh_emih_in!S19/SER_summary!S$27)</f>
        <v>0.28069606497077415</v>
      </c>
      <c r="T19" s="131">
        <f>IF(SER_hh_emih_in!T19=0,0,SER_hh_emih_in!T19/SER_summary!T$27)</f>
        <v>0.34539819572232211</v>
      </c>
      <c r="U19" s="131">
        <f>IF(SER_hh_emih_in!U19=0,0,SER_hh_emih_in!U19/SER_summary!U$27)</f>
        <v>0.38134375365982665</v>
      </c>
      <c r="V19" s="131">
        <f>IF(SER_hh_emih_in!V19=0,0,SER_hh_emih_in!V19/SER_summary!V$27)</f>
        <v>0.47710527387632667</v>
      </c>
      <c r="W19" s="131">
        <f>IF(SER_hh_emih_in!W19=0,0,SER_hh_emih_in!W19/SER_summary!W$27)</f>
        <v>0.30684165634813132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0</v>
      </c>
      <c r="D21" s="133">
        <f>IF(SER_hh_emih_in!D21=0,0,SER_hh_emih_in!D21/SER_summary!D$27)</f>
        <v>0</v>
      </c>
      <c r="E21" s="133">
        <f>IF(SER_hh_emih_in!E21=0,0,SER_hh_emih_in!E21/SER_summary!E$27)</f>
        <v>0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0</v>
      </c>
      <c r="I21" s="133">
        <f>IF(SER_hh_emih_in!I21=0,0,SER_hh_emih_in!I21/SER_summary!I$27)</f>
        <v>0</v>
      </c>
      <c r="J21" s="133">
        <f>IF(SER_hh_emih_in!J21=0,0,SER_hh_emih_in!J21/SER_summary!J$27)</f>
        <v>0</v>
      </c>
      <c r="K21" s="133">
        <f>IF(SER_hh_emih_in!K21=0,0,SER_hh_emih_in!K21/SER_summary!K$27)</f>
        <v>0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0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0</v>
      </c>
      <c r="D22" s="133">
        <f>IF(SER_hh_emih_in!D22=0,0,SER_hh_emih_in!D22/SER_summary!D$27)</f>
        <v>0</v>
      </c>
      <c r="E22" s="133">
        <f>IF(SER_hh_emih_in!E22=0,0,SER_hh_emih_in!E22/SER_summary!E$27)</f>
        <v>0</v>
      </c>
      <c r="F22" s="133">
        <f>IF(SER_hh_emih_in!F22=0,0,SER_hh_emih_in!F22/SER_summary!F$27)</f>
        <v>0</v>
      </c>
      <c r="G22" s="133">
        <f>IF(SER_hh_emih_in!G22=0,0,SER_hh_emih_in!G22/SER_summary!G$27)</f>
        <v>0</v>
      </c>
      <c r="H22" s="133">
        <f>IF(SER_hh_emih_in!H22=0,0,SER_hh_emih_in!H22/SER_summary!H$27)</f>
        <v>0</v>
      </c>
      <c r="I22" s="133">
        <f>IF(SER_hh_emih_in!I22=0,0,SER_hh_emih_in!I22/SER_summary!I$27)</f>
        <v>0</v>
      </c>
      <c r="J22" s="133">
        <f>IF(SER_hh_emih_in!J22=0,0,SER_hh_emih_in!J22/SER_summary!J$27)</f>
        <v>5.2186352510087746</v>
      </c>
      <c r="K22" s="133">
        <f>IF(SER_hh_emih_in!K22=0,0,SER_hh_emih_in!K22/SER_summary!K$27)</f>
        <v>4.5281569542970113</v>
      </c>
      <c r="L22" s="133">
        <f>IF(SER_hh_emih_in!L22=0,0,SER_hh_emih_in!L22/SER_summary!L$27)</f>
        <v>4.7775773641787973</v>
      </c>
      <c r="M22" s="133">
        <f>IF(SER_hh_emih_in!M22=0,0,SER_hh_emih_in!M22/SER_summary!M$27)</f>
        <v>4.7026983172609871</v>
      </c>
      <c r="N22" s="133">
        <f>IF(SER_hh_emih_in!N22=0,0,SER_hh_emih_in!N22/SER_summary!N$27)</f>
        <v>4.1383379031034773</v>
      </c>
      <c r="O22" s="133">
        <f>IF(SER_hh_emih_in!O22=0,0,SER_hh_emih_in!O22/SER_summary!O$27)</f>
        <v>4.3983766860221065</v>
      </c>
      <c r="P22" s="133">
        <f>IF(SER_hh_emih_in!P22=0,0,SER_hh_emih_in!P22/SER_summary!P$27)</f>
        <v>0</v>
      </c>
      <c r="Q22" s="133">
        <f>IF(SER_hh_emih_in!Q22=0,0,SER_hh_emih_in!Q22/SER_summary!Q$27)</f>
        <v>3.9554032454859858</v>
      </c>
      <c r="R22" s="133">
        <f>IF(SER_hh_emih_in!R22=0,0,SER_hh_emih_in!R22/SER_summary!R$27)</f>
        <v>0</v>
      </c>
      <c r="S22" s="133">
        <f>IF(SER_hh_emih_in!S22=0,0,SER_hh_emih_in!S22/SER_summary!S$27)</f>
        <v>4.088632215357503</v>
      </c>
      <c r="T22" s="133">
        <f>IF(SER_hh_emih_in!T22=0,0,SER_hh_emih_in!T22/SER_summary!T$27)</f>
        <v>2.8886452050133564</v>
      </c>
      <c r="U22" s="133">
        <f>IF(SER_hh_emih_in!U22=0,0,SER_hh_emih_in!U22/SER_summary!U$27)</f>
        <v>3.283159538003849</v>
      </c>
      <c r="V22" s="133">
        <f>IF(SER_hh_emih_in!V22=0,0,SER_hh_emih_in!V22/SER_summary!V$27)</f>
        <v>3.2212156662608549</v>
      </c>
      <c r="W22" s="133">
        <f>IF(SER_hh_emih_in!W22=0,0,SER_hh_emih_in!W22/SER_summary!W$27)</f>
        <v>3.4756896288944552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3.2336309711921847</v>
      </c>
      <c r="D23" s="133">
        <f>IF(SER_hh_emih_in!D23=0,0,SER_hh_emih_in!D23/SER_summary!D$27)</f>
        <v>3.157882599420212</v>
      </c>
      <c r="E23" s="133">
        <f>IF(SER_hh_emih_in!E23=0,0,SER_hh_emih_in!E23/SER_summary!E$27)</f>
        <v>2.9771803433270287</v>
      </c>
      <c r="F23" s="133">
        <f>IF(SER_hh_emih_in!F23=0,0,SER_hh_emih_in!F23/SER_summary!F$27)</f>
        <v>3.3280233729006752</v>
      </c>
      <c r="G23" s="133">
        <f>IF(SER_hh_emih_in!G23=0,0,SER_hh_emih_in!G23/SER_summary!G$27)</f>
        <v>2.9677072866419243</v>
      </c>
      <c r="H23" s="133">
        <f>IF(SER_hh_emih_in!H23=0,0,SER_hh_emih_in!H23/SER_summary!H$27)</f>
        <v>2.8685956289973671</v>
      </c>
      <c r="I23" s="133">
        <f>IF(SER_hh_emih_in!I23=0,0,SER_hh_emih_in!I23/SER_summary!I$27)</f>
        <v>3.4212723668733456</v>
      </c>
      <c r="J23" s="133">
        <f>IF(SER_hh_emih_in!J23=0,0,SER_hh_emih_in!J23/SER_summary!J$27)</f>
        <v>3.3657420051614708</v>
      </c>
      <c r="K23" s="133">
        <f>IF(SER_hh_emih_in!K23=0,0,SER_hh_emih_in!K23/SER_summary!K$27)</f>
        <v>3.123558216395625</v>
      </c>
      <c r="L23" s="133">
        <f>IF(SER_hh_emih_in!L23=0,0,SER_hh_emih_in!L23/SER_summary!L$27)</f>
        <v>3.066042049279516</v>
      </c>
      <c r="M23" s="133">
        <f>IF(SER_hh_emih_in!M23=0,0,SER_hh_emih_in!M23/SER_summary!M$27)</f>
        <v>3.0365043925360502</v>
      </c>
      <c r="N23" s="133">
        <f>IF(SER_hh_emih_in!N23=0,0,SER_hh_emih_in!N23/SER_summary!N$27)</f>
        <v>2.9642492457978942</v>
      </c>
      <c r="O23" s="133">
        <f>IF(SER_hh_emih_in!O23=0,0,SER_hh_emih_in!O23/SER_summary!O$27)</f>
        <v>2.8902067427453479</v>
      </c>
      <c r="P23" s="133">
        <f>IF(SER_hh_emih_in!P23=0,0,SER_hh_emih_in!P23/SER_summary!P$27)</f>
        <v>2.4783861151826607</v>
      </c>
      <c r="Q23" s="133">
        <f>IF(SER_hh_emih_in!Q23=0,0,SER_hh_emih_in!Q23/SER_summary!Q$27)</f>
        <v>2.529302622211079</v>
      </c>
      <c r="R23" s="133">
        <f>IF(SER_hh_emih_in!R23=0,0,SER_hh_emih_in!R23/SER_summary!R$27)</f>
        <v>2.5390584014521593</v>
      </c>
      <c r="S23" s="133">
        <f>IF(SER_hh_emih_in!S23=0,0,SER_hh_emih_in!S23/SER_summary!S$27)</f>
        <v>2.4452203170180149</v>
      </c>
      <c r="T23" s="133">
        <f>IF(SER_hh_emih_in!T23=0,0,SER_hh_emih_in!T23/SER_summary!T$27)</f>
        <v>2.405516687271982</v>
      </c>
      <c r="U23" s="133">
        <f>IF(SER_hh_emih_in!U23=0,0,SER_hh_emih_in!U23/SER_summary!U$27)</f>
        <v>2.3330748143430853</v>
      </c>
      <c r="V23" s="133">
        <f>IF(SER_hh_emih_in!V23=0,0,SER_hh_emih_in!V23/SER_summary!V$27)</f>
        <v>2.1954034277993788</v>
      </c>
      <c r="W23" s="133">
        <f>IF(SER_hh_emih_in!W23=0,0,SER_hh_emih_in!W23/SER_summary!W$27)</f>
        <v>2.2599357950251768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0.92841589666441193</v>
      </c>
      <c r="D29" s="131">
        <f>IF(SER_hh_emih_in!D29=0,0,SER_hh_emih_in!D29/SER_summary!D$27)</f>
        <v>0.99460367390732407</v>
      </c>
      <c r="E29" s="131">
        <f>IF(SER_hh_emih_in!E29=0,0,SER_hh_emih_in!E29/SER_summary!E$27)</f>
        <v>0.69135877340347196</v>
      </c>
      <c r="F29" s="131">
        <f>IF(SER_hh_emih_in!F29=0,0,SER_hh_emih_in!F29/SER_summary!F$27)</f>
        <v>0.48792797505323343</v>
      </c>
      <c r="G29" s="131">
        <f>IF(SER_hh_emih_in!G29=0,0,SER_hh_emih_in!G29/SER_summary!G$27)</f>
        <v>0.70796796469112322</v>
      </c>
      <c r="H29" s="131">
        <f>IF(SER_hh_emih_in!H29=0,0,SER_hh_emih_in!H29/SER_summary!H$27)</f>
        <v>0.96593762813652129</v>
      </c>
      <c r="I29" s="131">
        <f>IF(SER_hh_emih_in!I29=0,0,SER_hh_emih_in!I29/SER_summary!I$27)</f>
        <v>1.0175640833812907</v>
      </c>
      <c r="J29" s="131">
        <f>IF(SER_hh_emih_in!J29=0,0,SER_hh_emih_in!J29/SER_summary!J$27)</f>
        <v>1.0657892314610615</v>
      </c>
      <c r="K29" s="131">
        <f>IF(SER_hh_emih_in!K29=0,0,SER_hh_emih_in!K29/SER_summary!K$27)</f>
        <v>0.95431487708188423</v>
      </c>
      <c r="L29" s="131">
        <f>IF(SER_hh_emih_in!L29=0,0,SER_hh_emih_in!L29/SER_summary!L$27)</f>
        <v>0.32727679613942773</v>
      </c>
      <c r="M29" s="131">
        <f>IF(SER_hh_emih_in!M29=0,0,SER_hh_emih_in!M29/SER_summary!M$27)</f>
        <v>0</v>
      </c>
      <c r="N29" s="131">
        <f>IF(SER_hh_emih_in!N29=0,0,SER_hh_emih_in!N29/SER_summary!N$27)</f>
        <v>0</v>
      </c>
      <c r="O29" s="131">
        <f>IF(SER_hh_emih_in!O29=0,0,SER_hh_emih_in!O29/SER_summary!O$27)</f>
        <v>3.2471732626467825E-2</v>
      </c>
      <c r="P29" s="131">
        <f>IF(SER_hh_emih_in!P29=0,0,SER_hh_emih_in!P29/SER_summary!P$27)</f>
        <v>0.33196822649918956</v>
      </c>
      <c r="Q29" s="131">
        <f>IF(SER_hh_emih_in!Q29=0,0,SER_hh_emih_in!Q29/SER_summary!Q$27)</f>
        <v>0.73423230141443796</v>
      </c>
      <c r="R29" s="131">
        <f>IF(SER_hh_emih_in!R29=0,0,SER_hh_emih_in!R29/SER_summary!R$27)</f>
        <v>0.71114361539528237</v>
      </c>
      <c r="S29" s="131">
        <f>IF(SER_hh_emih_in!S29=0,0,SER_hh_emih_in!S29/SER_summary!S$27)</f>
        <v>0.46471282976487055</v>
      </c>
      <c r="T29" s="131">
        <f>IF(SER_hh_emih_in!T29=0,0,SER_hh_emih_in!T29/SER_summary!T$27)</f>
        <v>0.25626138457079845</v>
      </c>
      <c r="U29" s="131">
        <f>IF(SER_hh_emih_in!U29=0,0,SER_hh_emih_in!U29/SER_summary!U$27)</f>
        <v>0</v>
      </c>
      <c r="V29" s="131">
        <f>IF(SER_hh_emih_in!V29=0,0,SER_hh_emih_in!V29/SER_summary!V$27)</f>
        <v>0</v>
      </c>
      <c r="W29" s="131">
        <f>IF(SER_hh_emih_in!W29=0,0,SER_hh_emih_in!W29/SER_summary!W$27)</f>
        <v>0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0</v>
      </c>
      <c r="D30" s="133">
        <f>IF(SER_hh_emih_in!D30=0,0,SER_hh_emih_in!D30/SER_summary!D$27)</f>
        <v>0</v>
      </c>
      <c r="E30" s="133">
        <f>IF(SER_hh_emih_in!E30=0,0,SER_hh_emih_in!E30/SER_summary!E$27)</f>
        <v>0</v>
      </c>
      <c r="F30" s="133">
        <f>IF(SER_hh_emih_in!F30=0,0,SER_hh_emih_in!F30/SER_summary!F$27)</f>
        <v>0</v>
      </c>
      <c r="G30" s="133">
        <f>IF(SER_hh_emih_in!G30=0,0,SER_hh_emih_in!G30/SER_summary!G$27)</f>
        <v>0</v>
      </c>
      <c r="H30" s="133">
        <f>IF(SER_hh_emih_in!H30=0,0,SER_hh_emih_in!H30/SER_summary!H$27)</f>
        <v>0</v>
      </c>
      <c r="I30" s="133">
        <f>IF(SER_hh_emih_in!I30=0,0,SER_hh_emih_in!I30/SER_summary!I$27)</f>
        <v>0</v>
      </c>
      <c r="J30" s="133">
        <f>IF(SER_hh_emih_in!J30=0,0,SER_hh_emih_in!J30/SER_summary!J$27)</f>
        <v>0</v>
      </c>
      <c r="K30" s="133">
        <f>IF(SER_hh_emih_in!K30=0,0,SER_hh_emih_in!K30/SER_summary!K$27)</f>
        <v>0</v>
      </c>
      <c r="L30" s="133">
        <f>IF(SER_hh_emih_in!L30=0,0,SER_hh_emih_in!L30/SER_summary!L$27)</f>
        <v>0</v>
      </c>
      <c r="M30" s="133">
        <f>IF(SER_hh_emih_in!M30=0,0,SER_hh_emih_in!M30/SER_summary!M$27)</f>
        <v>0</v>
      </c>
      <c r="N30" s="133">
        <f>IF(SER_hh_emih_in!N30=0,0,SER_hh_emih_in!N30/SER_summary!N$27)</f>
        <v>0</v>
      </c>
      <c r="O30" s="133">
        <f>IF(SER_hh_emih_in!O30=0,0,SER_hh_emih_in!O30/SER_summary!O$27)</f>
        <v>0</v>
      </c>
      <c r="P30" s="133">
        <f>IF(SER_hh_emih_in!P30=0,0,SER_hh_emih_in!P30/SER_summary!P$27)</f>
        <v>0</v>
      </c>
      <c r="Q30" s="133">
        <f>IF(SER_hh_emih_in!Q30=0,0,SER_hh_emih_in!Q30/SER_summary!Q$27)</f>
        <v>0</v>
      </c>
      <c r="R30" s="133">
        <f>IF(SER_hh_emih_in!R30=0,0,SER_hh_emih_in!R30/SER_summary!R$27)</f>
        <v>0</v>
      </c>
      <c r="S30" s="133">
        <f>IF(SER_hh_emih_in!S30=0,0,SER_hh_emih_in!S30/SER_summary!S$27)</f>
        <v>0</v>
      </c>
      <c r="T30" s="133">
        <f>IF(SER_hh_emih_in!T30=0,0,SER_hh_emih_in!T30/SER_summary!T$27)</f>
        <v>0</v>
      </c>
      <c r="U30" s="133">
        <f>IF(SER_hh_emih_in!U30=0,0,SER_hh_emih_in!U30/SER_summary!U$27)</f>
        <v>0</v>
      </c>
      <c r="V30" s="133">
        <f>IF(SER_hh_emih_in!V30=0,0,SER_hh_emih_in!V30/SER_summary!V$27)</f>
        <v>0</v>
      </c>
      <c r="W30" s="133">
        <f>IF(SER_hh_emih_in!W30=0,0,SER_hh_emih_in!W30/SER_summary!W$27)</f>
        <v>0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3.304884057043477</v>
      </c>
      <c r="D31" s="133">
        <f>IF(SER_hh_emih_in!D31=0,0,SER_hh_emih_in!D31/SER_summary!D$27)</f>
        <v>3.3532628765015509</v>
      </c>
      <c r="E31" s="133">
        <f>IF(SER_hh_emih_in!E31=0,0,SER_hh_emih_in!E31/SER_summary!E$27)</f>
        <v>3.2877455950421015</v>
      </c>
      <c r="F31" s="133">
        <f>IF(SER_hh_emih_in!F31=0,0,SER_hh_emih_in!F31/SER_summary!F$27)</f>
        <v>3.0237401151950811</v>
      </c>
      <c r="G31" s="133">
        <f>IF(SER_hh_emih_in!G31=0,0,SER_hh_emih_in!G31/SER_summary!G$27)</f>
        <v>3.032338491134098</v>
      </c>
      <c r="H31" s="133">
        <f>IF(SER_hh_emih_in!H31=0,0,SER_hh_emih_in!H31/SER_summary!H$27)</f>
        <v>2.9005629829896806</v>
      </c>
      <c r="I31" s="133">
        <f>IF(SER_hh_emih_in!I31=0,0,SER_hh_emih_in!I31/SER_summary!I$27)</f>
        <v>3.2471088561022201</v>
      </c>
      <c r="J31" s="133">
        <f>IF(SER_hh_emih_in!J31=0,0,SER_hh_emih_in!J31/SER_summary!J$27)</f>
        <v>3.1756287085684409</v>
      </c>
      <c r="K31" s="133">
        <f>IF(SER_hh_emih_in!K31=0,0,SER_hh_emih_in!K31/SER_summary!K$27)</f>
        <v>3.0043734410948315</v>
      </c>
      <c r="L31" s="133">
        <f>IF(SER_hh_emih_in!L31=0,0,SER_hh_emih_in!L31/SER_summary!L$27)</f>
        <v>2.855148652908289</v>
      </c>
      <c r="M31" s="133">
        <f>IF(SER_hh_emih_in!M31=0,0,SER_hh_emih_in!M31/SER_summary!M$27)</f>
        <v>0</v>
      </c>
      <c r="N31" s="133">
        <f>IF(SER_hh_emih_in!N31=0,0,SER_hh_emih_in!N31/SER_summary!N$27)</f>
        <v>0</v>
      </c>
      <c r="O31" s="133">
        <f>IF(SER_hh_emih_in!O31=0,0,SER_hh_emih_in!O31/SER_summary!O$27)</f>
        <v>2.5863065642024732</v>
      </c>
      <c r="P31" s="133">
        <f>IF(SER_hh_emih_in!P31=0,0,SER_hh_emih_in!P31/SER_summary!P$27)</f>
        <v>2.3131393593649756</v>
      </c>
      <c r="Q31" s="133">
        <f>IF(SER_hh_emih_in!Q31=0,0,SER_hh_emih_in!Q31/SER_summary!Q$27)</f>
        <v>2.5480154834351953</v>
      </c>
      <c r="R31" s="133">
        <f>IF(SER_hh_emih_in!R31=0,0,SER_hh_emih_in!R31/SER_summary!R$27)</f>
        <v>2.6129389967177516</v>
      </c>
      <c r="S31" s="133">
        <f>IF(SER_hh_emih_in!S31=0,0,SER_hh_emih_in!S31/SER_summary!S$27)</f>
        <v>2.4826587689122768</v>
      </c>
      <c r="T31" s="133">
        <f>IF(SER_hh_emih_in!T31=0,0,SER_hh_emih_in!T31/SER_summary!T$27)</f>
        <v>2.8421773711748579</v>
      </c>
      <c r="U31" s="133">
        <f>IF(SER_hh_emih_in!U31=0,0,SER_hh_emih_in!U31/SER_summary!U$27)</f>
        <v>0</v>
      </c>
      <c r="V31" s="133">
        <f>IF(SER_hh_emih_in!V31=0,0,SER_hh_emih_in!V31/SER_summary!V$27)</f>
        <v>0</v>
      </c>
      <c r="W31" s="133">
        <f>IF(SER_hh_emih_in!W31=0,0,SER_hh_emih_in!W31/SER_summary!W$27)</f>
        <v>0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105.57327321606658</v>
      </c>
      <c r="C3" s="180">
        <f t="shared" ref="C3:W3" si="1">SUM(C4:C9)</f>
        <v>113.13538896585808</v>
      </c>
      <c r="D3" s="180">
        <f t="shared" si="1"/>
        <v>121.93092694209055</v>
      </c>
      <c r="E3" s="180">
        <f t="shared" si="1"/>
        <v>134.85909719704244</v>
      </c>
      <c r="F3" s="180">
        <f t="shared" si="1"/>
        <v>145.8027539011207</v>
      </c>
      <c r="G3" s="180">
        <f t="shared" si="1"/>
        <v>156.79760189001672</v>
      </c>
      <c r="H3" s="180">
        <f t="shared" si="1"/>
        <v>165.78547280922643</v>
      </c>
      <c r="I3" s="180">
        <f t="shared" si="1"/>
        <v>179.94458838293488</v>
      </c>
      <c r="J3" s="180">
        <f t="shared" si="1"/>
        <v>188.0190636253154</v>
      </c>
      <c r="K3" s="180">
        <f t="shared" si="1"/>
        <v>187.92084705920405</v>
      </c>
      <c r="L3" s="180">
        <f t="shared" si="1"/>
        <v>187.98166723584109</v>
      </c>
      <c r="M3" s="180">
        <f t="shared" si="1"/>
        <v>192.53017691267408</v>
      </c>
      <c r="N3" s="180">
        <f t="shared" si="1"/>
        <v>197.71893272663041</v>
      </c>
      <c r="O3" s="180">
        <f t="shared" si="1"/>
        <v>201.95437768065787</v>
      </c>
      <c r="P3" s="180">
        <f t="shared" si="1"/>
        <v>206.95794424279484</v>
      </c>
      <c r="Q3" s="180">
        <f t="shared" si="1"/>
        <v>210.74874769708637</v>
      </c>
      <c r="R3" s="180">
        <f t="shared" si="1"/>
        <v>214.99137077075173</v>
      </c>
      <c r="S3" s="180">
        <f t="shared" si="1"/>
        <v>223.65122662086998</v>
      </c>
      <c r="T3" s="180">
        <f t="shared" si="1"/>
        <v>223.41292345310688</v>
      </c>
      <c r="U3" s="180">
        <f t="shared" si="1"/>
        <v>225.25123839901772</v>
      </c>
      <c r="V3" s="180">
        <f t="shared" si="1"/>
        <v>214.21649252688459</v>
      </c>
      <c r="W3" s="180">
        <f t="shared" si="1"/>
        <v>220.73025885485663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7.4940061625859853</v>
      </c>
      <c r="C4" s="181">
        <f t="shared" ref="C4:R9" si="3">C12*C44/11630</f>
        <v>7.9578501181881363</v>
      </c>
      <c r="D4" s="181">
        <f t="shared" si="3"/>
        <v>8.4595275330506894</v>
      </c>
      <c r="E4" s="181">
        <f t="shared" si="3"/>
        <v>9.1373760329704208</v>
      </c>
      <c r="F4" s="181">
        <f t="shared" si="3"/>
        <v>9.7042585982253016</v>
      </c>
      <c r="G4" s="181">
        <f t="shared" si="3"/>
        <v>10.296075799124308</v>
      </c>
      <c r="H4" s="181">
        <f t="shared" si="3"/>
        <v>10.750719880152626</v>
      </c>
      <c r="I4" s="181">
        <f t="shared" si="3"/>
        <v>11.857894193928928</v>
      </c>
      <c r="J4" s="181">
        <f t="shared" si="3"/>
        <v>12.396284036058482</v>
      </c>
      <c r="K4" s="181">
        <f t="shared" si="3"/>
        <v>12.429605629836839</v>
      </c>
      <c r="L4" s="181">
        <f t="shared" si="3"/>
        <v>12.574538230596088</v>
      </c>
      <c r="M4" s="181">
        <f t="shared" si="3"/>
        <v>12.747277068417697</v>
      </c>
      <c r="N4" s="181">
        <f t="shared" si="3"/>
        <v>12.917826940753107</v>
      </c>
      <c r="O4" s="181">
        <f t="shared" si="3"/>
        <v>13.153759951038948</v>
      </c>
      <c r="P4" s="181">
        <f t="shared" si="3"/>
        <v>13.574289114516242</v>
      </c>
      <c r="Q4" s="181">
        <f t="shared" si="3"/>
        <v>13.953193056338137</v>
      </c>
      <c r="R4" s="181">
        <f t="shared" si="3"/>
        <v>14.067332896200284</v>
      </c>
      <c r="S4" s="181">
        <f t="shared" ref="D4:W9" si="4">S12*S44/11630</f>
        <v>14.187648370667027</v>
      </c>
      <c r="T4" s="181">
        <f t="shared" si="4"/>
        <v>14.282739294852565</v>
      </c>
      <c r="U4" s="181">
        <f t="shared" si="4"/>
        <v>14.310915013777359</v>
      </c>
      <c r="V4" s="181">
        <f t="shared" si="4"/>
        <v>14.292662327959837</v>
      </c>
      <c r="W4" s="181">
        <f t="shared" si="4"/>
        <v>14.195594839522629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22.53449145643447</v>
      </c>
      <c r="C5" s="181">
        <f t="shared" si="3"/>
        <v>23.372464692915571</v>
      </c>
      <c r="D5" s="181">
        <f t="shared" si="4"/>
        <v>24.216618412942204</v>
      </c>
      <c r="E5" s="181">
        <f t="shared" si="4"/>
        <v>25.244034602000571</v>
      </c>
      <c r="F5" s="181">
        <f t="shared" si="4"/>
        <v>25.982484740186766</v>
      </c>
      <c r="G5" s="181">
        <f t="shared" si="4"/>
        <v>26.456256114220778</v>
      </c>
      <c r="H5" s="181">
        <f t="shared" si="4"/>
        <v>26.653121324792274</v>
      </c>
      <c r="I5" s="181">
        <f t="shared" si="4"/>
        <v>26.729792393762722</v>
      </c>
      <c r="J5" s="181">
        <f t="shared" si="4"/>
        <v>26.844133681496405</v>
      </c>
      <c r="K5" s="181">
        <f t="shared" si="4"/>
        <v>26.866329558210143</v>
      </c>
      <c r="L5" s="181">
        <f t="shared" si="4"/>
        <v>26.812680991890268</v>
      </c>
      <c r="M5" s="181">
        <f t="shared" si="4"/>
        <v>26.677584304184666</v>
      </c>
      <c r="N5" s="181">
        <f t="shared" si="4"/>
        <v>26.779820156151747</v>
      </c>
      <c r="O5" s="181">
        <f t="shared" si="4"/>
        <v>26.993322423725836</v>
      </c>
      <c r="P5" s="181">
        <f t="shared" si="4"/>
        <v>27.210413146526363</v>
      </c>
      <c r="Q5" s="181">
        <f t="shared" si="4"/>
        <v>27.586554470928519</v>
      </c>
      <c r="R5" s="181">
        <f t="shared" si="4"/>
        <v>27.074150923963167</v>
      </c>
      <c r="S5" s="181">
        <f t="shared" si="4"/>
        <v>26.535442074617329</v>
      </c>
      <c r="T5" s="181">
        <f t="shared" si="4"/>
        <v>25.170047120727094</v>
      </c>
      <c r="U5" s="181">
        <f t="shared" si="4"/>
        <v>23.757747097901795</v>
      </c>
      <c r="V5" s="181">
        <f t="shared" si="4"/>
        <v>22.380021041817528</v>
      </c>
      <c r="W5" s="181">
        <f t="shared" si="4"/>
        <v>21.266844834302354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37.399714787879191</v>
      </c>
      <c r="C6" s="181">
        <f t="shared" si="3"/>
        <v>39.242581772259058</v>
      </c>
      <c r="D6" s="181">
        <f t="shared" si="4"/>
        <v>41.390696446486857</v>
      </c>
      <c r="E6" s="181">
        <f t="shared" si="4"/>
        <v>44.641116001314558</v>
      </c>
      <c r="F6" s="181">
        <f t="shared" si="4"/>
        <v>47.229489065478425</v>
      </c>
      <c r="G6" s="181">
        <f t="shared" si="4"/>
        <v>50.177036583800842</v>
      </c>
      <c r="H6" s="181">
        <f t="shared" si="4"/>
        <v>51.849823362784306</v>
      </c>
      <c r="I6" s="181">
        <f t="shared" si="4"/>
        <v>56.956531142449258</v>
      </c>
      <c r="J6" s="181">
        <f t="shared" si="4"/>
        <v>59.089895224468123</v>
      </c>
      <c r="K6" s="181">
        <f t="shared" si="4"/>
        <v>59.243179990147027</v>
      </c>
      <c r="L6" s="181">
        <f t="shared" si="4"/>
        <v>59.877306402091385</v>
      </c>
      <c r="M6" s="181">
        <f t="shared" si="4"/>
        <v>61.60439339518544</v>
      </c>
      <c r="N6" s="181">
        <f t="shared" si="4"/>
        <v>62.551072572934416</v>
      </c>
      <c r="O6" s="181">
        <f t="shared" si="4"/>
        <v>62.907248360281336</v>
      </c>
      <c r="P6" s="181">
        <f t="shared" si="4"/>
        <v>63.71688912060592</v>
      </c>
      <c r="Q6" s="181">
        <f t="shared" si="4"/>
        <v>65.361868013932252</v>
      </c>
      <c r="R6" s="181">
        <f t="shared" si="4"/>
        <v>65.594478983881473</v>
      </c>
      <c r="S6" s="181">
        <f t="shared" si="4"/>
        <v>65.999307043389635</v>
      </c>
      <c r="T6" s="181">
        <f t="shared" si="4"/>
        <v>62.884456551154202</v>
      </c>
      <c r="U6" s="181">
        <f t="shared" si="4"/>
        <v>58.061463433234671</v>
      </c>
      <c r="V6" s="181">
        <f t="shared" si="4"/>
        <v>50.905390349920914</v>
      </c>
      <c r="W6" s="181">
        <f t="shared" si="4"/>
        <v>50.666170609200975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17.03460744825091</v>
      </c>
      <c r="C7" s="181">
        <f t="shared" si="3"/>
        <v>18.112935153771424</v>
      </c>
      <c r="D7" s="181">
        <f t="shared" si="4"/>
        <v>19.413977242323472</v>
      </c>
      <c r="E7" s="181">
        <f t="shared" si="4"/>
        <v>21.265938155746142</v>
      </c>
      <c r="F7" s="181">
        <f t="shared" si="4"/>
        <v>22.617285478617674</v>
      </c>
      <c r="G7" s="181">
        <f t="shared" si="4"/>
        <v>23.331926963653309</v>
      </c>
      <c r="H7" s="181">
        <f t="shared" si="4"/>
        <v>23.450682670495468</v>
      </c>
      <c r="I7" s="181">
        <f t="shared" si="4"/>
        <v>23.350968971337487</v>
      </c>
      <c r="J7" s="181">
        <f t="shared" si="4"/>
        <v>23.100028983791951</v>
      </c>
      <c r="K7" s="181">
        <f t="shared" si="4"/>
        <v>22.810032076781056</v>
      </c>
      <c r="L7" s="181">
        <f t="shared" si="4"/>
        <v>22.595183347071185</v>
      </c>
      <c r="M7" s="181">
        <f t="shared" si="4"/>
        <v>21.958752346029414</v>
      </c>
      <c r="N7" s="181">
        <f t="shared" si="4"/>
        <v>21.676787892482096</v>
      </c>
      <c r="O7" s="181">
        <f t="shared" si="4"/>
        <v>21.621228326249657</v>
      </c>
      <c r="P7" s="181">
        <f t="shared" si="4"/>
        <v>21.644017505021484</v>
      </c>
      <c r="Q7" s="181">
        <f t="shared" si="4"/>
        <v>21.794451079393021</v>
      </c>
      <c r="R7" s="181">
        <f t="shared" si="4"/>
        <v>22.1043685489533</v>
      </c>
      <c r="S7" s="181">
        <f t="shared" si="4"/>
        <v>22.364242109947224</v>
      </c>
      <c r="T7" s="181">
        <f t="shared" si="4"/>
        <v>22.64864803984052</v>
      </c>
      <c r="U7" s="181">
        <f t="shared" si="4"/>
        <v>22.893414993302567</v>
      </c>
      <c r="V7" s="181">
        <f t="shared" si="4"/>
        <v>23.07328926959563</v>
      </c>
      <c r="W7" s="181">
        <f t="shared" si="4"/>
        <v>23.144381497207199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7.2207357690001386</v>
      </c>
      <c r="C8" s="55">
        <f t="shared" si="3"/>
        <v>8.3281523101370318</v>
      </c>
      <c r="D8" s="55">
        <f t="shared" si="4"/>
        <v>9.5763521807036067</v>
      </c>
      <c r="E8" s="55">
        <f t="shared" si="4"/>
        <v>11.016827908029359</v>
      </c>
      <c r="F8" s="55">
        <f t="shared" si="4"/>
        <v>12.48335096920038</v>
      </c>
      <c r="G8" s="55">
        <f t="shared" si="4"/>
        <v>13.874009262595086</v>
      </c>
      <c r="H8" s="55">
        <f t="shared" si="4"/>
        <v>15.122947975384319</v>
      </c>
      <c r="I8" s="55">
        <f t="shared" si="4"/>
        <v>17.304297477285782</v>
      </c>
      <c r="J8" s="55">
        <f t="shared" si="4"/>
        <v>18.596179818279413</v>
      </c>
      <c r="K8" s="55">
        <f t="shared" si="4"/>
        <v>19.109121346519441</v>
      </c>
      <c r="L8" s="55">
        <f t="shared" si="4"/>
        <v>19.586778001635061</v>
      </c>
      <c r="M8" s="55">
        <f t="shared" si="4"/>
        <v>20.327472724045922</v>
      </c>
      <c r="N8" s="55">
        <f t="shared" si="4"/>
        <v>20.752726088416505</v>
      </c>
      <c r="O8" s="55">
        <f t="shared" si="4"/>
        <v>21.30321064693705</v>
      </c>
      <c r="P8" s="55">
        <f t="shared" si="4"/>
        <v>21.91829329298923</v>
      </c>
      <c r="Q8" s="55">
        <f t="shared" si="4"/>
        <v>22.244634629648466</v>
      </c>
      <c r="R8" s="55">
        <f t="shared" si="4"/>
        <v>23.144311789965226</v>
      </c>
      <c r="S8" s="55">
        <f t="shared" si="4"/>
        <v>24.207706811825485</v>
      </c>
      <c r="T8" s="55">
        <f t="shared" si="4"/>
        <v>24.58726963932186</v>
      </c>
      <c r="U8" s="55">
        <f t="shared" si="4"/>
        <v>25.045800859065935</v>
      </c>
      <c r="V8" s="55">
        <f t="shared" si="4"/>
        <v>23.808135356880609</v>
      </c>
      <c r="W8" s="55">
        <f t="shared" si="4"/>
        <v>25.795342128775715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13.889717591915877</v>
      </c>
      <c r="C9" s="63">
        <f t="shared" si="3"/>
        <v>16.121404918586872</v>
      </c>
      <c r="D9" s="63">
        <f t="shared" si="4"/>
        <v>18.873755126583731</v>
      </c>
      <c r="E9" s="63">
        <f t="shared" si="4"/>
        <v>23.553804496981392</v>
      </c>
      <c r="F9" s="63">
        <f t="shared" si="4"/>
        <v>27.785885049412148</v>
      </c>
      <c r="G9" s="63">
        <f t="shared" si="4"/>
        <v>32.662297166622395</v>
      </c>
      <c r="H9" s="63">
        <f t="shared" si="4"/>
        <v>37.958177595617443</v>
      </c>
      <c r="I9" s="63">
        <f t="shared" si="4"/>
        <v>43.745104204170701</v>
      </c>
      <c r="J9" s="63">
        <f t="shared" si="4"/>
        <v>47.992541881221022</v>
      </c>
      <c r="K9" s="63">
        <f t="shared" si="4"/>
        <v>47.462578457709562</v>
      </c>
      <c r="L9" s="63">
        <f t="shared" si="4"/>
        <v>46.535180262557112</v>
      </c>
      <c r="M9" s="63">
        <f t="shared" si="4"/>
        <v>49.21469707481095</v>
      </c>
      <c r="N9" s="63">
        <f t="shared" si="4"/>
        <v>53.040699075892547</v>
      </c>
      <c r="O9" s="63">
        <f t="shared" si="4"/>
        <v>55.975607972425017</v>
      </c>
      <c r="P9" s="63">
        <f t="shared" si="4"/>
        <v>58.894042063135593</v>
      </c>
      <c r="Q9" s="63">
        <f t="shared" si="4"/>
        <v>59.808046446845992</v>
      </c>
      <c r="R9" s="63">
        <f t="shared" si="4"/>
        <v>63.006727627788287</v>
      </c>
      <c r="S9" s="63">
        <f t="shared" si="4"/>
        <v>70.35688021042327</v>
      </c>
      <c r="T9" s="63">
        <f t="shared" si="4"/>
        <v>73.839762807210647</v>
      </c>
      <c r="U9" s="63">
        <f t="shared" si="4"/>
        <v>81.181897001735379</v>
      </c>
      <c r="V9" s="63">
        <f t="shared" si="4"/>
        <v>79.75699418071008</v>
      </c>
      <c r="W9" s="63">
        <f t="shared" si="4"/>
        <v>85.661924945847773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491.16136881758399</v>
      </c>
      <c r="C11" s="180">
        <f t="shared" ref="C11:W11" si="6">SUM(C12:C17)</f>
        <v>532.52684897359404</v>
      </c>
      <c r="D11" s="180">
        <f t="shared" si="6"/>
        <v>579.63322110148113</v>
      </c>
      <c r="E11" s="180">
        <f t="shared" si="6"/>
        <v>648.66594189193518</v>
      </c>
      <c r="F11" s="180">
        <f t="shared" si="6"/>
        <v>709.26863378106395</v>
      </c>
      <c r="G11" s="180">
        <f t="shared" si="6"/>
        <v>773.20334655989234</v>
      </c>
      <c r="H11" s="180">
        <f t="shared" si="6"/>
        <v>829.53452983134594</v>
      </c>
      <c r="I11" s="180">
        <f t="shared" si="6"/>
        <v>917.714149949324</v>
      </c>
      <c r="J11" s="180">
        <f t="shared" si="6"/>
        <v>968.58462035378966</v>
      </c>
      <c r="K11" s="180">
        <f t="shared" si="6"/>
        <v>967.21748765678876</v>
      </c>
      <c r="L11" s="180">
        <f t="shared" si="6"/>
        <v>964.39510887021254</v>
      </c>
      <c r="M11" s="180">
        <f t="shared" si="6"/>
        <v>993.02749107760815</v>
      </c>
      <c r="N11" s="180">
        <f t="shared" si="6"/>
        <v>1022.6602385046333</v>
      </c>
      <c r="O11" s="180">
        <f t="shared" si="6"/>
        <v>1046.375465366827</v>
      </c>
      <c r="P11" s="180">
        <f t="shared" si="6"/>
        <v>1072.2481247561279</v>
      </c>
      <c r="Q11" s="180">
        <f t="shared" si="6"/>
        <v>1085.0363310511948</v>
      </c>
      <c r="R11" s="180">
        <f t="shared" si="6"/>
        <v>1097.1610232863404</v>
      </c>
      <c r="S11" s="180">
        <f t="shared" si="6"/>
        <v>1124.1073855336922</v>
      </c>
      <c r="T11" s="180">
        <f t="shared" si="6"/>
        <v>1140.3573462622498</v>
      </c>
      <c r="U11" s="180">
        <f t="shared" si="6"/>
        <v>1171.2852588616768</v>
      </c>
      <c r="V11" s="180">
        <f t="shared" si="6"/>
        <v>1170.2472975691562</v>
      </c>
      <c r="W11" s="180">
        <f t="shared" si="6"/>
        <v>1170.0999604249987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9.9492342090039969</v>
      </c>
      <c r="C12" s="181">
        <f t="shared" ref="C12:W12" si="7">C20*C52</f>
        <v>10.565045305311418</v>
      </c>
      <c r="D12" s="181">
        <f t="shared" si="7"/>
        <v>11.231085069563871</v>
      </c>
      <c r="E12" s="181">
        <f t="shared" si="7"/>
        <v>12.131014071169629</v>
      </c>
      <c r="F12" s="181">
        <f t="shared" si="7"/>
        <v>12.883621860429258</v>
      </c>
      <c r="G12" s="181">
        <f t="shared" si="7"/>
        <v>13.669333509568004</v>
      </c>
      <c r="H12" s="181">
        <f t="shared" si="7"/>
        <v>14.27293061714327</v>
      </c>
      <c r="I12" s="181">
        <f t="shared" si="7"/>
        <v>15.742843547419348</v>
      </c>
      <c r="J12" s="181">
        <f t="shared" si="7"/>
        <v>16.457623668876735</v>
      </c>
      <c r="K12" s="181">
        <f t="shared" si="7"/>
        <v>16.501862268835893</v>
      </c>
      <c r="L12" s="181">
        <f t="shared" si="7"/>
        <v>16.694278495642973</v>
      </c>
      <c r="M12" s="181">
        <f t="shared" si="7"/>
        <v>16.92361099380113</v>
      </c>
      <c r="N12" s="181">
        <f t="shared" si="7"/>
        <v>17.150037365406249</v>
      </c>
      <c r="O12" s="181">
        <f t="shared" si="7"/>
        <v>17.463268062851942</v>
      </c>
      <c r="P12" s="181">
        <f t="shared" si="7"/>
        <v>18.021573333541539</v>
      </c>
      <c r="Q12" s="181">
        <f t="shared" si="7"/>
        <v>18.524615895572214</v>
      </c>
      <c r="R12" s="181">
        <f t="shared" si="7"/>
        <v>18.676150865617512</v>
      </c>
      <c r="S12" s="181">
        <f t="shared" si="7"/>
        <v>18.83588476607963</v>
      </c>
      <c r="T12" s="181">
        <f t="shared" si="7"/>
        <v>18.962129908577097</v>
      </c>
      <c r="U12" s="181">
        <f t="shared" si="7"/>
        <v>18.999536713496653</v>
      </c>
      <c r="V12" s="181">
        <f t="shared" si="7"/>
        <v>18.975303981069963</v>
      </c>
      <c r="W12" s="181">
        <f t="shared" si="7"/>
        <v>18.846434701329699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67.919241951919716</v>
      </c>
      <c r="C13" s="181">
        <f t="shared" ref="C13:W13" si="8">C21*C53/1000</f>
        <v>70.285475779226431</v>
      </c>
      <c r="D13" s="181">
        <f t="shared" si="8"/>
        <v>72.597399435175276</v>
      </c>
      <c r="E13" s="181">
        <f t="shared" si="8"/>
        <v>75.464073478469686</v>
      </c>
      <c r="F13" s="181">
        <f t="shared" si="8"/>
        <v>77.491875208048199</v>
      </c>
      <c r="G13" s="181">
        <f t="shared" si="8"/>
        <v>78.688363264254349</v>
      </c>
      <c r="H13" s="181">
        <f t="shared" si="8"/>
        <v>79.209069413181055</v>
      </c>
      <c r="I13" s="181">
        <f t="shared" si="8"/>
        <v>79.344631370649196</v>
      </c>
      <c r="J13" s="181">
        <f t="shared" si="8"/>
        <v>79.63194283648275</v>
      </c>
      <c r="K13" s="181">
        <f t="shared" si="8"/>
        <v>79.689055580588828</v>
      </c>
      <c r="L13" s="181">
        <f t="shared" si="8"/>
        <v>79.499197709186106</v>
      </c>
      <c r="M13" s="181">
        <f t="shared" si="8"/>
        <v>79.352256773730929</v>
      </c>
      <c r="N13" s="181">
        <f t="shared" si="8"/>
        <v>79.846364200156216</v>
      </c>
      <c r="O13" s="181">
        <f t="shared" si="8"/>
        <v>80.821498743862904</v>
      </c>
      <c r="P13" s="181">
        <f t="shared" si="8"/>
        <v>81.904081460461825</v>
      </c>
      <c r="Q13" s="181">
        <f t="shared" si="8"/>
        <v>83.39544190916304</v>
      </c>
      <c r="R13" s="181">
        <f t="shared" si="8"/>
        <v>81.065941930268721</v>
      </c>
      <c r="S13" s="181">
        <f t="shared" si="8"/>
        <v>78.143400034971805</v>
      </c>
      <c r="T13" s="181">
        <f t="shared" si="8"/>
        <v>75.174129203628041</v>
      </c>
      <c r="U13" s="181">
        <f t="shared" si="8"/>
        <v>71.911440984671486</v>
      </c>
      <c r="V13" s="181">
        <f t="shared" si="8"/>
        <v>68.350753374599421</v>
      </c>
      <c r="W13" s="181">
        <f t="shared" si="8"/>
        <v>64.892043110845407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191.94917306930807</v>
      </c>
      <c r="C14" s="181">
        <f t="shared" ref="C14:W14" si="9">C22*C54</f>
        <v>199.37704595778786</v>
      </c>
      <c r="D14" s="181">
        <f t="shared" si="9"/>
        <v>208.19359818206104</v>
      </c>
      <c r="E14" s="181">
        <f t="shared" si="9"/>
        <v>221.59386978577783</v>
      </c>
      <c r="F14" s="181">
        <f t="shared" si="9"/>
        <v>232.27035160383954</v>
      </c>
      <c r="G14" s="181">
        <f t="shared" si="9"/>
        <v>245.0816039679712</v>
      </c>
      <c r="H14" s="181">
        <f t="shared" si="9"/>
        <v>252.05048797523557</v>
      </c>
      <c r="I14" s="181">
        <f t="shared" si="9"/>
        <v>275.55990442278153</v>
      </c>
      <c r="J14" s="181">
        <f t="shared" si="9"/>
        <v>285.05656543340052</v>
      </c>
      <c r="K14" s="181">
        <f t="shared" si="9"/>
        <v>284.47756314128679</v>
      </c>
      <c r="L14" s="181">
        <f t="shared" si="9"/>
        <v>286.46701192937127</v>
      </c>
      <c r="M14" s="181">
        <f t="shared" si="9"/>
        <v>293.05614669765936</v>
      </c>
      <c r="N14" s="181">
        <f t="shared" si="9"/>
        <v>295.57176030439376</v>
      </c>
      <c r="O14" s="181">
        <f t="shared" si="9"/>
        <v>295.88662667703426</v>
      </c>
      <c r="P14" s="181">
        <f t="shared" si="9"/>
        <v>297.87631084724882</v>
      </c>
      <c r="Q14" s="181">
        <f t="shared" si="9"/>
        <v>302.81044867658414</v>
      </c>
      <c r="R14" s="181">
        <f t="shared" si="9"/>
        <v>297.71728039704192</v>
      </c>
      <c r="S14" s="181">
        <f t="shared" si="9"/>
        <v>290.03003924603962</v>
      </c>
      <c r="T14" s="181">
        <f t="shared" si="9"/>
        <v>282.17805714750051</v>
      </c>
      <c r="U14" s="181">
        <f t="shared" si="9"/>
        <v>265.21138370654933</v>
      </c>
      <c r="V14" s="181">
        <f t="shared" si="9"/>
        <v>249.58478024542381</v>
      </c>
      <c r="W14" s="181">
        <f t="shared" si="9"/>
        <v>232.48120397785556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22.615580436433572</v>
      </c>
      <c r="C15" s="181">
        <f t="shared" ref="C15:W15" si="10">C23*C55/1000</f>
        <v>24.047195871959097</v>
      </c>
      <c r="D15" s="181">
        <f t="shared" si="10"/>
        <v>25.77449261737695</v>
      </c>
      <c r="E15" s="181">
        <f t="shared" si="10"/>
        <v>28.233203282115031</v>
      </c>
      <c r="F15" s="181">
        <f t="shared" si="10"/>
        <v>30.02728654295931</v>
      </c>
      <c r="G15" s="181">
        <f t="shared" si="10"/>
        <v>30.976062852430129</v>
      </c>
      <c r="H15" s="181">
        <f t="shared" si="10"/>
        <v>31.133725965509388</v>
      </c>
      <c r="I15" s="181">
        <f t="shared" si="10"/>
        <v>31.001343508750576</v>
      </c>
      <c r="J15" s="181">
        <f t="shared" si="10"/>
        <v>30.668189164554839</v>
      </c>
      <c r="K15" s="181">
        <f t="shared" si="10"/>
        <v>30.283181855361143</v>
      </c>
      <c r="L15" s="181">
        <f t="shared" si="10"/>
        <v>29.997943187949527</v>
      </c>
      <c r="M15" s="181">
        <f t="shared" si="10"/>
        <v>29.153001116931744</v>
      </c>
      <c r="N15" s="181">
        <f t="shared" si="10"/>
        <v>28.778657898352378</v>
      </c>
      <c r="O15" s="181">
        <f t="shared" si="10"/>
        <v>28.704895597520949</v>
      </c>
      <c r="P15" s="181">
        <f t="shared" si="10"/>
        <v>28.735151093995416</v>
      </c>
      <c r="Q15" s="181">
        <f t="shared" si="10"/>
        <v>28.934870554034337</v>
      </c>
      <c r="R15" s="181">
        <f t="shared" si="10"/>
        <v>29.34632491145284</v>
      </c>
      <c r="S15" s="181">
        <f t="shared" si="10"/>
        <v>29.691339696197058</v>
      </c>
      <c r="T15" s="181">
        <f t="shared" si="10"/>
        <v>30.068924281203788</v>
      </c>
      <c r="U15" s="181">
        <f t="shared" si="10"/>
        <v>30.393883147501004</v>
      </c>
      <c r="V15" s="181">
        <f t="shared" si="10"/>
        <v>30.63268883623256</v>
      </c>
      <c r="W15" s="181">
        <f t="shared" si="10"/>
        <v>30.727072695493117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94.044923879823159</v>
      </c>
      <c r="C16" s="55">
        <f t="shared" ref="C16:W16" si="11">C24*C56</f>
        <v>107.95255640072402</v>
      </c>
      <c r="D16" s="55">
        <f t="shared" si="11"/>
        <v>123.59330712925289</v>
      </c>
      <c r="E16" s="55">
        <f t="shared" si="11"/>
        <v>141.61631979008376</v>
      </c>
      <c r="F16" s="55">
        <f t="shared" si="11"/>
        <v>159.87431082218356</v>
      </c>
      <c r="G16" s="55">
        <f t="shared" si="11"/>
        <v>177.07258338274363</v>
      </c>
      <c r="H16" s="55">
        <f t="shared" si="11"/>
        <v>192.39082868652696</v>
      </c>
      <c r="I16" s="55">
        <f t="shared" si="11"/>
        <v>219.47518947857688</v>
      </c>
      <c r="J16" s="55">
        <f t="shared" si="11"/>
        <v>235.18738213729048</v>
      </c>
      <c r="K16" s="55">
        <f t="shared" si="11"/>
        <v>241.02214352195622</v>
      </c>
      <c r="L16" s="55">
        <f t="shared" si="11"/>
        <v>246.41401639470809</v>
      </c>
      <c r="M16" s="55">
        <f t="shared" si="11"/>
        <v>255.31685345485383</v>
      </c>
      <c r="N16" s="55">
        <f t="shared" si="11"/>
        <v>260.25423436190226</v>
      </c>
      <c r="O16" s="55">
        <f t="shared" si="11"/>
        <v>266.762148678811</v>
      </c>
      <c r="P16" s="55">
        <f t="shared" si="11"/>
        <v>274.07521637042004</v>
      </c>
      <c r="Q16" s="55">
        <f t="shared" si="11"/>
        <v>277.77768203114113</v>
      </c>
      <c r="R16" s="55">
        <f t="shared" si="11"/>
        <v>285.81429094297874</v>
      </c>
      <c r="S16" s="55">
        <f t="shared" si="11"/>
        <v>291.48285990871057</v>
      </c>
      <c r="T16" s="55">
        <f t="shared" si="11"/>
        <v>297.90982028473564</v>
      </c>
      <c r="U16" s="55">
        <f t="shared" si="11"/>
        <v>305.84701351323014</v>
      </c>
      <c r="V16" s="55">
        <f t="shared" si="11"/>
        <v>312.06484499413011</v>
      </c>
      <c r="W16" s="55">
        <f t="shared" si="11"/>
        <v>316.42893883925939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104.68321527109548</v>
      </c>
      <c r="C17" s="63">
        <f t="shared" ref="C17:W17" si="12">C25*C57/1000</f>
        <v>120.29952965858529</v>
      </c>
      <c r="D17" s="63">
        <f t="shared" si="12"/>
        <v>138.24333866805105</v>
      </c>
      <c r="E17" s="63">
        <f t="shared" si="12"/>
        <v>169.62746148431918</v>
      </c>
      <c r="F17" s="63">
        <f t="shared" si="12"/>
        <v>196.72118774360416</v>
      </c>
      <c r="G17" s="63">
        <f t="shared" si="12"/>
        <v>227.71539958292496</v>
      </c>
      <c r="H17" s="63">
        <f t="shared" si="12"/>
        <v>260.47748717374975</v>
      </c>
      <c r="I17" s="63">
        <f t="shared" si="12"/>
        <v>296.59023762114646</v>
      </c>
      <c r="J17" s="63">
        <f t="shared" si="12"/>
        <v>321.58291711318424</v>
      </c>
      <c r="K17" s="63">
        <f t="shared" si="12"/>
        <v>315.24368128875994</v>
      </c>
      <c r="L17" s="63">
        <f t="shared" si="12"/>
        <v>305.32266115335449</v>
      </c>
      <c r="M17" s="63">
        <f t="shared" si="12"/>
        <v>319.22562204063121</v>
      </c>
      <c r="N17" s="63">
        <f t="shared" si="12"/>
        <v>341.0591843744225</v>
      </c>
      <c r="O17" s="63">
        <f t="shared" si="12"/>
        <v>356.73702760674604</v>
      </c>
      <c r="P17" s="63">
        <f t="shared" si="12"/>
        <v>371.63579165046036</v>
      </c>
      <c r="Q17" s="63">
        <f t="shared" si="12"/>
        <v>373.59327198470004</v>
      </c>
      <c r="R17" s="63">
        <f t="shared" si="12"/>
        <v>384.54103423898079</v>
      </c>
      <c r="S17" s="63">
        <f t="shared" si="12"/>
        <v>415.9238618816936</v>
      </c>
      <c r="T17" s="63">
        <f t="shared" si="12"/>
        <v>436.06428543660462</v>
      </c>
      <c r="U17" s="63">
        <f t="shared" si="12"/>
        <v>478.92200079622813</v>
      </c>
      <c r="V17" s="63">
        <f t="shared" si="12"/>
        <v>490.63892613770042</v>
      </c>
      <c r="W17" s="63">
        <f t="shared" si="12"/>
        <v>506.72426710021551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12.26086366170566</v>
      </c>
      <c r="C20" s="182">
        <v>13.176811204590827</v>
      </c>
      <c r="D20" s="182">
        <v>14.189813729583827</v>
      </c>
      <c r="E20" s="182">
        <v>15.5688419184119</v>
      </c>
      <c r="F20" s="182">
        <v>16.7732816410937</v>
      </c>
      <c r="G20" s="182">
        <v>18.063312656242672</v>
      </c>
      <c r="H20" s="182">
        <v>19.113867737506695</v>
      </c>
      <c r="I20" s="182">
        <v>21.545979004215511</v>
      </c>
      <c r="J20" s="182">
        <v>22.854034564120113</v>
      </c>
      <c r="K20" s="182">
        <v>23.123283965457244</v>
      </c>
      <c r="L20" s="182">
        <v>23.66092750718358</v>
      </c>
      <c r="M20" s="182">
        <v>24.294615683032593</v>
      </c>
      <c r="N20" s="182">
        <v>24.965261761832501</v>
      </c>
      <c r="O20" s="182">
        <v>25.831642870701277</v>
      </c>
      <c r="P20" s="182">
        <v>27.200288936497522</v>
      </c>
      <c r="Q20" s="182">
        <v>28.55157205484976</v>
      </c>
      <c r="R20" s="182">
        <v>29.265612820435283</v>
      </c>
      <c r="S20" s="182">
        <v>30.022152582336094</v>
      </c>
      <c r="T20" s="182">
        <v>30.741989893401257</v>
      </c>
      <c r="U20" s="182">
        <v>31.395919313030515</v>
      </c>
      <c r="V20" s="182">
        <v>31.957422592388898</v>
      </c>
      <c r="W20" s="182">
        <v>32.422516890007209</v>
      </c>
      <c r="DA20" s="191" t="s">
        <v>921</v>
      </c>
    </row>
    <row r="21" spans="1:105" ht="12" customHeight="1" x14ac:dyDescent="0.25">
      <c r="A21" s="132" t="s">
        <v>163</v>
      </c>
      <c r="B21" s="182">
        <v>336.2626817411479</v>
      </c>
      <c r="C21" s="182">
        <v>351.94107652633727</v>
      </c>
      <c r="D21" s="182">
        <v>368.28583786287112</v>
      </c>
      <c r="E21" s="182">
        <v>388.26751230603782</v>
      </c>
      <c r="F21" s="182">
        <v>404.34485357550574</v>
      </c>
      <c r="G21" s="182">
        <v>417.27659048177003</v>
      </c>
      <c r="H21" s="182">
        <v>428.14172512775519</v>
      </c>
      <c r="I21" s="182">
        <v>438.45084175707865</v>
      </c>
      <c r="J21" s="182">
        <v>446.68145066675942</v>
      </c>
      <c r="K21" s="182">
        <v>454.47377348701292</v>
      </c>
      <c r="L21" s="182">
        <v>462.4840344814001</v>
      </c>
      <c r="M21" s="182">
        <v>471.72905508829319</v>
      </c>
      <c r="N21" s="182">
        <v>486.27391621224984</v>
      </c>
      <c r="O21" s="182">
        <v>505.64226018538284</v>
      </c>
      <c r="P21" s="182">
        <v>529.22642384547112</v>
      </c>
      <c r="Q21" s="182">
        <v>560.47442601422063</v>
      </c>
      <c r="R21" s="182">
        <v>565.04058718167016</v>
      </c>
      <c r="S21" s="182">
        <v>568.18782565963443</v>
      </c>
      <c r="T21" s="182">
        <v>571.99493896357603</v>
      </c>
      <c r="U21" s="182">
        <v>575.12637016208339</v>
      </c>
      <c r="V21" s="182">
        <v>577.35212840229008</v>
      </c>
      <c r="W21" s="182">
        <v>578.27099671442897</v>
      </c>
      <c r="DA21" s="191" t="s">
        <v>922</v>
      </c>
    </row>
    <row r="22" spans="1:105" ht="12" customHeight="1" x14ac:dyDescent="0.25">
      <c r="A22" s="132" t="s">
        <v>167</v>
      </c>
      <c r="B22" s="182">
        <v>4.2286620272069673</v>
      </c>
      <c r="C22" s="182">
        <v>4.4539746927366135</v>
      </c>
      <c r="D22" s="182">
        <v>4.7552463417649742</v>
      </c>
      <c r="E22" s="182">
        <v>5.2047554201610797</v>
      </c>
      <c r="F22" s="182">
        <v>5.6179566241794685</v>
      </c>
      <c r="G22" s="182">
        <v>6.1199508899052324</v>
      </c>
      <c r="H22" s="182">
        <v>6.5068298026982454</v>
      </c>
      <c r="I22" s="182">
        <v>7.374449139119263</v>
      </c>
      <c r="J22" s="182">
        <v>7.8518345715711702</v>
      </c>
      <c r="K22" s="182">
        <v>8.0709271722414204</v>
      </c>
      <c r="L22" s="182">
        <v>8.3792921570513226</v>
      </c>
      <c r="M22" s="182">
        <v>8.8939687929366098</v>
      </c>
      <c r="N22" s="182">
        <v>9.2763337553202376</v>
      </c>
      <c r="O22" s="182">
        <v>9.7837950862966867</v>
      </c>
      <c r="P22" s="182">
        <v>10.316695537621904</v>
      </c>
      <c r="Q22" s="182">
        <v>10.997650351470666</v>
      </c>
      <c r="R22" s="182">
        <v>11.391619270672734</v>
      </c>
      <c r="S22" s="182">
        <v>11.808005026646558</v>
      </c>
      <c r="T22" s="182">
        <v>12.199194352669238</v>
      </c>
      <c r="U22" s="182">
        <v>12.542654025908661</v>
      </c>
      <c r="V22" s="182">
        <v>12.807839531153194</v>
      </c>
      <c r="W22" s="182">
        <v>12.953250175522838</v>
      </c>
      <c r="DA22" s="191" t="s">
        <v>923</v>
      </c>
    </row>
    <row r="23" spans="1:105" ht="12" customHeight="1" x14ac:dyDescent="0.25">
      <c r="A23" s="132" t="s">
        <v>180</v>
      </c>
      <c r="B23" s="182">
        <v>32.411311554016564</v>
      </c>
      <c r="C23" s="182">
        <v>34.966025886938446</v>
      </c>
      <c r="D23" s="182">
        <v>38.112108108312157</v>
      </c>
      <c r="E23" s="182">
        <v>42.571723424809484</v>
      </c>
      <c r="F23" s="182">
        <v>46.044905244680038</v>
      </c>
      <c r="G23" s="182">
        <v>48.201023843324293</v>
      </c>
      <c r="H23" s="182">
        <v>49.101488549346662</v>
      </c>
      <c r="I23" s="182">
        <v>49.563459943373779</v>
      </c>
      <c r="J23" s="182">
        <v>49.761534623310915</v>
      </c>
      <c r="K23" s="182">
        <v>49.961652041258148</v>
      </c>
      <c r="L23" s="182">
        <v>50.450932763243486</v>
      </c>
      <c r="M23" s="182">
        <v>49.948448110864916</v>
      </c>
      <c r="N23" s="182">
        <v>50.412360536459275</v>
      </c>
      <c r="O23" s="182">
        <v>51.647465776388664</v>
      </c>
      <c r="P23" s="182">
        <v>53.027244892051833</v>
      </c>
      <c r="Q23" s="182">
        <v>54.530068916693921</v>
      </c>
      <c r="R23" s="182">
        <v>56.225962262997697</v>
      </c>
      <c r="S23" s="182">
        <v>57.751098309956092</v>
      </c>
      <c r="T23" s="182">
        <v>59.310165924450956</v>
      </c>
      <c r="U23" s="182">
        <v>60.767370263227427</v>
      </c>
      <c r="V23" s="182">
        <v>62.095216853401688</v>
      </c>
      <c r="W23" s="182">
        <v>63.276076349986504</v>
      </c>
      <c r="DA23" s="191" t="s">
        <v>924</v>
      </c>
    </row>
    <row r="24" spans="1:105" ht="12" customHeight="1" x14ac:dyDescent="0.25">
      <c r="A24" s="60" t="s">
        <v>166</v>
      </c>
      <c r="B24" s="36">
        <v>1.6585873815020007</v>
      </c>
      <c r="C24" s="36">
        <v>1.9246225413001916</v>
      </c>
      <c r="D24" s="36">
        <v>2.2285034842827978</v>
      </c>
      <c r="E24" s="36">
        <v>2.5839534385377791</v>
      </c>
      <c r="F24" s="36">
        <v>2.9521824125739493</v>
      </c>
      <c r="G24" s="36">
        <v>3.3088801702599717</v>
      </c>
      <c r="H24" s="36">
        <v>3.6378356261440787</v>
      </c>
      <c r="I24" s="36">
        <v>4.226784467797895</v>
      </c>
      <c r="J24" s="36">
        <v>4.5866062494359934</v>
      </c>
      <c r="K24" s="36">
        <v>4.7402306671190733</v>
      </c>
      <c r="L24" s="36">
        <v>4.8930130557640066</v>
      </c>
      <c r="M24" s="36">
        <v>5.1418069692191342</v>
      </c>
      <c r="N24" s="36">
        <v>5.3138107199653328</v>
      </c>
      <c r="O24" s="36">
        <v>5.5456286692197123</v>
      </c>
      <c r="P24" s="36">
        <v>5.8257531726801313</v>
      </c>
      <c r="Q24" s="36">
        <v>6.0423914024478531</v>
      </c>
      <c r="R24" s="36">
        <v>6.4103046288353029</v>
      </c>
      <c r="S24" s="36">
        <v>6.7359890869962102</v>
      </c>
      <c r="T24" s="36">
        <v>7.1131413821859883</v>
      </c>
      <c r="U24" s="36">
        <v>7.543531060009828</v>
      </c>
      <c r="V24" s="36">
        <v>7.9212930122792109</v>
      </c>
      <c r="W24" s="36">
        <v>8.2278872996759898</v>
      </c>
      <c r="DA24" s="89" t="s">
        <v>925</v>
      </c>
    </row>
    <row r="25" spans="1:105" ht="12" customHeight="1" x14ac:dyDescent="0.25">
      <c r="A25" s="62" t="s">
        <v>164</v>
      </c>
      <c r="B25" s="38">
        <v>269.26043860181369</v>
      </c>
      <c r="C25" s="38">
        <v>316.0172490260619</v>
      </c>
      <c r="D25" s="38">
        <v>373.43646665836383</v>
      </c>
      <c r="E25" s="38">
        <v>474.34830550356202</v>
      </c>
      <c r="F25" s="38">
        <v>567.43500453006504</v>
      </c>
      <c r="G25" s="38">
        <v>679.88941133885203</v>
      </c>
      <c r="H25" s="38">
        <v>815.93423011109371</v>
      </c>
      <c r="I25" s="38">
        <v>976.55405911506887</v>
      </c>
      <c r="J25" s="38">
        <v>1123.2914159130164</v>
      </c>
      <c r="K25" s="38">
        <v>1152.5380752752362</v>
      </c>
      <c r="L25" s="38">
        <v>1180.6637551408262</v>
      </c>
      <c r="M25" s="38">
        <v>1353.5879576985742</v>
      </c>
      <c r="N25" s="38">
        <v>1565.3070630394163</v>
      </c>
      <c r="O25" s="38">
        <v>1732.6175162006464</v>
      </c>
      <c r="P25" s="38">
        <v>1842.7755179081178</v>
      </c>
      <c r="Q25" s="38">
        <v>1871.8570860539558</v>
      </c>
      <c r="R25" s="38">
        <v>1946.7558664676183</v>
      </c>
      <c r="S25" s="38">
        <v>2140.1743683528912</v>
      </c>
      <c r="T25" s="38">
        <v>2284.5795289523712</v>
      </c>
      <c r="U25" s="38">
        <v>2551.4599781780294</v>
      </c>
      <c r="V25" s="38">
        <v>2645.9974882510419</v>
      </c>
      <c r="W25" s="38">
        <v>2803.2057428453818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1.4477419935798395</v>
      </c>
      <c r="D28" s="183">
        <v>1.5598390977698919</v>
      </c>
      <c r="E28" s="183">
        <v>1.9413323590497793</v>
      </c>
      <c r="F28" s="183">
        <v>1.7826490005344091</v>
      </c>
      <c r="G28" s="183">
        <v>1.8845952860541964</v>
      </c>
      <c r="H28" s="183">
        <v>1.6619369559200905</v>
      </c>
      <c r="I28" s="183">
        <v>3.0607864410324908</v>
      </c>
      <c r="J28" s="183">
        <v>1.9545131851543509</v>
      </c>
      <c r="K28" s="183">
        <v>0.93399246470547226</v>
      </c>
      <c r="L28" s="183">
        <v>1.2211892576974499</v>
      </c>
      <c r="M28" s="183">
        <v>1.3365683886261479</v>
      </c>
      <c r="N28" s="183">
        <v>1.3934076761156717</v>
      </c>
      <c r="O28" s="183">
        <v>1.6095864475003054</v>
      </c>
      <c r="P28" s="183">
        <v>2.1328734091163319</v>
      </c>
      <c r="Q28" s="183">
        <v>2.1371270862568323</v>
      </c>
      <c r="R28" s="183">
        <v>1.5221127971477095</v>
      </c>
      <c r="S28" s="183">
        <v>1.5874685911112358</v>
      </c>
      <c r="T28" s="183">
        <v>1.5742694560290538</v>
      </c>
      <c r="U28" s="183">
        <v>2.1016714132090968</v>
      </c>
      <c r="V28" s="183">
        <v>2.1213423771282756</v>
      </c>
      <c r="W28" s="183">
        <v>2.4064266566680885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57.860675077865267</v>
      </c>
      <c r="D29" s="183">
        <v>60.342772886256228</v>
      </c>
      <c r="E29" s="183">
        <v>65.873575186750372</v>
      </c>
      <c r="F29" s="183">
        <v>63.944653442856861</v>
      </c>
      <c r="G29" s="183">
        <v>62.859491860389198</v>
      </c>
      <c r="H29" s="183">
        <v>62.942023896202272</v>
      </c>
      <c r="I29" s="183">
        <v>64.627649406758508</v>
      </c>
      <c r="J29" s="183">
        <v>66.091283987546035</v>
      </c>
      <c r="K29" s="183">
        <v>68.13509570650973</v>
      </c>
      <c r="L29" s="183">
        <v>73.883836181137553</v>
      </c>
      <c r="M29" s="183">
        <v>73.189674049749954</v>
      </c>
      <c r="N29" s="183">
        <v>77.404352984345849</v>
      </c>
      <c r="O29" s="183">
        <v>82.310367869335266</v>
      </c>
      <c r="P29" s="183">
        <v>88.211813066846787</v>
      </c>
      <c r="Q29" s="183">
        <v>97.339286156295543</v>
      </c>
      <c r="R29" s="183">
        <v>72.701256873959267</v>
      </c>
      <c r="S29" s="183">
        <v>77.031074659101819</v>
      </c>
      <c r="T29" s="183">
        <v>76.996787353691559</v>
      </c>
      <c r="U29" s="183">
        <v>80.535784182853206</v>
      </c>
      <c r="V29" s="183">
        <v>84.536126109541954</v>
      </c>
      <c r="W29" s="183">
        <v>89.130681378985685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0.88568631087011074</v>
      </c>
      <c r="D30" s="183">
        <v>0.97880071343523634</v>
      </c>
      <c r="E30" s="183">
        <v>1.1446392313860683</v>
      </c>
      <c r="F30" s="183">
        <v>1.1263896928677317</v>
      </c>
      <c r="G30" s="183">
        <v>1.2337102162415139</v>
      </c>
      <c r="H30" s="183">
        <v>1.1376036378975849</v>
      </c>
      <c r="I30" s="183">
        <v>1.7533056472911284</v>
      </c>
      <c r="J30" s="183">
        <v>1.4561861458871439</v>
      </c>
      <c r="K30" s="183">
        <v>1.3637318320563185</v>
      </c>
      <c r="L30" s="183">
        <v>1.4347546776776339</v>
      </c>
      <c r="M30" s="183">
        <v>1.7483868521268011</v>
      </c>
      <c r="N30" s="183">
        <v>1.5199686002812127</v>
      </c>
      <c r="O30" s="183">
        <v>2.2607669782675774</v>
      </c>
      <c r="P30" s="183">
        <v>1.9890865972123599</v>
      </c>
      <c r="Q30" s="183">
        <v>2.044686645905081</v>
      </c>
      <c r="R30" s="183">
        <v>1.8287235968797013</v>
      </c>
      <c r="S30" s="183">
        <v>2.1647726081006251</v>
      </c>
      <c r="T30" s="183">
        <v>1.9111579263038934</v>
      </c>
      <c r="U30" s="183">
        <v>2.6042266515070001</v>
      </c>
      <c r="V30" s="183">
        <v>2.254272102456893</v>
      </c>
      <c r="W30" s="183">
        <v>2.1900972902747249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5.5003548791798806</v>
      </c>
      <c r="D31" s="183">
        <v>6.1537702856122998</v>
      </c>
      <c r="E31" s="183">
        <v>7.5306578791260677</v>
      </c>
      <c r="F31" s="183">
        <v>6.6089133917763903</v>
      </c>
      <c r="G31" s="183">
        <v>5.357901801098599</v>
      </c>
      <c r="H31" s="183">
        <v>4.1696908628034421</v>
      </c>
      <c r="I31" s="183">
        <v>3.8000611360148753</v>
      </c>
      <c r="J31" s="183">
        <v>3.6064785624434776</v>
      </c>
      <c r="K31" s="183">
        <v>3.6803165510497777</v>
      </c>
      <c r="L31" s="183">
        <v>4.0427874141386795</v>
      </c>
      <c r="M31" s="183">
        <v>4.9978702268013109</v>
      </c>
      <c r="N31" s="183">
        <v>6.6176827112066547</v>
      </c>
      <c r="O31" s="183">
        <v>8.7657631190554568</v>
      </c>
      <c r="P31" s="183">
        <v>7.9886925074395592</v>
      </c>
      <c r="Q31" s="183">
        <v>6.8607258257406869</v>
      </c>
      <c r="R31" s="183">
        <v>5.8655842091072188</v>
      </c>
      <c r="S31" s="183">
        <v>5.3251971829732696</v>
      </c>
      <c r="T31" s="183">
        <v>5.1655461769383422</v>
      </c>
      <c r="U31" s="183">
        <v>5.1375208898262485</v>
      </c>
      <c r="V31" s="183">
        <v>5.3706340043129401</v>
      </c>
      <c r="W31" s="183">
        <v>6.1787297233861267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0.31327579950074602</v>
      </c>
      <c r="D32" s="41">
        <v>0.35643764160263203</v>
      </c>
      <c r="E32" s="41">
        <v>0.41392093574947708</v>
      </c>
      <c r="F32" s="41">
        <v>0.4332797813870517</v>
      </c>
      <c r="G32" s="41">
        <v>0.42906882840936689</v>
      </c>
      <c r="H32" s="41">
        <v>0.40947055002263255</v>
      </c>
      <c r="I32" s="41">
        <v>0.67852441818379772</v>
      </c>
      <c r="J32" s="41">
        <v>0.45947743001719221</v>
      </c>
      <c r="K32" s="41">
        <v>0.26449446327562587</v>
      </c>
      <c r="L32" s="41">
        <v>0.27612880412289353</v>
      </c>
      <c r="M32" s="41">
        <v>0.3860206831380335</v>
      </c>
      <c r="N32" s="41">
        <v>0.32467285138147428</v>
      </c>
      <c r="O32" s="41">
        <v>0.40166712913846592</v>
      </c>
      <c r="P32" s="41">
        <v>0.46908706227063934</v>
      </c>
      <c r="Q32" s="41">
        <v>0.42686502424782535</v>
      </c>
      <c r="R32" s="41">
        <v>0.68118902588819541</v>
      </c>
      <c r="S32" s="41">
        <v>0.68212209976353932</v>
      </c>
      <c r="T32" s="41">
        <v>0.79107323093925519</v>
      </c>
      <c r="U32" s="41">
        <v>0.86366945921089133</v>
      </c>
      <c r="V32" s="41">
        <v>0.8068307806787498</v>
      </c>
      <c r="W32" s="41">
        <v>0.7160648374194114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100.60889814461095</v>
      </c>
      <c r="D33" s="42">
        <v>111.27130535266468</v>
      </c>
      <c r="E33" s="42">
        <v>154.76392656556095</v>
      </c>
      <c r="F33" s="42">
        <v>146.93878674686579</v>
      </c>
      <c r="G33" s="42">
        <v>166.30649452914975</v>
      </c>
      <c r="H33" s="42">
        <v>236.65371691685266</v>
      </c>
      <c r="I33" s="42">
        <v>271.8911343566399</v>
      </c>
      <c r="J33" s="42">
        <v>301.50128336350849</v>
      </c>
      <c r="K33" s="42">
        <v>176.18544610908566</v>
      </c>
      <c r="L33" s="42">
        <v>194.43217439473972</v>
      </c>
      <c r="M33" s="42">
        <v>409.57791947460066</v>
      </c>
      <c r="N33" s="42">
        <v>483.61023969748203</v>
      </c>
      <c r="O33" s="42">
        <v>468.81173652473854</v>
      </c>
      <c r="P33" s="42">
        <v>286.34344781655705</v>
      </c>
      <c r="Q33" s="42">
        <v>223.51374254057782</v>
      </c>
      <c r="R33" s="42">
        <v>484.47669988826306</v>
      </c>
      <c r="S33" s="42">
        <v>677.02874158275495</v>
      </c>
      <c r="T33" s="42">
        <v>613.21689712421858</v>
      </c>
      <c r="U33" s="42">
        <v>553.22389704221519</v>
      </c>
      <c r="V33" s="42">
        <v>318.05125261359035</v>
      </c>
      <c r="W33" s="42">
        <v>641.68495448260273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0.53179445069467235</v>
      </c>
      <c r="D36" s="183">
        <v>0.54683657277689157</v>
      </c>
      <c r="E36" s="183">
        <v>0.5623041702217062</v>
      </c>
      <c r="F36" s="183">
        <v>0.57820927785261134</v>
      </c>
      <c r="G36" s="183">
        <v>0.59456427090522368</v>
      </c>
      <c r="H36" s="183">
        <v>0.61138187465606819</v>
      </c>
      <c r="I36" s="183">
        <v>0.62867517432367492</v>
      </c>
      <c r="J36" s="183">
        <v>0.6464576252497487</v>
      </c>
      <c r="K36" s="183">
        <v>0.66474306336834132</v>
      </c>
      <c r="L36" s="183">
        <v>0.68354571597111402</v>
      </c>
      <c r="M36" s="183">
        <v>0.70288021277713497</v>
      </c>
      <c r="N36" s="183">
        <v>0.72276159731576328</v>
      </c>
      <c r="O36" s="183">
        <v>0.7432053386315296</v>
      </c>
      <c r="P36" s="183">
        <v>0.76422734332008702</v>
      </c>
      <c r="Q36" s="183">
        <v>0.78584396790459365</v>
      </c>
      <c r="R36" s="183">
        <v>0.80807203156218677</v>
      </c>
      <c r="S36" s="183">
        <v>0.83092882921042488</v>
      </c>
      <c r="T36" s="183">
        <v>0.85443214496389075</v>
      </c>
      <c r="U36" s="183">
        <v>1.447741993579843</v>
      </c>
      <c r="V36" s="183">
        <v>1.5598390977698919</v>
      </c>
      <c r="W36" s="183">
        <v>1.941332359049774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42.182280292675898</v>
      </c>
      <c r="D37" s="183">
        <v>43.998011549722378</v>
      </c>
      <c r="E37" s="183">
        <v>45.891900743583676</v>
      </c>
      <c r="F37" s="183">
        <v>47.867312173388939</v>
      </c>
      <c r="G37" s="183">
        <v>49.927754954124907</v>
      </c>
      <c r="H37" s="183">
        <v>52.076889250217107</v>
      </c>
      <c r="I37" s="183">
        <v>54.318532777435053</v>
      </c>
      <c r="J37" s="183">
        <v>57.860675077865267</v>
      </c>
      <c r="K37" s="183">
        <v>60.342772886256228</v>
      </c>
      <c r="L37" s="183">
        <v>65.873575186750315</v>
      </c>
      <c r="M37" s="183">
        <v>63.944653442856861</v>
      </c>
      <c r="N37" s="183">
        <v>62.859491860389141</v>
      </c>
      <c r="O37" s="183">
        <v>62.942023896202272</v>
      </c>
      <c r="P37" s="183">
        <v>64.627649406758565</v>
      </c>
      <c r="Q37" s="183">
        <v>66.091283987546035</v>
      </c>
      <c r="R37" s="183">
        <v>68.135095706509674</v>
      </c>
      <c r="S37" s="183">
        <v>73.883836181137553</v>
      </c>
      <c r="T37" s="183">
        <v>73.18967404975001</v>
      </c>
      <c r="U37" s="183">
        <v>77.404352984345792</v>
      </c>
      <c r="V37" s="183">
        <v>82.310367869335209</v>
      </c>
      <c r="W37" s="183">
        <v>88.211813066846844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0.6603736453404645</v>
      </c>
      <c r="D38" s="183">
        <v>0.67752906440687521</v>
      </c>
      <c r="E38" s="183">
        <v>0.69513015298996272</v>
      </c>
      <c r="F38" s="183">
        <v>0.71318848884934294</v>
      </c>
      <c r="G38" s="183">
        <v>0.73171595051575</v>
      </c>
      <c r="H38" s="183">
        <v>0.75072472510457189</v>
      </c>
      <c r="I38" s="183">
        <v>0.88568631087011074</v>
      </c>
      <c r="J38" s="183">
        <v>0.97880071343523678</v>
      </c>
      <c r="K38" s="183">
        <v>1.1446392313860674</v>
      </c>
      <c r="L38" s="183">
        <v>1.1263896928677308</v>
      </c>
      <c r="M38" s="183">
        <v>1.2337102162415139</v>
      </c>
      <c r="N38" s="183">
        <v>1.137603637897584</v>
      </c>
      <c r="O38" s="183">
        <v>1.7533056472911284</v>
      </c>
      <c r="P38" s="183">
        <v>1.456186145887143</v>
      </c>
      <c r="Q38" s="183">
        <v>1.3637318320563185</v>
      </c>
      <c r="R38" s="183">
        <v>1.434754677677633</v>
      </c>
      <c r="S38" s="183">
        <v>1.7483868521268011</v>
      </c>
      <c r="T38" s="183">
        <v>1.5199686002812136</v>
      </c>
      <c r="U38" s="183">
        <v>2.2607669782675774</v>
      </c>
      <c r="V38" s="183">
        <v>1.9890865972123599</v>
      </c>
      <c r="W38" s="183">
        <v>2.044686645905081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2.945640546257998</v>
      </c>
      <c r="D39" s="183">
        <v>3.007688064238593</v>
      </c>
      <c r="E39" s="183">
        <v>3.0710425626287403</v>
      </c>
      <c r="F39" s="183">
        <v>3.1357315719058363</v>
      </c>
      <c r="G39" s="183">
        <v>3.2017832024543438</v>
      </c>
      <c r="H39" s="183">
        <v>3.2692261567810732</v>
      </c>
      <c r="I39" s="183">
        <v>3.3380897419877584</v>
      </c>
      <c r="J39" s="183">
        <v>3.4084038825063416</v>
      </c>
      <c r="K39" s="183">
        <v>3.4801991331025448</v>
      </c>
      <c r="L39" s="183">
        <v>3.5535066921533414</v>
      </c>
      <c r="M39" s="183">
        <v>5.5003548791798806</v>
      </c>
      <c r="N39" s="183">
        <v>6.1537702856122962</v>
      </c>
      <c r="O39" s="183">
        <v>7.5306578791260677</v>
      </c>
      <c r="P39" s="183">
        <v>6.6089133917763903</v>
      </c>
      <c r="Q39" s="183">
        <v>5.357901801098599</v>
      </c>
      <c r="R39" s="183">
        <v>4.1696908628034421</v>
      </c>
      <c r="S39" s="183">
        <v>3.8000611360148753</v>
      </c>
      <c r="T39" s="183">
        <v>3.6064785624434776</v>
      </c>
      <c r="U39" s="183">
        <v>3.6803165510497777</v>
      </c>
      <c r="V39" s="183">
        <v>4.0427874141386795</v>
      </c>
      <c r="W39" s="183">
        <v>4.9978702268013038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4.7240639702555098E-2</v>
      </c>
      <c r="D40" s="41">
        <v>5.2556698620025877E-2</v>
      </c>
      <c r="E40" s="41">
        <v>5.84709814944957E-2</v>
      </c>
      <c r="F40" s="41">
        <v>6.5050807350881534E-2</v>
      </c>
      <c r="G40" s="41">
        <v>7.2371070723344477E-2</v>
      </c>
      <c r="H40" s="41">
        <v>8.0515094138525534E-2</v>
      </c>
      <c r="I40" s="41">
        <v>8.9575576529981049E-2</v>
      </c>
      <c r="J40" s="41">
        <v>9.9655648379093797E-2</v>
      </c>
      <c r="K40" s="41">
        <v>0.11087004559254598</v>
      </c>
      <c r="L40" s="41">
        <v>0.12334641547796021</v>
      </c>
      <c r="M40" s="41">
        <v>0.13722676968290592</v>
      </c>
      <c r="N40" s="41">
        <v>0.15266910063527561</v>
      </c>
      <c r="O40" s="41">
        <v>0.16984917988408643</v>
      </c>
      <c r="P40" s="41">
        <v>0.18896255881022039</v>
      </c>
      <c r="Q40" s="41">
        <v>0.21022679448010351</v>
      </c>
      <c r="R40" s="41">
        <v>0.31327579950074558</v>
      </c>
      <c r="S40" s="41">
        <v>0.35643764160263203</v>
      </c>
      <c r="T40" s="41">
        <v>0.41392093574947708</v>
      </c>
      <c r="U40" s="41">
        <v>0.4332797813870517</v>
      </c>
      <c r="V40" s="41">
        <v>0.42906882840936689</v>
      </c>
      <c r="W40" s="41">
        <v>0.40947055002263255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53.852087720362761</v>
      </c>
      <c r="D41" s="42">
        <v>53.852087720362761</v>
      </c>
      <c r="E41" s="42">
        <v>53.852087720362704</v>
      </c>
      <c r="F41" s="42">
        <v>53.852087720362761</v>
      </c>
      <c r="G41" s="42">
        <v>53.852087720362761</v>
      </c>
      <c r="H41" s="42">
        <v>100.60889814461098</v>
      </c>
      <c r="I41" s="42">
        <v>111.27130535266474</v>
      </c>
      <c r="J41" s="42">
        <v>154.76392656556095</v>
      </c>
      <c r="K41" s="42">
        <v>146.93878674686584</v>
      </c>
      <c r="L41" s="42">
        <v>166.30649452914986</v>
      </c>
      <c r="M41" s="42">
        <v>236.65371691685255</v>
      </c>
      <c r="N41" s="42">
        <v>271.8911343566399</v>
      </c>
      <c r="O41" s="42">
        <v>301.50128336350849</v>
      </c>
      <c r="P41" s="42">
        <v>176.18544610908566</v>
      </c>
      <c r="Q41" s="42">
        <v>194.43217439473983</v>
      </c>
      <c r="R41" s="42">
        <v>409.57791947460078</v>
      </c>
      <c r="S41" s="42">
        <v>483.61023969748203</v>
      </c>
      <c r="T41" s="42">
        <v>468.81173652473854</v>
      </c>
      <c r="U41" s="42">
        <v>286.34344781655682</v>
      </c>
      <c r="V41" s="42">
        <v>223.51374254057782</v>
      </c>
      <c r="W41" s="42">
        <v>484.47669988826283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8760</v>
      </c>
      <c r="C44" s="185">
        <v>8760</v>
      </c>
      <c r="D44" s="185">
        <v>8760.0000000000018</v>
      </c>
      <c r="E44" s="185">
        <v>8760.0000000000036</v>
      </c>
      <c r="F44" s="185">
        <v>8759.9999999999964</v>
      </c>
      <c r="G44" s="185">
        <v>8760</v>
      </c>
      <c r="H44" s="185">
        <v>8760</v>
      </c>
      <c r="I44" s="185">
        <v>8759.9999999999964</v>
      </c>
      <c r="J44" s="185">
        <v>8759.9999999999964</v>
      </c>
      <c r="K44" s="185">
        <v>8760.0000000000018</v>
      </c>
      <c r="L44" s="185">
        <v>8760.0000000000036</v>
      </c>
      <c r="M44" s="185">
        <v>8759.9999999999945</v>
      </c>
      <c r="N44" s="185">
        <v>8759.9999999999945</v>
      </c>
      <c r="O44" s="185">
        <v>8759.9999999999964</v>
      </c>
      <c r="P44" s="185">
        <v>8760</v>
      </c>
      <c r="Q44" s="185">
        <v>8759.9999999999964</v>
      </c>
      <c r="R44" s="185">
        <v>8759.9999999999945</v>
      </c>
      <c r="S44" s="185">
        <v>8759.9999999999982</v>
      </c>
      <c r="T44" s="185">
        <v>8759.9999999999982</v>
      </c>
      <c r="U44" s="185">
        <v>8760</v>
      </c>
      <c r="V44" s="185">
        <v>8760.0000000000018</v>
      </c>
      <c r="W44" s="185">
        <v>8760</v>
      </c>
      <c r="DA44" s="194" t="s">
        <v>939</v>
      </c>
    </row>
    <row r="45" spans="1:105" ht="12" customHeight="1" x14ac:dyDescent="0.25">
      <c r="A45" s="132" t="s">
        <v>6</v>
      </c>
      <c r="B45" s="185">
        <v>3858.6434139511975</v>
      </c>
      <c r="C45" s="185">
        <v>3867.3959500882784</v>
      </c>
      <c r="D45" s="185">
        <v>3879.4677816800213</v>
      </c>
      <c r="E45" s="185">
        <v>3890.4356588308069</v>
      </c>
      <c r="F45" s="185">
        <v>3899.4578040226402</v>
      </c>
      <c r="G45" s="185">
        <v>3910.1875530833395</v>
      </c>
      <c r="H45" s="185">
        <v>3913.3877383459267</v>
      </c>
      <c r="I45" s="185">
        <v>3917.9397543266568</v>
      </c>
      <c r="J45" s="185">
        <v>3920.5030493463296</v>
      </c>
      <c r="K45" s="185">
        <v>3920.9325607579904</v>
      </c>
      <c r="L45" s="185">
        <v>3922.4481368527295</v>
      </c>
      <c r="M45" s="185">
        <v>3909.9115522619572</v>
      </c>
      <c r="N45" s="185">
        <v>3900.6072666666955</v>
      </c>
      <c r="O45" s="185">
        <v>3884.2677340448304</v>
      </c>
      <c r="P45" s="185">
        <v>3863.7525658213667</v>
      </c>
      <c r="Q45" s="185">
        <v>3847.1122779870711</v>
      </c>
      <c r="R45" s="185">
        <v>3884.1511952891196</v>
      </c>
      <c r="S45" s="185">
        <v>3949.2419217705833</v>
      </c>
      <c r="T45" s="185">
        <v>3893.9945312985215</v>
      </c>
      <c r="U45" s="185">
        <v>3842.2620234726501</v>
      </c>
      <c r="V45" s="185">
        <v>3807.999646907524</v>
      </c>
      <c r="W45" s="185">
        <v>3811.4596731135985</v>
      </c>
      <c r="DA45" s="194" t="s">
        <v>940</v>
      </c>
    </row>
    <row r="46" spans="1:105" ht="12" customHeight="1" x14ac:dyDescent="0.25">
      <c r="A46" s="132" t="s">
        <v>5</v>
      </c>
      <c r="B46" s="185">
        <v>2266.0096734356976</v>
      </c>
      <c r="C46" s="185">
        <v>2289.0861072743551</v>
      </c>
      <c r="D46" s="185">
        <v>2312.1450605397126</v>
      </c>
      <c r="E46" s="185">
        <v>2342.9176068687875</v>
      </c>
      <c r="F46" s="185">
        <v>2364.8259626711401</v>
      </c>
      <c r="G46" s="185">
        <v>2381.0801219738505</v>
      </c>
      <c r="H46" s="185">
        <v>2392.4311773934305</v>
      </c>
      <c r="I46" s="185">
        <v>2403.8492050366726</v>
      </c>
      <c r="J46" s="185">
        <v>2410.8039062903904</v>
      </c>
      <c r="K46" s="185">
        <v>2421.977240233939</v>
      </c>
      <c r="L46" s="185">
        <v>2430.9014457413837</v>
      </c>
      <c r="M46" s="185">
        <v>2444.7843980053567</v>
      </c>
      <c r="N46" s="185">
        <v>2461.2262459513904</v>
      </c>
      <c r="O46" s="185">
        <v>2472.6068448799451</v>
      </c>
      <c r="P46" s="185">
        <v>2487.7017523311756</v>
      </c>
      <c r="Q46" s="185">
        <v>2510.3444360135582</v>
      </c>
      <c r="R46" s="185">
        <v>2562.376592870829</v>
      </c>
      <c r="S46" s="185">
        <v>2646.5256595833898</v>
      </c>
      <c r="T46" s="185">
        <v>2591.7898687197817</v>
      </c>
      <c r="U46" s="185">
        <v>2546.1004361550108</v>
      </c>
      <c r="V46" s="185">
        <v>2372.0584612067314</v>
      </c>
      <c r="W46" s="185">
        <v>2534.603030708387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8759.9999999999982</v>
      </c>
      <c r="C47" s="185">
        <v>8759.9999999999982</v>
      </c>
      <c r="D47" s="185">
        <v>8759.9999999999964</v>
      </c>
      <c r="E47" s="185">
        <v>8759.9999999999982</v>
      </c>
      <c r="F47" s="185">
        <v>8760</v>
      </c>
      <c r="G47" s="185">
        <v>8760.0000000000018</v>
      </c>
      <c r="H47" s="185">
        <v>8760.0000000000018</v>
      </c>
      <c r="I47" s="185">
        <v>8759.9999999999982</v>
      </c>
      <c r="J47" s="185">
        <v>8760</v>
      </c>
      <c r="K47" s="185">
        <v>8760.0000000000018</v>
      </c>
      <c r="L47" s="185">
        <v>8760.0000000000018</v>
      </c>
      <c r="M47" s="185">
        <v>8760</v>
      </c>
      <c r="N47" s="185">
        <v>8759.9999999999982</v>
      </c>
      <c r="O47" s="185">
        <v>8760</v>
      </c>
      <c r="P47" s="185">
        <v>8760</v>
      </c>
      <c r="Q47" s="185">
        <v>8760.0000000000018</v>
      </c>
      <c r="R47" s="185">
        <v>8760</v>
      </c>
      <c r="S47" s="185">
        <v>8760</v>
      </c>
      <c r="T47" s="185">
        <v>8760.0000000000018</v>
      </c>
      <c r="U47" s="185">
        <v>8760.0000000000018</v>
      </c>
      <c r="V47" s="185">
        <v>8759.9999999999982</v>
      </c>
      <c r="W47" s="185">
        <v>8760</v>
      </c>
      <c r="DA47" s="194" t="s">
        <v>942</v>
      </c>
    </row>
    <row r="48" spans="1:105" ht="12" customHeight="1" x14ac:dyDescent="0.25">
      <c r="A48" s="60" t="s">
        <v>4</v>
      </c>
      <c r="B48" s="44">
        <v>892.94725891620885</v>
      </c>
      <c r="C48" s="44">
        <v>897.21276268214501</v>
      </c>
      <c r="D48" s="44">
        <v>901.12465188029944</v>
      </c>
      <c r="E48" s="44">
        <v>904.73830106798925</v>
      </c>
      <c r="F48" s="44">
        <v>908.0969358064973</v>
      </c>
      <c r="G48" s="44">
        <v>911.23495597967008</v>
      </c>
      <c r="H48" s="44">
        <v>914.18019327880995</v>
      </c>
      <c r="I48" s="44">
        <v>916.95548885938047</v>
      </c>
      <c r="J48" s="44">
        <v>919.57982320811755</v>
      </c>
      <c r="K48" s="44">
        <v>922.06914274569942</v>
      </c>
      <c r="L48" s="44">
        <v>924.4369759962558</v>
      </c>
      <c r="M48" s="44">
        <v>925.94164694441849</v>
      </c>
      <c r="N48" s="44">
        <v>927.37858809499153</v>
      </c>
      <c r="O48" s="44">
        <v>928.75372705961877</v>
      </c>
      <c r="P48" s="44">
        <v>930.07224211381208</v>
      </c>
      <c r="Q48" s="44">
        <v>931.33868369528955</v>
      </c>
      <c r="R48" s="44">
        <v>941.75957832352015</v>
      </c>
      <c r="S48" s="44">
        <v>965.87370629512986</v>
      </c>
      <c r="T48" s="44">
        <v>959.85404452934301</v>
      </c>
      <c r="U48" s="44">
        <v>952.38027877076752</v>
      </c>
      <c r="V48" s="44">
        <v>887.27909805325794</v>
      </c>
      <c r="W48" s="44">
        <v>948.07962273658052</v>
      </c>
      <c r="DA48" s="95" t="s">
        <v>943</v>
      </c>
    </row>
    <row r="49" spans="1:105" ht="12" customHeight="1" x14ac:dyDescent="0.25">
      <c r="A49" s="62" t="s">
        <v>3</v>
      </c>
      <c r="B49" s="186">
        <v>1543.1071273045281</v>
      </c>
      <c r="C49" s="186">
        <v>1558.5425789716278</v>
      </c>
      <c r="D49" s="186">
        <v>1587.7927590365489</v>
      </c>
      <c r="E49" s="186">
        <v>1614.8962196502391</v>
      </c>
      <c r="F49" s="186">
        <v>1642.679402413122</v>
      </c>
      <c r="G49" s="186">
        <v>1668.1459257633012</v>
      </c>
      <c r="H49" s="186">
        <v>1694.7860263354053</v>
      </c>
      <c r="I49" s="186">
        <v>1715.3483067246839</v>
      </c>
      <c r="J49" s="186">
        <v>1735.6433827054095</v>
      </c>
      <c r="K49" s="186">
        <v>1750.9939777588922</v>
      </c>
      <c r="L49" s="186">
        <v>1772.5646187189118</v>
      </c>
      <c r="M49" s="186">
        <v>1792.985548344237</v>
      </c>
      <c r="N49" s="186">
        <v>1808.6694583055817</v>
      </c>
      <c r="O49" s="186">
        <v>1824.863331644221</v>
      </c>
      <c r="P49" s="186">
        <v>1843.0348329809974</v>
      </c>
      <c r="Q49" s="186">
        <v>1861.8311204632851</v>
      </c>
      <c r="R49" s="186">
        <v>1905.5657967981231</v>
      </c>
      <c r="S49" s="186">
        <v>1967.3084230978022</v>
      </c>
      <c r="T49" s="186">
        <v>1969.3344998158682</v>
      </c>
      <c r="U49" s="186">
        <v>1971.3971389088424</v>
      </c>
      <c r="V49" s="186">
        <v>1890.5427044354194</v>
      </c>
      <c r="W49" s="186">
        <v>1966.0558055001939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0.81146275527705503</v>
      </c>
      <c r="C52" s="181">
        <v>0.80179074749363755</v>
      </c>
      <c r="D52" s="181">
        <v>0.79148925303709872</v>
      </c>
      <c r="E52" s="181">
        <v>0.77918538416292515</v>
      </c>
      <c r="F52" s="181">
        <v>0.76810382941791366</v>
      </c>
      <c r="G52" s="181">
        <v>0.75674566286399791</v>
      </c>
      <c r="H52" s="181">
        <v>0.74673168262725986</v>
      </c>
      <c r="I52" s="181">
        <v>0.73066271643257574</v>
      </c>
      <c r="J52" s="181">
        <v>0.72011896292108191</v>
      </c>
      <c r="K52" s="181">
        <v>0.71364700158884131</v>
      </c>
      <c r="L52" s="181">
        <v>0.7055631479608947</v>
      </c>
      <c r="M52" s="181">
        <v>0.69659924711715493</v>
      </c>
      <c r="N52" s="181">
        <v>0.68695604031781643</v>
      </c>
      <c r="O52" s="181">
        <v>0.67604171172012839</v>
      </c>
      <c r="P52" s="181">
        <v>0.66255080508942965</v>
      </c>
      <c r="Q52" s="181">
        <v>0.64881246678764326</v>
      </c>
      <c r="R52" s="181">
        <v>0.63816025245083974</v>
      </c>
      <c r="S52" s="181">
        <v>0.62739954153593758</v>
      </c>
      <c r="T52" s="181">
        <v>0.61681530617662794</v>
      </c>
      <c r="U52" s="181">
        <v>0.60515943247475201</v>
      </c>
      <c r="V52" s="181">
        <v>0.5937682842291917</v>
      </c>
      <c r="W52" s="181">
        <v>0.58127611638744403</v>
      </c>
      <c r="DA52" s="190" t="s">
        <v>945</v>
      </c>
    </row>
    <row r="53" spans="1:105" ht="12" customHeight="1" x14ac:dyDescent="0.25">
      <c r="A53" s="132" t="s">
        <v>100</v>
      </c>
      <c r="B53" s="181">
        <v>201.98269281693101</v>
      </c>
      <c r="C53" s="181">
        <v>199.70807747974442</v>
      </c>
      <c r="D53" s="181">
        <v>197.12243038301801</v>
      </c>
      <c r="E53" s="181">
        <v>194.36102966809094</v>
      </c>
      <c r="F53" s="181">
        <v>191.64798197085912</v>
      </c>
      <c r="G53" s="181">
        <v>188.57603100476851</v>
      </c>
      <c r="H53" s="181">
        <v>185.00665729215132</v>
      </c>
      <c r="I53" s="181">
        <v>180.96585480980707</v>
      </c>
      <c r="J53" s="181">
        <v>178.27456841473156</v>
      </c>
      <c r="K53" s="181">
        <v>175.34357366578828</v>
      </c>
      <c r="L53" s="181">
        <v>171.8960910690277</v>
      </c>
      <c r="M53" s="181">
        <v>168.21574994755969</v>
      </c>
      <c r="N53" s="181">
        <v>164.20038488205628</v>
      </c>
      <c r="O53" s="181">
        <v>159.83928778862636</v>
      </c>
      <c r="P53" s="181">
        <v>154.76188975094902</v>
      </c>
      <c r="Q53" s="181">
        <v>148.79437497661507</v>
      </c>
      <c r="R53" s="181">
        <v>143.46923702350719</v>
      </c>
      <c r="S53" s="181">
        <v>137.53092992489178</v>
      </c>
      <c r="T53" s="181">
        <v>131.42446564271967</v>
      </c>
      <c r="U53" s="181">
        <v>125.03589596214348</v>
      </c>
      <c r="V53" s="181">
        <v>118.38659634588488</v>
      </c>
      <c r="W53" s="181">
        <v>112.21735739738548</v>
      </c>
      <c r="DA53" s="190" t="s">
        <v>946</v>
      </c>
    </row>
    <row r="54" spans="1:105" ht="12" customHeight="1" x14ac:dyDescent="0.25">
      <c r="A54" s="132" t="s">
        <v>140</v>
      </c>
      <c r="B54" s="181">
        <v>45.392412974675722</v>
      </c>
      <c r="C54" s="181">
        <v>44.763847958751313</v>
      </c>
      <c r="D54" s="181">
        <v>43.781874422259094</v>
      </c>
      <c r="E54" s="181">
        <v>42.575270478112074</v>
      </c>
      <c r="F54" s="181">
        <v>41.344276423238462</v>
      </c>
      <c r="G54" s="181">
        <v>40.046335073085253</v>
      </c>
      <c r="H54" s="181">
        <v>38.736296417452863</v>
      </c>
      <c r="I54" s="181">
        <v>37.366845878835619</v>
      </c>
      <c r="J54" s="181">
        <v>36.304453798032583</v>
      </c>
      <c r="K54" s="181">
        <v>35.247197387643261</v>
      </c>
      <c r="L54" s="181">
        <v>34.187495382686258</v>
      </c>
      <c r="M54" s="181">
        <v>32.949985942203661</v>
      </c>
      <c r="N54" s="181">
        <v>31.862993301084607</v>
      </c>
      <c r="O54" s="181">
        <v>30.242520828288502</v>
      </c>
      <c r="P54" s="181">
        <v>28.873228812557564</v>
      </c>
      <c r="Q54" s="181">
        <v>27.534104013053177</v>
      </c>
      <c r="R54" s="181">
        <v>26.134763928031116</v>
      </c>
      <c r="S54" s="181">
        <v>24.562154114225287</v>
      </c>
      <c r="T54" s="181">
        <v>23.13087643248824</v>
      </c>
      <c r="U54" s="181">
        <v>21.14475797217375</v>
      </c>
      <c r="V54" s="181">
        <v>19.486875958926984</v>
      </c>
      <c r="W54" s="181">
        <v>17.947712028071891</v>
      </c>
      <c r="DA54" s="190" t="s">
        <v>947</v>
      </c>
    </row>
    <row r="55" spans="1:105" ht="12" customHeight="1" x14ac:dyDescent="0.25">
      <c r="A55" s="132" t="s">
        <v>181</v>
      </c>
      <c r="B55" s="181">
        <v>697.76813563198561</v>
      </c>
      <c r="C55" s="181">
        <v>687.73031140899332</v>
      </c>
      <c r="D55" s="181">
        <v>676.28094840955794</v>
      </c>
      <c r="E55" s="181">
        <v>663.19145692987365</v>
      </c>
      <c r="F55" s="181">
        <v>652.13048834384608</v>
      </c>
      <c r="G55" s="181">
        <v>642.64325490505587</v>
      </c>
      <c r="H55" s="181">
        <v>634.06888233582174</v>
      </c>
      <c r="I55" s="181">
        <v>625.48788047020105</v>
      </c>
      <c r="J55" s="181">
        <v>616.30312241592821</v>
      </c>
      <c r="K55" s="181">
        <v>606.12851293134588</v>
      </c>
      <c r="L55" s="181">
        <v>594.59640377164283</v>
      </c>
      <c r="M55" s="181">
        <v>583.66179970645192</v>
      </c>
      <c r="N55" s="181">
        <v>570.86511308152399</v>
      </c>
      <c r="O55" s="181">
        <v>555.78517098594568</v>
      </c>
      <c r="P55" s="181">
        <v>541.89409901441968</v>
      </c>
      <c r="Q55" s="181">
        <v>530.62229938198686</v>
      </c>
      <c r="R55" s="181">
        <v>521.93548550018602</v>
      </c>
      <c r="S55" s="181">
        <v>514.12597448520512</v>
      </c>
      <c r="T55" s="181">
        <v>506.97757816940623</v>
      </c>
      <c r="U55" s="181">
        <v>500.16782058929186</v>
      </c>
      <c r="V55" s="181">
        <v>493.31801044438168</v>
      </c>
      <c r="W55" s="181">
        <v>485.60331910497274</v>
      </c>
      <c r="DA55" s="190" t="s">
        <v>948</v>
      </c>
    </row>
    <row r="56" spans="1:105" ht="12" customHeight="1" x14ac:dyDescent="0.25">
      <c r="A56" s="60" t="s">
        <v>99</v>
      </c>
      <c r="B56" s="55">
        <v>56.701820433878488</v>
      </c>
      <c r="C56" s="55">
        <v>56.090248391144762</v>
      </c>
      <c r="D56" s="55">
        <v>55.46022611179766</v>
      </c>
      <c r="E56" s="55">
        <v>54.806064876394345</v>
      </c>
      <c r="F56" s="55">
        <v>54.154618000990098</v>
      </c>
      <c r="G56" s="55">
        <v>53.514353579274953</v>
      </c>
      <c r="H56" s="55">
        <v>52.886069756387393</v>
      </c>
      <c r="I56" s="55">
        <v>51.92485946484063</v>
      </c>
      <c r="J56" s="55">
        <v>51.27699421902873</v>
      </c>
      <c r="K56" s="55">
        <v>50.846079114635167</v>
      </c>
      <c r="L56" s="55">
        <v>50.360383997837587</v>
      </c>
      <c r="M56" s="55">
        <v>49.655083316678414</v>
      </c>
      <c r="N56" s="55">
        <v>48.976948573659428</v>
      </c>
      <c r="O56" s="55">
        <v>48.103139353602856</v>
      </c>
      <c r="P56" s="55">
        <v>47.045456312103255</v>
      </c>
      <c r="Q56" s="55">
        <v>45.971481079264365</v>
      </c>
      <c r="R56" s="55">
        <v>44.58669400160921</v>
      </c>
      <c r="S56" s="55">
        <v>43.272466172995536</v>
      </c>
      <c r="T56" s="55">
        <v>41.88161098988067</v>
      </c>
      <c r="U56" s="55">
        <v>40.544277087238726</v>
      </c>
      <c r="V56" s="55">
        <v>39.395695186427524</v>
      </c>
      <c r="W56" s="55">
        <v>38.458103193965748</v>
      </c>
      <c r="DA56" s="101" t="s">
        <v>949</v>
      </c>
    </row>
    <row r="57" spans="1:105" ht="12" customHeight="1" x14ac:dyDescent="0.25">
      <c r="A57" s="62" t="s">
        <v>98</v>
      </c>
      <c r="B57" s="63">
        <v>388.78052719026641</v>
      </c>
      <c r="C57" s="63">
        <v>380.67393482266596</v>
      </c>
      <c r="D57" s="63">
        <v>370.19239150664458</v>
      </c>
      <c r="E57" s="63">
        <v>357.60106975452322</v>
      </c>
      <c r="F57" s="63">
        <v>346.68497038973396</v>
      </c>
      <c r="G57" s="63">
        <v>334.93005742581454</v>
      </c>
      <c r="H57" s="63">
        <v>319.23833755360943</v>
      </c>
      <c r="I57" s="63">
        <v>303.71102844005355</v>
      </c>
      <c r="J57" s="63">
        <v>286.28627670211489</v>
      </c>
      <c r="K57" s="63">
        <v>273.52127279046897</v>
      </c>
      <c r="L57" s="63">
        <v>258.60255286394937</v>
      </c>
      <c r="M57" s="63">
        <v>235.83662976980949</v>
      </c>
      <c r="N57" s="63">
        <v>217.88644057618629</v>
      </c>
      <c r="O57" s="63">
        <v>205.89485230936219</v>
      </c>
      <c r="P57" s="63">
        <v>201.67176524698675</v>
      </c>
      <c r="Q57" s="63">
        <v>199.58429239502922</v>
      </c>
      <c r="R57" s="63">
        <v>197.52915137568286</v>
      </c>
      <c r="S57" s="63">
        <v>194.34110978620615</v>
      </c>
      <c r="T57" s="63">
        <v>190.87288488335906</v>
      </c>
      <c r="U57" s="63">
        <v>187.70508057830531</v>
      </c>
      <c r="V57" s="63">
        <v>185.42682988788633</v>
      </c>
      <c r="W57" s="63">
        <v>180.76599207658131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0.72343172412882739</v>
      </c>
      <c r="D60" s="181">
        <v>0.71146907259274639</v>
      </c>
      <c r="E60" s="181">
        <v>0.69860160036762931</v>
      </c>
      <c r="F60" s="181">
        <v>0.68538623286265965</v>
      </c>
      <c r="G60" s="181">
        <v>0.67291816974242591</v>
      </c>
      <c r="H60" s="181">
        <v>0.66170423865525363</v>
      </c>
      <c r="I60" s="181">
        <v>0.64691198081076184</v>
      </c>
      <c r="J60" s="181">
        <v>0.63409979355781942</v>
      </c>
      <c r="K60" s="181">
        <v>0.62490101340955817</v>
      </c>
      <c r="L60" s="181">
        <v>0.61177095371397183</v>
      </c>
      <c r="M60" s="181">
        <v>0.5983185140791899</v>
      </c>
      <c r="N60" s="181">
        <v>0.58340462931677761</v>
      </c>
      <c r="O60" s="181">
        <v>0.56928545260261865</v>
      </c>
      <c r="P60" s="181">
        <v>0.55251628686505838</v>
      </c>
      <c r="Q60" s="181">
        <v>0.53376595186127307</v>
      </c>
      <c r="R60" s="181">
        <v>0.53035184301176352</v>
      </c>
      <c r="S60" s="181">
        <v>0.52536579452481935</v>
      </c>
      <c r="T60" s="181">
        <v>0.52061291153706335</v>
      </c>
      <c r="U60" s="181">
        <v>0.51613648290166914</v>
      </c>
      <c r="V60" s="181">
        <v>0.51172529034520875</v>
      </c>
      <c r="W60" s="181">
        <v>0.5100295119057372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188.14720663611007</v>
      </c>
      <c r="D61" s="181">
        <v>185.5857789044835</v>
      </c>
      <c r="E61" s="181">
        <v>184.23235264770855</v>
      </c>
      <c r="F61" s="181">
        <v>182.9108410247369</v>
      </c>
      <c r="G61" s="181">
        <v>179.46423227854481</v>
      </c>
      <c r="H61" s="181">
        <v>175.38896574758419</v>
      </c>
      <c r="I61" s="181">
        <v>171.86089204348596</v>
      </c>
      <c r="J61" s="181">
        <v>169.06368255637184</v>
      </c>
      <c r="K61" s="181">
        <v>165.19934601607821</v>
      </c>
      <c r="L61" s="181">
        <v>161.68876008657827</v>
      </c>
      <c r="M61" s="181">
        <v>157.79861783456872</v>
      </c>
      <c r="N61" s="181">
        <v>152.12500874402801</v>
      </c>
      <c r="O61" s="181">
        <v>145.96546374320499</v>
      </c>
      <c r="P61" s="181">
        <v>138.18498646072379</v>
      </c>
      <c r="Q61" s="181">
        <v>130.11186751646005</v>
      </c>
      <c r="R61" s="181">
        <v>122.78155366748932</v>
      </c>
      <c r="S61" s="181">
        <v>117.14290638167655</v>
      </c>
      <c r="T61" s="181">
        <v>111.43268269176706</v>
      </c>
      <c r="U61" s="181">
        <v>105.697731039481</v>
      </c>
      <c r="V61" s="181">
        <v>100.00202038942302</v>
      </c>
      <c r="W61" s="181">
        <v>97.955471623069855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42.231460118899392</v>
      </c>
      <c r="D62" s="181">
        <v>40.42828205477602</v>
      </c>
      <c r="E62" s="181">
        <v>39.273428121934103</v>
      </c>
      <c r="F62" s="181">
        <v>38.219302347390382</v>
      </c>
      <c r="G62" s="181">
        <v>37.306657887876263</v>
      </c>
      <c r="H62" s="181">
        <v>36.081188027289166</v>
      </c>
      <c r="I62" s="181">
        <v>34.741941689986376</v>
      </c>
      <c r="J62" s="181">
        <v>33.696167531453469</v>
      </c>
      <c r="K62" s="181">
        <v>32.539318393970269</v>
      </c>
      <c r="L62" s="181">
        <v>31.391622359916816</v>
      </c>
      <c r="M62" s="181">
        <v>30.093305537264609</v>
      </c>
      <c r="N62" s="181">
        <v>28.659608072289039</v>
      </c>
      <c r="O62" s="181">
        <v>27.082892453813027</v>
      </c>
      <c r="P62" s="181">
        <v>25.668855529248869</v>
      </c>
      <c r="Q62" s="181">
        <v>24.115696268354931</v>
      </c>
      <c r="R62" s="181">
        <v>21.843710448860097</v>
      </c>
      <c r="S62" s="181">
        <v>20.753911251124563</v>
      </c>
      <c r="T62" s="181">
        <v>18.6848620808472</v>
      </c>
      <c r="U62" s="181">
        <v>16.995999741031945</v>
      </c>
      <c r="V62" s="181">
        <v>15.717256581079187</v>
      </c>
      <c r="W62" s="181">
        <v>14.705038900349592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633.95719445830991</v>
      </c>
      <c r="D63" s="181">
        <v>621.72708128371357</v>
      </c>
      <c r="E63" s="181">
        <v>611.04705352038081</v>
      </c>
      <c r="F63" s="181">
        <v>602.5342741774125</v>
      </c>
      <c r="G63" s="181">
        <v>594.05318042457623</v>
      </c>
      <c r="H63" s="181">
        <v>584.89346901271108</v>
      </c>
      <c r="I63" s="181">
        <v>578.10390950290355</v>
      </c>
      <c r="J63" s="181">
        <v>567.06874669342596</v>
      </c>
      <c r="K63" s="181">
        <v>555.21440158631776</v>
      </c>
      <c r="L63" s="181">
        <v>542.76538619221594</v>
      </c>
      <c r="M63" s="181">
        <v>528.63466973273307</v>
      </c>
      <c r="N63" s="181">
        <v>521.57568904590948</v>
      </c>
      <c r="O63" s="181">
        <v>516.53506326628712</v>
      </c>
      <c r="P63" s="181">
        <v>502.25394535504847</v>
      </c>
      <c r="Q63" s="181">
        <v>493.03793086920564</v>
      </c>
      <c r="R63" s="181">
        <v>485.93272370870039</v>
      </c>
      <c r="S63" s="181">
        <v>477.32410584752193</v>
      </c>
      <c r="T63" s="181">
        <v>469.01252653678125</v>
      </c>
      <c r="U63" s="181">
        <v>460.98569108039931</v>
      </c>
      <c r="V63" s="181">
        <v>453.03603986152149</v>
      </c>
      <c r="W63" s="181">
        <v>442.87927429735237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52.944602860896012</v>
      </c>
      <c r="D64" s="55">
        <v>52.241427511851079</v>
      </c>
      <c r="E64" s="55">
        <v>51.551931567528456</v>
      </c>
      <c r="F64" s="55">
        <v>50.652006330254714</v>
      </c>
      <c r="G64" s="55">
        <v>49.64668278581852</v>
      </c>
      <c r="H64" s="55">
        <v>48.55928640715144</v>
      </c>
      <c r="I64" s="55">
        <v>47.402065696921831</v>
      </c>
      <c r="J64" s="55">
        <v>46.493794782319078</v>
      </c>
      <c r="K64" s="55">
        <v>45.828160828904899</v>
      </c>
      <c r="L64" s="55">
        <v>44.855295751157023</v>
      </c>
      <c r="M64" s="55">
        <v>43.22007975790563</v>
      </c>
      <c r="N64" s="55">
        <v>41.869829211865159</v>
      </c>
      <c r="O64" s="55">
        <v>40.179220167090726</v>
      </c>
      <c r="P64" s="55">
        <v>38.431221451150087</v>
      </c>
      <c r="Q64" s="55">
        <v>36.598706205200202</v>
      </c>
      <c r="R64" s="55">
        <v>36.146900150408072</v>
      </c>
      <c r="S64" s="55">
        <v>35.6085518859906</v>
      </c>
      <c r="T64" s="55">
        <v>35.09837401169947</v>
      </c>
      <c r="U64" s="55">
        <v>34.600833848387559</v>
      </c>
      <c r="V64" s="55">
        <v>34.108360956521274</v>
      </c>
      <c r="W64" s="55">
        <v>33.86242459042829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363.31734186343277</v>
      </c>
      <c r="D65" s="63">
        <v>349.42029250449315</v>
      </c>
      <c r="E65" s="63">
        <v>338.0682244988347</v>
      </c>
      <c r="F65" s="63">
        <v>326.87332172033581</v>
      </c>
      <c r="G65" s="63">
        <v>312.25993332712341</v>
      </c>
      <c r="H65" s="63">
        <v>292.89649846018392</v>
      </c>
      <c r="I65" s="63">
        <v>275.82069819427369</v>
      </c>
      <c r="J65" s="63">
        <v>256.42824634119785</v>
      </c>
      <c r="K65" s="63">
        <v>236.63210787153511</v>
      </c>
      <c r="L65" s="63">
        <v>216.06421308052296</v>
      </c>
      <c r="M65" s="63">
        <v>203.1799126929524</v>
      </c>
      <c r="N65" s="63">
        <v>200.21653161323033</v>
      </c>
      <c r="O65" s="63">
        <v>198.35529136745842</v>
      </c>
      <c r="P65" s="63">
        <v>197.6294480083501</v>
      </c>
      <c r="Q65" s="63">
        <v>196.70967249090785</v>
      </c>
      <c r="R65" s="63">
        <v>194.36593791984009</v>
      </c>
      <c r="S65" s="63">
        <v>189.37097439594345</v>
      </c>
      <c r="T65" s="63">
        <v>184.48890218177186</v>
      </c>
      <c r="U65" s="63">
        <v>179.76015393425584</v>
      </c>
      <c r="V65" s="63">
        <v>175.07945645948715</v>
      </c>
      <c r="W65" s="63">
        <v>171.81501353028113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416.38008563234712</v>
      </c>
      <c r="C68" s="188">
        <f>1000000*C20/SER_summary!C$8</f>
        <v>428.39028707182848</v>
      </c>
      <c r="D68" s="188">
        <f>1000000*D20/SER_summary!D$8</f>
        <v>438.91774191656344</v>
      </c>
      <c r="E68" s="188">
        <f>1000000*E20/SER_summary!E$8</f>
        <v>448.66344662900156</v>
      </c>
      <c r="F68" s="188">
        <f>1000000*F20/SER_summary!F$8</f>
        <v>457.15907768751202</v>
      </c>
      <c r="G68" s="188">
        <f>1000000*G20/SER_summary!G$8</f>
        <v>464.20623698445627</v>
      </c>
      <c r="H68" s="188">
        <f>1000000*H20/SER_summary!H$8</f>
        <v>472.22323100054319</v>
      </c>
      <c r="I68" s="188">
        <f>1000000*I20/SER_summary!I$8</f>
        <v>482.20966101924841</v>
      </c>
      <c r="J68" s="188">
        <f>1000000*J20/SER_summary!J$8</f>
        <v>489.87620293726496</v>
      </c>
      <c r="K68" s="188">
        <f>1000000*K20/SER_summary!K$8</f>
        <v>496.62050202564768</v>
      </c>
      <c r="L68" s="188">
        <f>1000000*L20/SER_summary!L$8</f>
        <v>503.60088687892932</v>
      </c>
      <c r="M68" s="188">
        <f>1000000*M20/SER_summary!M$8</f>
        <v>506.65330321265282</v>
      </c>
      <c r="N68" s="188">
        <f>1000000*N20/SER_summary!N$8</f>
        <v>515.59302201381456</v>
      </c>
      <c r="O68" s="188">
        <f>1000000*O20/SER_summary!O$8</f>
        <v>526.92651509604582</v>
      </c>
      <c r="P68" s="188">
        <f>1000000*P20/SER_summary!P$8</f>
        <v>545.51063293109894</v>
      </c>
      <c r="Q68" s="188">
        <f>1000000*Q20/SER_summary!Q$8</f>
        <v>568.19237630606506</v>
      </c>
      <c r="R68" s="188">
        <f>1000000*R20/SER_summary!R$8</f>
        <v>578.21362402884915</v>
      </c>
      <c r="S68" s="188">
        <f>1000000*S20/SER_summary!S$8</f>
        <v>588.27837789508351</v>
      </c>
      <c r="T68" s="188">
        <f>1000000*T20/SER_summary!T$8</f>
        <v>598.15654581355477</v>
      </c>
      <c r="U68" s="188">
        <f>1000000*U20/SER_summary!U$8</f>
        <v>607.70857374621323</v>
      </c>
      <c r="V68" s="188">
        <f>1000000*V20/SER_summary!V$8</f>
        <v>616.67470161903043</v>
      </c>
      <c r="W68" s="188">
        <f>1000000*W20/SER_summary!W$8</f>
        <v>624.76447819208988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9.5744759860170336E-2</v>
      </c>
      <c r="C69" s="188">
        <f>1000*C21/SER_summary!C$3</f>
        <v>0.10092953208643574</v>
      </c>
      <c r="D69" s="188">
        <f>1000*D21/SER_summary!D$3</f>
        <v>0.10660623326354436</v>
      </c>
      <c r="E69" s="188">
        <f>1000*E21/SER_summary!E$3</f>
        <v>0.11314814272197755</v>
      </c>
      <c r="F69" s="188">
        <f>1000*F21/SER_summary!F$3</f>
        <v>0.11896243009945361</v>
      </c>
      <c r="G69" s="188">
        <f>1000*G21/SER_summary!G$3</f>
        <v>0.12436638744456997</v>
      </c>
      <c r="H69" s="188">
        <f>1000*H21/SER_summary!H$3</f>
        <v>0.13014078977448876</v>
      </c>
      <c r="I69" s="188">
        <f>1000*I21/SER_summary!I$3</f>
        <v>0.13490865698592228</v>
      </c>
      <c r="J69" s="188">
        <f>1000*J21/SER_summary!J$3</f>
        <v>0.13904026503935574</v>
      </c>
      <c r="K69" s="188">
        <f>1000*K21/SER_summary!K$3</f>
        <v>0.14274319362653742</v>
      </c>
      <c r="L69" s="188">
        <f>1000*L21/SER_summary!L$3</f>
        <v>0.14719527917507966</v>
      </c>
      <c r="M69" s="188">
        <f>1000*M21/SER_summary!M$3</f>
        <v>0.15453413794730675</v>
      </c>
      <c r="N69" s="188">
        <f>1000*N21/SER_summary!N$3</f>
        <v>0.16189481905868572</v>
      </c>
      <c r="O69" s="188">
        <f>1000*O21/SER_summary!O$3</f>
        <v>0.17014078854653256</v>
      </c>
      <c r="P69" s="188">
        <f>1000*P21/SER_summary!P$3</f>
        <v>0.17979665641306292</v>
      </c>
      <c r="Q69" s="188">
        <f>1000*Q21/SER_summary!Q$3</f>
        <v>0.19186037610259557</v>
      </c>
      <c r="R69" s="188">
        <f>1000*R21/SER_summary!R$3</f>
        <v>0.19561337774130558</v>
      </c>
      <c r="S69" s="188">
        <f>1000*S21/SER_summary!S$3</f>
        <v>0.19951087735388356</v>
      </c>
      <c r="T69" s="188">
        <f>1000*T21/SER_summary!T$3</f>
        <v>0.2036365606917353</v>
      </c>
      <c r="U69" s="188">
        <f>1000*U21/SER_summary!U$3</f>
        <v>0.20582981298371311</v>
      </c>
      <c r="V69" s="188">
        <f>1000*V21/SER_summary!V$3</f>
        <v>0.20663333264221626</v>
      </c>
      <c r="W69" s="188">
        <f>1000*W21/SER_summary!W$3</f>
        <v>0.20684448746438397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143.60576102791026</v>
      </c>
      <c r="C70" s="188">
        <f>1000000*C22/SER_summary!C$8</f>
        <v>144.80282578286713</v>
      </c>
      <c r="D70" s="188">
        <f>1000000*D22/SER_summary!D$8</f>
        <v>147.08875157628273</v>
      </c>
      <c r="E70" s="188">
        <f>1000000*E22/SER_summary!E$8</f>
        <v>149.99082898444945</v>
      </c>
      <c r="F70" s="188">
        <f>1000000*F22/SER_summary!F$8</f>
        <v>153.11850857533619</v>
      </c>
      <c r="G70" s="188">
        <f>1000000*G22/SER_summary!G$8</f>
        <v>157.27565741662352</v>
      </c>
      <c r="H70" s="188">
        <f>1000000*H22/SER_summary!H$8</f>
        <v>160.75638040391752</v>
      </c>
      <c r="I70" s="188">
        <f>1000000*I22/SER_summary!I$8</f>
        <v>165.04381717269118</v>
      </c>
      <c r="J70" s="188">
        <f>1000000*J22/SER_summary!J$8</f>
        <v>168.30406444083891</v>
      </c>
      <c r="K70" s="188">
        <f>1000000*K22/SER_summary!K$8</f>
        <v>173.33990751826659</v>
      </c>
      <c r="L70" s="188">
        <f>1000000*L22/SER_summary!L$8</f>
        <v>178.34545836918457</v>
      </c>
      <c r="M70" s="188">
        <f>1000000*M22/SER_summary!M$8</f>
        <v>185.47972630654513</v>
      </c>
      <c r="N70" s="188">
        <f>1000000*N22/SER_summary!N$8</f>
        <v>191.57872245611298</v>
      </c>
      <c r="O70" s="188">
        <f>1000000*O22/SER_summary!O$8</f>
        <v>199.57464862149411</v>
      </c>
      <c r="P70" s="188">
        <f>1000000*P22/SER_summary!P$8</f>
        <v>206.90468125631054</v>
      </c>
      <c r="Q70" s="188">
        <f>1000000*Q22/SER_summary!Q$8</f>
        <v>218.85944055833289</v>
      </c>
      <c r="R70" s="188">
        <f>1000000*R22/SER_summary!R$8</f>
        <v>225.06924773682525</v>
      </c>
      <c r="S70" s="188">
        <f>1000000*S22/SER_summary!S$8</f>
        <v>231.37561586238914</v>
      </c>
      <c r="T70" s="188">
        <f>1000000*T22/SER_summary!T$8</f>
        <v>237.36355327041329</v>
      </c>
      <c r="U70" s="188">
        <f>1000000*U22/SER_summary!U$8</f>
        <v>242.77927055041232</v>
      </c>
      <c r="V70" s="188">
        <f>1000000*V22/SER_summary!V$8</f>
        <v>247.14980059560253</v>
      </c>
      <c r="W70" s="188">
        <f>1000000*W22/SER_summary!W$8</f>
        <v>249.6021704378029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9.2285389072145306E-3</v>
      </c>
      <c r="C71" s="188">
        <f>1000*C23/SER_summary!C$3</f>
        <v>1.00275440040225E-2</v>
      </c>
      <c r="D71" s="188">
        <f>1000*D23/SER_summary!D$3</f>
        <v>1.1032159994903127E-2</v>
      </c>
      <c r="E71" s="188">
        <f>1000*E23/SER_summary!E$3</f>
        <v>1.2406166587005463E-2</v>
      </c>
      <c r="F71" s="188">
        <f>1000*F23/SER_summary!F$3</f>
        <v>1.3546886458846313E-2</v>
      </c>
      <c r="G71" s="188">
        <f>1000*G23/SER_summary!G$3</f>
        <v>1.4365980127480252E-2</v>
      </c>
      <c r="H71" s="188">
        <f>1000*H23/SER_summary!H$3</f>
        <v>1.4925213133590793E-2</v>
      </c>
      <c r="I71" s="188">
        <f>1000*I23/SER_summary!I$3</f>
        <v>1.5250375138384965E-2</v>
      </c>
      <c r="J71" s="188">
        <f>1000*J23/SER_summary!J$3</f>
        <v>1.548946559670763E-2</v>
      </c>
      <c r="K71" s="188">
        <f>1000*K23/SER_summary!K$3</f>
        <v>1.5692183327781828E-2</v>
      </c>
      <c r="L71" s="188">
        <f>1000*L23/SER_summary!L$3</f>
        <v>1.605707133448616E-2</v>
      </c>
      <c r="M71" s="188">
        <f>1000*M23/SER_summary!M$3</f>
        <v>1.6362656248031151E-2</v>
      </c>
      <c r="N71" s="188">
        <f>1000*N23/SER_summary!N$3</f>
        <v>1.6783750300538337E-2</v>
      </c>
      <c r="O71" s="188">
        <f>1000*O23/SER_summary!O$3</f>
        <v>1.7378572254627474E-2</v>
      </c>
      <c r="P71" s="188">
        <f>1000*P23/SER_summary!P$3</f>
        <v>1.8015202757849177E-2</v>
      </c>
      <c r="Q71" s="188">
        <f>1000*Q23/SER_summary!Q$3</f>
        <v>1.8666613578889508E-2</v>
      </c>
      <c r="R71" s="188">
        <f>1000*R23/SER_summary!R$3</f>
        <v>1.9465062589360399E-2</v>
      </c>
      <c r="S71" s="188">
        <f>1000*S23/SER_summary!S$3</f>
        <v>2.0278456826478733E-2</v>
      </c>
      <c r="T71" s="188">
        <f>1000*T23/SER_summary!T$3</f>
        <v>2.1115078788626212E-2</v>
      </c>
      <c r="U71" s="188">
        <f>1000*U23/SER_summary!U$3</f>
        <v>2.1747805535794147E-2</v>
      </c>
      <c r="V71" s="188">
        <f>1000*V23/SER_summary!V$3</f>
        <v>2.2223771193269255E-2</v>
      </c>
      <c r="W71" s="188">
        <f>1000*W23/SER_summary!W$3</f>
        <v>2.2633518982854442E-2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56.325783810441685</v>
      </c>
      <c r="C72" s="188">
        <f>1000000*C24/SER_summary!C$8</f>
        <v>62.57125416544234</v>
      </c>
      <c r="D72" s="188">
        <f>1000000*D24/SER_summary!D$8</f>
        <v>68.93182220816135</v>
      </c>
      <c r="E72" s="188">
        <f>1000000*E24/SER_summary!E$8</f>
        <v>74.46446317193238</v>
      </c>
      <c r="F72" s="188">
        <f>1000000*F24/SER_summary!F$8</f>
        <v>80.462310105799858</v>
      </c>
      <c r="G72" s="188">
        <f>1000000*G24/SER_summary!G$8</f>
        <v>85.034392179334091</v>
      </c>
      <c r="H72" s="188">
        <f>1000000*H24/SER_summary!H$8</f>
        <v>89.875608475395268</v>
      </c>
      <c r="I72" s="188">
        <f>1000000*I24/SER_summary!I$8</f>
        <v>94.597525831593458</v>
      </c>
      <c r="J72" s="188">
        <f>1000000*J24/SER_summary!J$8</f>
        <v>98.313899348412008</v>
      </c>
      <c r="K72" s="188">
        <f>1000000*K24/SER_summary!K$8</f>
        <v>101.8062891559311</v>
      </c>
      <c r="L72" s="188">
        <f>1000000*L24/SER_summary!L$8</f>
        <v>104.14324263682447</v>
      </c>
      <c r="M72" s="188">
        <f>1000000*M24/SER_summary!M$8</f>
        <v>107.23007597342361</v>
      </c>
      <c r="N72" s="188">
        <f>1000000*N24/SER_summary!N$8</f>
        <v>109.74304029549361</v>
      </c>
      <c r="O72" s="188">
        <f>1000000*O24/SER_summary!O$8</f>
        <v>113.12245230840541</v>
      </c>
      <c r="P72" s="188">
        <f>1000000*P24/SER_summary!P$8</f>
        <v>116.83737286572797</v>
      </c>
      <c r="Q72" s="188">
        <f>1000000*Q24/SER_summary!Q$8</f>
        <v>120.2469945589218</v>
      </c>
      <c r="R72" s="188">
        <f>1000000*R24/SER_summary!R$8</f>
        <v>126.65121667910587</v>
      </c>
      <c r="S72" s="188">
        <f>1000000*S24/SER_summary!S$8</f>
        <v>131.99042682730823</v>
      </c>
      <c r="T72" s="188">
        <f>1000000*T24/SER_summary!T$8</f>
        <v>138.40262435207907</v>
      </c>
      <c r="U72" s="188">
        <f>1000000*U24/SER_summary!U$8</f>
        <v>146.01478796596933</v>
      </c>
      <c r="V72" s="188">
        <f>1000000*V24/SER_summary!V$8</f>
        <v>152.85528708274461</v>
      </c>
      <c r="W72" s="188">
        <f>1000000*W24/SER_summary!W$8</f>
        <v>158.54696699964461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7.6667074384484404E-2</v>
      </c>
      <c r="C73" s="52">
        <f>1000*C25/SER_summary!C$3</f>
        <v>9.0627310089097246E-2</v>
      </c>
      <c r="D73" s="52">
        <f>1000*D25/SER_summary!D$3</f>
        <v>0.1080971652472789</v>
      </c>
      <c r="E73" s="52">
        <f>1000*E25/SER_summary!E$3</f>
        <v>0.13823363549598383</v>
      </c>
      <c r="F73" s="52">
        <f>1000*F25/SER_summary!F$3</f>
        <v>0.16694523614057988</v>
      </c>
      <c r="G73" s="52">
        <f>1000*G25/SER_summary!G$3</f>
        <v>0.2026363133680808</v>
      </c>
      <c r="H73" s="52">
        <f>1000*H25/SER_summary!H$3</f>
        <v>0.24801676379243753</v>
      </c>
      <c r="I73" s="52">
        <f>1000*I25/SER_summary!I$3</f>
        <v>0.30047974377560399</v>
      </c>
      <c r="J73" s="52">
        <f>1000*J25/SER_summary!J$3</f>
        <v>0.34965126926995888</v>
      </c>
      <c r="K73" s="52">
        <f>1000*K25/SER_summary!K$3</f>
        <v>0.36199441032359386</v>
      </c>
      <c r="L73" s="52">
        <f>1000*L25/SER_summary!L$3</f>
        <v>0.37577109282210497</v>
      </c>
      <c r="M73" s="52">
        <f>1000*M25/SER_summary!M$3</f>
        <v>0.44342307500998313</v>
      </c>
      <c r="N73" s="52">
        <f>1000*N25/SER_summary!N$3</f>
        <v>0.5211365349718613</v>
      </c>
      <c r="O73" s="52">
        <f>1000*O25/SER_summary!O$3</f>
        <v>0.58299895730201545</v>
      </c>
      <c r="P73" s="52">
        <f>1000*P25/SER_summary!P$3</f>
        <v>0.62605505264127459</v>
      </c>
      <c r="Q73" s="52">
        <f>1000*Q25/SER_summary!Q$3</f>
        <v>0.64077001174627812</v>
      </c>
      <c r="R73" s="52">
        <f>1000*R25/SER_summary!R$3</f>
        <v>0.67395422438033725</v>
      </c>
      <c r="S73" s="52">
        <f>1000*S25/SER_summary!S$3</f>
        <v>0.75149105038403363</v>
      </c>
      <c r="T73" s="52">
        <f>1000*T25/SER_summary!T$3</f>
        <v>0.81333572416841016</v>
      </c>
      <c r="U73" s="52">
        <f>1000*U25/SER_summary!U$3</f>
        <v>0.91313241296136172</v>
      </c>
      <c r="V73" s="52">
        <f>1000*V25/SER_summary!V$3</f>
        <v>0.94699794503793433</v>
      </c>
      <c r="W73" s="52">
        <f>1000*W25/SER_summary!W$3</f>
        <v>1.0026919185476812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7.4940061625859853</v>
      </c>
      <c r="C3" s="199">
        <f>'SER_se-appl'!C4</f>
        <v>7.9578501181881363</v>
      </c>
      <c r="D3" s="199">
        <f>'SER_se-appl'!D4</f>
        <v>8.4595275330506894</v>
      </c>
      <c r="E3" s="199">
        <f>'SER_se-appl'!E4</f>
        <v>9.1373760329704208</v>
      </c>
      <c r="F3" s="199">
        <f>'SER_se-appl'!F4</f>
        <v>9.7042585982253016</v>
      </c>
      <c r="G3" s="199">
        <f>'SER_se-appl'!G4</f>
        <v>10.296075799124308</v>
      </c>
      <c r="H3" s="199">
        <f>'SER_se-appl'!H4</f>
        <v>10.750719880152626</v>
      </c>
      <c r="I3" s="199">
        <f>'SER_se-appl'!I4</f>
        <v>11.857894193928928</v>
      </c>
      <c r="J3" s="199">
        <f>'SER_se-appl'!J4</f>
        <v>12.396284036058482</v>
      </c>
      <c r="K3" s="199">
        <f>'SER_se-appl'!K4</f>
        <v>12.429605629836839</v>
      </c>
      <c r="L3" s="199">
        <f>'SER_se-appl'!L4</f>
        <v>12.574538230596088</v>
      </c>
      <c r="M3" s="199">
        <f>'SER_se-appl'!M4</f>
        <v>12.747277068417697</v>
      </c>
      <c r="N3" s="199">
        <f>'SER_se-appl'!N4</f>
        <v>12.917826940753107</v>
      </c>
      <c r="O3" s="199">
        <f>'SER_se-appl'!O4</f>
        <v>13.153759951038948</v>
      </c>
      <c r="P3" s="199">
        <f>'SER_se-appl'!P4</f>
        <v>13.574289114516242</v>
      </c>
      <c r="Q3" s="199">
        <f>'SER_se-appl'!Q4</f>
        <v>13.953193056338137</v>
      </c>
      <c r="R3" s="199">
        <f>'SER_se-appl'!R4</f>
        <v>14.067332896200284</v>
      </c>
      <c r="S3" s="199">
        <f>'SER_se-appl'!S4</f>
        <v>14.187648370667027</v>
      </c>
      <c r="T3" s="199">
        <f>'SER_se-appl'!T4</f>
        <v>14.282739294852565</v>
      </c>
      <c r="U3" s="199">
        <f>'SER_se-appl'!U4</f>
        <v>14.310915013777359</v>
      </c>
      <c r="V3" s="199">
        <f>'SER_se-appl'!V4</f>
        <v>14.292662327959837</v>
      </c>
      <c r="W3" s="199">
        <f>'SER_se-appl'!W4</f>
        <v>14.195594839522629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9.9492342090039969</v>
      </c>
      <c r="C5" s="59">
        <f>'SER_se-appl'!C12</f>
        <v>10.565045305311418</v>
      </c>
      <c r="D5" s="59">
        <f>'SER_se-appl'!D12</f>
        <v>11.231085069563871</v>
      </c>
      <c r="E5" s="59">
        <f>'SER_se-appl'!E12</f>
        <v>12.131014071169629</v>
      </c>
      <c r="F5" s="59">
        <f>'SER_se-appl'!F12</f>
        <v>12.883621860429258</v>
      </c>
      <c r="G5" s="59">
        <f>'SER_se-appl'!G12</f>
        <v>13.669333509568004</v>
      </c>
      <c r="H5" s="59">
        <f>'SER_se-appl'!H12</f>
        <v>14.27293061714327</v>
      </c>
      <c r="I5" s="59">
        <f>'SER_se-appl'!I12</f>
        <v>15.742843547419348</v>
      </c>
      <c r="J5" s="59">
        <f>'SER_se-appl'!J12</f>
        <v>16.457623668876735</v>
      </c>
      <c r="K5" s="59">
        <f>'SER_se-appl'!K12</f>
        <v>16.501862268835893</v>
      </c>
      <c r="L5" s="59">
        <f>'SER_se-appl'!L12</f>
        <v>16.694278495642973</v>
      </c>
      <c r="M5" s="59">
        <f>'SER_se-appl'!M12</f>
        <v>16.92361099380113</v>
      </c>
      <c r="N5" s="59">
        <f>'SER_se-appl'!N12</f>
        <v>17.150037365406249</v>
      </c>
      <c r="O5" s="59">
        <f>'SER_se-appl'!O12</f>
        <v>17.463268062851942</v>
      </c>
      <c r="P5" s="59">
        <f>'SER_se-appl'!P12</f>
        <v>18.021573333541539</v>
      </c>
      <c r="Q5" s="59">
        <f>'SER_se-appl'!Q12</f>
        <v>18.524615895572214</v>
      </c>
      <c r="R5" s="59">
        <f>'SER_se-appl'!R12</f>
        <v>18.676150865617512</v>
      </c>
      <c r="S5" s="59">
        <f>'SER_se-appl'!S12</f>
        <v>18.83588476607963</v>
      </c>
      <c r="T5" s="59">
        <f>'SER_se-appl'!T12</f>
        <v>18.962129908577097</v>
      </c>
      <c r="U5" s="59">
        <f>'SER_se-appl'!U12</f>
        <v>18.999536713496653</v>
      </c>
      <c r="V5" s="59">
        <f>'SER_se-appl'!V12</f>
        <v>18.975303981069963</v>
      </c>
      <c r="W5" s="59">
        <f>'SER_se-appl'!W12</f>
        <v>18.846434701329699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416.38008563234712</v>
      </c>
      <c r="C6" s="202">
        <f>'SER_se-appl'!C68</f>
        <v>428.39028707182848</v>
      </c>
      <c r="D6" s="202">
        <f>'SER_se-appl'!D68</f>
        <v>438.91774191656344</v>
      </c>
      <c r="E6" s="202">
        <f>'SER_se-appl'!E68</f>
        <v>448.66344662900156</v>
      </c>
      <c r="F6" s="202">
        <f>'SER_se-appl'!F68</f>
        <v>457.15907768751202</v>
      </c>
      <c r="G6" s="202">
        <f>'SER_se-appl'!G68</f>
        <v>464.20623698445627</v>
      </c>
      <c r="H6" s="202">
        <f>'SER_se-appl'!H68</f>
        <v>472.22323100054319</v>
      </c>
      <c r="I6" s="202">
        <f>'SER_se-appl'!I68</f>
        <v>482.20966101924841</v>
      </c>
      <c r="J6" s="202">
        <f>'SER_se-appl'!J68</f>
        <v>489.87620293726496</v>
      </c>
      <c r="K6" s="202">
        <f>'SER_se-appl'!K68</f>
        <v>496.62050202564768</v>
      </c>
      <c r="L6" s="202">
        <f>'SER_se-appl'!L68</f>
        <v>503.60088687892932</v>
      </c>
      <c r="M6" s="202">
        <f>'SER_se-appl'!M68</f>
        <v>506.65330321265282</v>
      </c>
      <c r="N6" s="202">
        <f>'SER_se-appl'!N68</f>
        <v>515.59302201381456</v>
      </c>
      <c r="O6" s="202">
        <f>'SER_se-appl'!O68</f>
        <v>526.92651509604582</v>
      </c>
      <c r="P6" s="202">
        <f>'SER_se-appl'!P68</f>
        <v>545.51063293109894</v>
      </c>
      <c r="Q6" s="202">
        <f>'SER_se-appl'!Q68</f>
        <v>568.19237630606506</v>
      </c>
      <c r="R6" s="202">
        <f>'SER_se-appl'!R68</f>
        <v>578.21362402884915</v>
      </c>
      <c r="S6" s="202">
        <f>'SER_se-appl'!S68</f>
        <v>588.27837789508351</v>
      </c>
      <c r="T6" s="202">
        <f>'SER_se-appl'!T68</f>
        <v>598.15654581355477</v>
      </c>
      <c r="U6" s="202">
        <f>'SER_se-appl'!U68</f>
        <v>607.70857374621323</v>
      </c>
      <c r="V6" s="202">
        <f>'SER_se-appl'!V68</f>
        <v>616.67470161903043</v>
      </c>
      <c r="W6" s="202">
        <f>'SER_se-appl'!W68</f>
        <v>624.76447819208988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12.26086366170566</v>
      </c>
      <c r="C8" s="34">
        <f>'SER_se-appl'!C20</f>
        <v>13.176811204590827</v>
      </c>
      <c r="D8" s="34">
        <f>'SER_se-appl'!D20</f>
        <v>14.189813729583827</v>
      </c>
      <c r="E8" s="34">
        <f>'SER_se-appl'!E20</f>
        <v>15.5688419184119</v>
      </c>
      <c r="F8" s="34">
        <f>'SER_se-appl'!F20</f>
        <v>16.7732816410937</v>
      </c>
      <c r="G8" s="34">
        <f>'SER_se-appl'!G20</f>
        <v>18.063312656242672</v>
      </c>
      <c r="H8" s="34">
        <f>'SER_se-appl'!H20</f>
        <v>19.113867737506695</v>
      </c>
      <c r="I8" s="34">
        <f>'SER_se-appl'!I20</f>
        <v>21.545979004215511</v>
      </c>
      <c r="J8" s="34">
        <f>'SER_se-appl'!J20</f>
        <v>22.854034564120113</v>
      </c>
      <c r="K8" s="34">
        <f>'SER_se-appl'!K20</f>
        <v>23.123283965457244</v>
      </c>
      <c r="L8" s="34">
        <f>'SER_se-appl'!L20</f>
        <v>23.66092750718358</v>
      </c>
      <c r="M8" s="34">
        <f>'SER_se-appl'!M20</f>
        <v>24.294615683032593</v>
      </c>
      <c r="N8" s="34">
        <f>'SER_se-appl'!N20</f>
        <v>24.965261761832501</v>
      </c>
      <c r="O8" s="34">
        <f>'SER_se-appl'!O20</f>
        <v>25.831642870701277</v>
      </c>
      <c r="P8" s="34">
        <f>'SER_se-appl'!P20</f>
        <v>27.200288936497522</v>
      </c>
      <c r="Q8" s="34">
        <f>'SER_se-appl'!Q20</f>
        <v>28.55157205484976</v>
      </c>
      <c r="R8" s="34">
        <f>'SER_se-appl'!R20</f>
        <v>29.265612820435283</v>
      </c>
      <c r="S8" s="34">
        <f>'SER_se-appl'!S20</f>
        <v>30.022152582336094</v>
      </c>
      <c r="T8" s="34">
        <f>'SER_se-appl'!T20</f>
        <v>30.741989893401257</v>
      </c>
      <c r="U8" s="34">
        <f>'SER_se-appl'!U20</f>
        <v>31.395919313030515</v>
      </c>
      <c r="V8" s="34">
        <f>'SER_se-appl'!V20</f>
        <v>31.957422592388898</v>
      </c>
      <c r="W8" s="34">
        <f>'SER_se-appl'!W20</f>
        <v>32.422516890007209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1.4477419935798395</v>
      </c>
      <c r="D9" s="36">
        <f>'SER_se-appl'!D28</f>
        <v>1.5598390977698919</v>
      </c>
      <c r="E9" s="36">
        <f>'SER_se-appl'!E28</f>
        <v>1.9413323590497793</v>
      </c>
      <c r="F9" s="36">
        <f>'SER_se-appl'!F28</f>
        <v>1.7826490005344091</v>
      </c>
      <c r="G9" s="36">
        <f>'SER_se-appl'!G28</f>
        <v>1.8845952860541964</v>
      </c>
      <c r="H9" s="36">
        <f>'SER_se-appl'!H28</f>
        <v>1.6619369559200905</v>
      </c>
      <c r="I9" s="36">
        <f>'SER_se-appl'!I28</f>
        <v>3.0607864410324908</v>
      </c>
      <c r="J9" s="36">
        <f>'SER_se-appl'!J28</f>
        <v>1.9545131851543509</v>
      </c>
      <c r="K9" s="36">
        <f>'SER_se-appl'!K28</f>
        <v>0.93399246470547226</v>
      </c>
      <c r="L9" s="36">
        <f>'SER_se-appl'!L28</f>
        <v>1.2211892576974499</v>
      </c>
      <c r="M9" s="36">
        <f>'SER_se-appl'!M28</f>
        <v>1.3365683886261479</v>
      </c>
      <c r="N9" s="36">
        <f>'SER_se-appl'!N28</f>
        <v>1.3934076761156717</v>
      </c>
      <c r="O9" s="36">
        <f>'SER_se-appl'!O28</f>
        <v>1.6095864475003054</v>
      </c>
      <c r="P9" s="36">
        <f>'SER_se-appl'!P28</f>
        <v>2.1328734091163319</v>
      </c>
      <c r="Q9" s="36">
        <f>'SER_se-appl'!Q28</f>
        <v>2.1371270862568323</v>
      </c>
      <c r="R9" s="36">
        <f>'SER_se-appl'!R28</f>
        <v>1.5221127971477095</v>
      </c>
      <c r="S9" s="36">
        <f>'SER_se-appl'!S28</f>
        <v>1.5874685911112358</v>
      </c>
      <c r="T9" s="36">
        <f>'SER_se-appl'!T28</f>
        <v>1.5742694560290538</v>
      </c>
      <c r="U9" s="36">
        <f>'SER_se-appl'!U28</f>
        <v>2.1016714132090968</v>
      </c>
      <c r="V9" s="36">
        <f>'SER_se-appl'!V28</f>
        <v>2.1213423771282756</v>
      </c>
      <c r="W9" s="36">
        <f>'SER_se-appl'!W28</f>
        <v>2.4064266566680885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0.53179445069467235</v>
      </c>
      <c r="D10" s="38">
        <f>'SER_se-appl'!D36</f>
        <v>0.54683657277689157</v>
      </c>
      <c r="E10" s="38">
        <f>'SER_se-appl'!E36</f>
        <v>0.5623041702217062</v>
      </c>
      <c r="F10" s="38">
        <f>'SER_se-appl'!F36</f>
        <v>0.57820927785261134</v>
      </c>
      <c r="G10" s="38">
        <f>'SER_se-appl'!G36</f>
        <v>0.59456427090522368</v>
      </c>
      <c r="H10" s="38">
        <f>'SER_se-appl'!H36</f>
        <v>0.61138187465606819</v>
      </c>
      <c r="I10" s="38">
        <f>'SER_se-appl'!I36</f>
        <v>0.62867517432367492</v>
      </c>
      <c r="J10" s="38">
        <f>'SER_se-appl'!J36</f>
        <v>0.6464576252497487</v>
      </c>
      <c r="K10" s="38">
        <f>'SER_se-appl'!K36</f>
        <v>0.66474306336834132</v>
      </c>
      <c r="L10" s="38">
        <f>'SER_se-appl'!L36</f>
        <v>0.68354571597111402</v>
      </c>
      <c r="M10" s="38">
        <f>'SER_se-appl'!M36</f>
        <v>0.70288021277713497</v>
      </c>
      <c r="N10" s="38">
        <f>'SER_se-appl'!N36</f>
        <v>0.72276159731576328</v>
      </c>
      <c r="O10" s="38">
        <f>'SER_se-appl'!O36</f>
        <v>0.7432053386315296</v>
      </c>
      <c r="P10" s="38">
        <f>'SER_se-appl'!P36</f>
        <v>0.76422734332008702</v>
      </c>
      <c r="Q10" s="38">
        <f>'SER_se-appl'!Q36</f>
        <v>0.78584396790459365</v>
      </c>
      <c r="R10" s="38">
        <f>'SER_se-appl'!R36</f>
        <v>0.80807203156218677</v>
      </c>
      <c r="S10" s="38">
        <f>'SER_se-appl'!S36</f>
        <v>0.83092882921042488</v>
      </c>
      <c r="T10" s="38">
        <f>'SER_se-appl'!T36</f>
        <v>0.85443214496389075</v>
      </c>
      <c r="U10" s="38">
        <f>'SER_se-appl'!U36</f>
        <v>1.447741993579843</v>
      </c>
      <c r="V10" s="38">
        <f>'SER_se-appl'!V36</f>
        <v>1.5598390977698919</v>
      </c>
      <c r="W10" s="38">
        <f>'SER_se-appl'!W36</f>
        <v>1.941332359049774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8760</v>
      </c>
      <c r="C12" s="205">
        <f>'SER_se-appl'!C44</f>
        <v>8760</v>
      </c>
      <c r="D12" s="205">
        <f>'SER_se-appl'!D44</f>
        <v>8760.0000000000018</v>
      </c>
      <c r="E12" s="205">
        <f>'SER_se-appl'!E44</f>
        <v>8760.0000000000036</v>
      </c>
      <c r="F12" s="205">
        <f>'SER_se-appl'!F44</f>
        <v>8759.9999999999964</v>
      </c>
      <c r="G12" s="205">
        <f>'SER_se-appl'!G44</f>
        <v>8760</v>
      </c>
      <c r="H12" s="205">
        <f>'SER_se-appl'!H44</f>
        <v>8760</v>
      </c>
      <c r="I12" s="205">
        <f>'SER_se-appl'!I44</f>
        <v>8759.9999999999964</v>
      </c>
      <c r="J12" s="205">
        <f>'SER_se-appl'!J44</f>
        <v>8759.9999999999964</v>
      </c>
      <c r="K12" s="205">
        <f>'SER_se-appl'!K44</f>
        <v>8760.0000000000018</v>
      </c>
      <c r="L12" s="205">
        <f>'SER_se-appl'!L44</f>
        <v>8760.0000000000036</v>
      </c>
      <c r="M12" s="205">
        <f>'SER_se-appl'!M44</f>
        <v>8759.9999999999945</v>
      </c>
      <c r="N12" s="205">
        <f>'SER_se-appl'!N44</f>
        <v>8759.9999999999945</v>
      </c>
      <c r="O12" s="205">
        <f>'SER_se-appl'!O44</f>
        <v>8759.9999999999964</v>
      </c>
      <c r="P12" s="205">
        <f>'SER_se-appl'!P44</f>
        <v>8760</v>
      </c>
      <c r="Q12" s="205">
        <f>'SER_se-appl'!Q44</f>
        <v>8759.9999999999964</v>
      </c>
      <c r="R12" s="205">
        <f>'SER_se-appl'!R44</f>
        <v>8759.9999999999945</v>
      </c>
      <c r="S12" s="205">
        <f>'SER_se-appl'!S44</f>
        <v>8759.9999999999982</v>
      </c>
      <c r="T12" s="205">
        <f>'SER_se-appl'!T44</f>
        <v>8759.9999999999982</v>
      </c>
      <c r="U12" s="205">
        <f>'SER_se-appl'!U44</f>
        <v>8760</v>
      </c>
      <c r="V12" s="205">
        <f>'SER_se-appl'!V44</f>
        <v>8760.0000000000018</v>
      </c>
      <c r="W12" s="205">
        <f>'SER_se-appl'!W44</f>
        <v>8760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0.81146275527705503</v>
      </c>
      <c r="C14" s="59">
        <f>'SER_se-appl'!C52</f>
        <v>0.80179074749363755</v>
      </c>
      <c r="D14" s="59">
        <f>'SER_se-appl'!D52</f>
        <v>0.79148925303709872</v>
      </c>
      <c r="E14" s="59">
        <f>'SER_se-appl'!E52</f>
        <v>0.77918538416292515</v>
      </c>
      <c r="F14" s="59">
        <f>'SER_se-appl'!F52</f>
        <v>0.76810382941791366</v>
      </c>
      <c r="G14" s="59">
        <f>'SER_se-appl'!G52</f>
        <v>0.75674566286399791</v>
      </c>
      <c r="H14" s="59">
        <f>'SER_se-appl'!H52</f>
        <v>0.74673168262725986</v>
      </c>
      <c r="I14" s="59">
        <f>'SER_se-appl'!I52</f>
        <v>0.73066271643257574</v>
      </c>
      <c r="J14" s="59">
        <f>'SER_se-appl'!J52</f>
        <v>0.72011896292108191</v>
      </c>
      <c r="K14" s="59">
        <f>'SER_se-appl'!K52</f>
        <v>0.71364700158884131</v>
      </c>
      <c r="L14" s="59">
        <f>'SER_se-appl'!L52</f>
        <v>0.7055631479608947</v>
      </c>
      <c r="M14" s="59">
        <f>'SER_se-appl'!M52</f>
        <v>0.69659924711715493</v>
      </c>
      <c r="N14" s="59">
        <f>'SER_se-appl'!N52</f>
        <v>0.68695604031781643</v>
      </c>
      <c r="O14" s="59">
        <f>'SER_se-appl'!O52</f>
        <v>0.67604171172012839</v>
      </c>
      <c r="P14" s="59">
        <f>'SER_se-appl'!P52</f>
        <v>0.66255080508942965</v>
      </c>
      <c r="Q14" s="59">
        <f>'SER_se-appl'!Q52</f>
        <v>0.64881246678764326</v>
      </c>
      <c r="R14" s="59">
        <f>'SER_se-appl'!R52</f>
        <v>0.63816025245083974</v>
      </c>
      <c r="S14" s="59">
        <f>'SER_se-appl'!S52</f>
        <v>0.62739954153593758</v>
      </c>
      <c r="T14" s="59">
        <f>'SER_se-appl'!T52</f>
        <v>0.61681530617662794</v>
      </c>
      <c r="U14" s="59">
        <f>'SER_se-appl'!U52</f>
        <v>0.60515943247475201</v>
      </c>
      <c r="V14" s="59">
        <f>'SER_se-appl'!V52</f>
        <v>0.5937682842291917</v>
      </c>
      <c r="W14" s="59">
        <f>'SER_se-appl'!W52</f>
        <v>0.58127611638744403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0.72343172412882739</v>
      </c>
      <c r="D15" s="63">
        <f>'SER_se-appl'!D60</f>
        <v>0.71146907259274639</v>
      </c>
      <c r="E15" s="63">
        <f>'SER_se-appl'!E60</f>
        <v>0.69860160036762931</v>
      </c>
      <c r="F15" s="63">
        <f>'SER_se-appl'!F60</f>
        <v>0.68538623286265965</v>
      </c>
      <c r="G15" s="63">
        <f>'SER_se-appl'!G60</f>
        <v>0.67291816974242591</v>
      </c>
      <c r="H15" s="63">
        <f>'SER_se-appl'!H60</f>
        <v>0.66170423865525363</v>
      </c>
      <c r="I15" s="63">
        <f>'SER_se-appl'!I60</f>
        <v>0.64691198081076184</v>
      </c>
      <c r="J15" s="63">
        <f>'SER_se-appl'!J60</f>
        <v>0.63409979355781942</v>
      </c>
      <c r="K15" s="63">
        <f>'SER_se-appl'!K60</f>
        <v>0.62490101340955817</v>
      </c>
      <c r="L15" s="63">
        <f>'SER_se-appl'!L60</f>
        <v>0.61177095371397183</v>
      </c>
      <c r="M15" s="63">
        <f>'SER_se-appl'!M60</f>
        <v>0.5983185140791899</v>
      </c>
      <c r="N15" s="63">
        <f>'SER_se-appl'!N60</f>
        <v>0.58340462931677761</v>
      </c>
      <c r="O15" s="63">
        <f>'SER_se-appl'!O60</f>
        <v>0.56928545260261865</v>
      </c>
      <c r="P15" s="63">
        <f>'SER_se-appl'!P60</f>
        <v>0.55251628686505838</v>
      </c>
      <c r="Q15" s="63">
        <f>'SER_se-appl'!Q60</f>
        <v>0.53376595186127307</v>
      </c>
      <c r="R15" s="63">
        <f>'SER_se-appl'!R60</f>
        <v>0.53035184301176352</v>
      </c>
      <c r="S15" s="63">
        <f>'SER_se-appl'!S60</f>
        <v>0.52536579452481935</v>
      </c>
      <c r="T15" s="63">
        <f>'SER_se-appl'!T60</f>
        <v>0.52061291153706335</v>
      </c>
      <c r="U15" s="63">
        <f>'SER_se-appl'!U60</f>
        <v>0.51613648290166914</v>
      </c>
      <c r="V15" s="63">
        <f>'SER_se-appl'!V60</f>
        <v>0.51172529034520875</v>
      </c>
      <c r="W15" s="63">
        <f>'SER_se-appl'!W60</f>
        <v>0.5100295119057372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22.53449145643447</v>
      </c>
      <c r="C3" s="199">
        <f>'SER_se-appl'!C5</f>
        <v>23.372464692915571</v>
      </c>
      <c r="D3" s="199">
        <f>'SER_se-appl'!D5</f>
        <v>24.216618412942204</v>
      </c>
      <c r="E3" s="199">
        <f>'SER_se-appl'!E5</f>
        <v>25.244034602000571</v>
      </c>
      <c r="F3" s="199">
        <f>'SER_se-appl'!F5</f>
        <v>25.982484740186766</v>
      </c>
      <c r="G3" s="199">
        <f>'SER_se-appl'!G5</f>
        <v>26.456256114220778</v>
      </c>
      <c r="H3" s="199">
        <f>'SER_se-appl'!H5</f>
        <v>26.653121324792274</v>
      </c>
      <c r="I3" s="199">
        <f>'SER_se-appl'!I5</f>
        <v>26.729792393762722</v>
      </c>
      <c r="J3" s="199">
        <f>'SER_se-appl'!J5</f>
        <v>26.844133681496405</v>
      </c>
      <c r="K3" s="199">
        <f>'SER_se-appl'!K5</f>
        <v>26.866329558210143</v>
      </c>
      <c r="L3" s="199">
        <f>'SER_se-appl'!L5</f>
        <v>26.812680991890268</v>
      </c>
      <c r="M3" s="199">
        <f>'SER_se-appl'!M5</f>
        <v>26.677584304184666</v>
      </c>
      <c r="N3" s="199">
        <f>'SER_se-appl'!N5</f>
        <v>26.779820156151747</v>
      </c>
      <c r="O3" s="199">
        <f>'SER_se-appl'!O5</f>
        <v>26.993322423725836</v>
      </c>
      <c r="P3" s="199">
        <f>'SER_se-appl'!P5</f>
        <v>27.210413146526363</v>
      </c>
      <c r="Q3" s="199">
        <f>'SER_se-appl'!Q5</f>
        <v>27.586554470928519</v>
      </c>
      <c r="R3" s="199">
        <f>'SER_se-appl'!R5</f>
        <v>27.074150923963167</v>
      </c>
      <c r="S3" s="199">
        <f>'SER_se-appl'!S5</f>
        <v>26.535442074617329</v>
      </c>
      <c r="T3" s="199">
        <f>'SER_se-appl'!T5</f>
        <v>25.170047120727094</v>
      </c>
      <c r="U3" s="199">
        <f>'SER_se-appl'!U5</f>
        <v>23.757747097901795</v>
      </c>
      <c r="V3" s="199">
        <f>'SER_se-appl'!V5</f>
        <v>22.380021041817528</v>
      </c>
      <c r="W3" s="199">
        <f>'SER_se-appl'!W5</f>
        <v>21.266844834302354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67.919241951919716</v>
      </c>
      <c r="C5" s="59">
        <f>'SER_se-appl'!C13</f>
        <v>70.285475779226431</v>
      </c>
      <c r="D5" s="59">
        <f>'SER_se-appl'!D13</f>
        <v>72.597399435175276</v>
      </c>
      <c r="E5" s="59">
        <f>'SER_se-appl'!E13</f>
        <v>75.464073478469686</v>
      </c>
      <c r="F5" s="59">
        <f>'SER_se-appl'!F13</f>
        <v>77.491875208048199</v>
      </c>
      <c r="G5" s="59">
        <f>'SER_se-appl'!G13</f>
        <v>78.688363264254349</v>
      </c>
      <c r="H5" s="59">
        <f>'SER_se-appl'!H13</f>
        <v>79.209069413181055</v>
      </c>
      <c r="I5" s="59">
        <f>'SER_se-appl'!I13</f>
        <v>79.344631370649196</v>
      </c>
      <c r="J5" s="59">
        <f>'SER_se-appl'!J13</f>
        <v>79.63194283648275</v>
      </c>
      <c r="K5" s="59">
        <f>'SER_se-appl'!K13</f>
        <v>79.689055580588828</v>
      </c>
      <c r="L5" s="59">
        <f>'SER_se-appl'!L13</f>
        <v>79.499197709186106</v>
      </c>
      <c r="M5" s="59">
        <f>'SER_se-appl'!M13</f>
        <v>79.352256773730929</v>
      </c>
      <c r="N5" s="59">
        <f>'SER_se-appl'!N13</f>
        <v>79.846364200156216</v>
      </c>
      <c r="O5" s="59">
        <f>'SER_se-appl'!O13</f>
        <v>80.821498743862904</v>
      </c>
      <c r="P5" s="59">
        <f>'SER_se-appl'!P13</f>
        <v>81.904081460461825</v>
      </c>
      <c r="Q5" s="59">
        <f>'SER_se-appl'!Q13</f>
        <v>83.39544190916304</v>
      </c>
      <c r="R5" s="59">
        <f>'SER_se-appl'!R13</f>
        <v>81.065941930268721</v>
      </c>
      <c r="S5" s="59">
        <f>'SER_se-appl'!S13</f>
        <v>78.143400034971805</v>
      </c>
      <c r="T5" s="59">
        <f>'SER_se-appl'!T13</f>
        <v>75.174129203628041</v>
      </c>
      <c r="U5" s="59">
        <f>'SER_se-appl'!U13</f>
        <v>71.911440984671486</v>
      </c>
      <c r="V5" s="59">
        <f>'SER_se-appl'!V13</f>
        <v>68.350753374599421</v>
      </c>
      <c r="W5" s="59">
        <f>'SER_se-appl'!W13</f>
        <v>64.892043110845407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9.5744759860170336E-2</v>
      </c>
      <c r="C6" s="202">
        <f>'SER_se-appl'!C69</f>
        <v>0.10092953208643574</v>
      </c>
      <c r="D6" s="202">
        <f>'SER_se-appl'!D69</f>
        <v>0.10660623326354436</v>
      </c>
      <c r="E6" s="202">
        <f>'SER_se-appl'!E69</f>
        <v>0.11314814272197755</v>
      </c>
      <c r="F6" s="202">
        <f>'SER_se-appl'!F69</f>
        <v>0.11896243009945361</v>
      </c>
      <c r="G6" s="202">
        <f>'SER_se-appl'!G69</f>
        <v>0.12436638744456997</v>
      </c>
      <c r="H6" s="202">
        <f>'SER_se-appl'!H69</f>
        <v>0.13014078977448876</v>
      </c>
      <c r="I6" s="202">
        <f>'SER_se-appl'!I69</f>
        <v>0.13490865698592228</v>
      </c>
      <c r="J6" s="202">
        <f>'SER_se-appl'!J69</f>
        <v>0.13904026503935574</v>
      </c>
      <c r="K6" s="202">
        <f>'SER_se-appl'!K69</f>
        <v>0.14274319362653742</v>
      </c>
      <c r="L6" s="202">
        <f>'SER_se-appl'!L69</f>
        <v>0.14719527917507966</v>
      </c>
      <c r="M6" s="202">
        <f>'SER_se-appl'!M69</f>
        <v>0.15453413794730675</v>
      </c>
      <c r="N6" s="202">
        <f>'SER_se-appl'!N69</f>
        <v>0.16189481905868572</v>
      </c>
      <c r="O6" s="202">
        <f>'SER_se-appl'!O69</f>
        <v>0.17014078854653256</v>
      </c>
      <c r="P6" s="202">
        <f>'SER_se-appl'!P69</f>
        <v>0.17979665641306292</v>
      </c>
      <c r="Q6" s="202">
        <f>'SER_se-appl'!Q69</f>
        <v>0.19186037610259557</v>
      </c>
      <c r="R6" s="202">
        <f>'SER_se-appl'!R69</f>
        <v>0.19561337774130558</v>
      </c>
      <c r="S6" s="202">
        <f>'SER_se-appl'!S69</f>
        <v>0.19951087735388356</v>
      </c>
      <c r="T6" s="202">
        <f>'SER_se-appl'!T69</f>
        <v>0.2036365606917353</v>
      </c>
      <c r="U6" s="202">
        <f>'SER_se-appl'!U69</f>
        <v>0.20582981298371311</v>
      </c>
      <c r="V6" s="202">
        <f>'SER_se-appl'!V69</f>
        <v>0.20663333264221626</v>
      </c>
      <c r="W6" s="202">
        <f>'SER_se-appl'!W69</f>
        <v>0.20684448746438397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336.2626817411479</v>
      </c>
      <c r="C8" s="34">
        <f>'SER_se-appl'!C21</f>
        <v>351.94107652633727</v>
      </c>
      <c r="D8" s="34">
        <f>'SER_se-appl'!D21</f>
        <v>368.28583786287112</v>
      </c>
      <c r="E8" s="34">
        <f>'SER_se-appl'!E21</f>
        <v>388.26751230603782</v>
      </c>
      <c r="F8" s="34">
        <f>'SER_se-appl'!F21</f>
        <v>404.34485357550574</v>
      </c>
      <c r="G8" s="34">
        <f>'SER_se-appl'!G21</f>
        <v>417.27659048177003</v>
      </c>
      <c r="H8" s="34">
        <f>'SER_se-appl'!H21</f>
        <v>428.14172512775519</v>
      </c>
      <c r="I8" s="34">
        <f>'SER_se-appl'!I21</f>
        <v>438.45084175707865</v>
      </c>
      <c r="J8" s="34">
        <f>'SER_se-appl'!J21</f>
        <v>446.68145066675942</v>
      </c>
      <c r="K8" s="34">
        <f>'SER_se-appl'!K21</f>
        <v>454.47377348701292</v>
      </c>
      <c r="L8" s="34">
        <f>'SER_se-appl'!L21</f>
        <v>462.4840344814001</v>
      </c>
      <c r="M8" s="34">
        <f>'SER_se-appl'!M21</f>
        <v>471.72905508829319</v>
      </c>
      <c r="N8" s="34">
        <f>'SER_se-appl'!N21</f>
        <v>486.27391621224984</v>
      </c>
      <c r="O8" s="34">
        <f>'SER_se-appl'!O21</f>
        <v>505.64226018538284</v>
      </c>
      <c r="P8" s="34">
        <f>'SER_se-appl'!P21</f>
        <v>529.22642384547112</v>
      </c>
      <c r="Q8" s="34">
        <f>'SER_se-appl'!Q21</f>
        <v>560.47442601422063</v>
      </c>
      <c r="R8" s="34">
        <f>'SER_se-appl'!R21</f>
        <v>565.04058718167016</v>
      </c>
      <c r="S8" s="34">
        <f>'SER_se-appl'!S21</f>
        <v>568.18782565963443</v>
      </c>
      <c r="T8" s="34">
        <f>'SER_se-appl'!T21</f>
        <v>571.99493896357603</v>
      </c>
      <c r="U8" s="34">
        <f>'SER_se-appl'!U21</f>
        <v>575.12637016208339</v>
      </c>
      <c r="V8" s="34">
        <f>'SER_se-appl'!V21</f>
        <v>577.35212840229008</v>
      </c>
      <c r="W8" s="34">
        <f>'SER_se-appl'!W21</f>
        <v>578.27099671442897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57.860675077865267</v>
      </c>
      <c r="D9" s="36">
        <f>'SER_se-appl'!D29</f>
        <v>60.342772886256228</v>
      </c>
      <c r="E9" s="36">
        <f>'SER_se-appl'!E29</f>
        <v>65.873575186750372</v>
      </c>
      <c r="F9" s="36">
        <f>'SER_se-appl'!F29</f>
        <v>63.944653442856861</v>
      </c>
      <c r="G9" s="36">
        <f>'SER_se-appl'!G29</f>
        <v>62.859491860389198</v>
      </c>
      <c r="H9" s="36">
        <f>'SER_se-appl'!H29</f>
        <v>62.942023896202272</v>
      </c>
      <c r="I9" s="36">
        <f>'SER_se-appl'!I29</f>
        <v>64.627649406758508</v>
      </c>
      <c r="J9" s="36">
        <f>'SER_se-appl'!J29</f>
        <v>66.091283987546035</v>
      </c>
      <c r="K9" s="36">
        <f>'SER_se-appl'!K29</f>
        <v>68.13509570650973</v>
      </c>
      <c r="L9" s="36">
        <f>'SER_se-appl'!L29</f>
        <v>73.883836181137553</v>
      </c>
      <c r="M9" s="36">
        <f>'SER_se-appl'!M29</f>
        <v>73.189674049749954</v>
      </c>
      <c r="N9" s="36">
        <f>'SER_se-appl'!N29</f>
        <v>77.404352984345849</v>
      </c>
      <c r="O9" s="36">
        <f>'SER_se-appl'!O29</f>
        <v>82.310367869335266</v>
      </c>
      <c r="P9" s="36">
        <f>'SER_se-appl'!P29</f>
        <v>88.211813066846787</v>
      </c>
      <c r="Q9" s="36">
        <f>'SER_se-appl'!Q29</f>
        <v>97.339286156295543</v>
      </c>
      <c r="R9" s="36">
        <f>'SER_se-appl'!R29</f>
        <v>72.701256873959267</v>
      </c>
      <c r="S9" s="36">
        <f>'SER_se-appl'!S29</f>
        <v>77.031074659101819</v>
      </c>
      <c r="T9" s="36">
        <f>'SER_se-appl'!T29</f>
        <v>76.996787353691559</v>
      </c>
      <c r="U9" s="36">
        <f>'SER_se-appl'!U29</f>
        <v>80.535784182853206</v>
      </c>
      <c r="V9" s="36">
        <f>'SER_se-appl'!V29</f>
        <v>84.536126109541954</v>
      </c>
      <c r="W9" s="36">
        <f>'SER_se-appl'!W29</f>
        <v>89.130681378985685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42.182280292675898</v>
      </c>
      <c r="D10" s="38">
        <f>'SER_se-appl'!D37</f>
        <v>43.998011549722378</v>
      </c>
      <c r="E10" s="38">
        <f>'SER_se-appl'!E37</f>
        <v>45.891900743583676</v>
      </c>
      <c r="F10" s="38">
        <f>'SER_se-appl'!F37</f>
        <v>47.867312173388939</v>
      </c>
      <c r="G10" s="38">
        <f>'SER_se-appl'!G37</f>
        <v>49.927754954124907</v>
      </c>
      <c r="H10" s="38">
        <f>'SER_se-appl'!H37</f>
        <v>52.076889250217107</v>
      </c>
      <c r="I10" s="38">
        <f>'SER_se-appl'!I37</f>
        <v>54.318532777435053</v>
      </c>
      <c r="J10" s="38">
        <f>'SER_se-appl'!J37</f>
        <v>57.860675077865267</v>
      </c>
      <c r="K10" s="38">
        <f>'SER_se-appl'!K37</f>
        <v>60.342772886256228</v>
      </c>
      <c r="L10" s="38">
        <f>'SER_se-appl'!L37</f>
        <v>65.873575186750315</v>
      </c>
      <c r="M10" s="38">
        <f>'SER_se-appl'!M37</f>
        <v>63.944653442856861</v>
      </c>
      <c r="N10" s="38">
        <f>'SER_se-appl'!N37</f>
        <v>62.859491860389141</v>
      </c>
      <c r="O10" s="38">
        <f>'SER_se-appl'!O37</f>
        <v>62.942023896202272</v>
      </c>
      <c r="P10" s="38">
        <f>'SER_se-appl'!P37</f>
        <v>64.627649406758565</v>
      </c>
      <c r="Q10" s="38">
        <f>'SER_se-appl'!Q37</f>
        <v>66.091283987546035</v>
      </c>
      <c r="R10" s="38">
        <f>'SER_se-appl'!R37</f>
        <v>68.135095706509674</v>
      </c>
      <c r="S10" s="38">
        <f>'SER_se-appl'!S37</f>
        <v>73.883836181137553</v>
      </c>
      <c r="T10" s="38">
        <f>'SER_se-appl'!T37</f>
        <v>73.18967404975001</v>
      </c>
      <c r="U10" s="38">
        <f>'SER_se-appl'!U37</f>
        <v>77.404352984345792</v>
      </c>
      <c r="V10" s="38">
        <f>'SER_se-appl'!V37</f>
        <v>82.310367869335209</v>
      </c>
      <c r="W10" s="38">
        <f>'SER_se-appl'!W37</f>
        <v>88.211813066846844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3858.6434139511975</v>
      </c>
      <c r="C12" s="205">
        <f>'SER_se-appl'!C45</f>
        <v>3867.3959500882784</v>
      </c>
      <c r="D12" s="205">
        <f>'SER_se-appl'!D45</f>
        <v>3879.4677816800213</v>
      </c>
      <c r="E12" s="205">
        <f>'SER_se-appl'!E45</f>
        <v>3890.4356588308069</v>
      </c>
      <c r="F12" s="205">
        <f>'SER_se-appl'!F45</f>
        <v>3899.4578040226402</v>
      </c>
      <c r="G12" s="205">
        <f>'SER_se-appl'!G45</f>
        <v>3910.1875530833395</v>
      </c>
      <c r="H12" s="205">
        <f>'SER_se-appl'!H45</f>
        <v>3913.3877383459267</v>
      </c>
      <c r="I12" s="205">
        <f>'SER_se-appl'!I45</f>
        <v>3917.9397543266568</v>
      </c>
      <c r="J12" s="205">
        <f>'SER_se-appl'!J45</f>
        <v>3920.5030493463296</v>
      </c>
      <c r="K12" s="205">
        <f>'SER_se-appl'!K45</f>
        <v>3920.9325607579904</v>
      </c>
      <c r="L12" s="205">
        <f>'SER_se-appl'!L45</f>
        <v>3922.4481368527295</v>
      </c>
      <c r="M12" s="205">
        <f>'SER_se-appl'!M45</f>
        <v>3909.9115522619572</v>
      </c>
      <c r="N12" s="205">
        <f>'SER_se-appl'!N45</f>
        <v>3900.6072666666955</v>
      </c>
      <c r="O12" s="205">
        <f>'SER_se-appl'!O45</f>
        <v>3884.2677340448304</v>
      </c>
      <c r="P12" s="205">
        <f>'SER_se-appl'!P45</f>
        <v>3863.7525658213667</v>
      </c>
      <c r="Q12" s="205">
        <f>'SER_se-appl'!Q45</f>
        <v>3847.1122779870711</v>
      </c>
      <c r="R12" s="205">
        <f>'SER_se-appl'!R45</f>
        <v>3884.1511952891196</v>
      </c>
      <c r="S12" s="205">
        <f>'SER_se-appl'!S45</f>
        <v>3949.2419217705833</v>
      </c>
      <c r="T12" s="205">
        <f>'SER_se-appl'!T45</f>
        <v>3893.9945312985215</v>
      </c>
      <c r="U12" s="205">
        <f>'SER_se-appl'!U45</f>
        <v>3842.2620234726501</v>
      </c>
      <c r="V12" s="205">
        <f>'SER_se-appl'!V45</f>
        <v>3807.999646907524</v>
      </c>
      <c r="W12" s="205">
        <f>'SER_se-appl'!W45</f>
        <v>3811.4596731135985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201.98269281693101</v>
      </c>
      <c r="C14" s="59">
        <f>'SER_se-appl'!C53</f>
        <v>199.70807747974442</v>
      </c>
      <c r="D14" s="59">
        <f>'SER_se-appl'!D53</f>
        <v>197.12243038301801</v>
      </c>
      <c r="E14" s="59">
        <f>'SER_se-appl'!E53</f>
        <v>194.36102966809094</v>
      </c>
      <c r="F14" s="59">
        <f>'SER_se-appl'!F53</f>
        <v>191.64798197085912</v>
      </c>
      <c r="G14" s="59">
        <f>'SER_se-appl'!G53</f>
        <v>188.57603100476851</v>
      </c>
      <c r="H14" s="59">
        <f>'SER_se-appl'!H53</f>
        <v>185.00665729215132</v>
      </c>
      <c r="I14" s="59">
        <f>'SER_se-appl'!I53</f>
        <v>180.96585480980707</v>
      </c>
      <c r="J14" s="59">
        <f>'SER_se-appl'!J53</f>
        <v>178.27456841473156</v>
      </c>
      <c r="K14" s="59">
        <f>'SER_se-appl'!K53</f>
        <v>175.34357366578828</v>
      </c>
      <c r="L14" s="59">
        <f>'SER_se-appl'!L53</f>
        <v>171.8960910690277</v>
      </c>
      <c r="M14" s="59">
        <f>'SER_se-appl'!M53</f>
        <v>168.21574994755969</v>
      </c>
      <c r="N14" s="59">
        <f>'SER_se-appl'!N53</f>
        <v>164.20038488205628</v>
      </c>
      <c r="O14" s="59">
        <f>'SER_se-appl'!O53</f>
        <v>159.83928778862636</v>
      </c>
      <c r="P14" s="59">
        <f>'SER_se-appl'!P53</f>
        <v>154.76188975094902</v>
      </c>
      <c r="Q14" s="59">
        <f>'SER_se-appl'!Q53</f>
        <v>148.79437497661507</v>
      </c>
      <c r="R14" s="59">
        <f>'SER_se-appl'!R53</f>
        <v>143.46923702350719</v>
      </c>
      <c r="S14" s="59">
        <f>'SER_se-appl'!S53</f>
        <v>137.53092992489178</v>
      </c>
      <c r="T14" s="59">
        <f>'SER_se-appl'!T53</f>
        <v>131.42446564271967</v>
      </c>
      <c r="U14" s="59">
        <f>'SER_se-appl'!U53</f>
        <v>125.03589596214348</v>
      </c>
      <c r="V14" s="59">
        <f>'SER_se-appl'!V53</f>
        <v>118.38659634588488</v>
      </c>
      <c r="W14" s="59">
        <f>'SER_se-appl'!W53</f>
        <v>112.21735739738548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188.14720663611007</v>
      </c>
      <c r="D15" s="63">
        <f>'SER_se-appl'!D61</f>
        <v>185.5857789044835</v>
      </c>
      <c r="E15" s="63">
        <f>'SER_se-appl'!E61</f>
        <v>184.23235264770855</v>
      </c>
      <c r="F15" s="63">
        <f>'SER_se-appl'!F61</f>
        <v>182.9108410247369</v>
      </c>
      <c r="G15" s="63">
        <f>'SER_se-appl'!G61</f>
        <v>179.46423227854481</v>
      </c>
      <c r="H15" s="63">
        <f>'SER_se-appl'!H61</f>
        <v>175.38896574758419</v>
      </c>
      <c r="I15" s="63">
        <f>'SER_se-appl'!I61</f>
        <v>171.86089204348596</v>
      </c>
      <c r="J15" s="63">
        <f>'SER_se-appl'!J61</f>
        <v>169.06368255637184</v>
      </c>
      <c r="K15" s="63">
        <f>'SER_se-appl'!K61</f>
        <v>165.19934601607821</v>
      </c>
      <c r="L15" s="63">
        <f>'SER_se-appl'!L61</f>
        <v>161.68876008657827</v>
      </c>
      <c r="M15" s="63">
        <f>'SER_se-appl'!M61</f>
        <v>157.79861783456872</v>
      </c>
      <c r="N15" s="63">
        <f>'SER_se-appl'!N61</f>
        <v>152.12500874402801</v>
      </c>
      <c r="O15" s="63">
        <f>'SER_se-appl'!O61</f>
        <v>145.96546374320499</v>
      </c>
      <c r="P15" s="63">
        <f>'SER_se-appl'!P61</f>
        <v>138.18498646072379</v>
      </c>
      <c r="Q15" s="63">
        <f>'SER_se-appl'!Q61</f>
        <v>130.11186751646005</v>
      </c>
      <c r="R15" s="63">
        <f>'SER_se-appl'!R61</f>
        <v>122.78155366748932</v>
      </c>
      <c r="S15" s="63">
        <f>'SER_se-appl'!S61</f>
        <v>117.14290638167655</v>
      </c>
      <c r="T15" s="63">
        <f>'SER_se-appl'!T61</f>
        <v>111.43268269176706</v>
      </c>
      <c r="U15" s="63">
        <f>'SER_se-appl'!U61</f>
        <v>105.697731039481</v>
      </c>
      <c r="V15" s="63">
        <f>'SER_se-appl'!V61</f>
        <v>100.00202038942302</v>
      </c>
      <c r="W15" s="63">
        <f>'SER_se-appl'!W61</f>
        <v>97.955471623069855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37.399714787879191</v>
      </c>
      <c r="C3" s="199">
        <f>'SER_se-appl'!C6</f>
        <v>39.242581772259058</v>
      </c>
      <c r="D3" s="199">
        <f>'SER_se-appl'!D6</f>
        <v>41.390696446486857</v>
      </c>
      <c r="E3" s="199">
        <f>'SER_se-appl'!E6</f>
        <v>44.641116001314558</v>
      </c>
      <c r="F3" s="199">
        <f>'SER_se-appl'!F6</f>
        <v>47.229489065478425</v>
      </c>
      <c r="G3" s="199">
        <f>'SER_se-appl'!G6</f>
        <v>50.177036583800842</v>
      </c>
      <c r="H3" s="199">
        <f>'SER_se-appl'!H6</f>
        <v>51.849823362784306</v>
      </c>
      <c r="I3" s="199">
        <f>'SER_se-appl'!I6</f>
        <v>56.956531142449258</v>
      </c>
      <c r="J3" s="199">
        <f>'SER_se-appl'!J6</f>
        <v>59.089895224468123</v>
      </c>
      <c r="K3" s="199">
        <f>'SER_se-appl'!K6</f>
        <v>59.243179990147027</v>
      </c>
      <c r="L3" s="199">
        <f>'SER_se-appl'!L6</f>
        <v>59.877306402091385</v>
      </c>
      <c r="M3" s="199">
        <f>'SER_se-appl'!M6</f>
        <v>61.60439339518544</v>
      </c>
      <c r="N3" s="199">
        <f>'SER_se-appl'!N6</f>
        <v>62.551072572934416</v>
      </c>
      <c r="O3" s="199">
        <f>'SER_se-appl'!O6</f>
        <v>62.907248360281336</v>
      </c>
      <c r="P3" s="199">
        <f>'SER_se-appl'!P6</f>
        <v>63.71688912060592</v>
      </c>
      <c r="Q3" s="199">
        <f>'SER_se-appl'!Q6</f>
        <v>65.361868013932252</v>
      </c>
      <c r="R3" s="199">
        <f>'SER_se-appl'!R6</f>
        <v>65.594478983881473</v>
      </c>
      <c r="S3" s="199">
        <f>'SER_se-appl'!S6</f>
        <v>65.999307043389635</v>
      </c>
      <c r="T3" s="199">
        <f>'SER_se-appl'!T6</f>
        <v>62.884456551154202</v>
      </c>
      <c r="U3" s="199">
        <f>'SER_se-appl'!U6</f>
        <v>58.061463433234671</v>
      </c>
      <c r="V3" s="199">
        <f>'SER_se-appl'!V6</f>
        <v>50.905390349920914</v>
      </c>
      <c r="W3" s="199">
        <f>'SER_se-appl'!W6</f>
        <v>50.666170609200975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191.94917306930807</v>
      </c>
      <c r="C5" s="59">
        <f>'SER_se-appl'!C14</f>
        <v>199.37704595778786</v>
      </c>
      <c r="D5" s="59">
        <f>'SER_se-appl'!D14</f>
        <v>208.19359818206104</v>
      </c>
      <c r="E5" s="59">
        <f>'SER_se-appl'!E14</f>
        <v>221.59386978577783</v>
      </c>
      <c r="F5" s="59">
        <f>'SER_se-appl'!F14</f>
        <v>232.27035160383954</v>
      </c>
      <c r="G5" s="59">
        <f>'SER_se-appl'!G14</f>
        <v>245.0816039679712</v>
      </c>
      <c r="H5" s="59">
        <f>'SER_se-appl'!H14</f>
        <v>252.05048797523557</v>
      </c>
      <c r="I5" s="59">
        <f>'SER_se-appl'!I14</f>
        <v>275.55990442278153</v>
      </c>
      <c r="J5" s="59">
        <f>'SER_se-appl'!J14</f>
        <v>285.05656543340052</v>
      </c>
      <c r="K5" s="59">
        <f>'SER_se-appl'!K14</f>
        <v>284.47756314128679</v>
      </c>
      <c r="L5" s="59">
        <f>'SER_se-appl'!L14</f>
        <v>286.46701192937127</v>
      </c>
      <c r="M5" s="59">
        <f>'SER_se-appl'!M14</f>
        <v>293.05614669765936</v>
      </c>
      <c r="N5" s="59">
        <f>'SER_se-appl'!N14</f>
        <v>295.57176030439376</v>
      </c>
      <c r="O5" s="59">
        <f>'SER_se-appl'!O14</f>
        <v>295.88662667703426</v>
      </c>
      <c r="P5" s="59">
        <f>'SER_se-appl'!P14</f>
        <v>297.87631084724882</v>
      </c>
      <c r="Q5" s="59">
        <f>'SER_se-appl'!Q14</f>
        <v>302.81044867658414</v>
      </c>
      <c r="R5" s="59">
        <f>'SER_se-appl'!R14</f>
        <v>297.71728039704192</v>
      </c>
      <c r="S5" s="59">
        <f>'SER_se-appl'!S14</f>
        <v>290.03003924603962</v>
      </c>
      <c r="T5" s="59">
        <f>'SER_se-appl'!T14</f>
        <v>282.17805714750051</v>
      </c>
      <c r="U5" s="59">
        <f>'SER_se-appl'!U14</f>
        <v>265.21138370654933</v>
      </c>
      <c r="V5" s="59">
        <f>'SER_se-appl'!V14</f>
        <v>249.58478024542381</v>
      </c>
      <c r="W5" s="59">
        <f>'SER_se-appl'!W14</f>
        <v>232.48120397785556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143.60576102791026</v>
      </c>
      <c r="C6" s="202">
        <f>'SER_se-appl'!C70</f>
        <v>144.80282578286713</v>
      </c>
      <c r="D6" s="202">
        <f>'SER_se-appl'!D70</f>
        <v>147.08875157628273</v>
      </c>
      <c r="E6" s="202">
        <f>'SER_se-appl'!E70</f>
        <v>149.99082898444945</v>
      </c>
      <c r="F6" s="202">
        <f>'SER_se-appl'!F70</f>
        <v>153.11850857533619</v>
      </c>
      <c r="G6" s="202">
        <f>'SER_se-appl'!G70</f>
        <v>157.27565741662352</v>
      </c>
      <c r="H6" s="202">
        <f>'SER_se-appl'!H70</f>
        <v>160.75638040391752</v>
      </c>
      <c r="I6" s="202">
        <f>'SER_se-appl'!I70</f>
        <v>165.04381717269118</v>
      </c>
      <c r="J6" s="202">
        <f>'SER_se-appl'!J70</f>
        <v>168.30406444083891</v>
      </c>
      <c r="K6" s="202">
        <f>'SER_se-appl'!K70</f>
        <v>173.33990751826659</v>
      </c>
      <c r="L6" s="202">
        <f>'SER_se-appl'!L70</f>
        <v>178.34545836918457</v>
      </c>
      <c r="M6" s="202">
        <f>'SER_se-appl'!M70</f>
        <v>185.47972630654513</v>
      </c>
      <c r="N6" s="202">
        <f>'SER_se-appl'!N70</f>
        <v>191.57872245611298</v>
      </c>
      <c r="O6" s="202">
        <f>'SER_se-appl'!O70</f>
        <v>199.57464862149411</v>
      </c>
      <c r="P6" s="202">
        <f>'SER_se-appl'!P70</f>
        <v>206.90468125631054</v>
      </c>
      <c r="Q6" s="202">
        <f>'SER_se-appl'!Q70</f>
        <v>218.85944055833289</v>
      </c>
      <c r="R6" s="202">
        <f>'SER_se-appl'!R70</f>
        <v>225.06924773682525</v>
      </c>
      <c r="S6" s="202">
        <f>'SER_se-appl'!S70</f>
        <v>231.37561586238914</v>
      </c>
      <c r="T6" s="202">
        <f>'SER_se-appl'!T70</f>
        <v>237.36355327041329</v>
      </c>
      <c r="U6" s="202">
        <f>'SER_se-appl'!U70</f>
        <v>242.77927055041232</v>
      </c>
      <c r="V6" s="202">
        <f>'SER_se-appl'!V70</f>
        <v>247.14980059560253</v>
      </c>
      <c r="W6" s="202">
        <f>'SER_se-appl'!W70</f>
        <v>249.6021704378029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4.2286620272069673</v>
      </c>
      <c r="C8" s="34">
        <f>'SER_se-appl'!C22</f>
        <v>4.4539746927366135</v>
      </c>
      <c r="D8" s="34">
        <f>'SER_se-appl'!D22</f>
        <v>4.7552463417649742</v>
      </c>
      <c r="E8" s="34">
        <f>'SER_se-appl'!E22</f>
        <v>5.2047554201610797</v>
      </c>
      <c r="F8" s="34">
        <f>'SER_se-appl'!F22</f>
        <v>5.6179566241794685</v>
      </c>
      <c r="G8" s="34">
        <f>'SER_se-appl'!G22</f>
        <v>6.1199508899052324</v>
      </c>
      <c r="H8" s="34">
        <f>'SER_se-appl'!H22</f>
        <v>6.5068298026982454</v>
      </c>
      <c r="I8" s="34">
        <f>'SER_se-appl'!I22</f>
        <v>7.374449139119263</v>
      </c>
      <c r="J8" s="34">
        <f>'SER_se-appl'!J22</f>
        <v>7.8518345715711702</v>
      </c>
      <c r="K8" s="34">
        <f>'SER_se-appl'!K22</f>
        <v>8.0709271722414204</v>
      </c>
      <c r="L8" s="34">
        <f>'SER_se-appl'!L22</f>
        <v>8.3792921570513226</v>
      </c>
      <c r="M8" s="34">
        <f>'SER_se-appl'!M22</f>
        <v>8.8939687929366098</v>
      </c>
      <c r="N8" s="34">
        <f>'SER_se-appl'!N22</f>
        <v>9.2763337553202376</v>
      </c>
      <c r="O8" s="34">
        <f>'SER_se-appl'!O22</f>
        <v>9.7837950862966867</v>
      </c>
      <c r="P8" s="34">
        <f>'SER_se-appl'!P22</f>
        <v>10.316695537621904</v>
      </c>
      <c r="Q8" s="34">
        <f>'SER_se-appl'!Q22</f>
        <v>10.997650351470666</v>
      </c>
      <c r="R8" s="34">
        <f>'SER_se-appl'!R22</f>
        <v>11.391619270672734</v>
      </c>
      <c r="S8" s="34">
        <f>'SER_se-appl'!S22</f>
        <v>11.808005026646558</v>
      </c>
      <c r="T8" s="34">
        <f>'SER_se-appl'!T22</f>
        <v>12.199194352669238</v>
      </c>
      <c r="U8" s="34">
        <f>'SER_se-appl'!U22</f>
        <v>12.542654025908661</v>
      </c>
      <c r="V8" s="34">
        <f>'SER_se-appl'!V22</f>
        <v>12.807839531153194</v>
      </c>
      <c r="W8" s="34">
        <f>'SER_se-appl'!W22</f>
        <v>12.953250175522838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0.88568631087011074</v>
      </c>
      <c r="D9" s="36">
        <f>'SER_se-appl'!D30</f>
        <v>0.97880071343523634</v>
      </c>
      <c r="E9" s="36">
        <f>'SER_se-appl'!E30</f>
        <v>1.1446392313860683</v>
      </c>
      <c r="F9" s="36">
        <f>'SER_se-appl'!F30</f>
        <v>1.1263896928677317</v>
      </c>
      <c r="G9" s="36">
        <f>'SER_se-appl'!G30</f>
        <v>1.2337102162415139</v>
      </c>
      <c r="H9" s="36">
        <f>'SER_se-appl'!H30</f>
        <v>1.1376036378975849</v>
      </c>
      <c r="I9" s="36">
        <f>'SER_se-appl'!I30</f>
        <v>1.7533056472911284</v>
      </c>
      <c r="J9" s="36">
        <f>'SER_se-appl'!J30</f>
        <v>1.4561861458871439</v>
      </c>
      <c r="K9" s="36">
        <f>'SER_se-appl'!K30</f>
        <v>1.3637318320563185</v>
      </c>
      <c r="L9" s="36">
        <f>'SER_se-appl'!L30</f>
        <v>1.4347546776776339</v>
      </c>
      <c r="M9" s="36">
        <f>'SER_se-appl'!M30</f>
        <v>1.7483868521268011</v>
      </c>
      <c r="N9" s="36">
        <f>'SER_se-appl'!N30</f>
        <v>1.5199686002812127</v>
      </c>
      <c r="O9" s="36">
        <f>'SER_se-appl'!O30</f>
        <v>2.2607669782675774</v>
      </c>
      <c r="P9" s="36">
        <f>'SER_se-appl'!P30</f>
        <v>1.9890865972123599</v>
      </c>
      <c r="Q9" s="36">
        <f>'SER_se-appl'!Q30</f>
        <v>2.044686645905081</v>
      </c>
      <c r="R9" s="36">
        <f>'SER_se-appl'!R30</f>
        <v>1.8287235968797013</v>
      </c>
      <c r="S9" s="36">
        <f>'SER_se-appl'!S30</f>
        <v>2.1647726081006251</v>
      </c>
      <c r="T9" s="36">
        <f>'SER_se-appl'!T30</f>
        <v>1.9111579263038934</v>
      </c>
      <c r="U9" s="36">
        <f>'SER_se-appl'!U30</f>
        <v>2.6042266515070001</v>
      </c>
      <c r="V9" s="36">
        <f>'SER_se-appl'!V30</f>
        <v>2.254272102456893</v>
      </c>
      <c r="W9" s="36">
        <f>'SER_se-appl'!W30</f>
        <v>2.1900972902747249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0.6603736453404645</v>
      </c>
      <c r="D10" s="38">
        <f>'SER_se-appl'!D38</f>
        <v>0.67752906440687521</v>
      </c>
      <c r="E10" s="38">
        <f>'SER_se-appl'!E38</f>
        <v>0.69513015298996272</v>
      </c>
      <c r="F10" s="38">
        <f>'SER_se-appl'!F38</f>
        <v>0.71318848884934294</v>
      </c>
      <c r="G10" s="38">
        <f>'SER_se-appl'!G38</f>
        <v>0.73171595051575</v>
      </c>
      <c r="H10" s="38">
        <f>'SER_se-appl'!H38</f>
        <v>0.75072472510457189</v>
      </c>
      <c r="I10" s="38">
        <f>'SER_se-appl'!I38</f>
        <v>0.88568631087011074</v>
      </c>
      <c r="J10" s="38">
        <f>'SER_se-appl'!J38</f>
        <v>0.97880071343523678</v>
      </c>
      <c r="K10" s="38">
        <f>'SER_se-appl'!K38</f>
        <v>1.1446392313860674</v>
      </c>
      <c r="L10" s="38">
        <f>'SER_se-appl'!L38</f>
        <v>1.1263896928677308</v>
      </c>
      <c r="M10" s="38">
        <f>'SER_se-appl'!M38</f>
        <v>1.2337102162415139</v>
      </c>
      <c r="N10" s="38">
        <f>'SER_se-appl'!N38</f>
        <v>1.137603637897584</v>
      </c>
      <c r="O10" s="38">
        <f>'SER_se-appl'!O38</f>
        <v>1.7533056472911284</v>
      </c>
      <c r="P10" s="38">
        <f>'SER_se-appl'!P38</f>
        <v>1.456186145887143</v>
      </c>
      <c r="Q10" s="38">
        <f>'SER_se-appl'!Q38</f>
        <v>1.3637318320563185</v>
      </c>
      <c r="R10" s="38">
        <f>'SER_se-appl'!R38</f>
        <v>1.434754677677633</v>
      </c>
      <c r="S10" s="38">
        <f>'SER_se-appl'!S38</f>
        <v>1.7483868521268011</v>
      </c>
      <c r="T10" s="38">
        <f>'SER_se-appl'!T38</f>
        <v>1.5199686002812136</v>
      </c>
      <c r="U10" s="38">
        <f>'SER_se-appl'!U38</f>
        <v>2.2607669782675774</v>
      </c>
      <c r="V10" s="38">
        <f>'SER_se-appl'!V38</f>
        <v>1.9890865972123599</v>
      </c>
      <c r="W10" s="38">
        <f>'SER_se-appl'!W38</f>
        <v>2.044686645905081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2266.0096734356976</v>
      </c>
      <c r="C12" s="205">
        <f>'SER_se-appl'!C46</f>
        <v>2289.0861072743551</v>
      </c>
      <c r="D12" s="205">
        <f>'SER_se-appl'!D46</f>
        <v>2312.1450605397126</v>
      </c>
      <c r="E12" s="205">
        <f>'SER_se-appl'!E46</f>
        <v>2342.9176068687875</v>
      </c>
      <c r="F12" s="205">
        <f>'SER_se-appl'!F46</f>
        <v>2364.8259626711401</v>
      </c>
      <c r="G12" s="205">
        <f>'SER_se-appl'!G46</f>
        <v>2381.0801219738505</v>
      </c>
      <c r="H12" s="205">
        <f>'SER_se-appl'!H46</f>
        <v>2392.4311773934305</v>
      </c>
      <c r="I12" s="205">
        <f>'SER_se-appl'!I46</f>
        <v>2403.8492050366726</v>
      </c>
      <c r="J12" s="205">
        <f>'SER_se-appl'!J46</f>
        <v>2410.8039062903904</v>
      </c>
      <c r="K12" s="205">
        <f>'SER_se-appl'!K46</f>
        <v>2421.977240233939</v>
      </c>
      <c r="L12" s="205">
        <f>'SER_se-appl'!L46</f>
        <v>2430.9014457413837</v>
      </c>
      <c r="M12" s="205">
        <f>'SER_se-appl'!M46</f>
        <v>2444.7843980053567</v>
      </c>
      <c r="N12" s="205">
        <f>'SER_se-appl'!N46</f>
        <v>2461.2262459513904</v>
      </c>
      <c r="O12" s="205">
        <f>'SER_se-appl'!O46</f>
        <v>2472.6068448799451</v>
      </c>
      <c r="P12" s="205">
        <f>'SER_se-appl'!P46</f>
        <v>2487.7017523311756</v>
      </c>
      <c r="Q12" s="205">
        <f>'SER_se-appl'!Q46</f>
        <v>2510.3444360135582</v>
      </c>
      <c r="R12" s="205">
        <f>'SER_se-appl'!R46</f>
        <v>2562.376592870829</v>
      </c>
      <c r="S12" s="205">
        <f>'SER_se-appl'!S46</f>
        <v>2646.5256595833898</v>
      </c>
      <c r="T12" s="205">
        <f>'SER_se-appl'!T46</f>
        <v>2591.7898687197817</v>
      </c>
      <c r="U12" s="205">
        <f>'SER_se-appl'!U46</f>
        <v>2546.1004361550108</v>
      </c>
      <c r="V12" s="205">
        <f>'SER_se-appl'!V46</f>
        <v>2372.0584612067314</v>
      </c>
      <c r="W12" s="205">
        <f>'SER_se-appl'!W46</f>
        <v>2534.603030708387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45.392412974675722</v>
      </c>
      <c r="C14" s="59">
        <f>'SER_se-appl'!C54</f>
        <v>44.763847958751313</v>
      </c>
      <c r="D14" s="59">
        <f>'SER_se-appl'!D54</f>
        <v>43.781874422259094</v>
      </c>
      <c r="E14" s="59">
        <f>'SER_se-appl'!E54</f>
        <v>42.575270478112074</v>
      </c>
      <c r="F14" s="59">
        <f>'SER_se-appl'!F54</f>
        <v>41.344276423238462</v>
      </c>
      <c r="G14" s="59">
        <f>'SER_se-appl'!G54</f>
        <v>40.046335073085253</v>
      </c>
      <c r="H14" s="59">
        <f>'SER_se-appl'!H54</f>
        <v>38.736296417452863</v>
      </c>
      <c r="I14" s="59">
        <f>'SER_se-appl'!I54</f>
        <v>37.366845878835619</v>
      </c>
      <c r="J14" s="59">
        <f>'SER_se-appl'!J54</f>
        <v>36.304453798032583</v>
      </c>
      <c r="K14" s="59">
        <f>'SER_se-appl'!K54</f>
        <v>35.247197387643261</v>
      </c>
      <c r="L14" s="59">
        <f>'SER_se-appl'!L54</f>
        <v>34.187495382686258</v>
      </c>
      <c r="M14" s="59">
        <f>'SER_se-appl'!M54</f>
        <v>32.949985942203661</v>
      </c>
      <c r="N14" s="59">
        <f>'SER_se-appl'!N54</f>
        <v>31.862993301084607</v>
      </c>
      <c r="O14" s="59">
        <f>'SER_se-appl'!O54</f>
        <v>30.242520828288502</v>
      </c>
      <c r="P14" s="59">
        <f>'SER_se-appl'!P54</f>
        <v>28.873228812557564</v>
      </c>
      <c r="Q14" s="59">
        <f>'SER_se-appl'!Q54</f>
        <v>27.534104013053177</v>
      </c>
      <c r="R14" s="59">
        <f>'SER_se-appl'!R54</f>
        <v>26.134763928031116</v>
      </c>
      <c r="S14" s="59">
        <f>'SER_se-appl'!S54</f>
        <v>24.562154114225287</v>
      </c>
      <c r="T14" s="59">
        <f>'SER_se-appl'!T54</f>
        <v>23.13087643248824</v>
      </c>
      <c r="U14" s="59">
        <f>'SER_se-appl'!U54</f>
        <v>21.14475797217375</v>
      </c>
      <c r="V14" s="59">
        <f>'SER_se-appl'!V54</f>
        <v>19.486875958926984</v>
      </c>
      <c r="W14" s="59">
        <f>'SER_se-appl'!W54</f>
        <v>17.947712028071891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42.231460118899392</v>
      </c>
      <c r="D15" s="63">
        <f>'SER_se-appl'!D62</f>
        <v>40.42828205477602</v>
      </c>
      <c r="E15" s="63">
        <f>'SER_se-appl'!E62</f>
        <v>39.273428121934103</v>
      </c>
      <c r="F15" s="63">
        <f>'SER_se-appl'!F62</f>
        <v>38.219302347390382</v>
      </c>
      <c r="G15" s="63">
        <f>'SER_se-appl'!G62</f>
        <v>37.306657887876263</v>
      </c>
      <c r="H15" s="63">
        <f>'SER_se-appl'!H62</f>
        <v>36.081188027289166</v>
      </c>
      <c r="I15" s="63">
        <f>'SER_se-appl'!I62</f>
        <v>34.741941689986376</v>
      </c>
      <c r="J15" s="63">
        <f>'SER_se-appl'!J62</f>
        <v>33.696167531453469</v>
      </c>
      <c r="K15" s="63">
        <f>'SER_se-appl'!K62</f>
        <v>32.539318393970269</v>
      </c>
      <c r="L15" s="63">
        <f>'SER_se-appl'!L62</f>
        <v>31.391622359916816</v>
      </c>
      <c r="M15" s="63">
        <f>'SER_se-appl'!M62</f>
        <v>30.093305537264609</v>
      </c>
      <c r="N15" s="63">
        <f>'SER_se-appl'!N62</f>
        <v>28.659608072289039</v>
      </c>
      <c r="O15" s="63">
        <f>'SER_se-appl'!O62</f>
        <v>27.082892453813027</v>
      </c>
      <c r="P15" s="63">
        <f>'SER_se-appl'!P62</f>
        <v>25.668855529248869</v>
      </c>
      <c r="Q15" s="63">
        <f>'SER_se-appl'!Q62</f>
        <v>24.115696268354931</v>
      </c>
      <c r="R15" s="63">
        <f>'SER_se-appl'!R62</f>
        <v>21.843710448860097</v>
      </c>
      <c r="S15" s="63">
        <f>'SER_se-appl'!S62</f>
        <v>20.753911251124563</v>
      </c>
      <c r="T15" s="63">
        <f>'SER_se-appl'!T62</f>
        <v>18.6848620808472</v>
      </c>
      <c r="U15" s="63">
        <f>'SER_se-appl'!U62</f>
        <v>16.995999741031945</v>
      </c>
      <c r="V15" s="63">
        <f>'SER_se-appl'!V62</f>
        <v>15.717256581079187</v>
      </c>
      <c r="W15" s="63">
        <f>'SER_se-appl'!W62</f>
        <v>14.705038900349592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17.03460744825091</v>
      </c>
      <c r="C3" s="199">
        <f>'SER_se-appl'!C7</f>
        <v>18.112935153771424</v>
      </c>
      <c r="D3" s="199">
        <f>'SER_se-appl'!D7</f>
        <v>19.413977242323472</v>
      </c>
      <c r="E3" s="199">
        <f>'SER_se-appl'!E7</f>
        <v>21.265938155746142</v>
      </c>
      <c r="F3" s="199">
        <f>'SER_se-appl'!F7</f>
        <v>22.617285478617674</v>
      </c>
      <c r="G3" s="199">
        <f>'SER_se-appl'!G7</f>
        <v>23.331926963653309</v>
      </c>
      <c r="H3" s="199">
        <f>'SER_se-appl'!H7</f>
        <v>23.450682670495468</v>
      </c>
      <c r="I3" s="199">
        <f>'SER_se-appl'!I7</f>
        <v>23.350968971337487</v>
      </c>
      <c r="J3" s="199">
        <f>'SER_se-appl'!J7</f>
        <v>23.100028983791951</v>
      </c>
      <c r="K3" s="199">
        <f>'SER_se-appl'!K7</f>
        <v>22.810032076781056</v>
      </c>
      <c r="L3" s="199">
        <f>'SER_se-appl'!L7</f>
        <v>22.595183347071185</v>
      </c>
      <c r="M3" s="199">
        <f>'SER_se-appl'!M7</f>
        <v>21.958752346029414</v>
      </c>
      <c r="N3" s="199">
        <f>'SER_se-appl'!N7</f>
        <v>21.676787892482096</v>
      </c>
      <c r="O3" s="199">
        <f>'SER_se-appl'!O7</f>
        <v>21.621228326249657</v>
      </c>
      <c r="P3" s="199">
        <f>'SER_se-appl'!P7</f>
        <v>21.644017505021484</v>
      </c>
      <c r="Q3" s="199">
        <f>'SER_se-appl'!Q7</f>
        <v>21.794451079393021</v>
      </c>
      <c r="R3" s="199">
        <f>'SER_se-appl'!R7</f>
        <v>22.1043685489533</v>
      </c>
      <c r="S3" s="199">
        <f>'SER_se-appl'!S7</f>
        <v>22.364242109947224</v>
      </c>
      <c r="T3" s="199">
        <f>'SER_se-appl'!T7</f>
        <v>22.64864803984052</v>
      </c>
      <c r="U3" s="199">
        <f>'SER_se-appl'!U7</f>
        <v>22.893414993302567</v>
      </c>
      <c r="V3" s="199">
        <f>'SER_se-appl'!V7</f>
        <v>23.07328926959563</v>
      </c>
      <c r="W3" s="199">
        <f>'SER_se-appl'!W7</f>
        <v>23.144381497207199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22.615580436433572</v>
      </c>
      <c r="C5" s="59">
        <f>'SER_se-appl'!C15</f>
        <v>24.047195871959097</v>
      </c>
      <c r="D5" s="59">
        <f>'SER_se-appl'!D15</f>
        <v>25.77449261737695</v>
      </c>
      <c r="E5" s="59">
        <f>'SER_se-appl'!E15</f>
        <v>28.233203282115031</v>
      </c>
      <c r="F5" s="59">
        <f>'SER_se-appl'!F15</f>
        <v>30.02728654295931</v>
      </c>
      <c r="G5" s="59">
        <f>'SER_se-appl'!G15</f>
        <v>30.976062852430129</v>
      </c>
      <c r="H5" s="59">
        <f>'SER_se-appl'!H15</f>
        <v>31.133725965509388</v>
      </c>
      <c r="I5" s="59">
        <f>'SER_se-appl'!I15</f>
        <v>31.001343508750576</v>
      </c>
      <c r="J5" s="59">
        <f>'SER_se-appl'!J15</f>
        <v>30.668189164554839</v>
      </c>
      <c r="K5" s="59">
        <f>'SER_se-appl'!K15</f>
        <v>30.283181855361143</v>
      </c>
      <c r="L5" s="59">
        <f>'SER_se-appl'!L15</f>
        <v>29.997943187949527</v>
      </c>
      <c r="M5" s="59">
        <f>'SER_se-appl'!M15</f>
        <v>29.153001116931744</v>
      </c>
      <c r="N5" s="59">
        <f>'SER_se-appl'!N15</f>
        <v>28.778657898352378</v>
      </c>
      <c r="O5" s="59">
        <f>'SER_se-appl'!O15</f>
        <v>28.704895597520949</v>
      </c>
      <c r="P5" s="59">
        <f>'SER_se-appl'!P15</f>
        <v>28.735151093995416</v>
      </c>
      <c r="Q5" s="59">
        <f>'SER_se-appl'!Q15</f>
        <v>28.934870554034337</v>
      </c>
      <c r="R5" s="59">
        <f>'SER_se-appl'!R15</f>
        <v>29.34632491145284</v>
      </c>
      <c r="S5" s="59">
        <f>'SER_se-appl'!S15</f>
        <v>29.691339696197058</v>
      </c>
      <c r="T5" s="59">
        <f>'SER_se-appl'!T15</f>
        <v>30.068924281203788</v>
      </c>
      <c r="U5" s="59">
        <f>'SER_se-appl'!U15</f>
        <v>30.393883147501004</v>
      </c>
      <c r="V5" s="59">
        <f>'SER_se-appl'!V15</f>
        <v>30.63268883623256</v>
      </c>
      <c r="W5" s="59">
        <f>'SER_se-appl'!W15</f>
        <v>30.727072695493117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9.2285389072145306E-3</v>
      </c>
      <c r="C6" s="202">
        <f>'SER_se-appl'!C71</f>
        <v>1.00275440040225E-2</v>
      </c>
      <c r="D6" s="202">
        <f>'SER_se-appl'!D71</f>
        <v>1.1032159994903127E-2</v>
      </c>
      <c r="E6" s="202">
        <f>'SER_se-appl'!E71</f>
        <v>1.2406166587005463E-2</v>
      </c>
      <c r="F6" s="202">
        <f>'SER_se-appl'!F71</f>
        <v>1.3546886458846313E-2</v>
      </c>
      <c r="G6" s="202">
        <f>'SER_se-appl'!G71</f>
        <v>1.4365980127480252E-2</v>
      </c>
      <c r="H6" s="202">
        <f>'SER_se-appl'!H71</f>
        <v>1.4925213133590793E-2</v>
      </c>
      <c r="I6" s="202">
        <f>'SER_se-appl'!I71</f>
        <v>1.5250375138384965E-2</v>
      </c>
      <c r="J6" s="202">
        <f>'SER_se-appl'!J71</f>
        <v>1.548946559670763E-2</v>
      </c>
      <c r="K6" s="202">
        <f>'SER_se-appl'!K71</f>
        <v>1.5692183327781828E-2</v>
      </c>
      <c r="L6" s="202">
        <f>'SER_se-appl'!L71</f>
        <v>1.605707133448616E-2</v>
      </c>
      <c r="M6" s="202">
        <f>'SER_se-appl'!M71</f>
        <v>1.6362656248031151E-2</v>
      </c>
      <c r="N6" s="202">
        <f>'SER_se-appl'!N71</f>
        <v>1.6783750300538337E-2</v>
      </c>
      <c r="O6" s="202">
        <f>'SER_se-appl'!O71</f>
        <v>1.7378572254627474E-2</v>
      </c>
      <c r="P6" s="202">
        <f>'SER_se-appl'!P71</f>
        <v>1.8015202757849177E-2</v>
      </c>
      <c r="Q6" s="202">
        <f>'SER_se-appl'!Q71</f>
        <v>1.8666613578889508E-2</v>
      </c>
      <c r="R6" s="202">
        <f>'SER_se-appl'!R71</f>
        <v>1.9465062589360399E-2</v>
      </c>
      <c r="S6" s="202">
        <f>'SER_se-appl'!S71</f>
        <v>2.0278456826478733E-2</v>
      </c>
      <c r="T6" s="202">
        <f>'SER_se-appl'!T71</f>
        <v>2.1115078788626212E-2</v>
      </c>
      <c r="U6" s="202">
        <f>'SER_se-appl'!U71</f>
        <v>2.1747805535794147E-2</v>
      </c>
      <c r="V6" s="202">
        <f>'SER_se-appl'!V71</f>
        <v>2.2223771193269255E-2</v>
      </c>
      <c r="W6" s="202">
        <f>'SER_se-appl'!W71</f>
        <v>2.2633518982854442E-2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32.411311554016564</v>
      </c>
      <c r="C8" s="34">
        <f>'SER_se-appl'!C23</f>
        <v>34.966025886938446</v>
      </c>
      <c r="D8" s="34">
        <f>'SER_se-appl'!D23</f>
        <v>38.112108108312157</v>
      </c>
      <c r="E8" s="34">
        <f>'SER_se-appl'!E23</f>
        <v>42.571723424809484</v>
      </c>
      <c r="F8" s="34">
        <f>'SER_se-appl'!F23</f>
        <v>46.044905244680038</v>
      </c>
      <c r="G8" s="34">
        <f>'SER_se-appl'!G23</f>
        <v>48.201023843324293</v>
      </c>
      <c r="H8" s="34">
        <f>'SER_se-appl'!H23</f>
        <v>49.101488549346662</v>
      </c>
      <c r="I8" s="34">
        <f>'SER_se-appl'!I23</f>
        <v>49.563459943373779</v>
      </c>
      <c r="J8" s="34">
        <f>'SER_se-appl'!J23</f>
        <v>49.761534623310915</v>
      </c>
      <c r="K8" s="34">
        <f>'SER_se-appl'!K23</f>
        <v>49.961652041258148</v>
      </c>
      <c r="L8" s="34">
        <f>'SER_se-appl'!L23</f>
        <v>50.450932763243486</v>
      </c>
      <c r="M8" s="34">
        <f>'SER_se-appl'!M23</f>
        <v>49.948448110864916</v>
      </c>
      <c r="N8" s="34">
        <f>'SER_se-appl'!N23</f>
        <v>50.412360536459275</v>
      </c>
      <c r="O8" s="34">
        <f>'SER_se-appl'!O23</f>
        <v>51.647465776388664</v>
      </c>
      <c r="P8" s="34">
        <f>'SER_se-appl'!P23</f>
        <v>53.027244892051833</v>
      </c>
      <c r="Q8" s="34">
        <f>'SER_se-appl'!Q23</f>
        <v>54.530068916693921</v>
      </c>
      <c r="R8" s="34">
        <f>'SER_se-appl'!R23</f>
        <v>56.225962262997697</v>
      </c>
      <c r="S8" s="34">
        <f>'SER_se-appl'!S23</f>
        <v>57.751098309956092</v>
      </c>
      <c r="T8" s="34">
        <f>'SER_se-appl'!T23</f>
        <v>59.310165924450956</v>
      </c>
      <c r="U8" s="34">
        <f>'SER_se-appl'!U23</f>
        <v>60.767370263227427</v>
      </c>
      <c r="V8" s="34">
        <f>'SER_se-appl'!V23</f>
        <v>62.095216853401688</v>
      </c>
      <c r="W8" s="34">
        <f>'SER_se-appl'!W23</f>
        <v>63.276076349986504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5.5003548791798806</v>
      </c>
      <c r="D9" s="36">
        <f>'SER_se-appl'!D31</f>
        <v>6.1537702856122998</v>
      </c>
      <c r="E9" s="36">
        <f>'SER_se-appl'!E31</f>
        <v>7.5306578791260677</v>
      </c>
      <c r="F9" s="36">
        <f>'SER_se-appl'!F31</f>
        <v>6.6089133917763903</v>
      </c>
      <c r="G9" s="36">
        <f>'SER_se-appl'!G31</f>
        <v>5.357901801098599</v>
      </c>
      <c r="H9" s="36">
        <f>'SER_se-appl'!H31</f>
        <v>4.1696908628034421</v>
      </c>
      <c r="I9" s="36">
        <f>'SER_se-appl'!I31</f>
        <v>3.8000611360148753</v>
      </c>
      <c r="J9" s="36">
        <f>'SER_se-appl'!J31</f>
        <v>3.6064785624434776</v>
      </c>
      <c r="K9" s="36">
        <f>'SER_se-appl'!K31</f>
        <v>3.6803165510497777</v>
      </c>
      <c r="L9" s="36">
        <f>'SER_se-appl'!L31</f>
        <v>4.0427874141386795</v>
      </c>
      <c r="M9" s="36">
        <f>'SER_se-appl'!M31</f>
        <v>4.9978702268013109</v>
      </c>
      <c r="N9" s="36">
        <f>'SER_se-appl'!N31</f>
        <v>6.6176827112066547</v>
      </c>
      <c r="O9" s="36">
        <f>'SER_se-appl'!O31</f>
        <v>8.7657631190554568</v>
      </c>
      <c r="P9" s="36">
        <f>'SER_se-appl'!P31</f>
        <v>7.9886925074395592</v>
      </c>
      <c r="Q9" s="36">
        <f>'SER_se-appl'!Q31</f>
        <v>6.8607258257406869</v>
      </c>
      <c r="R9" s="36">
        <f>'SER_se-appl'!R31</f>
        <v>5.8655842091072188</v>
      </c>
      <c r="S9" s="36">
        <f>'SER_se-appl'!S31</f>
        <v>5.3251971829732696</v>
      </c>
      <c r="T9" s="36">
        <f>'SER_se-appl'!T31</f>
        <v>5.1655461769383422</v>
      </c>
      <c r="U9" s="36">
        <f>'SER_se-appl'!U31</f>
        <v>5.1375208898262485</v>
      </c>
      <c r="V9" s="36">
        <f>'SER_se-appl'!V31</f>
        <v>5.3706340043129401</v>
      </c>
      <c r="W9" s="36">
        <f>'SER_se-appl'!W31</f>
        <v>6.1787297233861267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2.945640546257998</v>
      </c>
      <c r="D10" s="38">
        <f>'SER_se-appl'!D39</f>
        <v>3.007688064238593</v>
      </c>
      <c r="E10" s="38">
        <f>'SER_se-appl'!E39</f>
        <v>3.0710425626287403</v>
      </c>
      <c r="F10" s="38">
        <f>'SER_se-appl'!F39</f>
        <v>3.1357315719058363</v>
      </c>
      <c r="G10" s="38">
        <f>'SER_se-appl'!G39</f>
        <v>3.2017832024543438</v>
      </c>
      <c r="H10" s="38">
        <f>'SER_se-appl'!H39</f>
        <v>3.2692261567810732</v>
      </c>
      <c r="I10" s="38">
        <f>'SER_se-appl'!I39</f>
        <v>3.3380897419877584</v>
      </c>
      <c r="J10" s="38">
        <f>'SER_se-appl'!J39</f>
        <v>3.4084038825063416</v>
      </c>
      <c r="K10" s="38">
        <f>'SER_se-appl'!K39</f>
        <v>3.4801991331025448</v>
      </c>
      <c r="L10" s="38">
        <f>'SER_se-appl'!L39</f>
        <v>3.5535066921533414</v>
      </c>
      <c r="M10" s="38">
        <f>'SER_se-appl'!M39</f>
        <v>5.5003548791798806</v>
      </c>
      <c r="N10" s="38">
        <f>'SER_se-appl'!N39</f>
        <v>6.1537702856122962</v>
      </c>
      <c r="O10" s="38">
        <f>'SER_se-appl'!O39</f>
        <v>7.5306578791260677</v>
      </c>
      <c r="P10" s="38">
        <f>'SER_se-appl'!P39</f>
        <v>6.6089133917763903</v>
      </c>
      <c r="Q10" s="38">
        <f>'SER_se-appl'!Q39</f>
        <v>5.357901801098599</v>
      </c>
      <c r="R10" s="38">
        <f>'SER_se-appl'!R39</f>
        <v>4.1696908628034421</v>
      </c>
      <c r="S10" s="38">
        <f>'SER_se-appl'!S39</f>
        <v>3.8000611360148753</v>
      </c>
      <c r="T10" s="38">
        <f>'SER_se-appl'!T39</f>
        <v>3.6064785624434776</v>
      </c>
      <c r="U10" s="38">
        <f>'SER_se-appl'!U39</f>
        <v>3.6803165510497777</v>
      </c>
      <c r="V10" s="38">
        <f>'SER_se-appl'!V39</f>
        <v>4.0427874141386795</v>
      </c>
      <c r="W10" s="38">
        <f>'SER_se-appl'!W39</f>
        <v>4.9978702268013038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8759.9999999999982</v>
      </c>
      <c r="C12" s="205">
        <f>'SER_se-appl'!C47</f>
        <v>8759.9999999999982</v>
      </c>
      <c r="D12" s="205">
        <f>'SER_se-appl'!D47</f>
        <v>8759.9999999999964</v>
      </c>
      <c r="E12" s="205">
        <f>'SER_se-appl'!E47</f>
        <v>8759.9999999999982</v>
      </c>
      <c r="F12" s="205">
        <f>'SER_se-appl'!F47</f>
        <v>8760</v>
      </c>
      <c r="G12" s="205">
        <f>'SER_se-appl'!G47</f>
        <v>8760.0000000000018</v>
      </c>
      <c r="H12" s="205">
        <f>'SER_se-appl'!H47</f>
        <v>8760.0000000000018</v>
      </c>
      <c r="I12" s="205">
        <f>'SER_se-appl'!I47</f>
        <v>8759.9999999999982</v>
      </c>
      <c r="J12" s="205">
        <f>'SER_se-appl'!J47</f>
        <v>8760</v>
      </c>
      <c r="K12" s="205">
        <f>'SER_se-appl'!K47</f>
        <v>8760.0000000000018</v>
      </c>
      <c r="L12" s="205">
        <f>'SER_se-appl'!L47</f>
        <v>8760.0000000000018</v>
      </c>
      <c r="M12" s="205">
        <f>'SER_se-appl'!M47</f>
        <v>8760</v>
      </c>
      <c r="N12" s="205">
        <f>'SER_se-appl'!N47</f>
        <v>8759.9999999999982</v>
      </c>
      <c r="O12" s="205">
        <f>'SER_se-appl'!O47</f>
        <v>8760</v>
      </c>
      <c r="P12" s="205">
        <f>'SER_se-appl'!P47</f>
        <v>8760</v>
      </c>
      <c r="Q12" s="205">
        <f>'SER_se-appl'!Q47</f>
        <v>8760.0000000000018</v>
      </c>
      <c r="R12" s="205">
        <f>'SER_se-appl'!R47</f>
        <v>8760</v>
      </c>
      <c r="S12" s="205">
        <f>'SER_se-appl'!S47</f>
        <v>8760</v>
      </c>
      <c r="T12" s="205">
        <f>'SER_se-appl'!T47</f>
        <v>8760.0000000000018</v>
      </c>
      <c r="U12" s="205">
        <f>'SER_se-appl'!U47</f>
        <v>8760.0000000000018</v>
      </c>
      <c r="V12" s="205">
        <f>'SER_se-appl'!V47</f>
        <v>8759.9999999999982</v>
      </c>
      <c r="W12" s="205">
        <f>'SER_se-appl'!W47</f>
        <v>8760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697.76813563198561</v>
      </c>
      <c r="C14" s="59">
        <f>'SER_se-appl'!C55</f>
        <v>687.73031140899332</v>
      </c>
      <c r="D14" s="59">
        <f>'SER_se-appl'!D55</f>
        <v>676.28094840955794</v>
      </c>
      <c r="E14" s="59">
        <f>'SER_se-appl'!E55</f>
        <v>663.19145692987365</v>
      </c>
      <c r="F14" s="59">
        <f>'SER_se-appl'!F55</f>
        <v>652.13048834384608</v>
      </c>
      <c r="G14" s="59">
        <f>'SER_se-appl'!G55</f>
        <v>642.64325490505587</v>
      </c>
      <c r="H14" s="59">
        <f>'SER_se-appl'!H55</f>
        <v>634.06888233582174</v>
      </c>
      <c r="I14" s="59">
        <f>'SER_se-appl'!I55</f>
        <v>625.48788047020105</v>
      </c>
      <c r="J14" s="59">
        <f>'SER_se-appl'!J55</f>
        <v>616.30312241592821</v>
      </c>
      <c r="K14" s="59">
        <f>'SER_se-appl'!K55</f>
        <v>606.12851293134588</v>
      </c>
      <c r="L14" s="59">
        <f>'SER_se-appl'!L55</f>
        <v>594.59640377164283</v>
      </c>
      <c r="M14" s="59">
        <f>'SER_se-appl'!M55</f>
        <v>583.66179970645192</v>
      </c>
      <c r="N14" s="59">
        <f>'SER_se-appl'!N55</f>
        <v>570.86511308152399</v>
      </c>
      <c r="O14" s="59">
        <f>'SER_se-appl'!O55</f>
        <v>555.78517098594568</v>
      </c>
      <c r="P14" s="59">
        <f>'SER_se-appl'!P55</f>
        <v>541.89409901441968</v>
      </c>
      <c r="Q14" s="59">
        <f>'SER_se-appl'!Q55</f>
        <v>530.62229938198686</v>
      </c>
      <c r="R14" s="59">
        <f>'SER_se-appl'!R55</f>
        <v>521.93548550018602</v>
      </c>
      <c r="S14" s="59">
        <f>'SER_se-appl'!S55</f>
        <v>514.12597448520512</v>
      </c>
      <c r="T14" s="59">
        <f>'SER_se-appl'!T55</f>
        <v>506.97757816940623</v>
      </c>
      <c r="U14" s="59">
        <f>'SER_se-appl'!U55</f>
        <v>500.16782058929186</v>
      </c>
      <c r="V14" s="59">
        <f>'SER_se-appl'!V55</f>
        <v>493.31801044438168</v>
      </c>
      <c r="W14" s="59">
        <f>'SER_se-appl'!W55</f>
        <v>485.60331910497274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633.95719445830991</v>
      </c>
      <c r="D15" s="63">
        <f>'SER_se-appl'!D63</f>
        <v>621.72708128371357</v>
      </c>
      <c r="E15" s="63">
        <f>'SER_se-appl'!E63</f>
        <v>611.04705352038081</v>
      </c>
      <c r="F15" s="63">
        <f>'SER_se-appl'!F63</f>
        <v>602.5342741774125</v>
      </c>
      <c r="G15" s="63">
        <f>'SER_se-appl'!G63</f>
        <v>594.05318042457623</v>
      </c>
      <c r="H15" s="63">
        <f>'SER_se-appl'!H63</f>
        <v>584.89346901271108</v>
      </c>
      <c r="I15" s="63">
        <f>'SER_se-appl'!I63</f>
        <v>578.10390950290355</v>
      </c>
      <c r="J15" s="63">
        <f>'SER_se-appl'!J63</f>
        <v>567.06874669342596</v>
      </c>
      <c r="K15" s="63">
        <f>'SER_se-appl'!K63</f>
        <v>555.21440158631776</v>
      </c>
      <c r="L15" s="63">
        <f>'SER_se-appl'!L63</f>
        <v>542.76538619221594</v>
      </c>
      <c r="M15" s="63">
        <f>'SER_se-appl'!M63</f>
        <v>528.63466973273307</v>
      </c>
      <c r="N15" s="63">
        <f>'SER_se-appl'!N63</f>
        <v>521.57568904590948</v>
      </c>
      <c r="O15" s="63">
        <f>'SER_se-appl'!O63</f>
        <v>516.53506326628712</v>
      </c>
      <c r="P15" s="63">
        <f>'SER_se-appl'!P63</f>
        <v>502.25394535504847</v>
      </c>
      <c r="Q15" s="63">
        <f>'SER_se-appl'!Q63</f>
        <v>493.03793086920564</v>
      </c>
      <c r="R15" s="63">
        <f>'SER_se-appl'!R63</f>
        <v>485.93272370870039</v>
      </c>
      <c r="S15" s="63">
        <f>'SER_se-appl'!S63</f>
        <v>477.32410584752193</v>
      </c>
      <c r="T15" s="63">
        <f>'SER_se-appl'!T63</f>
        <v>469.01252653678125</v>
      </c>
      <c r="U15" s="63">
        <f>'SER_se-appl'!U63</f>
        <v>460.98569108039931</v>
      </c>
      <c r="V15" s="63">
        <f>'SER_se-appl'!V63</f>
        <v>453.03603986152149</v>
      </c>
      <c r="W15" s="63">
        <f>'SER_se-appl'!W63</f>
        <v>442.87927429735237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7.2207357690001386</v>
      </c>
      <c r="C3" s="199">
        <f>'SER_se-appl'!C8</f>
        <v>8.3281523101370318</v>
      </c>
      <c r="D3" s="199">
        <f>'SER_se-appl'!D8</f>
        <v>9.5763521807036067</v>
      </c>
      <c r="E3" s="199">
        <f>'SER_se-appl'!E8</f>
        <v>11.016827908029359</v>
      </c>
      <c r="F3" s="199">
        <f>'SER_se-appl'!F8</f>
        <v>12.48335096920038</v>
      </c>
      <c r="G3" s="199">
        <f>'SER_se-appl'!G8</f>
        <v>13.874009262595086</v>
      </c>
      <c r="H3" s="199">
        <f>'SER_se-appl'!H8</f>
        <v>15.122947975384319</v>
      </c>
      <c r="I3" s="199">
        <f>'SER_se-appl'!I8</f>
        <v>17.304297477285782</v>
      </c>
      <c r="J3" s="199">
        <f>'SER_se-appl'!J8</f>
        <v>18.596179818279413</v>
      </c>
      <c r="K3" s="199">
        <f>'SER_se-appl'!K8</f>
        <v>19.109121346519441</v>
      </c>
      <c r="L3" s="199">
        <f>'SER_se-appl'!L8</f>
        <v>19.586778001635061</v>
      </c>
      <c r="M3" s="199">
        <f>'SER_se-appl'!M8</f>
        <v>20.327472724045922</v>
      </c>
      <c r="N3" s="199">
        <f>'SER_se-appl'!N8</f>
        <v>20.752726088416505</v>
      </c>
      <c r="O3" s="199">
        <f>'SER_se-appl'!O8</f>
        <v>21.30321064693705</v>
      </c>
      <c r="P3" s="199">
        <f>'SER_se-appl'!P8</f>
        <v>21.91829329298923</v>
      </c>
      <c r="Q3" s="199">
        <f>'SER_se-appl'!Q8</f>
        <v>22.244634629648466</v>
      </c>
      <c r="R3" s="199">
        <f>'SER_se-appl'!R8</f>
        <v>23.144311789965226</v>
      </c>
      <c r="S3" s="199">
        <f>'SER_se-appl'!S8</f>
        <v>24.207706811825485</v>
      </c>
      <c r="T3" s="199">
        <f>'SER_se-appl'!T8</f>
        <v>24.58726963932186</v>
      </c>
      <c r="U3" s="199">
        <f>'SER_se-appl'!U8</f>
        <v>25.045800859065935</v>
      </c>
      <c r="V3" s="199">
        <f>'SER_se-appl'!V8</f>
        <v>23.808135356880609</v>
      </c>
      <c r="W3" s="199">
        <f>'SER_se-appl'!W8</f>
        <v>25.795342128775715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94.044923879823159</v>
      </c>
      <c r="C5" s="59">
        <f>'SER_se-appl'!C16</f>
        <v>107.95255640072402</v>
      </c>
      <c r="D5" s="59">
        <f>'SER_se-appl'!D16</f>
        <v>123.59330712925289</v>
      </c>
      <c r="E5" s="59">
        <f>'SER_se-appl'!E16</f>
        <v>141.61631979008376</v>
      </c>
      <c r="F5" s="59">
        <f>'SER_se-appl'!F16</f>
        <v>159.87431082218356</v>
      </c>
      <c r="G5" s="59">
        <f>'SER_se-appl'!G16</f>
        <v>177.07258338274363</v>
      </c>
      <c r="H5" s="59">
        <f>'SER_se-appl'!H16</f>
        <v>192.39082868652696</v>
      </c>
      <c r="I5" s="59">
        <f>'SER_se-appl'!I16</f>
        <v>219.47518947857688</v>
      </c>
      <c r="J5" s="59">
        <f>'SER_se-appl'!J16</f>
        <v>235.18738213729048</v>
      </c>
      <c r="K5" s="59">
        <f>'SER_se-appl'!K16</f>
        <v>241.02214352195622</v>
      </c>
      <c r="L5" s="59">
        <f>'SER_se-appl'!L16</f>
        <v>246.41401639470809</v>
      </c>
      <c r="M5" s="59">
        <f>'SER_se-appl'!M16</f>
        <v>255.31685345485383</v>
      </c>
      <c r="N5" s="59">
        <f>'SER_se-appl'!N16</f>
        <v>260.25423436190226</v>
      </c>
      <c r="O5" s="59">
        <f>'SER_se-appl'!O16</f>
        <v>266.762148678811</v>
      </c>
      <c r="P5" s="59">
        <f>'SER_se-appl'!P16</f>
        <v>274.07521637042004</v>
      </c>
      <c r="Q5" s="59">
        <f>'SER_se-appl'!Q16</f>
        <v>277.77768203114113</v>
      </c>
      <c r="R5" s="59">
        <f>'SER_se-appl'!R16</f>
        <v>285.81429094297874</v>
      </c>
      <c r="S5" s="59">
        <f>'SER_se-appl'!S16</f>
        <v>291.48285990871057</v>
      </c>
      <c r="T5" s="59">
        <f>'SER_se-appl'!T16</f>
        <v>297.90982028473564</v>
      </c>
      <c r="U5" s="59">
        <f>'SER_se-appl'!U16</f>
        <v>305.84701351323014</v>
      </c>
      <c r="V5" s="59">
        <f>'SER_se-appl'!V16</f>
        <v>312.06484499413011</v>
      </c>
      <c r="W5" s="59">
        <f>'SER_se-appl'!W16</f>
        <v>316.42893883925939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56.325783810441685</v>
      </c>
      <c r="C6" s="202">
        <f>'SER_se-appl'!C72</f>
        <v>62.57125416544234</v>
      </c>
      <c r="D6" s="202">
        <f>'SER_se-appl'!D72</f>
        <v>68.93182220816135</v>
      </c>
      <c r="E6" s="202">
        <f>'SER_se-appl'!E72</f>
        <v>74.46446317193238</v>
      </c>
      <c r="F6" s="202">
        <f>'SER_se-appl'!F72</f>
        <v>80.462310105799858</v>
      </c>
      <c r="G6" s="202">
        <f>'SER_se-appl'!G72</f>
        <v>85.034392179334091</v>
      </c>
      <c r="H6" s="202">
        <f>'SER_se-appl'!H72</f>
        <v>89.875608475395268</v>
      </c>
      <c r="I6" s="202">
        <f>'SER_se-appl'!I72</f>
        <v>94.597525831593458</v>
      </c>
      <c r="J6" s="202">
        <f>'SER_se-appl'!J72</f>
        <v>98.313899348412008</v>
      </c>
      <c r="K6" s="202">
        <f>'SER_se-appl'!K72</f>
        <v>101.8062891559311</v>
      </c>
      <c r="L6" s="202">
        <f>'SER_se-appl'!L72</f>
        <v>104.14324263682447</v>
      </c>
      <c r="M6" s="202">
        <f>'SER_se-appl'!M72</f>
        <v>107.23007597342361</v>
      </c>
      <c r="N6" s="202">
        <f>'SER_se-appl'!N72</f>
        <v>109.74304029549361</v>
      </c>
      <c r="O6" s="202">
        <f>'SER_se-appl'!O72</f>
        <v>113.12245230840541</v>
      </c>
      <c r="P6" s="202">
        <f>'SER_se-appl'!P72</f>
        <v>116.83737286572797</v>
      </c>
      <c r="Q6" s="202">
        <f>'SER_se-appl'!Q72</f>
        <v>120.2469945589218</v>
      </c>
      <c r="R6" s="202">
        <f>'SER_se-appl'!R72</f>
        <v>126.65121667910587</v>
      </c>
      <c r="S6" s="202">
        <f>'SER_se-appl'!S72</f>
        <v>131.99042682730823</v>
      </c>
      <c r="T6" s="202">
        <f>'SER_se-appl'!T72</f>
        <v>138.40262435207907</v>
      </c>
      <c r="U6" s="202">
        <f>'SER_se-appl'!U72</f>
        <v>146.01478796596933</v>
      </c>
      <c r="V6" s="202">
        <f>'SER_se-appl'!V72</f>
        <v>152.85528708274461</v>
      </c>
      <c r="W6" s="202">
        <f>'SER_se-appl'!W72</f>
        <v>158.54696699964461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1.6585873815020007</v>
      </c>
      <c r="C8" s="34">
        <f>'SER_se-appl'!C24</f>
        <v>1.9246225413001916</v>
      </c>
      <c r="D8" s="34">
        <f>'SER_se-appl'!D24</f>
        <v>2.2285034842827978</v>
      </c>
      <c r="E8" s="34">
        <f>'SER_se-appl'!E24</f>
        <v>2.5839534385377791</v>
      </c>
      <c r="F8" s="34">
        <f>'SER_se-appl'!F24</f>
        <v>2.9521824125739493</v>
      </c>
      <c r="G8" s="34">
        <f>'SER_se-appl'!G24</f>
        <v>3.3088801702599717</v>
      </c>
      <c r="H8" s="34">
        <f>'SER_se-appl'!H24</f>
        <v>3.6378356261440787</v>
      </c>
      <c r="I8" s="34">
        <f>'SER_se-appl'!I24</f>
        <v>4.226784467797895</v>
      </c>
      <c r="J8" s="34">
        <f>'SER_se-appl'!J24</f>
        <v>4.5866062494359934</v>
      </c>
      <c r="K8" s="34">
        <f>'SER_se-appl'!K24</f>
        <v>4.7402306671190733</v>
      </c>
      <c r="L8" s="34">
        <f>'SER_se-appl'!L24</f>
        <v>4.8930130557640066</v>
      </c>
      <c r="M8" s="34">
        <f>'SER_se-appl'!M24</f>
        <v>5.1418069692191342</v>
      </c>
      <c r="N8" s="34">
        <f>'SER_se-appl'!N24</f>
        <v>5.3138107199653328</v>
      </c>
      <c r="O8" s="34">
        <f>'SER_se-appl'!O24</f>
        <v>5.5456286692197123</v>
      </c>
      <c r="P8" s="34">
        <f>'SER_se-appl'!P24</f>
        <v>5.8257531726801313</v>
      </c>
      <c r="Q8" s="34">
        <f>'SER_se-appl'!Q24</f>
        <v>6.0423914024478531</v>
      </c>
      <c r="R8" s="34">
        <f>'SER_se-appl'!R24</f>
        <v>6.4103046288353029</v>
      </c>
      <c r="S8" s="34">
        <f>'SER_se-appl'!S24</f>
        <v>6.7359890869962102</v>
      </c>
      <c r="T8" s="34">
        <f>'SER_se-appl'!T24</f>
        <v>7.1131413821859883</v>
      </c>
      <c r="U8" s="34">
        <f>'SER_se-appl'!U24</f>
        <v>7.543531060009828</v>
      </c>
      <c r="V8" s="34">
        <f>'SER_se-appl'!V24</f>
        <v>7.9212930122792109</v>
      </c>
      <c r="W8" s="34">
        <f>'SER_se-appl'!W24</f>
        <v>8.2278872996759898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0.31327579950074602</v>
      </c>
      <c r="D9" s="36">
        <f>'SER_se-appl'!D32</f>
        <v>0.35643764160263203</v>
      </c>
      <c r="E9" s="36">
        <f>'SER_se-appl'!E32</f>
        <v>0.41392093574947708</v>
      </c>
      <c r="F9" s="36">
        <f>'SER_se-appl'!F32</f>
        <v>0.4332797813870517</v>
      </c>
      <c r="G9" s="36">
        <f>'SER_se-appl'!G32</f>
        <v>0.42906882840936689</v>
      </c>
      <c r="H9" s="36">
        <f>'SER_se-appl'!H32</f>
        <v>0.40947055002263255</v>
      </c>
      <c r="I9" s="36">
        <f>'SER_se-appl'!I32</f>
        <v>0.67852441818379772</v>
      </c>
      <c r="J9" s="36">
        <f>'SER_se-appl'!J32</f>
        <v>0.45947743001719221</v>
      </c>
      <c r="K9" s="36">
        <f>'SER_se-appl'!K32</f>
        <v>0.26449446327562587</v>
      </c>
      <c r="L9" s="36">
        <f>'SER_se-appl'!L32</f>
        <v>0.27612880412289353</v>
      </c>
      <c r="M9" s="36">
        <f>'SER_se-appl'!M32</f>
        <v>0.3860206831380335</v>
      </c>
      <c r="N9" s="36">
        <f>'SER_se-appl'!N32</f>
        <v>0.32467285138147428</v>
      </c>
      <c r="O9" s="36">
        <f>'SER_se-appl'!O32</f>
        <v>0.40166712913846592</v>
      </c>
      <c r="P9" s="36">
        <f>'SER_se-appl'!P32</f>
        <v>0.46908706227063934</v>
      </c>
      <c r="Q9" s="36">
        <f>'SER_se-appl'!Q32</f>
        <v>0.42686502424782535</v>
      </c>
      <c r="R9" s="36">
        <f>'SER_se-appl'!R32</f>
        <v>0.68118902588819541</v>
      </c>
      <c r="S9" s="36">
        <f>'SER_se-appl'!S32</f>
        <v>0.68212209976353932</v>
      </c>
      <c r="T9" s="36">
        <f>'SER_se-appl'!T32</f>
        <v>0.79107323093925519</v>
      </c>
      <c r="U9" s="36">
        <f>'SER_se-appl'!U32</f>
        <v>0.86366945921089133</v>
      </c>
      <c r="V9" s="36">
        <f>'SER_se-appl'!V32</f>
        <v>0.8068307806787498</v>
      </c>
      <c r="W9" s="36">
        <f>'SER_se-appl'!W32</f>
        <v>0.7160648374194114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4.7240639702555098E-2</v>
      </c>
      <c r="D10" s="38">
        <f>'SER_se-appl'!D40</f>
        <v>5.2556698620025877E-2</v>
      </c>
      <c r="E10" s="38">
        <f>'SER_se-appl'!E40</f>
        <v>5.84709814944957E-2</v>
      </c>
      <c r="F10" s="38">
        <f>'SER_se-appl'!F40</f>
        <v>6.5050807350881534E-2</v>
      </c>
      <c r="G10" s="38">
        <f>'SER_se-appl'!G40</f>
        <v>7.2371070723344477E-2</v>
      </c>
      <c r="H10" s="38">
        <f>'SER_se-appl'!H40</f>
        <v>8.0515094138525534E-2</v>
      </c>
      <c r="I10" s="38">
        <f>'SER_se-appl'!I40</f>
        <v>8.9575576529981049E-2</v>
      </c>
      <c r="J10" s="38">
        <f>'SER_se-appl'!J40</f>
        <v>9.9655648379093797E-2</v>
      </c>
      <c r="K10" s="38">
        <f>'SER_se-appl'!K40</f>
        <v>0.11087004559254598</v>
      </c>
      <c r="L10" s="38">
        <f>'SER_se-appl'!L40</f>
        <v>0.12334641547796021</v>
      </c>
      <c r="M10" s="38">
        <f>'SER_se-appl'!M40</f>
        <v>0.13722676968290592</v>
      </c>
      <c r="N10" s="38">
        <f>'SER_se-appl'!N40</f>
        <v>0.15266910063527561</v>
      </c>
      <c r="O10" s="38">
        <f>'SER_se-appl'!O40</f>
        <v>0.16984917988408643</v>
      </c>
      <c r="P10" s="38">
        <f>'SER_se-appl'!P40</f>
        <v>0.18896255881022039</v>
      </c>
      <c r="Q10" s="38">
        <f>'SER_se-appl'!Q40</f>
        <v>0.21022679448010351</v>
      </c>
      <c r="R10" s="38">
        <f>'SER_se-appl'!R40</f>
        <v>0.31327579950074558</v>
      </c>
      <c r="S10" s="38">
        <f>'SER_se-appl'!S40</f>
        <v>0.35643764160263203</v>
      </c>
      <c r="T10" s="38">
        <f>'SER_se-appl'!T40</f>
        <v>0.41392093574947708</v>
      </c>
      <c r="U10" s="38">
        <f>'SER_se-appl'!U40</f>
        <v>0.4332797813870517</v>
      </c>
      <c r="V10" s="38">
        <f>'SER_se-appl'!V40</f>
        <v>0.42906882840936689</v>
      </c>
      <c r="W10" s="38">
        <f>'SER_se-appl'!W40</f>
        <v>0.40947055002263255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892.94725891620885</v>
      </c>
      <c r="C12" s="205">
        <f>'SER_se-appl'!C48</f>
        <v>897.21276268214501</v>
      </c>
      <c r="D12" s="205">
        <f>'SER_se-appl'!D48</f>
        <v>901.12465188029944</v>
      </c>
      <c r="E12" s="205">
        <f>'SER_se-appl'!E48</f>
        <v>904.73830106798925</v>
      </c>
      <c r="F12" s="205">
        <f>'SER_se-appl'!F48</f>
        <v>908.0969358064973</v>
      </c>
      <c r="G12" s="205">
        <f>'SER_se-appl'!G48</f>
        <v>911.23495597967008</v>
      </c>
      <c r="H12" s="205">
        <f>'SER_se-appl'!H48</f>
        <v>914.18019327880995</v>
      </c>
      <c r="I12" s="205">
        <f>'SER_se-appl'!I48</f>
        <v>916.95548885938047</v>
      </c>
      <c r="J12" s="205">
        <f>'SER_se-appl'!J48</f>
        <v>919.57982320811755</v>
      </c>
      <c r="K12" s="205">
        <f>'SER_se-appl'!K48</f>
        <v>922.06914274569942</v>
      </c>
      <c r="L12" s="205">
        <f>'SER_se-appl'!L48</f>
        <v>924.4369759962558</v>
      </c>
      <c r="M12" s="205">
        <f>'SER_se-appl'!M48</f>
        <v>925.94164694441849</v>
      </c>
      <c r="N12" s="205">
        <f>'SER_se-appl'!N48</f>
        <v>927.37858809499153</v>
      </c>
      <c r="O12" s="205">
        <f>'SER_se-appl'!O48</f>
        <v>928.75372705961877</v>
      </c>
      <c r="P12" s="205">
        <f>'SER_se-appl'!P48</f>
        <v>930.07224211381208</v>
      </c>
      <c r="Q12" s="205">
        <f>'SER_se-appl'!Q48</f>
        <v>931.33868369528955</v>
      </c>
      <c r="R12" s="205">
        <f>'SER_se-appl'!R48</f>
        <v>941.75957832352015</v>
      </c>
      <c r="S12" s="205">
        <f>'SER_se-appl'!S48</f>
        <v>965.87370629512986</v>
      </c>
      <c r="T12" s="205">
        <f>'SER_se-appl'!T48</f>
        <v>959.85404452934301</v>
      </c>
      <c r="U12" s="205">
        <f>'SER_se-appl'!U48</f>
        <v>952.38027877076752</v>
      </c>
      <c r="V12" s="205">
        <f>'SER_se-appl'!V48</f>
        <v>887.27909805325794</v>
      </c>
      <c r="W12" s="205">
        <f>'SER_se-appl'!W48</f>
        <v>948.07962273658052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56.701820433878488</v>
      </c>
      <c r="C14" s="59">
        <f>'SER_se-appl'!C56</f>
        <v>56.090248391144762</v>
      </c>
      <c r="D14" s="59">
        <f>'SER_se-appl'!D56</f>
        <v>55.46022611179766</v>
      </c>
      <c r="E14" s="59">
        <f>'SER_se-appl'!E56</f>
        <v>54.806064876394345</v>
      </c>
      <c r="F14" s="59">
        <f>'SER_se-appl'!F56</f>
        <v>54.154618000990098</v>
      </c>
      <c r="G14" s="59">
        <f>'SER_se-appl'!G56</f>
        <v>53.514353579274953</v>
      </c>
      <c r="H14" s="59">
        <f>'SER_se-appl'!H56</f>
        <v>52.886069756387393</v>
      </c>
      <c r="I14" s="59">
        <f>'SER_se-appl'!I56</f>
        <v>51.92485946484063</v>
      </c>
      <c r="J14" s="59">
        <f>'SER_se-appl'!J56</f>
        <v>51.27699421902873</v>
      </c>
      <c r="K14" s="59">
        <f>'SER_se-appl'!K56</f>
        <v>50.846079114635167</v>
      </c>
      <c r="L14" s="59">
        <f>'SER_se-appl'!L56</f>
        <v>50.360383997837587</v>
      </c>
      <c r="M14" s="59">
        <f>'SER_se-appl'!M56</f>
        <v>49.655083316678414</v>
      </c>
      <c r="N14" s="59">
        <f>'SER_se-appl'!N56</f>
        <v>48.976948573659428</v>
      </c>
      <c r="O14" s="59">
        <f>'SER_se-appl'!O56</f>
        <v>48.103139353602856</v>
      </c>
      <c r="P14" s="59">
        <f>'SER_se-appl'!P56</f>
        <v>47.045456312103255</v>
      </c>
      <c r="Q14" s="59">
        <f>'SER_se-appl'!Q56</f>
        <v>45.971481079264365</v>
      </c>
      <c r="R14" s="59">
        <f>'SER_se-appl'!R56</f>
        <v>44.58669400160921</v>
      </c>
      <c r="S14" s="59">
        <f>'SER_se-appl'!S56</f>
        <v>43.272466172995536</v>
      </c>
      <c r="T14" s="59">
        <f>'SER_se-appl'!T56</f>
        <v>41.88161098988067</v>
      </c>
      <c r="U14" s="59">
        <f>'SER_se-appl'!U56</f>
        <v>40.544277087238726</v>
      </c>
      <c r="V14" s="59">
        <f>'SER_se-appl'!V56</f>
        <v>39.395695186427524</v>
      </c>
      <c r="W14" s="59">
        <f>'SER_se-appl'!W56</f>
        <v>38.458103193965748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52.944602860896012</v>
      </c>
      <c r="D15" s="63">
        <f>'SER_se-appl'!D64</f>
        <v>52.241427511851079</v>
      </c>
      <c r="E15" s="63">
        <f>'SER_se-appl'!E64</f>
        <v>51.551931567528456</v>
      </c>
      <c r="F15" s="63">
        <f>'SER_se-appl'!F64</f>
        <v>50.652006330254714</v>
      </c>
      <c r="G15" s="63">
        <f>'SER_se-appl'!G64</f>
        <v>49.64668278581852</v>
      </c>
      <c r="H15" s="63">
        <f>'SER_se-appl'!H64</f>
        <v>48.55928640715144</v>
      </c>
      <c r="I15" s="63">
        <f>'SER_se-appl'!I64</f>
        <v>47.402065696921831</v>
      </c>
      <c r="J15" s="63">
        <f>'SER_se-appl'!J64</f>
        <v>46.493794782319078</v>
      </c>
      <c r="K15" s="63">
        <f>'SER_se-appl'!K64</f>
        <v>45.828160828904899</v>
      </c>
      <c r="L15" s="63">
        <f>'SER_se-appl'!L64</f>
        <v>44.855295751157023</v>
      </c>
      <c r="M15" s="63">
        <f>'SER_se-appl'!M64</f>
        <v>43.22007975790563</v>
      </c>
      <c r="N15" s="63">
        <f>'SER_se-appl'!N64</f>
        <v>41.869829211865159</v>
      </c>
      <c r="O15" s="63">
        <f>'SER_se-appl'!O64</f>
        <v>40.179220167090726</v>
      </c>
      <c r="P15" s="63">
        <f>'SER_se-appl'!P64</f>
        <v>38.431221451150087</v>
      </c>
      <c r="Q15" s="63">
        <f>'SER_se-appl'!Q64</f>
        <v>36.598706205200202</v>
      </c>
      <c r="R15" s="63">
        <f>'SER_se-appl'!R64</f>
        <v>36.146900150408072</v>
      </c>
      <c r="S15" s="63">
        <f>'SER_se-appl'!S64</f>
        <v>35.6085518859906</v>
      </c>
      <c r="T15" s="63">
        <f>'SER_se-appl'!T64</f>
        <v>35.09837401169947</v>
      </c>
      <c r="U15" s="63">
        <f>'SER_se-appl'!U64</f>
        <v>34.600833848387559</v>
      </c>
      <c r="V15" s="63">
        <f>'SER_se-appl'!V64</f>
        <v>34.108360956521274</v>
      </c>
      <c r="W15" s="63">
        <f>'SER_se-appl'!W64</f>
        <v>33.86242459042829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13.889717591915877</v>
      </c>
      <c r="C3" s="199">
        <f>'SER_se-appl'!C9</f>
        <v>16.121404918586872</v>
      </c>
      <c r="D3" s="199">
        <f>'SER_se-appl'!D9</f>
        <v>18.873755126583731</v>
      </c>
      <c r="E3" s="199">
        <f>'SER_se-appl'!E9</f>
        <v>23.553804496981392</v>
      </c>
      <c r="F3" s="199">
        <f>'SER_se-appl'!F9</f>
        <v>27.785885049412148</v>
      </c>
      <c r="G3" s="199">
        <f>'SER_se-appl'!G9</f>
        <v>32.662297166622395</v>
      </c>
      <c r="H3" s="199">
        <f>'SER_se-appl'!H9</f>
        <v>37.958177595617443</v>
      </c>
      <c r="I3" s="199">
        <f>'SER_se-appl'!I9</f>
        <v>43.745104204170701</v>
      </c>
      <c r="J3" s="199">
        <f>'SER_se-appl'!J9</f>
        <v>47.992541881221022</v>
      </c>
      <c r="K3" s="199">
        <f>'SER_se-appl'!K9</f>
        <v>47.462578457709562</v>
      </c>
      <c r="L3" s="199">
        <f>'SER_se-appl'!L9</f>
        <v>46.535180262557112</v>
      </c>
      <c r="M3" s="199">
        <f>'SER_se-appl'!M9</f>
        <v>49.21469707481095</v>
      </c>
      <c r="N3" s="199">
        <f>'SER_se-appl'!N9</f>
        <v>53.040699075892547</v>
      </c>
      <c r="O3" s="199">
        <f>'SER_se-appl'!O9</f>
        <v>55.975607972425017</v>
      </c>
      <c r="P3" s="199">
        <f>'SER_se-appl'!P9</f>
        <v>58.894042063135593</v>
      </c>
      <c r="Q3" s="199">
        <f>'SER_se-appl'!Q9</f>
        <v>59.808046446845992</v>
      </c>
      <c r="R3" s="199">
        <f>'SER_se-appl'!R9</f>
        <v>63.006727627788287</v>
      </c>
      <c r="S3" s="199">
        <f>'SER_se-appl'!S9</f>
        <v>70.35688021042327</v>
      </c>
      <c r="T3" s="199">
        <f>'SER_se-appl'!T9</f>
        <v>73.839762807210647</v>
      </c>
      <c r="U3" s="199">
        <f>'SER_se-appl'!U9</f>
        <v>81.181897001735379</v>
      </c>
      <c r="V3" s="199">
        <f>'SER_se-appl'!V9</f>
        <v>79.75699418071008</v>
      </c>
      <c r="W3" s="199">
        <f>'SER_se-appl'!W9</f>
        <v>85.661924945847773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104.68321527109548</v>
      </c>
      <c r="C5" s="59">
        <f>'SER_se-appl'!C17</f>
        <v>120.29952965858529</v>
      </c>
      <c r="D5" s="59">
        <f>'SER_se-appl'!D17</f>
        <v>138.24333866805105</v>
      </c>
      <c r="E5" s="59">
        <f>'SER_se-appl'!E17</f>
        <v>169.62746148431918</v>
      </c>
      <c r="F5" s="59">
        <f>'SER_se-appl'!F17</f>
        <v>196.72118774360416</v>
      </c>
      <c r="G5" s="59">
        <f>'SER_se-appl'!G17</f>
        <v>227.71539958292496</v>
      </c>
      <c r="H5" s="59">
        <f>'SER_se-appl'!H17</f>
        <v>260.47748717374975</v>
      </c>
      <c r="I5" s="59">
        <f>'SER_se-appl'!I17</f>
        <v>296.59023762114646</v>
      </c>
      <c r="J5" s="59">
        <f>'SER_se-appl'!J17</f>
        <v>321.58291711318424</v>
      </c>
      <c r="K5" s="59">
        <f>'SER_se-appl'!K17</f>
        <v>315.24368128875994</v>
      </c>
      <c r="L5" s="59">
        <f>'SER_se-appl'!L17</f>
        <v>305.32266115335449</v>
      </c>
      <c r="M5" s="59">
        <f>'SER_se-appl'!M17</f>
        <v>319.22562204063121</v>
      </c>
      <c r="N5" s="59">
        <f>'SER_se-appl'!N17</f>
        <v>341.0591843744225</v>
      </c>
      <c r="O5" s="59">
        <f>'SER_se-appl'!O17</f>
        <v>356.73702760674604</v>
      </c>
      <c r="P5" s="59">
        <f>'SER_se-appl'!P17</f>
        <v>371.63579165046036</v>
      </c>
      <c r="Q5" s="59">
        <f>'SER_se-appl'!Q17</f>
        <v>373.59327198470004</v>
      </c>
      <c r="R5" s="59">
        <f>'SER_se-appl'!R17</f>
        <v>384.54103423898079</v>
      </c>
      <c r="S5" s="59">
        <f>'SER_se-appl'!S17</f>
        <v>415.9238618816936</v>
      </c>
      <c r="T5" s="59">
        <f>'SER_se-appl'!T17</f>
        <v>436.06428543660462</v>
      </c>
      <c r="U5" s="59">
        <f>'SER_se-appl'!U17</f>
        <v>478.92200079622813</v>
      </c>
      <c r="V5" s="59">
        <f>'SER_se-appl'!V17</f>
        <v>490.63892613770042</v>
      </c>
      <c r="W5" s="59">
        <f>'SER_se-appl'!W17</f>
        <v>506.72426710021551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7.6667074384484404E-2</v>
      </c>
      <c r="C6" s="202">
        <f>'SER_se-appl'!C73</f>
        <v>9.0627310089097246E-2</v>
      </c>
      <c r="D6" s="202">
        <f>'SER_se-appl'!D73</f>
        <v>0.1080971652472789</v>
      </c>
      <c r="E6" s="202">
        <f>'SER_se-appl'!E73</f>
        <v>0.13823363549598383</v>
      </c>
      <c r="F6" s="202">
        <f>'SER_se-appl'!F73</f>
        <v>0.16694523614057988</v>
      </c>
      <c r="G6" s="202">
        <f>'SER_se-appl'!G73</f>
        <v>0.2026363133680808</v>
      </c>
      <c r="H6" s="202">
        <f>'SER_se-appl'!H73</f>
        <v>0.24801676379243753</v>
      </c>
      <c r="I6" s="202">
        <f>'SER_se-appl'!I73</f>
        <v>0.30047974377560399</v>
      </c>
      <c r="J6" s="202">
        <f>'SER_se-appl'!J73</f>
        <v>0.34965126926995888</v>
      </c>
      <c r="K6" s="202">
        <f>'SER_se-appl'!K73</f>
        <v>0.36199441032359386</v>
      </c>
      <c r="L6" s="202">
        <f>'SER_se-appl'!L73</f>
        <v>0.37577109282210497</v>
      </c>
      <c r="M6" s="202">
        <f>'SER_se-appl'!M73</f>
        <v>0.44342307500998313</v>
      </c>
      <c r="N6" s="202">
        <f>'SER_se-appl'!N73</f>
        <v>0.5211365349718613</v>
      </c>
      <c r="O6" s="202">
        <f>'SER_se-appl'!O73</f>
        <v>0.58299895730201545</v>
      </c>
      <c r="P6" s="202">
        <f>'SER_se-appl'!P73</f>
        <v>0.62605505264127459</v>
      </c>
      <c r="Q6" s="202">
        <f>'SER_se-appl'!Q73</f>
        <v>0.64077001174627812</v>
      </c>
      <c r="R6" s="202">
        <f>'SER_se-appl'!R73</f>
        <v>0.67395422438033725</v>
      </c>
      <c r="S6" s="202">
        <f>'SER_se-appl'!S73</f>
        <v>0.75149105038403363</v>
      </c>
      <c r="T6" s="202">
        <f>'SER_se-appl'!T73</f>
        <v>0.81333572416841016</v>
      </c>
      <c r="U6" s="202">
        <f>'SER_se-appl'!U73</f>
        <v>0.91313241296136172</v>
      </c>
      <c r="V6" s="202">
        <f>'SER_se-appl'!V73</f>
        <v>0.94699794503793433</v>
      </c>
      <c r="W6" s="202">
        <f>'SER_se-appl'!W73</f>
        <v>1.0026919185476812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269.26043860181369</v>
      </c>
      <c r="C8" s="34">
        <f>'SER_se-appl'!C25</f>
        <v>316.0172490260619</v>
      </c>
      <c r="D8" s="34">
        <f>'SER_se-appl'!D25</f>
        <v>373.43646665836383</v>
      </c>
      <c r="E8" s="34">
        <f>'SER_se-appl'!E25</f>
        <v>474.34830550356202</v>
      </c>
      <c r="F8" s="34">
        <f>'SER_se-appl'!F25</f>
        <v>567.43500453006504</v>
      </c>
      <c r="G8" s="34">
        <f>'SER_se-appl'!G25</f>
        <v>679.88941133885203</v>
      </c>
      <c r="H8" s="34">
        <f>'SER_se-appl'!H25</f>
        <v>815.93423011109371</v>
      </c>
      <c r="I8" s="34">
        <f>'SER_se-appl'!I25</f>
        <v>976.55405911506887</v>
      </c>
      <c r="J8" s="34">
        <f>'SER_se-appl'!J25</f>
        <v>1123.2914159130164</v>
      </c>
      <c r="K8" s="34">
        <f>'SER_se-appl'!K25</f>
        <v>1152.5380752752362</v>
      </c>
      <c r="L8" s="34">
        <f>'SER_se-appl'!L25</f>
        <v>1180.6637551408262</v>
      </c>
      <c r="M8" s="34">
        <f>'SER_se-appl'!M25</f>
        <v>1353.5879576985742</v>
      </c>
      <c r="N8" s="34">
        <f>'SER_se-appl'!N25</f>
        <v>1565.3070630394163</v>
      </c>
      <c r="O8" s="34">
        <f>'SER_se-appl'!O25</f>
        <v>1732.6175162006464</v>
      </c>
      <c r="P8" s="34">
        <f>'SER_se-appl'!P25</f>
        <v>1842.7755179081178</v>
      </c>
      <c r="Q8" s="34">
        <f>'SER_se-appl'!Q25</f>
        <v>1871.8570860539558</v>
      </c>
      <c r="R8" s="34">
        <f>'SER_se-appl'!R25</f>
        <v>1946.7558664676183</v>
      </c>
      <c r="S8" s="34">
        <f>'SER_se-appl'!S25</f>
        <v>2140.1743683528912</v>
      </c>
      <c r="T8" s="34">
        <f>'SER_se-appl'!T25</f>
        <v>2284.5795289523712</v>
      </c>
      <c r="U8" s="34">
        <f>'SER_se-appl'!U25</f>
        <v>2551.4599781780294</v>
      </c>
      <c r="V8" s="34">
        <f>'SER_se-appl'!V25</f>
        <v>2645.9974882510419</v>
      </c>
      <c r="W8" s="34">
        <f>'SER_se-appl'!W25</f>
        <v>2803.2057428453818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100.60889814461095</v>
      </c>
      <c r="D9" s="36">
        <f>'SER_se-appl'!D33</f>
        <v>111.27130535266468</v>
      </c>
      <c r="E9" s="36">
        <f>'SER_se-appl'!E33</f>
        <v>154.76392656556095</v>
      </c>
      <c r="F9" s="36">
        <f>'SER_se-appl'!F33</f>
        <v>146.93878674686579</v>
      </c>
      <c r="G9" s="36">
        <f>'SER_se-appl'!G33</f>
        <v>166.30649452914975</v>
      </c>
      <c r="H9" s="36">
        <f>'SER_se-appl'!H33</f>
        <v>236.65371691685266</v>
      </c>
      <c r="I9" s="36">
        <f>'SER_se-appl'!I33</f>
        <v>271.8911343566399</v>
      </c>
      <c r="J9" s="36">
        <f>'SER_se-appl'!J33</f>
        <v>301.50128336350849</v>
      </c>
      <c r="K9" s="36">
        <f>'SER_se-appl'!K33</f>
        <v>176.18544610908566</v>
      </c>
      <c r="L9" s="36">
        <f>'SER_se-appl'!L33</f>
        <v>194.43217439473972</v>
      </c>
      <c r="M9" s="36">
        <f>'SER_se-appl'!M33</f>
        <v>409.57791947460066</v>
      </c>
      <c r="N9" s="36">
        <f>'SER_se-appl'!N33</f>
        <v>483.61023969748203</v>
      </c>
      <c r="O9" s="36">
        <f>'SER_se-appl'!O33</f>
        <v>468.81173652473854</v>
      </c>
      <c r="P9" s="36">
        <f>'SER_se-appl'!P33</f>
        <v>286.34344781655705</v>
      </c>
      <c r="Q9" s="36">
        <f>'SER_se-appl'!Q33</f>
        <v>223.51374254057782</v>
      </c>
      <c r="R9" s="36">
        <f>'SER_se-appl'!R33</f>
        <v>484.47669988826306</v>
      </c>
      <c r="S9" s="36">
        <f>'SER_se-appl'!S33</f>
        <v>677.02874158275495</v>
      </c>
      <c r="T9" s="36">
        <f>'SER_se-appl'!T33</f>
        <v>613.21689712421858</v>
      </c>
      <c r="U9" s="36">
        <f>'SER_se-appl'!U33</f>
        <v>553.22389704221519</v>
      </c>
      <c r="V9" s="36">
        <f>'SER_se-appl'!V33</f>
        <v>318.05125261359035</v>
      </c>
      <c r="W9" s="36">
        <f>'SER_se-appl'!W33</f>
        <v>641.68495448260273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53.852087720362761</v>
      </c>
      <c r="D10" s="38">
        <f>'SER_se-appl'!D41</f>
        <v>53.852087720362761</v>
      </c>
      <c r="E10" s="38">
        <f>'SER_se-appl'!E41</f>
        <v>53.852087720362704</v>
      </c>
      <c r="F10" s="38">
        <f>'SER_se-appl'!F41</f>
        <v>53.852087720362761</v>
      </c>
      <c r="G10" s="38">
        <f>'SER_se-appl'!G41</f>
        <v>53.852087720362761</v>
      </c>
      <c r="H10" s="38">
        <f>'SER_se-appl'!H41</f>
        <v>100.60889814461098</v>
      </c>
      <c r="I10" s="38">
        <f>'SER_se-appl'!I41</f>
        <v>111.27130535266474</v>
      </c>
      <c r="J10" s="38">
        <f>'SER_se-appl'!J41</f>
        <v>154.76392656556095</v>
      </c>
      <c r="K10" s="38">
        <f>'SER_se-appl'!K41</f>
        <v>146.93878674686584</v>
      </c>
      <c r="L10" s="38">
        <f>'SER_se-appl'!L41</f>
        <v>166.30649452914986</v>
      </c>
      <c r="M10" s="38">
        <f>'SER_se-appl'!M41</f>
        <v>236.65371691685255</v>
      </c>
      <c r="N10" s="38">
        <f>'SER_se-appl'!N41</f>
        <v>271.8911343566399</v>
      </c>
      <c r="O10" s="38">
        <f>'SER_se-appl'!O41</f>
        <v>301.50128336350849</v>
      </c>
      <c r="P10" s="38">
        <f>'SER_se-appl'!P41</f>
        <v>176.18544610908566</v>
      </c>
      <c r="Q10" s="38">
        <f>'SER_se-appl'!Q41</f>
        <v>194.43217439473983</v>
      </c>
      <c r="R10" s="38">
        <f>'SER_se-appl'!R41</f>
        <v>409.57791947460078</v>
      </c>
      <c r="S10" s="38">
        <f>'SER_se-appl'!S41</f>
        <v>483.61023969748203</v>
      </c>
      <c r="T10" s="38">
        <f>'SER_se-appl'!T41</f>
        <v>468.81173652473854</v>
      </c>
      <c r="U10" s="38">
        <f>'SER_se-appl'!U41</f>
        <v>286.34344781655682</v>
      </c>
      <c r="V10" s="38">
        <f>'SER_se-appl'!V41</f>
        <v>223.51374254057782</v>
      </c>
      <c r="W10" s="38">
        <f>'SER_se-appl'!W41</f>
        <v>484.47669988826283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1543.1071273045281</v>
      </c>
      <c r="C12" s="205">
        <f>'SER_se-appl'!C49</f>
        <v>1558.5425789716278</v>
      </c>
      <c r="D12" s="205">
        <f>'SER_se-appl'!D49</f>
        <v>1587.7927590365489</v>
      </c>
      <c r="E12" s="205">
        <f>'SER_se-appl'!E49</f>
        <v>1614.8962196502391</v>
      </c>
      <c r="F12" s="205">
        <f>'SER_se-appl'!F49</f>
        <v>1642.679402413122</v>
      </c>
      <c r="G12" s="205">
        <f>'SER_se-appl'!G49</f>
        <v>1668.1459257633012</v>
      </c>
      <c r="H12" s="205">
        <f>'SER_se-appl'!H49</f>
        <v>1694.7860263354053</v>
      </c>
      <c r="I12" s="205">
        <f>'SER_se-appl'!I49</f>
        <v>1715.3483067246839</v>
      </c>
      <c r="J12" s="205">
        <f>'SER_se-appl'!J49</f>
        <v>1735.6433827054095</v>
      </c>
      <c r="K12" s="205">
        <f>'SER_se-appl'!K49</f>
        <v>1750.9939777588922</v>
      </c>
      <c r="L12" s="205">
        <f>'SER_se-appl'!L49</f>
        <v>1772.5646187189118</v>
      </c>
      <c r="M12" s="205">
        <f>'SER_se-appl'!M49</f>
        <v>1792.985548344237</v>
      </c>
      <c r="N12" s="205">
        <f>'SER_se-appl'!N49</f>
        <v>1808.6694583055817</v>
      </c>
      <c r="O12" s="205">
        <f>'SER_se-appl'!O49</f>
        <v>1824.863331644221</v>
      </c>
      <c r="P12" s="205">
        <f>'SER_se-appl'!P49</f>
        <v>1843.0348329809974</v>
      </c>
      <c r="Q12" s="205">
        <f>'SER_se-appl'!Q49</f>
        <v>1861.8311204632851</v>
      </c>
      <c r="R12" s="205">
        <f>'SER_se-appl'!R49</f>
        <v>1905.5657967981231</v>
      </c>
      <c r="S12" s="205">
        <f>'SER_se-appl'!S49</f>
        <v>1967.3084230978022</v>
      </c>
      <c r="T12" s="205">
        <f>'SER_se-appl'!T49</f>
        <v>1969.3344998158682</v>
      </c>
      <c r="U12" s="205">
        <f>'SER_se-appl'!U49</f>
        <v>1971.3971389088424</v>
      </c>
      <c r="V12" s="205">
        <f>'SER_se-appl'!V49</f>
        <v>1890.5427044354194</v>
      </c>
      <c r="W12" s="205">
        <f>'SER_se-appl'!W49</f>
        <v>1966.0558055001939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388.78052719026641</v>
      </c>
      <c r="C14" s="59">
        <f>'SER_se-appl'!C57</f>
        <v>380.67393482266596</v>
      </c>
      <c r="D14" s="59">
        <f>'SER_se-appl'!D57</f>
        <v>370.19239150664458</v>
      </c>
      <c r="E14" s="59">
        <f>'SER_se-appl'!E57</f>
        <v>357.60106975452322</v>
      </c>
      <c r="F14" s="59">
        <f>'SER_se-appl'!F57</f>
        <v>346.68497038973396</v>
      </c>
      <c r="G14" s="59">
        <f>'SER_se-appl'!G57</f>
        <v>334.93005742581454</v>
      </c>
      <c r="H14" s="59">
        <f>'SER_se-appl'!H57</f>
        <v>319.23833755360943</v>
      </c>
      <c r="I14" s="59">
        <f>'SER_se-appl'!I57</f>
        <v>303.71102844005355</v>
      </c>
      <c r="J14" s="59">
        <f>'SER_se-appl'!J57</f>
        <v>286.28627670211489</v>
      </c>
      <c r="K14" s="59">
        <f>'SER_se-appl'!K57</f>
        <v>273.52127279046897</v>
      </c>
      <c r="L14" s="59">
        <f>'SER_se-appl'!L57</f>
        <v>258.60255286394937</v>
      </c>
      <c r="M14" s="59">
        <f>'SER_se-appl'!M57</f>
        <v>235.83662976980949</v>
      </c>
      <c r="N14" s="59">
        <f>'SER_se-appl'!N57</f>
        <v>217.88644057618629</v>
      </c>
      <c r="O14" s="59">
        <f>'SER_se-appl'!O57</f>
        <v>205.89485230936219</v>
      </c>
      <c r="P14" s="59">
        <f>'SER_se-appl'!P57</f>
        <v>201.67176524698675</v>
      </c>
      <c r="Q14" s="59">
        <f>'SER_se-appl'!Q57</f>
        <v>199.58429239502922</v>
      </c>
      <c r="R14" s="59">
        <f>'SER_se-appl'!R57</f>
        <v>197.52915137568286</v>
      </c>
      <c r="S14" s="59">
        <f>'SER_se-appl'!S57</f>
        <v>194.34110978620615</v>
      </c>
      <c r="T14" s="59">
        <f>'SER_se-appl'!T57</f>
        <v>190.87288488335906</v>
      </c>
      <c r="U14" s="59">
        <f>'SER_se-appl'!U57</f>
        <v>187.70508057830531</v>
      </c>
      <c r="V14" s="59">
        <f>'SER_se-appl'!V57</f>
        <v>185.42682988788633</v>
      </c>
      <c r="W14" s="59">
        <f>'SER_se-appl'!W57</f>
        <v>180.76599207658131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363.31734186343277</v>
      </c>
      <c r="D15" s="63">
        <f>'SER_se-appl'!D65</f>
        <v>349.42029250449315</v>
      </c>
      <c r="E15" s="63">
        <f>'SER_se-appl'!E65</f>
        <v>338.0682244988347</v>
      </c>
      <c r="F15" s="63">
        <f>'SER_se-appl'!F65</f>
        <v>326.87332172033581</v>
      </c>
      <c r="G15" s="63">
        <f>'SER_se-appl'!G65</f>
        <v>312.25993332712341</v>
      </c>
      <c r="H15" s="63">
        <f>'SER_se-appl'!H65</f>
        <v>292.89649846018392</v>
      </c>
      <c r="I15" s="63">
        <f>'SER_se-appl'!I65</f>
        <v>275.82069819427369</v>
      </c>
      <c r="J15" s="63">
        <f>'SER_se-appl'!J65</f>
        <v>256.42824634119785</v>
      </c>
      <c r="K15" s="63">
        <f>'SER_se-appl'!K65</f>
        <v>236.63210787153511</v>
      </c>
      <c r="L15" s="63">
        <f>'SER_se-appl'!L65</f>
        <v>216.06421308052296</v>
      </c>
      <c r="M15" s="63">
        <f>'SER_se-appl'!M65</f>
        <v>203.1799126929524</v>
      </c>
      <c r="N15" s="63">
        <f>'SER_se-appl'!N65</f>
        <v>200.21653161323033</v>
      </c>
      <c r="O15" s="63">
        <f>'SER_se-appl'!O65</f>
        <v>198.35529136745842</v>
      </c>
      <c r="P15" s="63">
        <f>'SER_se-appl'!P65</f>
        <v>197.6294480083501</v>
      </c>
      <c r="Q15" s="63">
        <f>'SER_se-appl'!Q65</f>
        <v>196.70967249090785</v>
      </c>
      <c r="R15" s="63">
        <f>'SER_se-appl'!R65</f>
        <v>194.36593791984009</v>
      </c>
      <c r="S15" s="63">
        <f>'SER_se-appl'!S65</f>
        <v>189.37097439594345</v>
      </c>
      <c r="T15" s="63">
        <f>'SER_se-appl'!T65</f>
        <v>184.48890218177186</v>
      </c>
      <c r="U15" s="63">
        <f>'SER_se-appl'!U65</f>
        <v>179.76015393425584</v>
      </c>
      <c r="V15" s="63">
        <f>'SER_se-appl'!V65</f>
        <v>175.07945645948715</v>
      </c>
      <c r="W15" s="63">
        <f>'SER_se-appl'!W65</f>
        <v>171.81501353028113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1146.8206951026859</v>
      </c>
      <c r="C3" s="220">
        <v>1064.448599325631</v>
      </c>
      <c r="D3" s="220">
        <v>1113.761948005972</v>
      </c>
      <c r="E3" s="220">
        <v>1132.208914377085</v>
      </c>
      <c r="F3" s="220">
        <v>1127.656734348813</v>
      </c>
      <c r="G3" s="220">
        <v>1259.5006934812759</v>
      </c>
      <c r="H3" s="220">
        <v>1211.2169505218851</v>
      </c>
      <c r="I3" s="220">
        <v>1216.6515837104071</v>
      </c>
      <c r="J3" s="220">
        <v>1179.9848169785789</v>
      </c>
      <c r="K3" s="220">
        <v>772.2523460759121</v>
      </c>
      <c r="L3" s="220">
        <v>938.56220728750316</v>
      </c>
      <c r="M3" s="220">
        <v>1147.3740565394021</v>
      </c>
      <c r="N3" s="220">
        <v>1352.189743902687</v>
      </c>
      <c r="O3" s="220">
        <v>1244.6141205234569</v>
      </c>
      <c r="P3" s="220">
        <v>1247.6336608014669</v>
      </c>
      <c r="Q3" s="220">
        <v>1277.5</v>
      </c>
      <c r="R3" s="220">
        <v>1190.945269711179</v>
      </c>
      <c r="S3" s="220">
        <v>1403.5154142490701</v>
      </c>
      <c r="T3" s="220">
        <v>1197.2815214710481</v>
      </c>
      <c r="U3" s="220">
        <v>1349.995552788401</v>
      </c>
      <c r="V3" s="220">
        <v>1533.224829806969</v>
      </c>
      <c r="W3" s="220">
        <v>1578.5575562065901</v>
      </c>
      <c r="DA3" s="211" t="s">
        <v>972</v>
      </c>
    </row>
    <row r="5" spans="1:105" x14ac:dyDescent="0.25">
      <c r="A5" s="219" t="s">
        <v>120</v>
      </c>
      <c r="B5" s="220">
        <v>787.15560965219777</v>
      </c>
      <c r="C5" s="220">
        <v>808.338476806681</v>
      </c>
      <c r="D5" s="220">
        <v>787.57063070521008</v>
      </c>
      <c r="E5" s="220">
        <v>759.37962521106886</v>
      </c>
      <c r="F5" s="220">
        <v>804.7511247131057</v>
      </c>
      <c r="G5" s="220">
        <v>710.9736175437256</v>
      </c>
      <c r="H5" s="220">
        <v>802.97074463853551</v>
      </c>
      <c r="I5" s="220">
        <v>911.24095043888212</v>
      </c>
      <c r="J5" s="220">
        <v>862.11426169285016</v>
      </c>
      <c r="K5" s="220">
        <v>697.29076488267253</v>
      </c>
      <c r="L5" s="220">
        <v>806.86169129497546</v>
      </c>
      <c r="M5" s="220">
        <v>866.62124831891754</v>
      </c>
      <c r="N5" s="220">
        <v>843.61706841864418</v>
      </c>
      <c r="O5" s="220">
        <v>847.60818993722989</v>
      </c>
      <c r="P5" s="220">
        <v>903.68593322090419</v>
      </c>
      <c r="Q5" s="220">
        <v>846.49215549525832</v>
      </c>
      <c r="R5" s="220">
        <v>841.81950281668287</v>
      </c>
      <c r="S5" s="220">
        <v>951.86356543109582</v>
      </c>
      <c r="T5" s="220">
        <v>818.88108267719667</v>
      </c>
      <c r="U5" s="220">
        <v>856.66113490073951</v>
      </c>
      <c r="V5" s="220">
        <v>832.97710310953551</v>
      </c>
      <c r="W5" s="220">
        <v>924.35140218669585</v>
      </c>
      <c r="DA5" s="211" t="s">
        <v>973</v>
      </c>
    </row>
    <row r="6" spans="1:105" x14ac:dyDescent="0.25">
      <c r="A6" s="221" t="s">
        <v>119</v>
      </c>
      <c r="B6" s="222">
        <v>983.94451206524718</v>
      </c>
      <c r="C6" s="222">
        <v>934.7472864619848</v>
      </c>
      <c r="D6" s="222">
        <v>885.55006085872242</v>
      </c>
      <c r="E6" s="222">
        <v>885.55006085872242</v>
      </c>
      <c r="F6" s="222">
        <v>885.55006085872242</v>
      </c>
      <c r="G6" s="222">
        <v>836.35283525546004</v>
      </c>
      <c r="H6" s="222">
        <v>885.55006085872242</v>
      </c>
      <c r="I6" s="222">
        <v>983.94451206524718</v>
      </c>
      <c r="J6" s="222">
        <v>983.94451206524718</v>
      </c>
      <c r="K6" s="222">
        <v>934.7472864619848</v>
      </c>
      <c r="L6" s="222">
        <v>885.55006085872242</v>
      </c>
      <c r="M6" s="222">
        <v>934.7472864619848</v>
      </c>
      <c r="N6" s="222">
        <v>934.7472864619848</v>
      </c>
      <c r="O6" s="222">
        <v>934.7472864619848</v>
      </c>
      <c r="P6" s="222">
        <v>983.94451206524718</v>
      </c>
      <c r="Q6" s="222">
        <v>983.94451206524718</v>
      </c>
      <c r="R6" s="222">
        <v>934.7472864619848</v>
      </c>
      <c r="S6" s="222">
        <v>1033.141737668509</v>
      </c>
      <c r="T6" s="222">
        <v>1033.141737668509</v>
      </c>
      <c r="U6" s="222">
        <v>983.94451206524707</v>
      </c>
      <c r="V6" s="222">
        <v>983.94451206524707</v>
      </c>
      <c r="W6" s="222">
        <v>983.94451206524707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49.19722560326236</v>
      </c>
      <c r="G7" s="226">
        <v>0</v>
      </c>
      <c r="H7" s="226">
        <v>49.197225603262382</v>
      </c>
      <c r="I7" s="226">
        <v>147.59167680978709</v>
      </c>
      <c r="J7" s="226">
        <v>0</v>
      </c>
      <c r="K7" s="226">
        <v>0</v>
      </c>
      <c r="L7" s="226">
        <v>0</v>
      </c>
      <c r="M7" s="226">
        <v>49.197225603262382</v>
      </c>
      <c r="N7" s="226">
        <v>49.19722560326236</v>
      </c>
      <c r="O7" s="226">
        <v>49.19722560326236</v>
      </c>
      <c r="P7" s="226">
        <v>98.394451206524721</v>
      </c>
      <c r="Q7" s="226">
        <v>0</v>
      </c>
      <c r="R7" s="226">
        <v>0</v>
      </c>
      <c r="S7" s="226">
        <v>147.59167680978709</v>
      </c>
      <c r="T7" s="226">
        <v>0</v>
      </c>
      <c r="U7" s="226">
        <v>0</v>
      </c>
      <c r="V7" s="226">
        <v>0</v>
      </c>
      <c r="W7" s="226">
        <v>49.19722560326236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49.197225603262382</v>
      </c>
      <c r="D8" s="228">
        <f t="shared" ref="D8" si="1">IF(C6=0,0,C6+D7-D6)</f>
        <v>49.197225603262382</v>
      </c>
      <c r="E8" s="228">
        <f t="shared" ref="E8" si="2">IF(D6=0,0,D6+E7-E6)</f>
        <v>0</v>
      </c>
      <c r="F8" s="228">
        <f t="shared" ref="F8" si="3">IF(E6=0,0,E6+F7-F6)</f>
        <v>49.197225603262382</v>
      </c>
      <c r="G8" s="228">
        <f t="shared" ref="G8" si="4">IF(F6=0,0,F6+G7-G6)</f>
        <v>49.197225603262382</v>
      </c>
      <c r="H8" s="228">
        <f t="shared" ref="H8" si="5">IF(G6=0,0,G6+H7-H6)</f>
        <v>0</v>
      </c>
      <c r="I8" s="228">
        <f t="shared" ref="I8" si="6">IF(H6=0,0,H6+I7-I6)</f>
        <v>49.197225603262268</v>
      </c>
      <c r="J8" s="228">
        <f t="shared" ref="J8" si="7">IF(I6=0,0,I6+J7-J6)</f>
        <v>0</v>
      </c>
      <c r="K8" s="228">
        <f t="shared" ref="K8" si="8">IF(J6=0,0,J6+K7-K6)</f>
        <v>49.197225603262382</v>
      </c>
      <c r="L8" s="228">
        <f t="shared" ref="L8" si="9">IF(K6=0,0,K6+L7-L6)</f>
        <v>49.197225603262382</v>
      </c>
      <c r="M8" s="228">
        <f t="shared" ref="M8" si="10">IF(L6=0,0,L6+M7-M6)</f>
        <v>0</v>
      </c>
      <c r="N8" s="228">
        <f t="shared" ref="N8" si="11">IF(M6=0,0,M6+N7-N6)</f>
        <v>49.197225603262382</v>
      </c>
      <c r="O8" s="228">
        <f t="shared" ref="O8" si="12">IF(N6=0,0,N6+O7-O6)</f>
        <v>49.197225603262382</v>
      </c>
      <c r="P8" s="228">
        <f t="shared" ref="P8" si="13">IF(O6=0,0,O6+P7-P6)</f>
        <v>49.197225603262268</v>
      </c>
      <c r="Q8" s="228">
        <f t="shared" ref="Q8" si="14">IF(P6=0,0,P6+Q7-Q6)</f>
        <v>0</v>
      </c>
      <c r="R8" s="228">
        <f t="shared" ref="R8" si="15">IF(Q6=0,0,Q6+R7-R6)</f>
        <v>49.197225603262382</v>
      </c>
      <c r="S8" s="228">
        <f t="shared" ref="S8" si="16">IF(R6=0,0,R6+S7-S6)</f>
        <v>49.19722560326295</v>
      </c>
      <c r="T8" s="228">
        <f t="shared" ref="T8" si="17">IF(S6=0,0,S6+T7-T6)</f>
        <v>0</v>
      </c>
      <c r="U8" s="228">
        <f t="shared" ref="U8" si="18">IF(T6=0,0,T6+U7-U6)</f>
        <v>49.197225603261927</v>
      </c>
      <c r="V8" s="228">
        <f t="shared" ref="V8" si="19">IF(U6=0,0,U6+V7-V6)</f>
        <v>0</v>
      </c>
      <c r="W8" s="228">
        <f t="shared" ref="W8" si="20">IF(V6=0,0,V6+W7-W6)</f>
        <v>49.197225603262382</v>
      </c>
      <c r="DA8" s="214" t="s">
        <v>976</v>
      </c>
    </row>
    <row r="9" spans="1:105" x14ac:dyDescent="0.25">
      <c r="A9" s="223" t="s">
        <v>116</v>
      </c>
      <c r="B9" s="224">
        <f>B6-B5</f>
        <v>196.78890241304941</v>
      </c>
      <c r="C9" s="224">
        <f t="shared" ref="C9:W9" si="21">C6-C5</f>
        <v>126.4088096553038</v>
      </c>
      <c r="D9" s="224">
        <f t="shared" si="21"/>
        <v>97.97943015351234</v>
      </c>
      <c r="E9" s="224">
        <f t="shared" si="21"/>
        <v>126.17043564765356</v>
      </c>
      <c r="F9" s="224">
        <f t="shared" si="21"/>
        <v>80.798936145616722</v>
      </c>
      <c r="G9" s="224">
        <f t="shared" si="21"/>
        <v>125.37921771173444</v>
      </c>
      <c r="H9" s="224">
        <f t="shared" si="21"/>
        <v>82.579316220186911</v>
      </c>
      <c r="I9" s="224">
        <f t="shared" si="21"/>
        <v>72.703561626365058</v>
      </c>
      <c r="J9" s="224">
        <f t="shared" si="21"/>
        <v>121.83025037239702</v>
      </c>
      <c r="K9" s="224">
        <f t="shared" si="21"/>
        <v>237.45652157931227</v>
      </c>
      <c r="L9" s="224">
        <f t="shared" si="21"/>
        <v>78.68836956374696</v>
      </c>
      <c r="M9" s="224">
        <f t="shared" si="21"/>
        <v>68.126038143067262</v>
      </c>
      <c r="N9" s="224">
        <f t="shared" si="21"/>
        <v>91.130218043340619</v>
      </c>
      <c r="O9" s="224">
        <f t="shared" si="21"/>
        <v>87.139096524754905</v>
      </c>
      <c r="P9" s="224">
        <f t="shared" si="21"/>
        <v>80.258578844342992</v>
      </c>
      <c r="Q9" s="224">
        <f t="shared" si="21"/>
        <v>137.45235656998886</v>
      </c>
      <c r="R9" s="224">
        <f t="shared" si="21"/>
        <v>92.927783645301929</v>
      </c>
      <c r="S9" s="224">
        <f t="shared" si="21"/>
        <v>81.278172237413173</v>
      </c>
      <c r="T9" s="224">
        <f t="shared" si="21"/>
        <v>214.26065499131232</v>
      </c>
      <c r="U9" s="224">
        <f t="shared" si="21"/>
        <v>127.28337716450756</v>
      </c>
      <c r="V9" s="224">
        <f t="shared" si="21"/>
        <v>150.96740895571156</v>
      </c>
      <c r="W9" s="224">
        <f t="shared" si="21"/>
        <v>59.593109878551218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99.542820292347372</v>
      </c>
      <c r="C12" s="230">
        <f t="shared" ref="C12:W12" si="22">SUM(C13,C14,C18,C19,C26,C27)</f>
        <v>98.898624247635439</v>
      </c>
      <c r="D12" s="230">
        <f t="shared" si="22"/>
        <v>100.65984522785897</v>
      </c>
      <c r="E12" s="230">
        <f t="shared" si="22"/>
        <v>102.84496990541702</v>
      </c>
      <c r="F12" s="230">
        <f t="shared" si="22"/>
        <v>108.51556319862425</v>
      </c>
      <c r="G12" s="230">
        <f t="shared" si="22"/>
        <v>109.79320722269991</v>
      </c>
      <c r="H12" s="230">
        <f t="shared" si="22"/>
        <v>117.98065348237316</v>
      </c>
      <c r="I12" s="230">
        <f t="shared" si="22"/>
        <v>125.05735167669818</v>
      </c>
      <c r="J12" s="230">
        <f t="shared" si="22"/>
        <v>120.11599312123818</v>
      </c>
      <c r="K12" s="230">
        <f t="shared" si="22"/>
        <v>109.02854686156492</v>
      </c>
      <c r="L12" s="230">
        <f t="shared" si="22"/>
        <v>116.66079105760963</v>
      </c>
      <c r="M12" s="230">
        <f t="shared" si="22"/>
        <v>115.08753224419603</v>
      </c>
      <c r="N12" s="230">
        <f t="shared" si="22"/>
        <v>113.92459157351678</v>
      </c>
      <c r="O12" s="230">
        <f t="shared" si="22"/>
        <v>112.68968185726568</v>
      </c>
      <c r="P12" s="230">
        <f t="shared" si="22"/>
        <v>117.62321582115219</v>
      </c>
      <c r="Q12" s="230">
        <f t="shared" si="22"/>
        <v>112.51418744625968</v>
      </c>
      <c r="R12" s="230">
        <f t="shared" si="22"/>
        <v>113.97007738607051</v>
      </c>
      <c r="S12" s="230">
        <f t="shared" si="22"/>
        <v>118.88976784178845</v>
      </c>
      <c r="T12" s="230">
        <f t="shared" si="22"/>
        <v>115.6914015477214</v>
      </c>
      <c r="U12" s="230">
        <f t="shared" si="22"/>
        <v>121.65614789337918</v>
      </c>
      <c r="V12" s="230">
        <f t="shared" si="22"/>
        <v>123.80206362854688</v>
      </c>
      <c r="W12" s="230">
        <f t="shared" si="22"/>
        <v>131.75717970765263</v>
      </c>
      <c r="DA12" s="211" t="s">
        <v>978</v>
      </c>
    </row>
    <row r="13" spans="1:105" x14ac:dyDescent="0.25">
      <c r="A13" s="58" t="s">
        <v>29</v>
      </c>
      <c r="B13" s="59">
        <v>0.54230438521066204</v>
      </c>
      <c r="C13" s="59">
        <v>0.54230438521066204</v>
      </c>
      <c r="D13" s="59">
        <v>0.54230438521066204</v>
      </c>
      <c r="E13" s="59">
        <v>1.0846087704213241</v>
      </c>
      <c r="F13" s="59">
        <v>0.54230438521066204</v>
      </c>
      <c r="G13" s="59">
        <v>1.0846087704213241</v>
      </c>
      <c r="H13" s="59">
        <v>1.0846087704213241</v>
      </c>
      <c r="I13" s="59">
        <v>0.85993121238177128</v>
      </c>
      <c r="J13" s="59">
        <v>0.85993121238177128</v>
      </c>
      <c r="K13" s="59">
        <v>0.54230438521066204</v>
      </c>
      <c r="L13" s="59">
        <v>0.85993121238177128</v>
      </c>
      <c r="M13" s="59">
        <v>0.91762682717110922</v>
      </c>
      <c r="N13" s="59">
        <v>0.91762682717110922</v>
      </c>
      <c r="O13" s="59">
        <v>1.8353396388650043</v>
      </c>
      <c r="P13" s="59">
        <v>2.1175408426483231</v>
      </c>
      <c r="Q13" s="59">
        <v>2.1175408426483231</v>
      </c>
      <c r="R13" s="59">
        <v>2.7175408426483232</v>
      </c>
      <c r="S13" s="59">
        <v>2.6364574376612206</v>
      </c>
      <c r="T13" s="59">
        <v>2.7952708512467757</v>
      </c>
      <c r="U13" s="59">
        <v>2.1846947549441103</v>
      </c>
      <c r="V13" s="59">
        <v>1.2987962166809977</v>
      </c>
      <c r="W13" s="59">
        <v>1.1258813413585553</v>
      </c>
      <c r="DA13" s="9" t="s">
        <v>979</v>
      </c>
    </row>
    <row r="14" spans="1:105" x14ac:dyDescent="0.25">
      <c r="A14" s="60" t="s">
        <v>28</v>
      </c>
      <c r="B14" s="55">
        <f>SUM(B15:B17)</f>
        <v>40.81049011177987</v>
      </c>
      <c r="C14" s="55">
        <f t="shared" ref="C14:W14" si="23">SUM(C15:C17)</f>
        <v>33.641014617368882</v>
      </c>
      <c r="D14" s="55">
        <f t="shared" si="23"/>
        <v>36.706362854686148</v>
      </c>
      <c r="E14" s="55">
        <f t="shared" si="23"/>
        <v>38.759931212381765</v>
      </c>
      <c r="F14" s="55">
        <f t="shared" si="23"/>
        <v>43.909974204643163</v>
      </c>
      <c r="G14" s="55">
        <f t="shared" si="23"/>
        <v>46.957351676698195</v>
      </c>
      <c r="H14" s="55">
        <f t="shared" si="23"/>
        <v>46.097334479793638</v>
      </c>
      <c r="I14" s="55">
        <f t="shared" si="23"/>
        <v>48.409286328460865</v>
      </c>
      <c r="J14" s="55">
        <f t="shared" si="23"/>
        <v>48.407222699914016</v>
      </c>
      <c r="K14" s="55">
        <f t="shared" si="23"/>
        <v>45.321066208082534</v>
      </c>
      <c r="L14" s="55">
        <f t="shared" si="23"/>
        <v>50.459759243336187</v>
      </c>
      <c r="M14" s="55">
        <f t="shared" si="23"/>
        <v>50.378847807394656</v>
      </c>
      <c r="N14" s="55">
        <f t="shared" si="23"/>
        <v>52.512037833190021</v>
      </c>
      <c r="O14" s="55">
        <f t="shared" si="23"/>
        <v>53.547979363714532</v>
      </c>
      <c r="P14" s="55">
        <f t="shared" si="23"/>
        <v>62.890283748925185</v>
      </c>
      <c r="Q14" s="55">
        <f t="shared" si="23"/>
        <v>57.532846087704215</v>
      </c>
      <c r="R14" s="55">
        <f t="shared" si="23"/>
        <v>55.510662080825462</v>
      </c>
      <c r="S14" s="55">
        <f t="shared" si="23"/>
        <v>57.59914015477213</v>
      </c>
      <c r="T14" s="55">
        <f t="shared" si="23"/>
        <v>54.374806534823726</v>
      </c>
      <c r="U14" s="55">
        <f t="shared" si="23"/>
        <v>61.739122957867586</v>
      </c>
      <c r="V14" s="55">
        <f t="shared" si="23"/>
        <v>64.558555460017203</v>
      </c>
      <c r="W14" s="55">
        <f t="shared" si="23"/>
        <v>67.716852966466035</v>
      </c>
      <c r="DA14" s="10"/>
    </row>
    <row r="15" spans="1:105" x14ac:dyDescent="0.25">
      <c r="A15" s="61" t="s">
        <v>52</v>
      </c>
      <c r="B15" s="55">
        <v>0</v>
      </c>
      <c r="C15" s="55">
        <v>0</v>
      </c>
      <c r="D15" s="55">
        <v>0</v>
      </c>
      <c r="E15" s="55">
        <v>0</v>
      </c>
      <c r="F15" s="55">
        <v>1.109716251074806</v>
      </c>
      <c r="G15" s="55">
        <v>1.109716251074806</v>
      </c>
      <c r="H15" s="55">
        <v>1.109716251074806</v>
      </c>
      <c r="I15" s="55">
        <v>1.108684436801376</v>
      </c>
      <c r="J15" s="55">
        <v>1.108684436801376</v>
      </c>
      <c r="K15" s="55">
        <v>1.108684436801376</v>
      </c>
      <c r="L15" s="55">
        <v>1.108684436801376</v>
      </c>
      <c r="M15" s="55">
        <v>1.108684436801376</v>
      </c>
      <c r="N15" s="55">
        <v>1.108684436801376</v>
      </c>
      <c r="O15" s="55">
        <v>1.108684436801376</v>
      </c>
      <c r="P15" s="55">
        <v>2.2174548581255369</v>
      </c>
      <c r="Q15" s="55">
        <v>1.092691315563199</v>
      </c>
      <c r="R15" s="55">
        <v>2.1854686156491829</v>
      </c>
      <c r="S15" s="55">
        <v>3.390369733447979</v>
      </c>
      <c r="T15" s="55">
        <v>2.403955288048151</v>
      </c>
      <c r="U15" s="55">
        <v>3.6060189165950129</v>
      </c>
      <c r="V15" s="55">
        <v>3.609114359415305</v>
      </c>
      <c r="W15" s="55">
        <v>4.8122098022355972</v>
      </c>
      <c r="DA15" s="10" t="s">
        <v>980</v>
      </c>
    </row>
    <row r="16" spans="1:105" x14ac:dyDescent="0.25">
      <c r="A16" s="61" t="s">
        <v>172</v>
      </c>
      <c r="B16" s="55">
        <v>32.697076526225267</v>
      </c>
      <c r="C16" s="55">
        <v>29.631728288908</v>
      </c>
      <c r="D16" s="55">
        <v>32.697076526225267</v>
      </c>
      <c r="E16" s="55">
        <v>33.718830610490109</v>
      </c>
      <c r="F16" s="55">
        <v>34.740584694754943</v>
      </c>
      <c r="G16" s="55">
        <v>37.805932932072231</v>
      </c>
      <c r="H16" s="55">
        <v>37.805932932072224</v>
      </c>
      <c r="I16" s="55">
        <v>40.119690455717958</v>
      </c>
      <c r="J16" s="55">
        <v>41.148409286328459</v>
      </c>
      <c r="K16" s="55">
        <v>38.062252794496978</v>
      </c>
      <c r="L16" s="55">
        <v>42.177128116938938</v>
      </c>
      <c r="M16" s="55">
        <v>42.177128116938938</v>
      </c>
      <c r="N16" s="55">
        <v>46.291917454858122</v>
      </c>
      <c r="O16" s="55">
        <v>44.234479793637142</v>
      </c>
      <c r="P16" s="55">
        <v>47.320636285468609</v>
      </c>
      <c r="Q16" s="55">
        <v>42.995098882201205</v>
      </c>
      <c r="R16" s="55">
        <v>44.01883061049012</v>
      </c>
      <c r="S16" s="55">
        <v>44.837747205503007</v>
      </c>
      <c r="T16" s="55">
        <v>44.633104041272567</v>
      </c>
      <c r="U16" s="55">
        <v>47.806534823731731</v>
      </c>
      <c r="V16" s="55">
        <v>51.244453998280306</v>
      </c>
      <c r="W16" s="55">
        <v>53.396732588134128</v>
      </c>
      <c r="DA16" s="10" t="s">
        <v>981</v>
      </c>
    </row>
    <row r="17" spans="1:105" x14ac:dyDescent="0.25">
      <c r="A17" s="61" t="s">
        <v>113</v>
      </c>
      <c r="B17" s="55">
        <v>8.1134135855545999</v>
      </c>
      <c r="C17" s="55">
        <v>4.0092863284608775</v>
      </c>
      <c r="D17" s="55">
        <v>4.0092863284608775</v>
      </c>
      <c r="E17" s="55">
        <v>5.0411006018916593</v>
      </c>
      <c r="F17" s="55">
        <v>8.0596732588134117</v>
      </c>
      <c r="G17" s="55">
        <v>8.0417024935511598</v>
      </c>
      <c r="H17" s="55">
        <v>7.181685296646604</v>
      </c>
      <c r="I17" s="55">
        <v>7.1809114359415309</v>
      </c>
      <c r="J17" s="55">
        <v>6.1501289767841802</v>
      </c>
      <c r="K17" s="55">
        <v>6.1501289767841802</v>
      </c>
      <c r="L17" s="55">
        <v>7.1739466895958728</v>
      </c>
      <c r="M17" s="55">
        <v>7.0930352536543433</v>
      </c>
      <c r="N17" s="55">
        <v>5.1114359415305239</v>
      </c>
      <c r="O17" s="55">
        <v>8.2048151332760106</v>
      </c>
      <c r="P17" s="55">
        <v>13.352192605331043</v>
      </c>
      <c r="Q17" s="55">
        <v>13.445055889939807</v>
      </c>
      <c r="R17" s="55">
        <v>9.3063628546861565</v>
      </c>
      <c r="S17" s="55">
        <v>9.3710232158211504</v>
      </c>
      <c r="T17" s="55">
        <v>7.3377472055030086</v>
      </c>
      <c r="U17" s="55">
        <v>10.326569217540843</v>
      </c>
      <c r="V17" s="55">
        <v>9.7049871023215815</v>
      </c>
      <c r="W17" s="55">
        <v>9.5079105760963039</v>
      </c>
      <c r="DA17" s="10" t="s">
        <v>982</v>
      </c>
    </row>
    <row r="18" spans="1:105" x14ac:dyDescent="0.25">
      <c r="A18" s="60" t="s">
        <v>153</v>
      </c>
      <c r="B18" s="55">
        <v>23.753224419604472</v>
      </c>
      <c r="C18" s="55">
        <v>27.880481513327599</v>
      </c>
      <c r="D18" s="55">
        <v>27.923473774720549</v>
      </c>
      <c r="E18" s="55">
        <v>26.418744625967321</v>
      </c>
      <c r="F18" s="55">
        <v>30.395528804815129</v>
      </c>
      <c r="G18" s="55">
        <v>28.46087704213241</v>
      </c>
      <c r="H18" s="55">
        <v>37.747205503009447</v>
      </c>
      <c r="I18" s="55">
        <v>40.004299226139302</v>
      </c>
      <c r="J18" s="55">
        <v>34.157351676698191</v>
      </c>
      <c r="K18" s="55">
        <v>27.042132416165089</v>
      </c>
      <c r="L18" s="55">
        <v>31.190885640584689</v>
      </c>
      <c r="M18" s="55">
        <v>30.395528804815129</v>
      </c>
      <c r="N18" s="55">
        <v>27.60103181427343</v>
      </c>
      <c r="O18" s="55">
        <v>25.601891659501291</v>
      </c>
      <c r="P18" s="55">
        <v>20.786758383490969</v>
      </c>
      <c r="Q18" s="55">
        <v>20.829750644883919</v>
      </c>
      <c r="R18" s="55">
        <v>21.45313843508168</v>
      </c>
      <c r="S18" s="55">
        <v>21.75434221840068</v>
      </c>
      <c r="T18" s="55">
        <v>20.915563198624241</v>
      </c>
      <c r="U18" s="55">
        <v>20.679707652622529</v>
      </c>
      <c r="V18" s="55">
        <v>20.249097162510751</v>
      </c>
      <c r="W18" s="55">
        <v>23.624247635425618</v>
      </c>
      <c r="DA18" s="10" t="s">
        <v>983</v>
      </c>
    </row>
    <row r="19" spans="1:105" x14ac:dyDescent="0.25">
      <c r="A19" s="60" t="s">
        <v>51</v>
      </c>
      <c r="B19" s="55">
        <f>SUM(B20:B25)</f>
        <v>6.4966466036113486</v>
      </c>
      <c r="C19" s="55">
        <f t="shared" ref="C19:W19" si="24">SUM(C20:C25)</f>
        <v>9.0761822871883044</v>
      </c>
      <c r="D19" s="55">
        <f t="shared" si="24"/>
        <v>9.9837489251934652</v>
      </c>
      <c r="E19" s="55">
        <f t="shared" si="24"/>
        <v>12.706620808254517</v>
      </c>
      <c r="F19" s="55">
        <f t="shared" si="24"/>
        <v>7.9535683576956142</v>
      </c>
      <c r="G19" s="55">
        <f t="shared" si="24"/>
        <v>6.3533104041272566</v>
      </c>
      <c r="H19" s="55">
        <f t="shared" si="24"/>
        <v>6.5204643164230438</v>
      </c>
      <c r="I19" s="55">
        <f t="shared" si="24"/>
        <v>8.9805674978503873</v>
      </c>
      <c r="J19" s="55">
        <f t="shared" si="24"/>
        <v>9.8643164230438511</v>
      </c>
      <c r="K19" s="55">
        <f t="shared" si="24"/>
        <v>11.177987962166812</v>
      </c>
      <c r="L19" s="55">
        <f t="shared" si="24"/>
        <v>11.22579535683577</v>
      </c>
      <c r="M19" s="55">
        <f t="shared" si="24"/>
        <v>12.539466895958723</v>
      </c>
      <c r="N19" s="55">
        <f t="shared" si="24"/>
        <v>11.84677558039553</v>
      </c>
      <c r="O19" s="55">
        <f t="shared" si="24"/>
        <v>11.655717970765259</v>
      </c>
      <c r="P19" s="55">
        <f t="shared" si="24"/>
        <v>11.918400687876179</v>
      </c>
      <c r="Q19" s="55">
        <f t="shared" si="24"/>
        <v>10.89140154772141</v>
      </c>
      <c r="R19" s="55">
        <f t="shared" si="24"/>
        <v>11.727343078245919</v>
      </c>
      <c r="S19" s="55">
        <f t="shared" si="24"/>
        <v>14.736801375752361</v>
      </c>
      <c r="T19" s="55">
        <f t="shared" si="24"/>
        <v>15.1189165950129</v>
      </c>
      <c r="U19" s="55">
        <f t="shared" si="24"/>
        <v>15.07119518486672</v>
      </c>
      <c r="V19" s="55">
        <f t="shared" si="24"/>
        <v>17.220808254514189</v>
      </c>
      <c r="W19" s="55">
        <f t="shared" si="24"/>
        <v>17.889595872742909</v>
      </c>
      <c r="DA19" s="10"/>
    </row>
    <row r="20" spans="1:105" x14ac:dyDescent="0.25">
      <c r="A20" s="61" t="s">
        <v>171</v>
      </c>
      <c r="B20" s="55">
        <v>6.4966466036113486</v>
      </c>
      <c r="C20" s="55">
        <v>9.0761822871883044</v>
      </c>
      <c r="D20" s="55">
        <v>9.9837489251934652</v>
      </c>
      <c r="E20" s="55">
        <v>12.491659501289771</v>
      </c>
      <c r="F20" s="55">
        <v>7.4758383490971623</v>
      </c>
      <c r="G20" s="55">
        <v>6.0905417024935504</v>
      </c>
      <c r="H20" s="55">
        <v>6.3055030094582971</v>
      </c>
      <c r="I20" s="55">
        <v>8.6939810834049869</v>
      </c>
      <c r="J20" s="55">
        <v>9.5299226139294912</v>
      </c>
      <c r="K20" s="55">
        <v>10.771969045571799</v>
      </c>
      <c r="L20" s="55">
        <v>10.867497850386931</v>
      </c>
      <c r="M20" s="55">
        <v>12.39613069647463</v>
      </c>
      <c r="N20" s="55">
        <v>11.84677558039553</v>
      </c>
      <c r="O20" s="55">
        <v>11.655717970765259</v>
      </c>
      <c r="P20" s="55">
        <v>11.918400687876179</v>
      </c>
      <c r="Q20" s="55">
        <v>10.89140154772141</v>
      </c>
      <c r="R20" s="55">
        <v>11.727343078245919</v>
      </c>
      <c r="S20" s="55">
        <v>14.736801375752361</v>
      </c>
      <c r="T20" s="55">
        <v>15.1189165950129</v>
      </c>
      <c r="U20" s="55">
        <v>15.07119518486672</v>
      </c>
      <c r="V20" s="55">
        <v>17.220808254514189</v>
      </c>
      <c r="W20" s="55">
        <v>17.889595872742909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0.2149613069647463</v>
      </c>
      <c r="F21" s="55">
        <v>0.47773000859845233</v>
      </c>
      <c r="G21" s="55">
        <v>0.26276870163370591</v>
      </c>
      <c r="H21" s="55">
        <v>0.2149613069647463</v>
      </c>
      <c r="I21" s="55">
        <v>0.28658641444539978</v>
      </c>
      <c r="J21" s="55">
        <v>0.3343938091143594</v>
      </c>
      <c r="K21" s="55">
        <v>0.40601891659501288</v>
      </c>
      <c r="L21" s="55">
        <v>0.35829750644883918</v>
      </c>
      <c r="M21" s="55">
        <v>0.14333619948409279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11.77506448839209</v>
      </c>
      <c r="C26" s="55">
        <v>10.81969045571797</v>
      </c>
      <c r="D26" s="55">
        <v>9.3388650042992261</v>
      </c>
      <c r="E26" s="55">
        <v>9.6016337059329313</v>
      </c>
      <c r="F26" s="55">
        <v>10.150988822012041</v>
      </c>
      <c r="G26" s="55">
        <v>10.3420464316423</v>
      </c>
      <c r="H26" s="55">
        <v>9.5061049011177978</v>
      </c>
      <c r="I26" s="55">
        <v>9.0044711951848662</v>
      </c>
      <c r="J26" s="55">
        <v>9.8882201203783318</v>
      </c>
      <c r="K26" s="55">
        <v>9.1239036973344803</v>
      </c>
      <c r="L26" s="55">
        <v>8.0490971625107477</v>
      </c>
      <c r="M26" s="55">
        <v>6.4966466036113486</v>
      </c>
      <c r="N26" s="55">
        <v>5.3979363714531381</v>
      </c>
      <c r="O26" s="55">
        <v>5.0874462596732588</v>
      </c>
      <c r="P26" s="55">
        <v>4.3470335339638861</v>
      </c>
      <c r="Q26" s="55">
        <v>4.6336199484092866</v>
      </c>
      <c r="R26" s="55">
        <v>4.8485812553740324</v>
      </c>
      <c r="S26" s="55">
        <v>4.5619948409286319</v>
      </c>
      <c r="T26" s="55">
        <v>4.275322441960447</v>
      </c>
      <c r="U26" s="55">
        <v>3.6065348237317281</v>
      </c>
      <c r="V26" s="55">
        <v>3.415477214101462</v>
      </c>
      <c r="W26" s="55">
        <v>3.3438521066208078</v>
      </c>
      <c r="DA26" s="10" t="s">
        <v>990</v>
      </c>
    </row>
    <row r="27" spans="1:105" x14ac:dyDescent="0.25">
      <c r="A27" s="62" t="s">
        <v>24</v>
      </c>
      <c r="B27" s="63">
        <v>16.165090283748921</v>
      </c>
      <c r="C27" s="63">
        <v>16.938950988822011</v>
      </c>
      <c r="D27" s="63">
        <v>16.165090283748921</v>
      </c>
      <c r="E27" s="63">
        <v>14.27343078245916</v>
      </c>
      <c r="F27" s="63">
        <v>15.563198624247638</v>
      </c>
      <c r="G27" s="63">
        <v>16.595012897678416</v>
      </c>
      <c r="H27" s="63">
        <v>17.024935511607911</v>
      </c>
      <c r="I27" s="63">
        <v>17.798796216680991</v>
      </c>
      <c r="J27" s="63">
        <v>16.938950988822015</v>
      </c>
      <c r="K27" s="63">
        <v>15.821152192605334</v>
      </c>
      <c r="L27" s="63">
        <v>14.875322441960448</v>
      </c>
      <c r="M27" s="63">
        <v>14.359415305245056</v>
      </c>
      <c r="N27" s="63">
        <v>15.649183147033536</v>
      </c>
      <c r="O27" s="63">
        <v>14.961306964746345</v>
      </c>
      <c r="P27" s="63">
        <v>15.563198624247633</v>
      </c>
      <c r="Q27" s="63">
        <v>16.509028374892516</v>
      </c>
      <c r="R27" s="63">
        <v>17.712811693895095</v>
      </c>
      <c r="S27" s="63">
        <v>17.601031814273433</v>
      </c>
      <c r="T27" s="63">
        <v>18.211521926053308</v>
      </c>
      <c r="U27" s="63">
        <v>18.374892519346517</v>
      </c>
      <c r="V27" s="63">
        <v>17.059329320722266</v>
      </c>
      <c r="W27" s="63">
        <v>18.056749785038697</v>
      </c>
      <c r="DA27" s="11" t="s">
        <v>991</v>
      </c>
    </row>
    <row r="29" spans="1:105" x14ac:dyDescent="0.25">
      <c r="A29" s="219" t="s">
        <v>84</v>
      </c>
      <c r="B29" s="220">
        <v>183.92338115999996</v>
      </c>
      <c r="C29" s="220">
        <v>171.87568632000003</v>
      </c>
      <c r="D29" s="220">
        <v>181.48666032</v>
      </c>
      <c r="E29" s="220">
        <v>186.4080486</v>
      </c>
      <c r="F29" s="220">
        <v>208.97737128</v>
      </c>
      <c r="G29" s="220">
        <v>216.18314316000001</v>
      </c>
      <c r="H29" s="220">
        <v>234.85185144000002</v>
      </c>
      <c r="I29" s="220">
        <v>246.646868256</v>
      </c>
      <c r="J29" s="220">
        <v>233.00213097600002</v>
      </c>
      <c r="K29" s="220">
        <v>205.32783599999996</v>
      </c>
      <c r="L29" s="220">
        <v>232.30643169599998</v>
      </c>
      <c r="M29" s="220">
        <v>230.61772857599999</v>
      </c>
      <c r="N29" s="220">
        <v>230.63567313600001</v>
      </c>
      <c r="O29" s="220">
        <v>232.64119029600005</v>
      </c>
      <c r="P29" s="220">
        <v>250.32449397599999</v>
      </c>
      <c r="Q29" s="220">
        <v>234.11381385600001</v>
      </c>
      <c r="R29" s="220">
        <v>231.57128721600003</v>
      </c>
      <c r="S29" s="220">
        <v>238.09181068800004</v>
      </c>
      <c r="T29" s="220">
        <v>227.388431016</v>
      </c>
      <c r="U29" s="220">
        <v>246.36978280800005</v>
      </c>
      <c r="V29" s="220">
        <v>250.53489316800005</v>
      </c>
      <c r="W29" s="220">
        <v>267.05220047999995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86.798939640197503</v>
      </c>
      <c r="C31" s="59">
        <f t="shared" si="25"/>
        <v>92.910662206039362</v>
      </c>
      <c r="D31" s="59">
        <f t="shared" si="25"/>
        <v>90.378240528037168</v>
      </c>
      <c r="E31" s="59">
        <f t="shared" si="25"/>
        <v>90.835682884549556</v>
      </c>
      <c r="F31" s="59">
        <f t="shared" si="25"/>
        <v>96.231024826263862</v>
      </c>
      <c r="G31" s="59">
        <f t="shared" si="25"/>
        <v>87.172010139375232</v>
      </c>
      <c r="H31" s="59">
        <f t="shared" si="25"/>
        <v>97.406706066603547</v>
      </c>
      <c r="I31" s="59">
        <f t="shared" si="25"/>
        <v>102.78813865125819</v>
      </c>
      <c r="J31" s="59">
        <f t="shared" si="25"/>
        <v>101.79452429633993</v>
      </c>
      <c r="K31" s="59">
        <f t="shared" si="25"/>
        <v>141.18253886255914</v>
      </c>
      <c r="L31" s="59">
        <f t="shared" si="25"/>
        <v>124.29734561203544</v>
      </c>
      <c r="M31" s="59">
        <f t="shared" si="25"/>
        <v>100.30515470369954</v>
      </c>
      <c r="N31" s="59">
        <f t="shared" si="25"/>
        <v>84.251926985267531</v>
      </c>
      <c r="O31" s="59">
        <f t="shared" si="25"/>
        <v>90.541863537488169</v>
      </c>
      <c r="P31" s="59">
        <f t="shared" si="25"/>
        <v>94.277045832181429</v>
      </c>
      <c r="Q31" s="59">
        <f t="shared" si="25"/>
        <v>88.073727942277628</v>
      </c>
      <c r="R31" s="59">
        <f t="shared" si="25"/>
        <v>95.697157782666096</v>
      </c>
      <c r="S31" s="59">
        <f t="shared" si="25"/>
        <v>84.708558691105395</v>
      </c>
      <c r="T31" s="59">
        <f t="shared" si="25"/>
        <v>96.628403155822838</v>
      </c>
      <c r="U31" s="59">
        <f t="shared" si="25"/>
        <v>90.115961968985559</v>
      </c>
      <c r="V31" s="59">
        <f t="shared" si="25"/>
        <v>80.746190135815496</v>
      </c>
      <c r="W31" s="59">
        <f t="shared" si="25"/>
        <v>83.466820192655177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126.45888445910974</v>
      </c>
      <c r="C32" s="55">
        <f t="shared" si="26"/>
        <v>122.34803499436492</v>
      </c>
      <c r="D32" s="55">
        <f t="shared" si="26"/>
        <v>127.81056238438663</v>
      </c>
      <c r="E32" s="55">
        <f t="shared" si="26"/>
        <v>135.43288032890183</v>
      </c>
      <c r="F32" s="55">
        <f t="shared" si="26"/>
        <v>134.84363036747558</v>
      </c>
      <c r="G32" s="55">
        <f t="shared" si="26"/>
        <v>154.42655608236757</v>
      </c>
      <c r="H32" s="55">
        <f t="shared" si="26"/>
        <v>146.93020171673029</v>
      </c>
      <c r="I32" s="55">
        <f t="shared" si="26"/>
        <v>137.23851152262927</v>
      </c>
      <c r="J32" s="55">
        <f t="shared" si="26"/>
        <v>139.32723127138397</v>
      </c>
      <c r="K32" s="55">
        <f t="shared" si="26"/>
        <v>156.36023356757102</v>
      </c>
      <c r="L32" s="55">
        <f t="shared" si="26"/>
        <v>144.58585940593423</v>
      </c>
      <c r="M32" s="55">
        <f t="shared" si="26"/>
        <v>132.80026593791027</v>
      </c>
      <c r="N32" s="55">
        <f t="shared" si="26"/>
        <v>135.04301399101351</v>
      </c>
      <c r="O32" s="55">
        <f t="shared" si="26"/>
        <v>132.95020410976795</v>
      </c>
      <c r="P32" s="55">
        <f t="shared" si="26"/>
        <v>130.15939664117738</v>
      </c>
      <c r="Q32" s="55">
        <f t="shared" si="26"/>
        <v>132.91816907674809</v>
      </c>
      <c r="R32" s="55">
        <f t="shared" si="26"/>
        <v>135.38540863538176</v>
      </c>
      <c r="S32" s="55">
        <f t="shared" si="26"/>
        <v>124.90211009173743</v>
      </c>
      <c r="T32" s="55">
        <f t="shared" si="26"/>
        <v>141.27985612939969</v>
      </c>
      <c r="U32" s="55">
        <f t="shared" si="26"/>
        <v>142.01198459584063</v>
      </c>
      <c r="V32" s="55">
        <f t="shared" si="26"/>
        <v>148.62601044661253</v>
      </c>
      <c r="W32" s="55">
        <f t="shared" si="26"/>
        <v>142.54014154785798</v>
      </c>
      <c r="DA32" s="217"/>
    </row>
    <row r="33" spans="1:105" x14ac:dyDescent="0.25">
      <c r="A33" s="35" t="s">
        <v>111</v>
      </c>
      <c r="B33" s="55">
        <f>IF(AGR_ued!B$5=0,"",AGR_ued!B$5/B$5*1000)</f>
        <v>53.204709717956213</v>
      </c>
      <c r="C33" s="55">
        <f>IF(AGR_ued!C$5=0,"",AGR_ued!C$5/C$5*1000)</f>
        <v>51.779496416016173</v>
      </c>
      <c r="D33" s="55">
        <f>IF(AGR_ued!D$5=0,"",AGR_ued!D$5/D$5*1000)</f>
        <v>53.242705108963023</v>
      </c>
      <c r="E33" s="55">
        <f>IF(AGR_ued!E$5=0,"",AGR_ued!E$5/E$5*1000)</f>
        <v>55.423022633170859</v>
      </c>
      <c r="F33" s="55">
        <f>IF(AGR_ued!F$5=0,"",AGR_ued!F$5/F$5*1000)</f>
        <v>55.795478270704052</v>
      </c>
      <c r="G33" s="55">
        <f>IF(AGR_ued!G$5=0,"",AGR_ued!G$5/G$5*1000)</f>
        <v>64.050958836198689</v>
      </c>
      <c r="H33" s="55">
        <f>IF(AGR_ued!H$5=0,"",AGR_ued!H$5/H$5*1000)</f>
        <v>60.892420464185975</v>
      </c>
      <c r="I33" s="55">
        <f>IF(AGR_ued!I$5=0,"",AGR_ued!I$5/I$5*1000)</f>
        <v>56.505055893450105</v>
      </c>
      <c r="J33" s="55">
        <f>IF(AGR_ued!J$5=0,"",AGR_ued!J$5/J$5*1000)</f>
        <v>57.295982542435844</v>
      </c>
      <c r="K33" s="55">
        <f>IF(AGR_ued!K$5=0,"",AGR_ued!K$5/K$5*1000)</f>
        <v>63.98756419988878</v>
      </c>
      <c r="L33" s="55">
        <f>IF(AGR_ued!L$5=0,"",AGR_ued!L$5/L$5*1000)</f>
        <v>58.368931205949998</v>
      </c>
      <c r="M33" s="55">
        <f>IF(AGR_ued!M$5=0,"",AGR_ued!M$5/M$5*1000)</f>
        <v>53.055635888316772</v>
      </c>
      <c r="N33" s="55">
        <f>IF(AGR_ued!N$5=0,"",AGR_ued!N$5/N$5*1000)</f>
        <v>53.987959518190927</v>
      </c>
      <c r="O33" s="55">
        <f>IF(AGR_ued!O$5=0,"",AGR_ued!O$5/O$5*1000)</f>
        <v>52.646600960354618</v>
      </c>
      <c r="P33" s="55">
        <f>IF(AGR_ued!P$5=0,"",AGR_ued!P$5/P$5*1000)</f>
        <v>50.665390272849621</v>
      </c>
      <c r="Q33" s="55">
        <f>IF(AGR_ued!Q$5=0,"",AGR_ued!Q$5/Q$5*1000)</f>
        <v>52.337413093261304</v>
      </c>
      <c r="R33" s="55">
        <f>IF(AGR_ued!R$5=0,"",AGR_ued!R$5/R$5*1000)</f>
        <v>53.761113572056317</v>
      </c>
      <c r="S33" s="55">
        <f>IF(AGR_ued!S$5=0,"",AGR_ued!S$5/S$5*1000)</f>
        <v>49.093085445294214</v>
      </c>
      <c r="T33" s="55">
        <f>IF(AGR_ued!T$5=0,"",AGR_ued!T$5/T$5*1000)</f>
        <v>55.813610379355254</v>
      </c>
      <c r="U33" s="55">
        <f>IF(AGR_ued!U$5=0,"",AGR_ued!U$5/U$5*1000)</f>
        <v>55.549792698476843</v>
      </c>
      <c r="V33" s="55">
        <f>IF(AGR_ued!V$5=0,"",AGR_ued!V$5/V$5*1000)</f>
        <v>57.56188207444783</v>
      </c>
      <c r="W33" s="55">
        <f>IF(AGR_ued!W$5=0,"",AGR_ued!W$5/W$5*1000)</f>
        <v>55.332466921868757</v>
      </c>
      <c r="DA33" s="217"/>
    </row>
    <row r="34" spans="1:105" x14ac:dyDescent="0.25">
      <c r="A34" s="37" t="s">
        <v>110</v>
      </c>
      <c r="B34" s="218">
        <f t="shared" ref="B34:W34" si="27">IF(B$12=0,"",B$29/B$12)</f>
        <v>1.8476810343511996</v>
      </c>
      <c r="C34" s="218">
        <f t="shared" si="27"/>
        <v>1.7378976464792371</v>
      </c>
      <c r="D34" s="218">
        <f t="shared" si="27"/>
        <v>1.80296979306075</v>
      </c>
      <c r="E34" s="218">
        <f t="shared" si="27"/>
        <v>1.8125149802798628</v>
      </c>
      <c r="F34" s="218">
        <f t="shared" si="27"/>
        <v>1.9257824879689645</v>
      </c>
      <c r="G34" s="218">
        <f t="shared" si="27"/>
        <v>1.9690028976155443</v>
      </c>
      <c r="H34" s="218">
        <f t="shared" si="27"/>
        <v>1.9905962927649654</v>
      </c>
      <c r="I34" s="218">
        <f t="shared" si="27"/>
        <v>1.972270042097473</v>
      </c>
      <c r="J34" s="218">
        <f t="shared" si="27"/>
        <v>1.9398093869216988</v>
      </c>
      <c r="K34" s="218">
        <f t="shared" si="27"/>
        <v>1.8832483960435391</v>
      </c>
      <c r="L34" s="218">
        <f t="shared" si="27"/>
        <v>1.9912982724528416</v>
      </c>
      <c r="M34" s="218">
        <f t="shared" si="27"/>
        <v>2.0038463253054091</v>
      </c>
      <c r="N34" s="218">
        <f t="shared" si="27"/>
        <v>2.024459073765196</v>
      </c>
      <c r="O34" s="218">
        <f t="shared" si="27"/>
        <v>2.0644409182969086</v>
      </c>
      <c r="P34" s="218">
        <f t="shared" si="27"/>
        <v>2.1281895094300265</v>
      </c>
      <c r="Q34" s="218">
        <f t="shared" si="27"/>
        <v>2.0807492741110551</v>
      </c>
      <c r="R34" s="218">
        <f t="shared" si="27"/>
        <v>2.0318604016698054</v>
      </c>
      <c r="S34" s="218">
        <f t="shared" si="27"/>
        <v>2.0026265927681739</v>
      </c>
      <c r="T34" s="218">
        <f t="shared" si="27"/>
        <v>1.9654739070837934</v>
      </c>
      <c r="U34" s="218">
        <f t="shared" si="27"/>
        <v>2.0251322031330576</v>
      </c>
      <c r="V34" s="218">
        <f t="shared" si="27"/>
        <v>2.023672997242596</v>
      </c>
      <c r="W34" s="218">
        <f t="shared" si="27"/>
        <v>2.0268512203474951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99.542820292347372</v>
      </c>
      <c r="C5" s="80">
        <f t="shared" ref="C5:W5" si="1">SUM(C6:C9,C16:C17,C25:C27)</f>
        <v>98.898624247635411</v>
      </c>
      <c r="D5" s="80">
        <f t="shared" si="1"/>
        <v>100.65984522785898</v>
      </c>
      <c r="E5" s="80">
        <f t="shared" si="1"/>
        <v>102.844969905417</v>
      </c>
      <c r="F5" s="80">
        <f t="shared" si="1"/>
        <v>108.51556319862425</v>
      </c>
      <c r="G5" s="80">
        <f t="shared" si="1"/>
        <v>109.79320722269988</v>
      </c>
      <c r="H5" s="80">
        <f t="shared" si="1"/>
        <v>117.98065348237319</v>
      </c>
      <c r="I5" s="80">
        <f t="shared" si="1"/>
        <v>125.05735167669823</v>
      </c>
      <c r="J5" s="80">
        <f t="shared" si="1"/>
        <v>120.11599312123815</v>
      </c>
      <c r="K5" s="80">
        <f t="shared" si="1"/>
        <v>109.02854686156488</v>
      </c>
      <c r="L5" s="80">
        <f t="shared" si="1"/>
        <v>116.6607910576096</v>
      </c>
      <c r="M5" s="80">
        <f t="shared" si="1"/>
        <v>115.08753224419598</v>
      </c>
      <c r="N5" s="80">
        <f t="shared" si="1"/>
        <v>113.92459157351675</v>
      </c>
      <c r="O5" s="80">
        <f t="shared" si="1"/>
        <v>112.68968185726567</v>
      </c>
      <c r="P5" s="80">
        <f t="shared" si="1"/>
        <v>117.62321582115213</v>
      </c>
      <c r="Q5" s="80">
        <f t="shared" si="1"/>
        <v>112.51418744625964</v>
      </c>
      <c r="R5" s="80">
        <f t="shared" si="1"/>
        <v>113.9700773860705</v>
      </c>
      <c r="S5" s="80">
        <f t="shared" si="1"/>
        <v>118.88976784178847</v>
      </c>
      <c r="T5" s="80">
        <f t="shared" si="1"/>
        <v>115.69140154772138</v>
      </c>
      <c r="U5" s="80">
        <f t="shared" si="1"/>
        <v>121.65614789337916</v>
      </c>
      <c r="V5" s="80">
        <f t="shared" si="1"/>
        <v>123.80206362854685</v>
      </c>
      <c r="W5" s="80">
        <f t="shared" si="1"/>
        <v>131.75717970765254</v>
      </c>
      <c r="DA5" s="103"/>
    </row>
    <row r="6" spans="1:105" x14ac:dyDescent="0.25">
      <c r="A6" s="239" t="s">
        <v>125</v>
      </c>
      <c r="B6" s="240">
        <v>2.7176294566736812</v>
      </c>
      <c r="C6" s="240">
        <v>2.8131928369680832</v>
      </c>
      <c r="D6" s="240">
        <v>2.7164884835775629</v>
      </c>
      <c r="E6" s="240">
        <v>2.4723615508647878</v>
      </c>
      <c r="F6" s="240">
        <v>2.687933011447889</v>
      </c>
      <c r="G6" s="240">
        <v>2.8301363378194391</v>
      </c>
      <c r="H6" s="240">
        <v>2.9441635063095948</v>
      </c>
      <c r="I6" s="240">
        <v>3.0780194512849191</v>
      </c>
      <c r="J6" s="240">
        <v>2.9350348001949822</v>
      </c>
      <c r="K6" s="240">
        <v>2.707987702730958</v>
      </c>
      <c r="L6" s="240">
        <v>2.6179671754457958</v>
      </c>
      <c r="M6" s="240">
        <v>2.526368617779803</v>
      </c>
      <c r="N6" s="240">
        <v>2.6926550796258679</v>
      </c>
      <c r="O6" s="240">
        <v>2.5764545384914852</v>
      </c>
      <c r="P6" s="240">
        <v>2.6430967218844459</v>
      </c>
      <c r="Q6" s="240">
        <v>2.7328209281175431</v>
      </c>
      <c r="R6" s="240">
        <v>2.8957343927143668</v>
      </c>
      <c r="S6" s="240">
        <v>2.8969467020419519</v>
      </c>
      <c r="T6" s="240">
        <v>2.9503456175351461</v>
      </c>
      <c r="U6" s="240">
        <v>2.992927011882927</v>
      </c>
      <c r="V6" s="240">
        <v>2.8521738396108449</v>
      </c>
      <c r="W6" s="240">
        <v>3.027906695445818</v>
      </c>
      <c r="DA6" s="268" t="s">
        <v>993</v>
      </c>
    </row>
    <row r="7" spans="1:105" x14ac:dyDescent="0.25">
      <c r="A7" s="241" t="s">
        <v>124</v>
      </c>
      <c r="B7" s="242">
        <v>1.7664591468378921</v>
      </c>
      <c r="C7" s="242">
        <v>1.8285753440292529</v>
      </c>
      <c r="D7" s="242">
        <v>1.765717514325416</v>
      </c>
      <c r="E7" s="242">
        <v>1.607035008062111</v>
      </c>
      <c r="F7" s="242">
        <v>1.7471564574411269</v>
      </c>
      <c r="G7" s="242">
        <v>1.8395886195826341</v>
      </c>
      <c r="H7" s="242">
        <v>1.913706279101236</v>
      </c>
      <c r="I7" s="242">
        <v>2.0007126433351972</v>
      </c>
      <c r="J7" s="242">
        <v>1.907772620126738</v>
      </c>
      <c r="K7" s="242">
        <v>1.760192006775122</v>
      </c>
      <c r="L7" s="242">
        <v>1.701678664039767</v>
      </c>
      <c r="M7" s="242">
        <v>1.642139601556871</v>
      </c>
      <c r="N7" s="242">
        <v>1.7502258017568131</v>
      </c>
      <c r="O7" s="242">
        <v>1.6746954500194651</v>
      </c>
      <c r="P7" s="242">
        <v>1.718012869224889</v>
      </c>
      <c r="Q7" s="242">
        <v>1.7763336032764021</v>
      </c>
      <c r="R7" s="242">
        <v>1.882227355264338</v>
      </c>
      <c r="S7" s="242">
        <v>1.883015356327268</v>
      </c>
      <c r="T7" s="242">
        <v>1.9177246513978441</v>
      </c>
      <c r="U7" s="242">
        <v>1.945402557723902</v>
      </c>
      <c r="V7" s="242">
        <v>1.853912995747049</v>
      </c>
      <c r="W7" s="242">
        <v>1.968139352039781</v>
      </c>
      <c r="DA7" s="269" t="s">
        <v>994</v>
      </c>
    </row>
    <row r="8" spans="1:105" x14ac:dyDescent="0.25">
      <c r="A8" s="241" t="s">
        <v>123</v>
      </c>
      <c r="B8" s="242">
        <v>2.445866511006312</v>
      </c>
      <c r="C8" s="242">
        <v>2.5318735532712751</v>
      </c>
      <c r="D8" s="242">
        <v>2.444839635219807</v>
      </c>
      <c r="E8" s="242">
        <v>2.2251253957783081</v>
      </c>
      <c r="F8" s="242">
        <v>2.4191397103031012</v>
      </c>
      <c r="G8" s="242">
        <v>2.547122704037494</v>
      </c>
      <c r="H8" s="242">
        <v>2.6497471556786341</v>
      </c>
      <c r="I8" s="242">
        <v>2.7702175061564271</v>
      </c>
      <c r="J8" s="242">
        <v>2.641531320175484</v>
      </c>
      <c r="K8" s="242">
        <v>2.4371889324578611</v>
      </c>
      <c r="L8" s="242">
        <v>2.3561704579012162</v>
      </c>
      <c r="M8" s="242">
        <v>2.273731756001824</v>
      </c>
      <c r="N8" s="242">
        <v>2.423389571663281</v>
      </c>
      <c r="O8" s="242">
        <v>2.3188090846423361</v>
      </c>
      <c r="P8" s="242">
        <v>2.3787870496960011</v>
      </c>
      <c r="Q8" s="242">
        <v>2.4595388353057892</v>
      </c>
      <c r="R8" s="242">
        <v>2.6061609534429291</v>
      </c>
      <c r="S8" s="242">
        <v>2.6072520318377559</v>
      </c>
      <c r="T8" s="242">
        <v>2.6553110557816311</v>
      </c>
      <c r="U8" s="242">
        <v>2.6936343106946339</v>
      </c>
      <c r="V8" s="242">
        <v>2.5669564556497608</v>
      </c>
      <c r="W8" s="242">
        <v>2.7251160259012361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24.600758631437373</v>
      </c>
      <c r="C9" s="244">
        <f t="shared" ref="C9:W9" si="3">SUM(C10:C15)</f>
        <v>24.521064235522317</v>
      </c>
      <c r="D9" s="244">
        <f t="shared" si="3"/>
        <v>24.032002506975161</v>
      </c>
      <c r="E9" s="244">
        <f t="shared" si="3"/>
        <v>24.281956553121816</v>
      </c>
      <c r="F9" s="244">
        <f t="shared" si="3"/>
        <v>25.981280094165474</v>
      </c>
      <c r="G9" s="244">
        <f t="shared" si="3"/>
        <v>26.071358558506223</v>
      </c>
      <c r="H9" s="244">
        <f t="shared" si="3"/>
        <v>28.055670795663055</v>
      </c>
      <c r="I9" s="244">
        <f t="shared" si="3"/>
        <v>29.260920724176671</v>
      </c>
      <c r="J9" s="244">
        <f t="shared" si="3"/>
        <v>28.18915160646285</v>
      </c>
      <c r="K9" s="244">
        <f t="shared" si="3"/>
        <v>25.195254957267277</v>
      </c>
      <c r="L9" s="244">
        <f t="shared" si="3"/>
        <v>26.474092412433933</v>
      </c>
      <c r="M9" s="244">
        <f t="shared" si="3"/>
        <v>25.405973518360799</v>
      </c>
      <c r="N9" s="244">
        <f t="shared" si="3"/>
        <v>24.499644315750835</v>
      </c>
      <c r="O9" s="244">
        <f t="shared" si="3"/>
        <v>23.815135370037073</v>
      </c>
      <c r="P9" s="244">
        <f t="shared" si="3"/>
        <v>23.577511603728393</v>
      </c>
      <c r="Q9" s="244">
        <f t="shared" si="3"/>
        <v>22.85643186470303</v>
      </c>
      <c r="R9" s="244">
        <f t="shared" si="3"/>
        <v>23.376899731301286</v>
      </c>
      <c r="S9" s="244">
        <f t="shared" si="3"/>
        <v>23.931765893665883</v>
      </c>
      <c r="T9" s="244">
        <f t="shared" si="3"/>
        <v>23.322330401985269</v>
      </c>
      <c r="U9" s="244">
        <f t="shared" si="3"/>
        <v>23.90696878924237</v>
      </c>
      <c r="V9" s="244">
        <f t="shared" si="3"/>
        <v>24.162641525355575</v>
      </c>
      <c r="W9" s="244">
        <f t="shared" si="3"/>
        <v>25.837685594614111</v>
      </c>
      <c r="DA9" s="270"/>
    </row>
    <row r="10" spans="1:105" x14ac:dyDescent="0.25">
      <c r="A10" s="254" t="s">
        <v>173</v>
      </c>
      <c r="B10" s="255">
        <v>3.122591549018551</v>
      </c>
      <c r="C10" s="255">
        <v>2.527833929258863</v>
      </c>
      <c r="D10" s="255">
        <v>3.218000387740743</v>
      </c>
      <c r="E10" s="255">
        <v>3.582245698878967</v>
      </c>
      <c r="F10" s="255">
        <v>3.457577054393731</v>
      </c>
      <c r="G10" s="255">
        <v>4.001955893946481</v>
      </c>
      <c r="H10" s="255">
        <v>3.7107122984622052</v>
      </c>
      <c r="I10" s="255">
        <v>4.0670561356864141</v>
      </c>
      <c r="J10" s="255">
        <v>4.43969640842566</v>
      </c>
      <c r="K10" s="255">
        <v>4.3315376723348589</v>
      </c>
      <c r="L10" s="255">
        <v>5.1583977171500912</v>
      </c>
      <c r="M10" s="255">
        <v>5.4887584545157146</v>
      </c>
      <c r="N10" s="255">
        <v>6.5705633405036794</v>
      </c>
      <c r="O10" s="255">
        <v>6.462261723839088</v>
      </c>
      <c r="P10" s="255">
        <v>7.8314565298013781</v>
      </c>
      <c r="Q10" s="255">
        <v>6.6004041292540263</v>
      </c>
      <c r="R10" s="255">
        <v>6.5887664365383243</v>
      </c>
      <c r="S10" s="255">
        <v>6.927939688327263</v>
      </c>
      <c r="T10" s="255">
        <v>6.8715026753992614</v>
      </c>
      <c r="U10" s="255">
        <v>7.8530523612024892</v>
      </c>
      <c r="V10" s="255">
        <v>8.9372000210219138</v>
      </c>
      <c r="W10" s="255">
        <v>9.0873049441211542</v>
      </c>
      <c r="DA10" s="271" t="s">
        <v>996</v>
      </c>
    </row>
    <row r="11" spans="1:105" x14ac:dyDescent="0.25">
      <c r="A11" s="254" t="s">
        <v>176</v>
      </c>
      <c r="B11" s="256">
        <v>7.1261595944658556</v>
      </c>
      <c r="C11" s="256">
        <v>8.3005530470094744</v>
      </c>
      <c r="D11" s="256">
        <v>8.8924892485477383</v>
      </c>
      <c r="E11" s="256">
        <v>9.1864541195618195</v>
      </c>
      <c r="F11" s="256">
        <v>10.249180650303231</v>
      </c>
      <c r="G11" s="256">
        <v>9.2830250237991834</v>
      </c>
      <c r="H11" s="256">
        <v>12.534735615565729</v>
      </c>
      <c r="I11" s="256">
        <v>13.780694432479621</v>
      </c>
      <c r="J11" s="256">
        <v>11.597458089181769</v>
      </c>
      <c r="K11" s="256">
        <v>9.4585999076745892</v>
      </c>
      <c r="L11" s="256">
        <v>11.48111096741726</v>
      </c>
      <c r="M11" s="256">
        <v>11.692996243210491</v>
      </c>
      <c r="N11" s="256">
        <v>10.34523685416943</v>
      </c>
      <c r="O11" s="256">
        <v>10.186393113361691</v>
      </c>
      <c r="P11" s="256">
        <v>9.0513065243136896</v>
      </c>
      <c r="Q11" s="256">
        <v>8.7774840518519817</v>
      </c>
      <c r="R11" s="256">
        <v>8.7054123085220745</v>
      </c>
      <c r="S11" s="256">
        <v>9.3255330594813692</v>
      </c>
      <c r="T11" s="256">
        <v>8.7157114457487044</v>
      </c>
      <c r="U11" s="256">
        <v>9.0371241436356726</v>
      </c>
      <c r="V11" s="256">
        <v>9.0115041669508074</v>
      </c>
      <c r="W11" s="256">
        <v>10.48931223538564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11.775064488357961</v>
      </c>
      <c r="C14" s="255">
        <v>10.81969045569873</v>
      </c>
      <c r="D14" s="255">
        <v>9.3388650043073653</v>
      </c>
      <c r="E14" s="255">
        <v>9.6016337059310786</v>
      </c>
      <c r="F14" s="255">
        <v>10.150988822010429</v>
      </c>
      <c r="G14" s="255">
        <v>10.342046431645979</v>
      </c>
      <c r="H14" s="255">
        <v>9.5061049011130248</v>
      </c>
      <c r="I14" s="255">
        <v>9.0044711951788745</v>
      </c>
      <c r="J14" s="255">
        <v>9.8882201203718374</v>
      </c>
      <c r="K14" s="255">
        <v>9.1239036973366066</v>
      </c>
      <c r="L14" s="255">
        <v>8.0490971624990753</v>
      </c>
      <c r="M14" s="255">
        <v>6.4966466036005208</v>
      </c>
      <c r="N14" s="255">
        <v>5.3979363714478801</v>
      </c>
      <c r="O14" s="255">
        <v>5.0874462596685968</v>
      </c>
      <c r="P14" s="255">
        <v>4.3470335339658916</v>
      </c>
      <c r="Q14" s="255">
        <v>4.6336199484197369</v>
      </c>
      <c r="R14" s="255">
        <v>4.8485812553823839</v>
      </c>
      <c r="S14" s="255">
        <v>4.5619948409400823</v>
      </c>
      <c r="T14" s="255">
        <v>4.2753224419685498</v>
      </c>
      <c r="U14" s="255">
        <v>3.6065348237406112</v>
      </c>
      <c r="V14" s="255">
        <v>3.415477214104464</v>
      </c>
      <c r="W14" s="255">
        <v>3.343852106623018</v>
      </c>
      <c r="DA14" s="271" t="s">
        <v>1000</v>
      </c>
    </row>
    <row r="15" spans="1:105" x14ac:dyDescent="0.25">
      <c r="A15" s="254" t="s">
        <v>24</v>
      </c>
      <c r="B15" s="256">
        <v>2.5769429995950039</v>
      </c>
      <c r="C15" s="256">
        <v>2.872986803555249</v>
      </c>
      <c r="D15" s="256">
        <v>2.582647866379316</v>
      </c>
      <c r="E15" s="256">
        <v>1.9116230287499489</v>
      </c>
      <c r="F15" s="256">
        <v>2.123533567458082</v>
      </c>
      <c r="G15" s="256">
        <v>2.444331209114579</v>
      </c>
      <c r="H15" s="256">
        <v>2.3041179805220948</v>
      </c>
      <c r="I15" s="256">
        <v>2.408698960831765</v>
      </c>
      <c r="J15" s="256">
        <v>2.2637769884835852</v>
      </c>
      <c r="K15" s="256">
        <v>2.2812136799212221</v>
      </c>
      <c r="L15" s="256">
        <v>1.7854865653675061</v>
      </c>
      <c r="M15" s="256">
        <v>1.7275722170340719</v>
      </c>
      <c r="N15" s="256">
        <v>2.185907749629846</v>
      </c>
      <c r="O15" s="256">
        <v>2.079034273167697</v>
      </c>
      <c r="P15" s="256">
        <v>2.3477150156474358</v>
      </c>
      <c r="Q15" s="256">
        <v>2.8449237351772871</v>
      </c>
      <c r="R15" s="256">
        <v>3.2341397308585011</v>
      </c>
      <c r="S15" s="256">
        <v>3.1162983049171662</v>
      </c>
      <c r="T15" s="256">
        <v>3.4597938388687548</v>
      </c>
      <c r="U15" s="256">
        <v>3.4102574606635958</v>
      </c>
      <c r="V15" s="256">
        <v>2.7984601232783888</v>
      </c>
      <c r="W15" s="256">
        <v>2.9172163084842988</v>
      </c>
      <c r="DA15" s="272" t="s">
        <v>1001</v>
      </c>
    </row>
    <row r="16" spans="1:105" x14ac:dyDescent="0.25">
      <c r="A16" s="257" t="s">
        <v>175</v>
      </c>
      <c r="B16" s="258">
        <v>18.69610623974231</v>
      </c>
      <c r="C16" s="258">
        <v>17.733434610000131</v>
      </c>
      <c r="D16" s="258">
        <v>18.95064772061351</v>
      </c>
      <c r="E16" s="258">
        <v>19.572108300581039</v>
      </c>
      <c r="F16" s="258">
        <v>20.404540289565571</v>
      </c>
      <c r="G16" s="258">
        <v>21.325215776207251</v>
      </c>
      <c r="H16" s="258">
        <v>22.28548577835836</v>
      </c>
      <c r="I16" s="258">
        <v>23.678699504021129</v>
      </c>
      <c r="J16" s="258">
        <v>23.44017978055949</v>
      </c>
      <c r="K16" s="258">
        <v>21.383446204198329</v>
      </c>
      <c r="L16" s="258">
        <v>23.488708808149571</v>
      </c>
      <c r="M16" s="258">
        <v>23.354290848330709</v>
      </c>
      <c r="N16" s="258">
        <v>24.125732151325259</v>
      </c>
      <c r="O16" s="258">
        <v>23.48060984429635</v>
      </c>
      <c r="P16" s="258">
        <v>24.606900722165229</v>
      </c>
      <c r="Q16" s="258">
        <v>22.926277348481719</v>
      </c>
      <c r="R16" s="258">
        <v>23.303815316711621</v>
      </c>
      <c r="S16" s="258">
        <v>24.05422401613021</v>
      </c>
      <c r="T16" s="258">
        <v>23.60692147693668</v>
      </c>
      <c r="U16" s="258">
        <v>25.027167269685791</v>
      </c>
      <c r="V16" s="258">
        <v>26.139414043427291</v>
      </c>
      <c r="W16" s="258">
        <v>27.622266324042929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39.065195515620935</v>
      </c>
      <c r="C17" s="258">
        <f t="shared" ref="C17:W17" si="5">SUM(C18:C24)</f>
        <v>39.170533971389986</v>
      </c>
      <c r="D17" s="258">
        <f t="shared" si="5"/>
        <v>40.453227693375979</v>
      </c>
      <c r="E17" s="258">
        <f t="shared" si="5"/>
        <v>42.868153578861261</v>
      </c>
      <c r="F17" s="258">
        <f t="shared" si="5"/>
        <v>44.769175295181967</v>
      </c>
      <c r="G17" s="258">
        <f t="shared" si="5"/>
        <v>44.148133269002713</v>
      </c>
      <c r="H17" s="258">
        <f t="shared" si="5"/>
        <v>48.636337563377616</v>
      </c>
      <c r="I17" s="258">
        <f t="shared" si="5"/>
        <v>52.177574750603227</v>
      </c>
      <c r="J17" s="258">
        <f t="shared" si="5"/>
        <v>49.307261844389252</v>
      </c>
      <c r="K17" s="258">
        <f t="shared" si="5"/>
        <v>44.800899794543113</v>
      </c>
      <c r="L17" s="258">
        <f t="shared" si="5"/>
        <v>49.094602813866452</v>
      </c>
      <c r="M17" s="258">
        <f t="shared" si="5"/>
        <v>49.207703173856352</v>
      </c>
      <c r="N17" s="258">
        <f t="shared" si="5"/>
        <v>47.199979218211979</v>
      </c>
      <c r="O17" s="258">
        <f t="shared" si="5"/>
        <v>47.999669087943104</v>
      </c>
      <c r="P17" s="258">
        <f t="shared" si="5"/>
        <v>51.494898844923384</v>
      </c>
      <c r="Q17" s="258">
        <f t="shared" si="5"/>
        <v>48.661898338680949</v>
      </c>
      <c r="R17" s="258">
        <f t="shared" si="5"/>
        <v>48.332668053786456</v>
      </c>
      <c r="S17" s="258">
        <f t="shared" si="5"/>
        <v>51.796824815790146</v>
      </c>
      <c r="T17" s="258">
        <f t="shared" si="5"/>
        <v>49.474154885733725</v>
      </c>
      <c r="U17" s="258">
        <f t="shared" si="5"/>
        <v>52.948198014631487</v>
      </c>
      <c r="V17" s="258">
        <f t="shared" si="5"/>
        <v>54.216232614571467</v>
      </c>
      <c r="W17" s="258">
        <f t="shared" si="5"/>
        <v>57.849845641224377</v>
      </c>
      <c r="DA17" s="273"/>
    </row>
    <row r="18" spans="1:105" x14ac:dyDescent="0.25">
      <c r="A18" s="61" t="s">
        <v>29</v>
      </c>
      <c r="B18" s="55">
        <v>0.5423043852176187</v>
      </c>
      <c r="C18" s="55">
        <v>0.54230438521430413</v>
      </c>
      <c r="D18" s="55">
        <v>0.54230438520633018</v>
      </c>
      <c r="E18" s="55">
        <v>1.084608770411905</v>
      </c>
      <c r="F18" s="55">
        <v>0.54230438520743884</v>
      </c>
      <c r="G18" s="55">
        <v>1.0846087704134291</v>
      </c>
      <c r="H18" s="55">
        <v>1.084608770415467</v>
      </c>
      <c r="I18" s="55">
        <v>0.85993121237636738</v>
      </c>
      <c r="J18" s="55">
        <v>0.85993121237534187</v>
      </c>
      <c r="K18" s="55">
        <v>0.54230438520351842</v>
      </c>
      <c r="L18" s="55">
        <v>0.85993121237535064</v>
      </c>
      <c r="M18" s="55">
        <v>0.91762682716364063</v>
      </c>
      <c r="N18" s="55">
        <v>0.91762682716281208</v>
      </c>
      <c r="O18" s="55">
        <v>1.835339638844484</v>
      </c>
      <c r="P18" s="55">
        <v>2.1175408426257132</v>
      </c>
      <c r="Q18" s="55">
        <v>2.1175408426220259</v>
      </c>
      <c r="R18" s="55">
        <v>2.7175408426276042</v>
      </c>
      <c r="S18" s="55">
        <v>2.6364574376304919</v>
      </c>
      <c r="T18" s="55">
        <v>2.7952708512271141</v>
      </c>
      <c r="U18" s="55">
        <v>2.184694754922337</v>
      </c>
      <c r="V18" s="55">
        <v>1.2987962166708931</v>
      </c>
      <c r="W18" s="55">
        <v>1.125881341349634</v>
      </c>
      <c r="DA18" s="101" t="s">
        <v>1003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1.1097162510682099</v>
      </c>
      <c r="G19" s="55">
        <v>1.109716251066728</v>
      </c>
      <c r="H19" s="55">
        <v>1.109716251068813</v>
      </c>
      <c r="I19" s="55">
        <v>1.1086844367944091</v>
      </c>
      <c r="J19" s="55">
        <v>1.108684436793087</v>
      </c>
      <c r="K19" s="55">
        <v>1.108684436786771</v>
      </c>
      <c r="L19" s="55">
        <v>1.1086844367930979</v>
      </c>
      <c r="M19" s="55">
        <v>1.108684436792353</v>
      </c>
      <c r="N19" s="55">
        <v>1.108684436791352</v>
      </c>
      <c r="O19" s="55">
        <v>1.1086844367889801</v>
      </c>
      <c r="P19" s="55">
        <v>2.2174548581018612</v>
      </c>
      <c r="Q19" s="55">
        <v>1.0926913155496289</v>
      </c>
      <c r="R19" s="55">
        <v>2.1854686156325198</v>
      </c>
      <c r="S19" s="55">
        <v>3.3903697334084621</v>
      </c>
      <c r="T19" s="55">
        <v>2.4039552880312409</v>
      </c>
      <c r="U19" s="55">
        <v>3.6060189165590741</v>
      </c>
      <c r="V19" s="55">
        <v>3.609114359387227</v>
      </c>
      <c r="W19" s="55">
        <v>4.8122098021974651</v>
      </c>
      <c r="DA19" s="101" t="s">
        <v>1004</v>
      </c>
    </row>
    <row r="20" spans="1:105" x14ac:dyDescent="0.25">
      <c r="A20" s="61" t="s">
        <v>173</v>
      </c>
      <c r="B20" s="55">
        <v>7.285766115718693</v>
      </c>
      <c r="C20" s="55">
        <v>5.962832504003754</v>
      </c>
      <c r="D20" s="55">
        <v>6.8869035285985341</v>
      </c>
      <c r="E20" s="55">
        <v>6.8035328922032301</v>
      </c>
      <c r="F20" s="55">
        <v>6.9575648881019516</v>
      </c>
      <c r="G20" s="55">
        <v>8.3809433317519915</v>
      </c>
      <c r="H20" s="55">
        <v>7.5273930415964037</v>
      </c>
      <c r="I20" s="55">
        <v>7.8238753742563594</v>
      </c>
      <c r="J20" s="55">
        <v>8.764307208172383</v>
      </c>
      <c r="K20" s="55">
        <v>8.2382615255690155</v>
      </c>
      <c r="L20" s="55">
        <v>9.0164704454001221</v>
      </c>
      <c r="M20" s="55">
        <v>8.8463571990141538</v>
      </c>
      <c r="N20" s="55">
        <v>10.9596614725472</v>
      </c>
      <c r="O20" s="55">
        <v>9.7796133625324995</v>
      </c>
      <c r="P20" s="55">
        <v>10.15385799220226</v>
      </c>
      <c r="Q20" s="55">
        <v>9.062942150248249</v>
      </c>
      <c r="R20" s="55">
        <v>9.6482265362772228</v>
      </c>
      <c r="S20" s="55">
        <v>9.2333638946608101</v>
      </c>
      <c r="T20" s="55">
        <v>9.6184131933111665</v>
      </c>
      <c r="U20" s="55">
        <v>10.117136432102541</v>
      </c>
      <c r="V20" s="55">
        <v>11.144933686406601</v>
      </c>
      <c r="W20" s="55">
        <v>11.37931264911232</v>
      </c>
      <c r="DA20" s="101" t="s">
        <v>1005</v>
      </c>
    </row>
    <row r="21" spans="1:105" x14ac:dyDescent="0.25">
      <c r="A21" s="61" t="s">
        <v>129</v>
      </c>
      <c r="B21" s="55">
        <v>8.1134135856586784</v>
      </c>
      <c r="C21" s="55">
        <v>4.0092863284878044</v>
      </c>
      <c r="D21" s="55">
        <v>4.0092863284288516</v>
      </c>
      <c r="E21" s="55">
        <v>5.041100601847881</v>
      </c>
      <c r="F21" s="55">
        <v>8.0596732587655069</v>
      </c>
      <c r="G21" s="55">
        <v>8.0417024934926236</v>
      </c>
      <c r="H21" s="55">
        <v>7.1816852966078244</v>
      </c>
      <c r="I21" s="55">
        <v>7.180911435896407</v>
      </c>
      <c r="J21" s="55">
        <v>6.1501289767381966</v>
      </c>
      <c r="K21" s="55">
        <v>6.1501289767031659</v>
      </c>
      <c r="L21" s="55">
        <v>7.1739466895423103</v>
      </c>
      <c r="M21" s="55">
        <v>7.0930352535966126</v>
      </c>
      <c r="N21" s="55">
        <v>5.1114359414843076</v>
      </c>
      <c r="O21" s="55">
        <v>8.204815133184276</v>
      </c>
      <c r="P21" s="55">
        <v>13.352192605188479</v>
      </c>
      <c r="Q21" s="55">
        <v>13.44505588977284</v>
      </c>
      <c r="R21" s="55">
        <v>9.3063628546152017</v>
      </c>
      <c r="S21" s="55">
        <v>9.3710232157119275</v>
      </c>
      <c r="T21" s="55">
        <v>7.3377472054513948</v>
      </c>
      <c r="U21" s="55">
        <v>10.32656921743793</v>
      </c>
      <c r="V21" s="55">
        <v>9.704987102246081</v>
      </c>
      <c r="W21" s="55">
        <v>9.507910576020965</v>
      </c>
      <c r="DA21" s="101" t="s">
        <v>1006</v>
      </c>
    </row>
    <row r="22" spans="1:105" x14ac:dyDescent="0.25">
      <c r="A22" s="61" t="s">
        <v>176</v>
      </c>
      <c r="B22" s="55">
        <v>16.62706482533126</v>
      </c>
      <c r="C22" s="55">
        <v>19.579928466434861</v>
      </c>
      <c r="D22" s="55">
        <v>19.030984526028551</v>
      </c>
      <c r="E22" s="55">
        <v>17.447251813216951</v>
      </c>
      <c r="F22" s="55">
        <v>20.62407816298613</v>
      </c>
      <c r="G22" s="55">
        <v>19.440620719828729</v>
      </c>
      <c r="H22" s="55">
        <v>25.427431194264859</v>
      </c>
      <c r="I22" s="55">
        <v>26.510191207929331</v>
      </c>
      <c r="J22" s="55">
        <v>22.894287396452</v>
      </c>
      <c r="K22" s="55">
        <v>17.989551424850749</v>
      </c>
      <c r="L22" s="55">
        <v>20.068072179449779</v>
      </c>
      <c r="M22" s="55">
        <v>18.845868760915859</v>
      </c>
      <c r="N22" s="55">
        <v>17.255794959937901</v>
      </c>
      <c r="O22" s="55">
        <v>15.41549854595792</v>
      </c>
      <c r="P22" s="55">
        <v>11.73545185905615</v>
      </c>
      <c r="Q22" s="55">
        <v>12.052266592902059</v>
      </c>
      <c r="R22" s="55">
        <v>12.74772612647741</v>
      </c>
      <c r="S22" s="55">
        <v>12.428809158797851</v>
      </c>
      <c r="T22" s="55">
        <v>12.19985175280625</v>
      </c>
      <c r="U22" s="55">
        <v>11.642583508893081</v>
      </c>
      <c r="V22" s="55">
        <v>11.237592995480441</v>
      </c>
      <c r="W22" s="55">
        <v>13.13493539994283</v>
      </c>
      <c r="DA22" s="101" t="s">
        <v>1007</v>
      </c>
    </row>
    <row r="23" spans="1:105" x14ac:dyDescent="0.25">
      <c r="A23" s="61" t="s">
        <v>171</v>
      </c>
      <c r="B23" s="55">
        <v>6.4966466036946864</v>
      </c>
      <c r="C23" s="55">
        <v>9.0761822872492601</v>
      </c>
      <c r="D23" s="55">
        <v>9.9837489251137157</v>
      </c>
      <c r="E23" s="55">
        <v>12.491659501181291</v>
      </c>
      <c r="F23" s="55">
        <v>7.4758383490527267</v>
      </c>
      <c r="G23" s="55">
        <v>6.0905417024492179</v>
      </c>
      <c r="H23" s="55">
        <v>6.305503009424247</v>
      </c>
      <c r="I23" s="55">
        <v>8.693981083350355</v>
      </c>
      <c r="J23" s="55">
        <v>9.5299226138582416</v>
      </c>
      <c r="K23" s="55">
        <v>10.7719690454299</v>
      </c>
      <c r="L23" s="55">
        <v>10.86749785030579</v>
      </c>
      <c r="M23" s="55">
        <v>12.39613069637374</v>
      </c>
      <c r="N23" s="55">
        <v>11.84677558028841</v>
      </c>
      <c r="O23" s="55">
        <v>11.655717970634941</v>
      </c>
      <c r="P23" s="55">
        <v>11.918400687748919</v>
      </c>
      <c r="Q23" s="55">
        <v>10.891401547586151</v>
      </c>
      <c r="R23" s="55">
        <v>11.727343078156499</v>
      </c>
      <c r="S23" s="55">
        <v>14.736801375580599</v>
      </c>
      <c r="T23" s="55">
        <v>15.11891659490656</v>
      </c>
      <c r="U23" s="55">
        <v>15.071195184716521</v>
      </c>
      <c r="V23" s="55">
        <v>17.22080825438022</v>
      </c>
      <c r="W23" s="55">
        <v>17.889595872601159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1009</v>
      </c>
    </row>
    <row r="25" spans="1:105" x14ac:dyDescent="0.25">
      <c r="A25" s="257" t="s">
        <v>174</v>
      </c>
      <c r="B25" s="258">
        <v>3.5926126221783501</v>
      </c>
      <c r="C25" s="258">
        <v>3.4076272458825638</v>
      </c>
      <c r="D25" s="258">
        <v>3.6415248890065048</v>
      </c>
      <c r="E25" s="258">
        <v>3.760943718528968</v>
      </c>
      <c r="F25" s="258">
        <v>3.9209024624717959</v>
      </c>
      <c r="G25" s="258">
        <v>4.0978179298865074</v>
      </c>
      <c r="H25" s="258">
        <v>4.2823418134261653</v>
      </c>
      <c r="I25" s="258">
        <v>4.5500594414726123</v>
      </c>
      <c r="J25" s="258">
        <v>4.5042258888516304</v>
      </c>
      <c r="K25" s="258">
        <v>4.1090073919013781</v>
      </c>
      <c r="L25" s="258">
        <v>4.5135511459306423</v>
      </c>
      <c r="M25" s="258">
        <v>4.4877216147491072</v>
      </c>
      <c r="N25" s="258">
        <v>4.6359604900993432</v>
      </c>
      <c r="O25" s="258">
        <v>4.5119948625317061</v>
      </c>
      <c r="P25" s="258">
        <v>4.7284210409128944</v>
      </c>
      <c r="Q25" s="258">
        <v>4.4054752538062312</v>
      </c>
      <c r="R25" s="258">
        <v>4.4780223206992877</v>
      </c>
      <c r="S25" s="258">
        <v>4.6222196059924654</v>
      </c>
      <c r="T25" s="258">
        <v>4.5362666953899842</v>
      </c>
      <c r="U25" s="258">
        <v>4.8091787604048886</v>
      </c>
      <c r="V25" s="258">
        <v>5.0229062471382964</v>
      </c>
      <c r="W25" s="258">
        <v>5.3078486705420209</v>
      </c>
      <c r="DA25" s="273" t="s">
        <v>1010</v>
      </c>
    </row>
    <row r="26" spans="1:105" x14ac:dyDescent="0.25">
      <c r="A26" s="257" t="s">
        <v>177</v>
      </c>
      <c r="B26" s="258">
        <v>2.7176294566736812</v>
      </c>
      <c r="C26" s="258">
        <v>2.8131928369680832</v>
      </c>
      <c r="D26" s="258">
        <v>2.7164884835775629</v>
      </c>
      <c r="E26" s="258">
        <v>2.4723615508647878</v>
      </c>
      <c r="F26" s="258">
        <v>2.687933011447889</v>
      </c>
      <c r="G26" s="258">
        <v>2.8301363378194391</v>
      </c>
      <c r="H26" s="258">
        <v>2.9441635063095948</v>
      </c>
      <c r="I26" s="258">
        <v>3.0780194512849191</v>
      </c>
      <c r="J26" s="258">
        <v>2.9350348001949822</v>
      </c>
      <c r="K26" s="258">
        <v>2.707987702730958</v>
      </c>
      <c r="L26" s="258">
        <v>2.6179671754457958</v>
      </c>
      <c r="M26" s="258">
        <v>2.526368617779803</v>
      </c>
      <c r="N26" s="258">
        <v>2.6926550796258679</v>
      </c>
      <c r="O26" s="258">
        <v>2.5764545384914852</v>
      </c>
      <c r="P26" s="258">
        <v>2.6430967218844459</v>
      </c>
      <c r="Q26" s="258">
        <v>2.7328209281175431</v>
      </c>
      <c r="R26" s="258">
        <v>2.8957343927143668</v>
      </c>
      <c r="S26" s="258">
        <v>2.8969467020419519</v>
      </c>
      <c r="T26" s="258">
        <v>2.9503456175351461</v>
      </c>
      <c r="U26" s="258">
        <v>2.992927011882927</v>
      </c>
      <c r="V26" s="258">
        <v>2.8521738396108449</v>
      </c>
      <c r="W26" s="258">
        <v>3.027906695445818</v>
      </c>
      <c r="DA26" s="273" t="s">
        <v>1011</v>
      </c>
    </row>
    <row r="27" spans="1:105" x14ac:dyDescent="0.25">
      <c r="A27" s="129" t="s">
        <v>33</v>
      </c>
      <c r="B27" s="259">
        <v>3.9405627121768378</v>
      </c>
      <c r="C27" s="259">
        <v>4.079129613603719</v>
      </c>
      <c r="D27" s="259">
        <v>3.938908301187467</v>
      </c>
      <c r="E27" s="259">
        <v>3.584924248753941</v>
      </c>
      <c r="F27" s="259">
        <v>3.89750286659944</v>
      </c>
      <c r="G27" s="259">
        <v>4.1036976898381861</v>
      </c>
      <c r="H27" s="259">
        <v>4.2690370841489136</v>
      </c>
      <c r="I27" s="259">
        <v>4.4631282043631328</v>
      </c>
      <c r="J27" s="259">
        <v>4.2558004602827264</v>
      </c>
      <c r="K27" s="259">
        <v>3.926582168959889</v>
      </c>
      <c r="L27" s="259">
        <v>3.7960524043964039</v>
      </c>
      <c r="M27" s="259">
        <v>3.6632344957807161</v>
      </c>
      <c r="N27" s="259">
        <v>3.9043498654575099</v>
      </c>
      <c r="O27" s="259">
        <v>3.7358590808126531</v>
      </c>
      <c r="P27" s="259">
        <v>3.832490246732446</v>
      </c>
      <c r="Q27" s="259">
        <v>3.9625903457704381</v>
      </c>
      <c r="R27" s="259">
        <v>4.1988148694358296</v>
      </c>
      <c r="S27" s="259">
        <v>4.2005727179608296</v>
      </c>
      <c r="T27" s="259">
        <v>4.2780011454259617</v>
      </c>
      <c r="U27" s="259">
        <v>4.3397441672302426</v>
      </c>
      <c r="V27" s="259">
        <v>4.1356520674357258</v>
      </c>
      <c r="W27" s="259">
        <v>4.3904647083964363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</v>
      </c>
      <c r="D31" s="236">
        <f t="shared" si="6"/>
        <v>0.99999999999999989</v>
      </c>
      <c r="E31" s="236">
        <f t="shared" si="6"/>
        <v>1.0000000000000002</v>
      </c>
      <c r="F31" s="236">
        <f t="shared" si="6"/>
        <v>1</v>
      </c>
      <c r="G31" s="236">
        <f t="shared" si="6"/>
        <v>1</v>
      </c>
      <c r="H31" s="236">
        <f t="shared" si="6"/>
        <v>0.99999999999999989</v>
      </c>
      <c r="I31" s="236">
        <f t="shared" si="6"/>
        <v>0.99999999999999989</v>
      </c>
      <c r="J31" s="236">
        <f t="shared" si="6"/>
        <v>0.99999999999999989</v>
      </c>
      <c r="K31" s="236">
        <f t="shared" si="6"/>
        <v>1.0000000000000002</v>
      </c>
      <c r="L31" s="236">
        <f t="shared" si="6"/>
        <v>0.99999999999999989</v>
      </c>
      <c r="M31" s="236">
        <f t="shared" si="6"/>
        <v>0.99999999999999989</v>
      </c>
      <c r="N31" s="236">
        <f t="shared" si="6"/>
        <v>1</v>
      </c>
      <c r="O31" s="236">
        <f t="shared" si="6"/>
        <v>0.99999999999999989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0.99999999999999978</v>
      </c>
      <c r="S31" s="236">
        <f t="shared" si="7"/>
        <v>0.99999999999999989</v>
      </c>
      <c r="T31" s="236">
        <f t="shared" si="7"/>
        <v>1.0000000000000002</v>
      </c>
      <c r="U31" s="236">
        <f t="shared" si="7"/>
        <v>1</v>
      </c>
      <c r="V31" s="236">
        <f t="shared" si="7"/>
        <v>1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2.7301109700250341E-2</v>
      </c>
      <c r="C32" s="245">
        <f t="shared" si="8"/>
        <v>2.844521709345562E-2</v>
      </c>
      <c r="D32" s="245">
        <f t="shared" si="8"/>
        <v>2.6986813633861399E-2</v>
      </c>
      <c r="E32" s="245">
        <f t="shared" si="8"/>
        <v>2.4039693464235869E-2</v>
      </c>
      <c r="F32" s="245">
        <f t="shared" si="8"/>
        <v>2.4770023139703581E-2</v>
      </c>
      <c r="G32" s="245">
        <f t="shared" si="8"/>
        <v>2.5776971175265066E-2</v>
      </c>
      <c r="H32" s="245">
        <f t="shared" si="8"/>
        <v>2.4954629588905146E-2</v>
      </c>
      <c r="I32" s="245">
        <f t="shared" si="8"/>
        <v>2.4612862898634708E-2</v>
      </c>
      <c r="J32" s="245">
        <f t="shared" si="8"/>
        <v>2.4435004231555806E-2</v>
      </c>
      <c r="K32" s="245">
        <f t="shared" si="8"/>
        <v>2.4837419012557593E-2</v>
      </c>
      <c r="L32" s="245">
        <f t="shared" si="8"/>
        <v>2.2440848820860365E-2</v>
      </c>
      <c r="M32" s="245">
        <f t="shared" si="8"/>
        <v>2.1951714217134159E-2</v>
      </c>
      <c r="N32" s="245">
        <f t="shared" si="8"/>
        <v>2.3635415694145973E-2</v>
      </c>
      <c r="O32" s="245">
        <f t="shared" si="8"/>
        <v>2.2863269254365794E-2</v>
      </c>
      <c r="P32" s="245">
        <f t="shared" si="8"/>
        <v>2.2470876207833956E-2</v>
      </c>
      <c r="Q32" s="245">
        <f t="shared" si="8"/>
        <v>2.4288678522633649E-2</v>
      </c>
      <c r="R32" s="245">
        <f t="shared" si="8"/>
        <v>2.5407847911738678E-2</v>
      </c>
      <c r="S32" s="245">
        <f t="shared" si="8"/>
        <v>2.4366661274812469E-2</v>
      </c>
      <c r="T32" s="245">
        <f t="shared" si="8"/>
        <v>2.5501857338275587E-2</v>
      </c>
      <c r="U32" s="245">
        <f t="shared" si="8"/>
        <v>2.4601527039192155E-2</v>
      </c>
      <c r="V32" s="245">
        <f t="shared" si="8"/>
        <v>2.3038176876990099E-2</v>
      </c>
      <c r="W32" s="245">
        <f t="shared" si="8"/>
        <v>2.2980961661172802E-2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1.7745721305162714E-2</v>
      </c>
      <c r="C33" s="246">
        <f t="shared" si="9"/>
        <v>1.8489391110746142E-2</v>
      </c>
      <c r="D33" s="246">
        <f t="shared" si="9"/>
        <v>1.7541428862009909E-2</v>
      </c>
      <c r="E33" s="246">
        <f t="shared" si="9"/>
        <v>1.5625800751753304E-2</v>
      </c>
      <c r="F33" s="246">
        <f t="shared" si="9"/>
        <v>1.6100515040807319E-2</v>
      </c>
      <c r="G33" s="246">
        <f t="shared" si="9"/>
        <v>1.675503126392228E-2</v>
      </c>
      <c r="H33" s="246">
        <f t="shared" si="9"/>
        <v>1.6220509232788338E-2</v>
      </c>
      <c r="I33" s="246">
        <f t="shared" si="9"/>
        <v>1.5998360884112561E-2</v>
      </c>
      <c r="J33" s="246">
        <f t="shared" si="9"/>
        <v>1.5882752750511271E-2</v>
      </c>
      <c r="K33" s="246">
        <f t="shared" si="9"/>
        <v>1.6144322358162429E-2</v>
      </c>
      <c r="L33" s="246">
        <f t="shared" si="9"/>
        <v>1.4586551733559234E-2</v>
      </c>
      <c r="M33" s="246">
        <f t="shared" si="9"/>
        <v>1.4268614241137196E-2</v>
      </c>
      <c r="N33" s="246">
        <f t="shared" si="9"/>
        <v>1.5363020201194873E-2</v>
      </c>
      <c r="O33" s="246">
        <f t="shared" si="9"/>
        <v>1.4861125015337765E-2</v>
      </c>
      <c r="P33" s="246">
        <f t="shared" si="9"/>
        <v>1.4606069535092064E-2</v>
      </c>
      <c r="Q33" s="246">
        <f t="shared" si="9"/>
        <v>1.5787641039711864E-2</v>
      </c>
      <c r="R33" s="246">
        <f t="shared" si="9"/>
        <v>1.6515101142630138E-2</v>
      </c>
      <c r="S33" s="246">
        <f t="shared" si="9"/>
        <v>1.5838329828628098E-2</v>
      </c>
      <c r="T33" s="246">
        <f t="shared" si="9"/>
        <v>1.6576207269879125E-2</v>
      </c>
      <c r="U33" s="246">
        <f t="shared" si="9"/>
        <v>1.5990992575474896E-2</v>
      </c>
      <c r="V33" s="246">
        <f t="shared" si="9"/>
        <v>1.4974814970043562E-2</v>
      </c>
      <c r="W33" s="246">
        <f t="shared" si="9"/>
        <v>1.4937625079762314E-2</v>
      </c>
      <c r="DA33" s="277"/>
    </row>
    <row r="34" spans="1:105" x14ac:dyDescent="0.25">
      <c r="A34" s="241" t="s">
        <v>123</v>
      </c>
      <c r="B34" s="246">
        <f t="shared" ref="B34:W34" si="10">IF(B$8=0,0,B$8/B$5)</f>
        <v>2.4570998730225294E-2</v>
      </c>
      <c r="C34" s="246">
        <f t="shared" si="10"/>
        <v>2.5600695384110059E-2</v>
      </c>
      <c r="D34" s="246">
        <f t="shared" si="10"/>
        <v>2.4288132270475261E-2</v>
      </c>
      <c r="E34" s="246">
        <f t="shared" si="10"/>
        <v>2.1635724117812272E-2</v>
      </c>
      <c r="F34" s="246">
        <f t="shared" si="10"/>
        <v>2.2293020825733232E-2</v>
      </c>
      <c r="G34" s="246">
        <f t="shared" si="10"/>
        <v>2.3199274057738549E-2</v>
      </c>
      <c r="H34" s="246">
        <f t="shared" si="10"/>
        <v>2.2459166630014619E-2</v>
      </c>
      <c r="I34" s="246">
        <f t="shared" si="10"/>
        <v>2.2151576608771237E-2</v>
      </c>
      <c r="J34" s="246">
        <f t="shared" si="10"/>
        <v>2.1991503808400224E-2</v>
      </c>
      <c r="K34" s="246">
        <f t="shared" si="10"/>
        <v>2.2353677111301824E-2</v>
      </c>
      <c r="L34" s="246">
        <f t="shared" si="10"/>
        <v>2.0196763938774329E-2</v>
      </c>
      <c r="M34" s="246">
        <f t="shared" si="10"/>
        <v>1.9756542795420756E-2</v>
      </c>
      <c r="N34" s="246">
        <f t="shared" si="10"/>
        <v>2.1271874124731374E-2</v>
      </c>
      <c r="O34" s="246">
        <f t="shared" si="10"/>
        <v>2.0576942328929211E-2</v>
      </c>
      <c r="P34" s="246">
        <f t="shared" si="10"/>
        <v>2.0223788587050557E-2</v>
      </c>
      <c r="Q34" s="246">
        <f t="shared" si="10"/>
        <v>2.1859810670370287E-2</v>
      </c>
      <c r="R34" s="246">
        <f t="shared" si="10"/>
        <v>2.2867063120564801E-2</v>
      </c>
      <c r="S34" s="246">
        <f t="shared" si="10"/>
        <v>2.1929995147331214E-2</v>
      </c>
      <c r="T34" s="246">
        <f t="shared" si="10"/>
        <v>2.2951671604448023E-2</v>
      </c>
      <c r="U34" s="246">
        <f t="shared" si="10"/>
        <v>2.2141374335272936E-2</v>
      </c>
      <c r="V34" s="246">
        <f t="shared" si="10"/>
        <v>2.0734359189291091E-2</v>
      </c>
      <c r="W34" s="246">
        <f t="shared" si="10"/>
        <v>2.0682865495055519E-2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0.24713744857928868</v>
      </c>
      <c r="C35" s="247">
        <f t="shared" si="11"/>
        <v>0.24794140891306277</v>
      </c>
      <c r="D35" s="247">
        <f t="shared" si="11"/>
        <v>0.23874467969402338</v>
      </c>
      <c r="E35" s="247">
        <f t="shared" si="11"/>
        <v>0.23610251989429429</v>
      </c>
      <c r="F35" s="247">
        <f t="shared" si="11"/>
        <v>0.23942445975799775</v>
      </c>
      <c r="G35" s="247">
        <f t="shared" si="11"/>
        <v>0.23745875740403671</v>
      </c>
      <c r="H35" s="247">
        <f t="shared" si="11"/>
        <v>0.23779890997005448</v>
      </c>
      <c r="I35" s="247">
        <f t="shared" si="11"/>
        <v>0.23398001262510998</v>
      </c>
      <c r="J35" s="247">
        <f t="shared" si="11"/>
        <v>0.23468275018140464</v>
      </c>
      <c r="K35" s="247">
        <f t="shared" si="11"/>
        <v>0.23108860644779625</v>
      </c>
      <c r="L35" s="247">
        <f t="shared" si="11"/>
        <v>0.22693222094954302</v>
      </c>
      <c r="M35" s="247">
        <f t="shared" si="11"/>
        <v>0.2207534823533594</v>
      </c>
      <c r="N35" s="247">
        <f t="shared" si="11"/>
        <v>0.21505141231900712</v>
      </c>
      <c r="O35" s="247">
        <f t="shared" si="11"/>
        <v>0.21133377055941693</v>
      </c>
      <c r="P35" s="247">
        <f t="shared" si="11"/>
        <v>0.2004494728283773</v>
      </c>
      <c r="Q35" s="247">
        <f t="shared" si="11"/>
        <v>0.20314266479167339</v>
      </c>
      <c r="R35" s="247">
        <f t="shared" si="11"/>
        <v>0.20511436218572249</v>
      </c>
      <c r="S35" s="247">
        <f t="shared" si="11"/>
        <v>0.20129373896593752</v>
      </c>
      <c r="T35" s="247">
        <f t="shared" si="11"/>
        <v>0.20159087097207543</v>
      </c>
      <c r="U35" s="247">
        <f t="shared" si="11"/>
        <v>0.19651262351488155</v>
      </c>
      <c r="V35" s="247">
        <f t="shared" si="11"/>
        <v>0.19517155705782632</v>
      </c>
      <c r="W35" s="247">
        <f t="shared" si="11"/>
        <v>0.19610077911460821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0.18781973611792094</v>
      </c>
      <c r="C36" s="260">
        <f t="shared" si="12"/>
        <v>0.1793092143081467</v>
      </c>
      <c r="D36" s="260">
        <f t="shared" si="12"/>
        <v>0.18826422470366228</v>
      </c>
      <c r="E36" s="260">
        <f t="shared" si="12"/>
        <v>0.1903069087246643</v>
      </c>
      <c r="F36" s="260">
        <f t="shared" si="12"/>
        <v>0.18803330774054589</v>
      </c>
      <c r="G36" s="260">
        <f t="shared" si="12"/>
        <v>0.19423073900147655</v>
      </c>
      <c r="H36" s="260">
        <f t="shared" si="12"/>
        <v>0.18889101832011726</v>
      </c>
      <c r="I36" s="260">
        <f t="shared" si="12"/>
        <v>0.18934272305106833</v>
      </c>
      <c r="J36" s="260">
        <f t="shared" si="12"/>
        <v>0.19514620136304683</v>
      </c>
      <c r="K36" s="260">
        <f t="shared" si="12"/>
        <v>0.19612704030027292</v>
      </c>
      <c r="L36" s="260">
        <f t="shared" si="12"/>
        <v>0.20134192983956661</v>
      </c>
      <c r="M36" s="260">
        <f t="shared" si="12"/>
        <v>0.20292633261765414</v>
      </c>
      <c r="N36" s="260">
        <f t="shared" si="12"/>
        <v>0.21176931001553487</v>
      </c>
      <c r="O36" s="260">
        <f t="shared" si="12"/>
        <v>0.20836521549539219</v>
      </c>
      <c r="P36" s="260">
        <f t="shared" si="12"/>
        <v>0.2092010539788369</v>
      </c>
      <c r="Q36" s="260">
        <f t="shared" si="12"/>
        <v>0.20376343525061708</v>
      </c>
      <c r="R36" s="260">
        <f t="shared" si="12"/>
        <v>0.20447310251243042</v>
      </c>
      <c r="S36" s="260">
        <f t="shared" si="12"/>
        <v>0.20232375294180202</v>
      </c>
      <c r="T36" s="260">
        <f t="shared" si="12"/>
        <v>0.20405078649858949</v>
      </c>
      <c r="U36" s="260">
        <f t="shared" si="12"/>
        <v>0.20572053038881263</v>
      </c>
      <c r="V36" s="260">
        <f t="shared" si="12"/>
        <v>0.21113875873552035</v>
      </c>
      <c r="W36" s="260">
        <f t="shared" si="12"/>
        <v>0.2096452457872291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0.39244613926841071</v>
      </c>
      <c r="C37" s="260">
        <f t="shared" si="13"/>
        <v>0.39606753146848273</v>
      </c>
      <c r="D37" s="260">
        <f t="shared" si="13"/>
        <v>0.40188048771388335</v>
      </c>
      <c r="E37" s="260">
        <f t="shared" si="13"/>
        <v>0.41682304558293548</v>
      </c>
      <c r="F37" s="260">
        <f t="shared" si="13"/>
        <v>0.4125599497026759</v>
      </c>
      <c r="G37" s="260">
        <f t="shared" si="13"/>
        <v>0.40210259255342196</v>
      </c>
      <c r="H37" s="260">
        <f t="shared" si="13"/>
        <v>0.41223994042925088</v>
      </c>
      <c r="I37" s="260">
        <f t="shared" si="13"/>
        <v>0.4172291676661613</v>
      </c>
      <c r="J37" s="260">
        <f t="shared" si="13"/>
        <v>0.41049705841104234</v>
      </c>
      <c r="K37" s="260">
        <f t="shared" si="13"/>
        <v>0.41090981292658579</v>
      </c>
      <c r="L37" s="260">
        <f t="shared" si="13"/>
        <v>0.42083207535959949</v>
      </c>
      <c r="M37" s="260">
        <f t="shared" si="13"/>
        <v>0.42756762799853987</v>
      </c>
      <c r="N37" s="260">
        <f t="shared" si="13"/>
        <v>0.414308961448006</v>
      </c>
      <c r="O37" s="260">
        <f t="shared" si="13"/>
        <v>0.42594555505747328</v>
      </c>
      <c r="P37" s="260">
        <f t="shared" si="13"/>
        <v>0.43779536620748538</v>
      </c>
      <c r="Q37" s="260">
        <f t="shared" si="13"/>
        <v>0.43249566515265836</v>
      </c>
      <c r="R37" s="260">
        <f t="shared" si="13"/>
        <v>0.42408208507274125</v>
      </c>
      <c r="S37" s="260">
        <f t="shared" si="13"/>
        <v>0.43567100647987067</v>
      </c>
      <c r="T37" s="260">
        <f t="shared" si="13"/>
        <v>0.42763899670907002</v>
      </c>
      <c r="U37" s="260">
        <f t="shared" si="13"/>
        <v>0.43522829656776485</v>
      </c>
      <c r="V37" s="260">
        <f t="shared" si="13"/>
        <v>0.43792672775827657</v>
      </c>
      <c r="W37" s="260">
        <f t="shared" si="13"/>
        <v>0.43906408568841293</v>
      </c>
      <c r="DA37" s="279"/>
    </row>
    <row r="38" spans="1:105" x14ac:dyDescent="0.25">
      <c r="A38" s="128" t="s">
        <v>174</v>
      </c>
      <c r="B38" s="260">
        <f t="shared" ref="B38:W38" si="14">IF(B$25=0,0,B$25/B$5)</f>
        <v>3.6091127533127994E-2</v>
      </c>
      <c r="C38" s="260">
        <f t="shared" si="14"/>
        <v>3.4455759843029746E-2</v>
      </c>
      <c r="D38" s="260">
        <f t="shared" si="14"/>
        <v>3.61765397191239E-2</v>
      </c>
      <c r="E38" s="260">
        <f t="shared" si="14"/>
        <v>3.656905847692677E-2</v>
      </c>
      <c r="F38" s="260">
        <f t="shared" si="14"/>
        <v>3.6132167100262583E-2</v>
      </c>
      <c r="G38" s="260">
        <f t="shared" si="14"/>
        <v>3.7323055164739542E-2</v>
      </c>
      <c r="H38" s="260">
        <f t="shared" si="14"/>
        <v>3.6296983336051497E-2</v>
      </c>
      <c r="I38" s="260">
        <f t="shared" si="14"/>
        <v>3.6383782164486844E-2</v>
      </c>
      <c r="J38" s="260">
        <f t="shared" si="14"/>
        <v>3.7498968886727053E-2</v>
      </c>
      <c r="K38" s="260">
        <f t="shared" si="14"/>
        <v>3.7687445262557191E-2</v>
      </c>
      <c r="L38" s="260">
        <f t="shared" si="14"/>
        <v>3.8689529746988895E-2</v>
      </c>
      <c r="M38" s="260">
        <f t="shared" si="14"/>
        <v>3.899398594477578E-2</v>
      </c>
      <c r="N38" s="260">
        <f t="shared" si="14"/>
        <v>4.0693237746722212E-2</v>
      </c>
      <c r="O38" s="260">
        <f t="shared" si="14"/>
        <v>4.0039112615888488E-2</v>
      </c>
      <c r="P38" s="260">
        <f t="shared" si="14"/>
        <v>4.0199725946130652E-2</v>
      </c>
      <c r="Q38" s="260">
        <f t="shared" si="14"/>
        <v>3.9154842191882928E-2</v>
      </c>
      <c r="R38" s="260">
        <f t="shared" si="14"/>
        <v>3.9291210670412288E-2</v>
      </c>
      <c r="S38" s="260">
        <f t="shared" si="14"/>
        <v>3.8878195238327355E-2</v>
      </c>
      <c r="T38" s="260">
        <f t="shared" si="14"/>
        <v>3.921005912888717E-2</v>
      </c>
      <c r="U38" s="260">
        <f t="shared" si="14"/>
        <v>3.9530914332580283E-2</v>
      </c>
      <c r="V38" s="260">
        <f t="shared" si="14"/>
        <v>4.0572072063426348E-2</v>
      </c>
      <c r="W38" s="260">
        <f t="shared" si="14"/>
        <v>4.0285081103885664E-2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2.7301109700250341E-2</v>
      </c>
      <c r="C39" s="260">
        <f t="shared" si="15"/>
        <v>2.844521709345562E-2</v>
      </c>
      <c r="D39" s="260">
        <f t="shared" si="15"/>
        <v>2.6986813633861399E-2</v>
      </c>
      <c r="E39" s="260">
        <f t="shared" si="15"/>
        <v>2.4039693464235869E-2</v>
      </c>
      <c r="F39" s="260">
        <f t="shared" si="15"/>
        <v>2.4770023139703581E-2</v>
      </c>
      <c r="G39" s="260">
        <f t="shared" si="15"/>
        <v>2.5776971175265066E-2</v>
      </c>
      <c r="H39" s="260">
        <f t="shared" si="15"/>
        <v>2.4954629588905146E-2</v>
      </c>
      <c r="I39" s="260">
        <f t="shared" si="15"/>
        <v>2.4612862898634708E-2</v>
      </c>
      <c r="J39" s="260">
        <f t="shared" si="15"/>
        <v>2.4435004231555806E-2</v>
      </c>
      <c r="K39" s="260">
        <f t="shared" si="15"/>
        <v>2.4837419012557593E-2</v>
      </c>
      <c r="L39" s="260">
        <f t="shared" si="15"/>
        <v>2.2440848820860365E-2</v>
      </c>
      <c r="M39" s="260">
        <f t="shared" si="15"/>
        <v>2.1951714217134159E-2</v>
      </c>
      <c r="N39" s="260">
        <f t="shared" si="15"/>
        <v>2.3635415694145973E-2</v>
      </c>
      <c r="O39" s="260">
        <f t="shared" si="15"/>
        <v>2.2863269254365794E-2</v>
      </c>
      <c r="P39" s="260">
        <f t="shared" si="15"/>
        <v>2.2470876207833956E-2</v>
      </c>
      <c r="Q39" s="260">
        <f t="shared" si="15"/>
        <v>2.4288678522633649E-2</v>
      </c>
      <c r="R39" s="260">
        <f t="shared" si="15"/>
        <v>2.5407847911738678E-2</v>
      </c>
      <c r="S39" s="260">
        <f t="shared" si="15"/>
        <v>2.4366661274812469E-2</v>
      </c>
      <c r="T39" s="260">
        <f t="shared" si="15"/>
        <v>2.5501857338275587E-2</v>
      </c>
      <c r="U39" s="260">
        <f t="shared" si="15"/>
        <v>2.4601527039192155E-2</v>
      </c>
      <c r="V39" s="260">
        <f t="shared" si="15"/>
        <v>2.3038176876990099E-2</v>
      </c>
      <c r="W39" s="260">
        <f t="shared" si="15"/>
        <v>2.2980961661172802E-2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3.9586609065362995E-2</v>
      </c>
      <c r="C40" s="262">
        <f t="shared" si="16"/>
        <v>4.1245564785510634E-2</v>
      </c>
      <c r="D40" s="262">
        <f t="shared" si="16"/>
        <v>3.9130879769099035E-2</v>
      </c>
      <c r="E40" s="262">
        <f t="shared" si="16"/>
        <v>3.4857555523142E-2</v>
      </c>
      <c r="F40" s="262">
        <f t="shared" si="16"/>
        <v>3.5916533552570198E-2</v>
      </c>
      <c r="G40" s="262">
        <f t="shared" si="16"/>
        <v>3.737660820413434E-2</v>
      </c>
      <c r="H40" s="262">
        <f t="shared" si="16"/>
        <v>3.6184212903912473E-2</v>
      </c>
      <c r="I40" s="262">
        <f t="shared" si="16"/>
        <v>3.5688651203020332E-2</v>
      </c>
      <c r="J40" s="262">
        <f t="shared" si="16"/>
        <v>3.5430756135755935E-2</v>
      </c>
      <c r="K40" s="262">
        <f t="shared" si="16"/>
        <v>3.6014257568208509E-2</v>
      </c>
      <c r="L40" s="262">
        <f t="shared" si="16"/>
        <v>3.2539230790247529E-2</v>
      </c>
      <c r="M40" s="262">
        <f t="shared" si="16"/>
        <v>3.1829985614844548E-2</v>
      </c>
      <c r="N40" s="262">
        <f t="shared" si="16"/>
        <v>3.4271352756511678E-2</v>
      </c>
      <c r="O40" s="262">
        <f t="shared" si="16"/>
        <v>3.31517404188304E-2</v>
      </c>
      <c r="P40" s="262">
        <f t="shared" si="16"/>
        <v>3.2582770501359229E-2</v>
      </c>
      <c r="Q40" s="262">
        <f t="shared" si="16"/>
        <v>3.52185838578188E-2</v>
      </c>
      <c r="R40" s="262">
        <f t="shared" si="16"/>
        <v>3.6841379472021062E-2</v>
      </c>
      <c r="S40" s="262">
        <f t="shared" si="16"/>
        <v>3.5331658848478074E-2</v>
      </c>
      <c r="T40" s="262">
        <f t="shared" si="16"/>
        <v>3.6977693140499597E-2</v>
      </c>
      <c r="U40" s="262">
        <f t="shared" si="16"/>
        <v>3.567221420682861E-2</v>
      </c>
      <c r="V40" s="262">
        <f t="shared" si="16"/>
        <v>3.3405356471635651E-2</v>
      </c>
      <c r="W40" s="262">
        <f t="shared" si="16"/>
        <v>3.3322394408700565E-2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126.45888445910973</v>
      </c>
      <c r="C44" s="237">
        <f t="shared" si="17"/>
        <v>122.34803499436489</v>
      </c>
      <c r="D44" s="237">
        <f t="shared" si="17"/>
        <v>127.81056238438663</v>
      </c>
      <c r="E44" s="237">
        <f t="shared" si="17"/>
        <v>135.43288032890183</v>
      </c>
      <c r="F44" s="237">
        <f t="shared" si="17"/>
        <v>134.84363036747558</v>
      </c>
      <c r="G44" s="237">
        <f t="shared" si="17"/>
        <v>154.42655608236754</v>
      </c>
      <c r="H44" s="237">
        <f t="shared" si="17"/>
        <v>146.93020171673035</v>
      </c>
      <c r="I44" s="237">
        <f t="shared" si="17"/>
        <v>137.23851152262935</v>
      </c>
      <c r="J44" s="237">
        <f t="shared" si="17"/>
        <v>139.32723127138391</v>
      </c>
      <c r="K44" s="237">
        <f t="shared" si="17"/>
        <v>156.36023356757096</v>
      </c>
      <c r="L44" s="237">
        <f t="shared" si="17"/>
        <v>144.58585940593417</v>
      </c>
      <c r="M44" s="237">
        <f t="shared" si="17"/>
        <v>132.80026593791021</v>
      </c>
      <c r="N44" s="237">
        <f t="shared" si="17"/>
        <v>135.04301399101348</v>
      </c>
      <c r="O44" s="237">
        <f t="shared" si="17"/>
        <v>132.95020410976792</v>
      </c>
      <c r="P44" s="237">
        <f t="shared" si="17"/>
        <v>130.1593966411773</v>
      </c>
      <c r="Q44" s="237">
        <f t="shared" si="17"/>
        <v>132.91816907674803</v>
      </c>
      <c r="R44" s="237">
        <f t="shared" si="17"/>
        <v>135.38540863538171</v>
      </c>
      <c r="S44" s="237">
        <f t="shared" si="17"/>
        <v>124.90211009173746</v>
      </c>
      <c r="T44" s="237">
        <f t="shared" si="17"/>
        <v>141.27985612939966</v>
      </c>
      <c r="U44" s="237">
        <f t="shared" si="17"/>
        <v>142.0119845958406</v>
      </c>
      <c r="V44" s="237">
        <f t="shared" si="17"/>
        <v>148.6260104466125</v>
      </c>
      <c r="W44" s="237">
        <f t="shared" si="17"/>
        <v>142.54014154785784</v>
      </c>
      <c r="DA44" s="281"/>
    </row>
    <row r="45" spans="1:105" x14ac:dyDescent="0.25">
      <c r="A45" s="239" t="s">
        <v>125</v>
      </c>
      <c r="B45" s="248">
        <f>IF(B$6=0,0,B$6/AGR!B$5*1000)</f>
        <v>3.4524678771894379</v>
      </c>
      <c r="C45" s="248">
        <f>IF(C$6=0,0,C$6/AGR!C$5*1000)</f>
        <v>3.4802164163724143</v>
      </c>
      <c r="D45" s="248">
        <f>IF(D$6=0,0,D$6/AGR!D$5*1000)</f>
        <v>3.4491998275064577</v>
      </c>
      <c r="E45" s="248">
        <f>IF(E$6=0,0,E$6/AGR!E$5*1000)</f>
        <v>3.2557649280853398</v>
      </c>
      <c r="F45" s="248">
        <f>IF(F$6=0,0,F$6/AGR!F$5*1000)</f>
        <v>3.3400798444440061</v>
      </c>
      <c r="G45" s="248">
        <f>IF(G$6=0,0,G$6/AGR!G$5*1000)</f>
        <v>3.9806488848306425</v>
      </c>
      <c r="H45" s="248">
        <f>IF(H$6=0,0,H$6/AGR!H$5*1000)</f>
        <v>3.6665887592641204</v>
      </c>
      <c r="I45" s="248">
        <f>IF(I$6=0,0,I$6/AGR!I$5*1000)</f>
        <v>3.3778326685191757</v>
      </c>
      <c r="J45" s="248">
        <f>IF(J$6=0,0,J$6/AGR!J$5*1000)</f>
        <v>3.4044614856872211</v>
      </c>
      <c r="K45" s="248">
        <f>IF(K$6=0,0,K$6/AGR!K$5*1000)</f>
        <v>3.8835846380191326</v>
      </c>
      <c r="L45" s="248">
        <f>IF(L$6=0,0,L$6/AGR!L$5*1000)</f>
        <v>3.2446294125627411</v>
      </c>
      <c r="M45" s="248">
        <f>IF(M$6=0,0,M$6/AGR!M$5*1000)</f>
        <v>2.9151934858284214</v>
      </c>
      <c r="N45" s="248">
        <f>IF(N$6=0,0,N$6/AGR!N$5*1000)</f>
        <v>3.1917977722679747</v>
      </c>
      <c r="O45" s="248">
        <f>IF(O$6=0,0,O$6/AGR!O$5*1000)</f>
        <v>3.0396763139845144</v>
      </c>
      <c r="P45" s="248">
        <f>IF(P$6=0,0,P$6/AGR!P$5*1000)</f>
        <v>2.9247956892102538</v>
      </c>
      <c r="Q45" s="248">
        <f>IF(Q$6=0,0,Q$6/AGR!Q$5*1000)</f>
        <v>3.2284066785221981</v>
      </c>
      <c r="R45" s="248">
        <f>IF(R$6=0,0,R$6/AGR!R$5*1000)</f>
        <v>3.4398518720763716</v>
      </c>
      <c r="S45" s="248">
        <f>IF(S$6=0,0,S$6/AGR!S$5*1000)</f>
        <v>3.043447409114703</v>
      </c>
      <c r="T45" s="248">
        <f>IF(T$6=0,0,T$6/AGR!T$5*1000)</f>
        <v>3.6028987357840503</v>
      </c>
      <c r="U45" s="248">
        <f>IF(U$6=0,0,U$6/AGR!U$5*1000)</f>
        <v>3.4937116789239124</v>
      </c>
      <c r="V45" s="248">
        <f>IF(V$6=0,0,V$6/AGR!V$5*1000)</f>
        <v>3.4240723171904373</v>
      </c>
      <c r="W45" s="248">
        <f>IF(W$6=0,0,W$6/AGR!W$5*1000)</f>
        <v>3.2757095280894668</v>
      </c>
      <c r="DA45" s="282"/>
    </row>
    <row r="46" spans="1:105" x14ac:dyDescent="0.25">
      <c r="A46" s="241" t="s">
        <v>124</v>
      </c>
      <c r="B46" s="249">
        <f>IF(B$7=0,0,B$7/AGR!B$5*1000)</f>
        <v>2.2441041201731338</v>
      </c>
      <c r="C46" s="249">
        <f>IF(C$7=0,0,C$7/AGR!C$5*1000)</f>
        <v>2.2621406706420677</v>
      </c>
      <c r="D46" s="249">
        <f>IF(D$7=0,0,D$7/AGR!D$5*1000)</f>
        <v>2.2419798878791979</v>
      </c>
      <c r="E46" s="249">
        <f>IF(E$7=0,0,E$7/AGR!E$5*1000)</f>
        <v>2.1162472032554693</v>
      </c>
      <c r="F46" s="249">
        <f>IF(F$7=0,0,F$7/AGR!F$5*1000)</f>
        <v>2.1710518988886025</v>
      </c>
      <c r="G46" s="249">
        <f>IF(G$7=0,0,G$7/AGR!G$5*1000)</f>
        <v>2.5874217751399158</v>
      </c>
      <c r="H46" s="249">
        <f>IF(H$7=0,0,H$7/AGR!H$5*1000)</f>
        <v>2.3832826935216778</v>
      </c>
      <c r="I46" s="249">
        <f>IF(I$7=0,0,I$7/AGR!I$5*1000)</f>
        <v>2.195591234537464</v>
      </c>
      <c r="J46" s="249">
        <f>IF(J$7=0,0,J$7/AGR!J$5*1000)</f>
        <v>2.212899965696693</v>
      </c>
      <c r="K46" s="249">
        <f>IF(K$7=0,0,K$7/AGR!K$5*1000)</f>
        <v>2.5243300147124352</v>
      </c>
      <c r="L46" s="249">
        <f>IF(L$7=0,0,L$7/AGR!L$5*1000)</f>
        <v>2.1090091181657811</v>
      </c>
      <c r="M46" s="249">
        <f>IF(M$7=0,0,M$7/AGR!M$5*1000)</f>
        <v>1.8948757657884727</v>
      </c>
      <c r="N46" s="249">
        <f>IF(N$7=0,0,N$7/AGR!N$5*1000)</f>
        <v>2.0746685519741819</v>
      </c>
      <c r="O46" s="249">
        <f>IF(O$7=0,0,O$7/AGR!O$5*1000)</f>
        <v>1.9757896040899343</v>
      </c>
      <c r="P46" s="249">
        <f>IF(P$7=0,0,P$7/AGR!P$5*1000)</f>
        <v>1.9011171979866641</v>
      </c>
      <c r="Q46" s="249">
        <f>IF(Q$7=0,0,Q$7/AGR!Q$5*1000)</f>
        <v>2.0984643410394281</v>
      </c>
      <c r="R46" s="249">
        <f>IF(R$7=0,0,R$7/AGR!R$5*1000)</f>
        <v>2.235903716849641</v>
      </c>
      <c r="S46" s="249">
        <f>IF(S$7=0,0,S$7/AGR!S$5*1000)</f>
        <v>1.9782408159245559</v>
      </c>
      <c r="T46" s="249">
        <f>IF(T$7=0,0,T$7/AGR!T$5*1000)</f>
        <v>2.3418841782596318</v>
      </c>
      <c r="U46" s="249">
        <f>IF(U$7=0,0,U$7/AGR!U$5*1000)</f>
        <v>2.2709125913005428</v>
      </c>
      <c r="V46" s="249">
        <f>IF(V$7=0,0,V$7/AGR!V$5*1000)</f>
        <v>2.2256470061737841</v>
      </c>
      <c r="W46" s="249">
        <f>IF(W$7=0,0,W$7/AGR!W$5*1000)</f>
        <v>2.1292111932581523</v>
      </c>
      <c r="DA46" s="283"/>
    </row>
    <row r="47" spans="1:105" x14ac:dyDescent="0.25">
      <c r="A47" s="241" t="s">
        <v>123</v>
      </c>
      <c r="B47" s="249">
        <f>IF(B$8=0,0,B$8/AGR!B$5*1000)</f>
        <v>3.1072210894704928</v>
      </c>
      <c r="C47" s="249">
        <f>IF(C$8=0,0,C$8/AGR!C$5*1000)</f>
        <v>3.132194774735173</v>
      </c>
      <c r="D47" s="249">
        <f>IF(D$8=0,0,D$8/AGR!D$5*1000)</f>
        <v>3.1042798447558129</v>
      </c>
      <c r="E47" s="249">
        <f>IF(E$8=0,0,E$8/AGR!E$5*1000)</f>
        <v>2.9301884352768046</v>
      </c>
      <c r="F47" s="249">
        <f>IF(F$8=0,0,F$8/AGR!F$5*1000)</f>
        <v>3.0060718599996066</v>
      </c>
      <c r="G47" s="249">
        <f>IF(G$8=0,0,G$8/AGR!G$5*1000)</f>
        <v>3.582583996347577</v>
      </c>
      <c r="H47" s="249">
        <f>IF(H$8=0,0,H$8/AGR!H$5*1000)</f>
        <v>3.2999298833377066</v>
      </c>
      <c r="I47" s="249">
        <f>IF(I$8=0,0,I$8/AGR!I$5*1000)</f>
        <v>3.0400494016672579</v>
      </c>
      <c r="J47" s="249">
        <f>IF(J$8=0,0,J$8/AGR!J$5*1000)</f>
        <v>3.0640153371184988</v>
      </c>
      <c r="K47" s="249">
        <f>IF(K$8=0,0,K$8/AGR!K$5*1000)</f>
        <v>3.4952261742172177</v>
      </c>
      <c r="L47" s="249">
        <f>IF(L$8=0,0,L$8/AGR!L$5*1000)</f>
        <v>2.9201664713064668</v>
      </c>
      <c r="M47" s="249">
        <f>IF(M$8=0,0,M$8/AGR!M$5*1000)</f>
        <v>2.6236741372455805</v>
      </c>
      <c r="N47" s="249">
        <f>IF(N$8=0,0,N$8/AGR!N$5*1000)</f>
        <v>2.8726179950411765</v>
      </c>
      <c r="O47" s="249">
        <f>IF(O$8=0,0,O$8/AGR!O$5*1000)</f>
        <v>2.7357086825860621</v>
      </c>
      <c r="P47" s="249">
        <f>IF(P$8=0,0,P$8/AGR!P$5*1000)</f>
        <v>2.6323161202892282</v>
      </c>
      <c r="Q47" s="249">
        <f>IF(Q$8=0,0,Q$8/AGR!Q$5*1000)</f>
        <v>2.905566010669979</v>
      </c>
      <c r="R47" s="249">
        <f>IF(R$8=0,0,R$8/AGR!R$5*1000)</f>
        <v>3.0958666848687328</v>
      </c>
      <c r="S47" s="249">
        <f>IF(S$8=0,0,S$8/AGR!S$5*1000)</f>
        <v>2.7391026682032318</v>
      </c>
      <c r="T47" s="249">
        <f>IF(T$8=0,0,T$8/AGR!T$5*1000)</f>
        <v>3.2426088622056448</v>
      </c>
      <c r="U47" s="249">
        <f>IF(U$8=0,0,U$8/AGR!U$5*1000)</f>
        <v>3.1443405110315208</v>
      </c>
      <c r="V47" s="249">
        <f>IF(V$8=0,0,V$8/AGR!V$5*1000)</f>
        <v>3.0816650854713936</v>
      </c>
      <c r="W47" s="249">
        <f>IF(W$8=0,0,W$8/AGR!W$5*1000)</f>
        <v>2.9481385752805198</v>
      </c>
      <c r="DA47" s="283"/>
    </row>
    <row r="48" spans="1:105" x14ac:dyDescent="0.25">
      <c r="A48" s="243" t="s">
        <v>122</v>
      </c>
      <c r="B48" s="250">
        <f>IF(B$9=0,0,B$9/AGR!B$5*1000)</f>
        <v>31.252726055407443</v>
      </c>
      <c r="C48" s="250">
        <f>IF(C$9=0,0,C$9/AGR!C$5*1000)</f>
        <v>30.335144174247539</v>
      </c>
      <c r="D48" s="250">
        <f>IF(D$9=0,0,D$9/AGR!D$5*1000)</f>
        <v>30.51409177797338</v>
      </c>
      <c r="E48" s="250">
        <f>IF(E$9=0,0,E$9/AGR!E$5*1000)</f>
        <v>31.97604432219612</v>
      </c>
      <c r="F48" s="250">
        <f>IF(F$9=0,0,F$9/AGR!F$5*1000)</f>
        <v>32.284863352539972</v>
      </c>
      <c r="G48" s="250">
        <f>IF(G$9=0,0,G$9/AGR!G$5*1000)</f>
        <v>36.66993811750379</v>
      </c>
      <c r="H48" s="250">
        <f>IF(H$9=0,0,H$9/AGR!H$5*1000)</f>
        <v>34.939841809918704</v>
      </c>
      <c r="I48" s="250">
        <f>IF(I$9=0,0,I$9/AGR!I$5*1000)</f>
        <v>32.111068658716114</v>
      </c>
      <c r="J48" s="250">
        <f>IF(J$9=0,0,J$9/AGR!J$5*1000)</f>
        <v>32.697697809928982</v>
      </c>
      <c r="K48" s="250">
        <f>IF(K$9=0,0,K$9/AGR!K$5*1000)</f>
        <v>36.133068478981905</v>
      </c>
      <c r="L48" s="250">
        <f>IF(L$9=0,0,L$9/AGR!L$5*1000)</f>
        <v>32.811190192887025</v>
      </c>
      <c r="M48" s="250">
        <f>IF(M$9=0,0,M$9/AGR!M$5*1000)</f>
        <v>29.316121163245899</v>
      </c>
      <c r="N48" s="250">
        <f>IF(N$9=0,0,N$9/AGR!N$5*1000)</f>
        <v>29.041190882582889</v>
      </c>
      <c r="O48" s="250">
        <f>IF(O$9=0,0,O$9/AGR!O$5*1000)</f>
        <v>28.096867931161352</v>
      </c>
      <c r="P48" s="250">
        <f>IF(P$9=0,0,P$9/AGR!P$5*1000)</f>
        <v>26.090382440383653</v>
      </c>
      <c r="Q48" s="250">
        <f>IF(Q$9=0,0,Q$9/AGR!Q$5*1000)</f>
        <v>27.001351065480797</v>
      </c>
      <c r="R48" s="250">
        <f>IF(R$9=0,0,R$9/AGR!R$5*1000)</f>
        <v>27.769491741499735</v>
      </c>
      <c r="S48" s="250">
        <f>IF(S$9=0,0,S$9/AGR!S$5*1000)</f>
        <v>25.142012745100992</v>
      </c>
      <c r="T48" s="250">
        <f>IF(T$9=0,0,T$9/AGR!T$5*1000)</f>
        <v>28.480729247935191</v>
      </c>
      <c r="U48" s="250">
        <f>IF(U$9=0,0,U$9/AGR!U$5*1000)</f>
        <v>27.907147663483588</v>
      </c>
      <c r="V48" s="250">
        <f>IF(V$9=0,0,V$9/AGR!V$5*1000)</f>
        <v>29.007569878158122</v>
      </c>
      <c r="W48" s="250">
        <f>IF(W$9=0,0,W$9/AGR!W$5*1000)</f>
        <v>27.952232812641469</v>
      </c>
      <c r="DA48" s="284"/>
    </row>
    <row r="49" spans="1:105" x14ac:dyDescent="0.25">
      <c r="A49" s="128" t="s">
        <v>175</v>
      </c>
      <c r="B49" s="263">
        <f>IF(B$16=0,0,B$16/AGR!B$5*1000)</f>
        <v>23.751474308876649</v>
      </c>
      <c r="C49" s="263">
        <f>IF(C$16=0,0,C$16/AGR!C$5*1000)</f>
        <v>21.938130026985203</v>
      </c>
      <c r="D49" s="263">
        <f>IF(D$16=0,0,D$16/AGR!D$5*1000)</f>
        <v>24.062156436235611</v>
      </c>
      <c r="E49" s="263">
        <f>IF(E$16=0,0,E$16/AGR!E$5*1000)</f>
        <v>25.7738127950707</v>
      </c>
      <c r="F49" s="263">
        <f>IF(F$16=0,0,F$16/AGR!F$5*1000)</f>
        <v>25.355093845739951</v>
      </c>
      <c r="G49" s="263">
        <f>IF(G$16=0,0,G$16/AGR!G$5*1000)</f>
        <v>29.994384109331214</v>
      </c>
      <c r="H49" s="263">
        <f>IF(H$16=0,0,H$16/AGR!H$5*1000)</f>
        <v>27.753795424253436</v>
      </c>
      <c r="I49" s="263">
        <f>IF(I$16=0,0,I$16/AGR!I$5*1000)</f>
        <v>25.985113479170057</v>
      </c>
      <c r="J49" s="263">
        <f>IF(J$16=0,0,J$16/AGR!J$5*1000)</f>
        <v>27.189179929041284</v>
      </c>
      <c r="K49" s="263">
        <f>IF(K$16=0,0,K$16/AGR!K$5*1000)</f>
        <v>30.666469830267072</v>
      </c>
      <c r="L49" s="263">
        <f>IF(L$16=0,0,L$16/AGR!L$5*1000)</f>
        <v>29.111195960303046</v>
      </c>
      <c r="M49" s="263">
        <f>IF(M$16=0,0,M$16/AGR!M$5*1000)</f>
        <v>26.948670937429295</v>
      </c>
      <c r="N49" s="263">
        <f>IF(N$16=0,0,N$16/AGR!N$5*1000)</f>
        <v>28.597965895295147</v>
      </c>
      <c r="O49" s="263">
        <f>IF(O$16=0,0,O$16/AGR!O$5*1000)</f>
        <v>27.702197929488175</v>
      </c>
      <c r="P49" s="263">
        <f>IF(P$16=0,0,P$16/AGR!P$5*1000)</f>
        <v>27.229482962583774</v>
      </c>
      <c r="Q49" s="263">
        <f>IF(Q$16=0,0,Q$16/AGR!Q$5*1000)</f>
        <v>27.083862738300521</v>
      </c>
      <c r="R49" s="263">
        <f>IF(R$16=0,0,R$16/AGR!R$5*1000)</f>
        <v>27.682674538589691</v>
      </c>
      <c r="S49" s="263">
        <f>IF(S$16=0,0,S$16/AGR!S$5*1000)</f>
        <v>25.270663664110447</v>
      </c>
      <c r="T49" s="263">
        <f>IF(T$16=0,0,T$16/AGR!T$5*1000)</f>
        <v>28.828265759611572</v>
      </c>
      <c r="U49" s="263">
        <f>IF(U$16=0,0,U$16/AGR!U$5*1000)</f>
        <v>29.214780792624218</v>
      </c>
      <c r="V49" s="263">
        <f>IF(V$16=0,0,V$16/AGR!V$5*1000)</f>
        <v>31.380711361510244</v>
      </c>
      <c r="W49" s="263">
        <f>IF(W$16=0,0,W$16/AGR!W$5*1000)</f>
        <v>29.882863009347091</v>
      </c>
      <c r="DA49" s="285"/>
    </row>
    <row r="50" spans="1:105" x14ac:dyDescent="0.25">
      <c r="A50" s="128" t="s">
        <v>121</v>
      </c>
      <c r="B50" s="263">
        <f>IF(B$17=0,0,B$17/AGR!B$5*1000)</f>
        <v>49.628300982167637</v>
      </c>
      <c r="C50" s="263">
        <f>IF(C$17=0,0,C$17/AGR!C$5*1000)</f>
        <v>48.458084200237636</v>
      </c>
      <c r="D50" s="263">
        <f>IF(D$17=0,0,D$17/AGR!D$5*1000)</f>
        <v>51.36457114602301</v>
      </c>
      <c r="E50" s="263">
        <f>IF(E$17=0,0,E$17/AGR!E$5*1000)</f>
        <v>56.451545650762085</v>
      </c>
      <c r="F50" s="263">
        <f>IF(F$17=0,0,F$17/AGR!F$5*1000)</f>
        <v>55.631081362131937</v>
      </c>
      <c r="G50" s="263">
        <f>IF(G$17=0,0,G$17/AGR!G$5*1000)</f>
        <v>62.095318559816405</v>
      </c>
      <c r="H50" s="263">
        <f>IF(H$17=0,0,H$17/AGR!H$5*1000)</f>
        <v>60.570497602962739</v>
      </c>
      <c r="I50" s="263">
        <f>IF(I$17=0,0,I$17/AGR!I$5*1000)</f>
        <v>57.259909934329528</v>
      </c>
      <c r="J50" s="263">
        <f>IF(J$17=0,0,J$17/AGR!J$5*1000)</f>
        <v>57.193418593458091</v>
      </c>
      <c r="K50" s="263">
        <f>IF(K$17=0,0,K$17/AGR!K$5*1000)</f>
        <v>64.249954324407838</v>
      </c>
      <c r="L50" s="263">
        <f>IF(L$17=0,0,L$17/AGR!L$5*1000)</f>
        <v>60.846367281450554</v>
      </c>
      <c r="M50" s="263">
        <f>IF(M$17=0,0,M$17/AGR!M$5*1000)</f>
        <v>56.781094704647565</v>
      </c>
      <c r="N50" s="263">
        <f>IF(N$17=0,0,N$17/AGR!N$5*1000)</f>
        <v>55.949530877425339</v>
      </c>
      <c r="O50" s="263">
        <f>IF(O$17=0,0,O$17/AGR!O$5*1000)</f>
        <v>56.62954848453947</v>
      </c>
      <c r="P50" s="263">
        <f>IF(P$17=0,0,P$17/AGR!P$5*1000)</f>
        <v>56.983180717869558</v>
      </c>
      <c r="Q50" s="263">
        <f>IF(Q$17=0,0,Q$17/AGR!Q$5*1000)</f>
        <v>57.486531945721651</v>
      </c>
      <c r="R50" s="263">
        <f>IF(R$17=0,0,R$17/AGR!R$5*1000)</f>
        <v>57.414526382517799</v>
      </c>
      <c r="S50" s="263">
        <f>IF(S$17=0,0,S$17/AGR!S$5*1000)</f>
        <v>54.416228015126869</v>
      </c>
      <c r="T50" s="263">
        <f>IF(T$17=0,0,T$17/AGR!T$5*1000)</f>
        <v>60.416775930378229</v>
      </c>
      <c r="U50" s="263">
        <f>IF(U$17=0,0,U$17/AGR!U$5*1000)</f>
        <v>61.807634147855374</v>
      </c>
      <c r="V50" s="263">
        <f>IF(V$17=0,0,V$17/AGR!V$5*1000)</f>
        <v>65.087302414652441</v>
      </c>
      <c r="W50" s="263">
        <f>IF(W$17=0,0,W$17/AGR!W$5*1000)</f>
        <v>62.584256922607189</v>
      </c>
      <c r="DA50" s="285"/>
    </row>
    <row r="51" spans="1:105" x14ac:dyDescent="0.25">
      <c r="A51" s="128" t="s">
        <v>174</v>
      </c>
      <c r="B51" s="263">
        <f>IF(B$25=0,0,B$25/AGR!B$5*1000)</f>
        <v>4.5640437267108274</v>
      </c>
      <c r="C51" s="263">
        <f>IF(C$25=0,0,C$25/AGR!C$5*1000)</f>
        <v>4.2155945110324353</v>
      </c>
      <c r="D51" s="263">
        <f>IF(D$25=0,0,D$25/AGR!D$5*1000)</f>
        <v>4.6237438866223259</v>
      </c>
      <c r="E51" s="263">
        <f>IF(E$25=0,0,E$25/AGR!E$5*1000)</f>
        <v>4.9526529204462362</v>
      </c>
      <c r="F51" s="263">
        <f>IF(F$25=0,0,F$25/AGR!F$5*1000)</f>
        <v>4.8721925848436687</v>
      </c>
      <c r="G51" s="263">
        <f>IF(G$25=0,0,G$25/AGR!G$5*1000)</f>
        <v>5.7636708715629492</v>
      </c>
      <c r="H51" s="263">
        <f>IF(H$25=0,0,H$25/AGR!H$5*1000)</f>
        <v>5.3331230832748453</v>
      </c>
      <c r="I51" s="263">
        <f>IF(I$25=0,0,I$25/AGR!I$5*1000)</f>
        <v>4.9932561078177642</v>
      </c>
      <c r="J51" s="263">
        <f>IF(J$25=0,0,J$25/AGR!J$5*1000)</f>
        <v>5.2246275105194515</v>
      </c>
      <c r="K51" s="263">
        <f>IF(K$25=0,0,K$25/AGR!K$5*1000)</f>
        <v>5.8928177438184877</v>
      </c>
      <c r="L51" s="263">
        <f>IF(L$25=0,0,L$25/AGR!L$5*1000)</f>
        <v>5.5939589084798449</v>
      </c>
      <c r="M51" s="263">
        <f>IF(M$25=0,0,M$25/AGR!M$5*1000)</f>
        <v>5.1784117034453567</v>
      </c>
      <c r="N51" s="263">
        <f>IF(N$25=0,0,N$25/AGR!N$5*1000)</f>
        <v>5.4953374743702454</v>
      </c>
      <c r="O51" s="263">
        <f>IF(O$25=0,0,O$25/AGR!O$5*1000)</f>
        <v>5.3232081946563587</v>
      </c>
      <c r="P51" s="263">
        <f>IF(P$25=0,0,P$25/AGR!P$5*1000)</f>
        <v>5.2323720742890449</v>
      </c>
      <c r="Q51" s="263">
        <f>IF(Q$25=0,0,Q$25/AGR!Q$5*1000)</f>
        <v>5.2043899346340829</v>
      </c>
      <c r="R51" s="263">
        <f>IF(R$25=0,0,R$25/AGR!R$5*1000)</f>
        <v>5.3194566123926394</v>
      </c>
      <c r="S51" s="263">
        <f>IF(S$25=0,0,S$25/AGR!S$5*1000)</f>
        <v>4.8559686218256264</v>
      </c>
      <c r="T51" s="263">
        <f>IF(T$25=0,0,T$25/AGR!T$5*1000)</f>
        <v>5.5395915125544342</v>
      </c>
      <c r="U51" s="263">
        <f>IF(U$25=0,0,U$25/AGR!U$5*1000)</f>
        <v>5.6138635972578861</v>
      </c>
      <c r="V51" s="263">
        <f>IF(V$25=0,0,V$25/AGR!V$5*1000)</f>
        <v>6.0300652063395193</v>
      </c>
      <c r="W51" s="263">
        <f>IF(W$25=0,0,W$25/AGR!W$5*1000)</f>
        <v>5.742241162814798</v>
      </c>
      <c r="DA51" s="285"/>
    </row>
    <row r="52" spans="1:105" x14ac:dyDescent="0.25">
      <c r="A52" s="128" t="s">
        <v>177</v>
      </c>
      <c r="B52" s="263">
        <f>IF(B$26=0,0,B$26/AGR!B$5*1000)</f>
        <v>3.4524678771894379</v>
      </c>
      <c r="C52" s="263">
        <f>IF(C$26=0,0,C$26/AGR!C$5*1000)</f>
        <v>3.4802164163724143</v>
      </c>
      <c r="D52" s="263">
        <f>IF(D$26=0,0,D$26/AGR!D$5*1000)</f>
        <v>3.4491998275064577</v>
      </c>
      <c r="E52" s="263">
        <f>IF(E$26=0,0,E$26/AGR!E$5*1000)</f>
        <v>3.2557649280853398</v>
      </c>
      <c r="F52" s="263">
        <f>IF(F$26=0,0,F$26/AGR!F$5*1000)</f>
        <v>3.3400798444440061</v>
      </c>
      <c r="G52" s="263">
        <f>IF(G$26=0,0,G$26/AGR!G$5*1000)</f>
        <v>3.9806488848306425</v>
      </c>
      <c r="H52" s="263">
        <f>IF(H$26=0,0,H$26/AGR!H$5*1000)</f>
        <v>3.6665887592641204</v>
      </c>
      <c r="I52" s="263">
        <f>IF(I$26=0,0,I$26/AGR!I$5*1000)</f>
        <v>3.3778326685191757</v>
      </c>
      <c r="J52" s="263">
        <f>IF(J$26=0,0,J$26/AGR!J$5*1000)</f>
        <v>3.4044614856872211</v>
      </c>
      <c r="K52" s="263">
        <f>IF(K$26=0,0,K$26/AGR!K$5*1000)</f>
        <v>3.8835846380191326</v>
      </c>
      <c r="L52" s="263">
        <f>IF(L$26=0,0,L$26/AGR!L$5*1000)</f>
        <v>3.2446294125627411</v>
      </c>
      <c r="M52" s="263">
        <f>IF(M$26=0,0,M$26/AGR!M$5*1000)</f>
        <v>2.9151934858284214</v>
      </c>
      <c r="N52" s="263">
        <f>IF(N$26=0,0,N$26/AGR!N$5*1000)</f>
        <v>3.1917977722679747</v>
      </c>
      <c r="O52" s="263">
        <f>IF(O$26=0,0,O$26/AGR!O$5*1000)</f>
        <v>3.0396763139845144</v>
      </c>
      <c r="P52" s="263">
        <f>IF(P$26=0,0,P$26/AGR!P$5*1000)</f>
        <v>2.9247956892102538</v>
      </c>
      <c r="Q52" s="263">
        <f>IF(Q$26=0,0,Q$26/AGR!Q$5*1000)</f>
        <v>3.2284066785221981</v>
      </c>
      <c r="R52" s="263">
        <f>IF(R$26=0,0,R$26/AGR!R$5*1000)</f>
        <v>3.4398518720763716</v>
      </c>
      <c r="S52" s="263">
        <f>IF(S$26=0,0,S$26/AGR!S$5*1000)</f>
        <v>3.043447409114703</v>
      </c>
      <c r="T52" s="263">
        <f>IF(T$26=0,0,T$26/AGR!T$5*1000)</f>
        <v>3.6028987357840503</v>
      </c>
      <c r="U52" s="263">
        <f>IF(U$26=0,0,U$26/AGR!U$5*1000)</f>
        <v>3.4937116789239124</v>
      </c>
      <c r="V52" s="263">
        <f>IF(V$26=0,0,V$26/AGR!V$5*1000)</f>
        <v>3.4240723171904373</v>
      </c>
      <c r="W52" s="263">
        <f>IF(W$26=0,0,W$26/AGR!W$5*1000)</f>
        <v>3.2757095280894668</v>
      </c>
      <c r="DA52" s="285"/>
    </row>
    <row r="53" spans="1:105" x14ac:dyDescent="0.25">
      <c r="A53" s="261" t="s">
        <v>33</v>
      </c>
      <c r="B53" s="264">
        <f>IF(B$27=0,0,B$27/AGR!B$5*1000)</f>
        <v>5.006078421924685</v>
      </c>
      <c r="C53" s="264">
        <f>IF(C$27=0,0,C$27/AGR!C$5*1000)</f>
        <v>5.0463138037399986</v>
      </c>
      <c r="D53" s="264">
        <f>IF(D$27=0,0,D$27/AGR!D$5*1000)</f>
        <v>5.001339749884365</v>
      </c>
      <c r="E53" s="264">
        <f>IF(E$27=0,0,E$27/AGR!E$5*1000)</f>
        <v>4.7208591457237414</v>
      </c>
      <c r="F53" s="264">
        <f>IF(F$27=0,0,F$27/AGR!F$5*1000)</f>
        <v>4.8431157744438096</v>
      </c>
      <c r="G53" s="264">
        <f>IF(G$27=0,0,G$27/AGR!G$5*1000)</f>
        <v>5.7719408830044303</v>
      </c>
      <c r="H53" s="264">
        <f>IF(H$27=0,0,H$27/AGR!H$5*1000)</f>
        <v>5.3165537009329755</v>
      </c>
      <c r="I53" s="264">
        <f>IF(I$27=0,0,I$27/AGR!I$5*1000)</f>
        <v>4.8978573693528045</v>
      </c>
      <c r="J53" s="264">
        <f>IF(J$27=0,0,J$27/AGR!J$5*1000)</f>
        <v>4.9364691542464731</v>
      </c>
      <c r="K53" s="264">
        <f>IF(K$27=0,0,K$27/AGR!K$5*1000)</f>
        <v>5.631197725127743</v>
      </c>
      <c r="L53" s="264">
        <f>IF(L$27=0,0,L$27/AGR!L$5*1000)</f>
        <v>4.7047126482159749</v>
      </c>
      <c r="M53" s="264">
        <f>IF(M$27=0,0,M$27/AGR!M$5*1000)</f>
        <v>4.227030554451213</v>
      </c>
      <c r="N53" s="264">
        <f>IF(N$27=0,0,N$27/AGR!N$5*1000)</f>
        <v>4.6281067697885643</v>
      </c>
      <c r="O53" s="264">
        <f>IF(O$27=0,0,O$27/AGR!O$5*1000)</f>
        <v>4.4075306552775455</v>
      </c>
      <c r="P53" s="264">
        <f>IF(P$27=0,0,P$27/AGR!P$5*1000)</f>
        <v>4.2409537493548672</v>
      </c>
      <c r="Q53" s="264">
        <f>IF(Q$27=0,0,Q$27/AGR!Q$5*1000)</f>
        <v>4.6811896838571885</v>
      </c>
      <c r="R53" s="264">
        <f>IF(R$27=0,0,R$27/AGR!R$5*1000)</f>
        <v>4.987785214510736</v>
      </c>
      <c r="S53" s="264">
        <f>IF(S$27=0,0,S$27/AGR!S$5*1000)</f>
        <v>4.4129987432163178</v>
      </c>
      <c r="T53" s="264">
        <f>IF(T$27=0,0,T$27/AGR!T$5*1000)</f>
        <v>5.2242031668868725</v>
      </c>
      <c r="U53" s="264">
        <f>IF(U$27=0,0,U$27/AGR!U$5*1000)</f>
        <v>5.0658819344396706</v>
      </c>
      <c r="V53" s="264">
        <f>IF(V$27=0,0,V$27/AGR!V$5*1000)</f>
        <v>4.9649048599261345</v>
      </c>
      <c r="W53" s="264">
        <f>IF(W$27=0,0,W$27/AGR!W$5*1000)</f>
        <v>4.7497788157297265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41.880385714406032</v>
      </c>
      <c r="C5" s="80">
        <f t="shared" ref="C5:W5" si="1">SUM(C6:C9,C16:C17,C25:C27)</f>
        <v>41.855359262739512</v>
      </c>
      <c r="D5" s="80">
        <f t="shared" si="1"/>
        <v>41.932390843117517</v>
      </c>
      <c r="E5" s="80">
        <f t="shared" si="1"/>
        <v>42.087114155241871</v>
      </c>
      <c r="F5" s="80">
        <f t="shared" si="1"/>
        <v>44.901473892254735</v>
      </c>
      <c r="G5" s="80">
        <f t="shared" si="1"/>
        <v>45.538541910916436</v>
      </c>
      <c r="H5" s="80">
        <f t="shared" si="1"/>
        <v>48.894832202970214</v>
      </c>
      <c r="I5" s="80">
        <f t="shared" si="1"/>
        <v>51.48972083694963</v>
      </c>
      <c r="J5" s="80">
        <f t="shared" si="1"/>
        <v>49.395683687538508</v>
      </c>
      <c r="K5" s="80">
        <f t="shared" si="1"/>
        <v>44.617937583919563</v>
      </c>
      <c r="L5" s="80">
        <f t="shared" si="1"/>
        <v>47.095654551912887</v>
      </c>
      <c r="M5" s="80">
        <f t="shared" si="1"/>
        <v>45.979141403887041</v>
      </c>
      <c r="N5" s="80">
        <f t="shared" si="1"/>
        <v>45.545164138640672</v>
      </c>
      <c r="O5" s="80">
        <f t="shared" si="1"/>
        <v>44.623690146353809</v>
      </c>
      <c r="P5" s="80">
        <f t="shared" si="1"/>
        <v>45.785600490721436</v>
      </c>
      <c r="Q5" s="80">
        <f t="shared" si="1"/>
        <v>44.303209622360519</v>
      </c>
      <c r="R5" s="80">
        <f t="shared" si="1"/>
        <v>45.257153898099673</v>
      </c>
      <c r="S5" s="80">
        <f t="shared" si="1"/>
        <v>46.729919349971183</v>
      </c>
      <c r="T5" s="80">
        <f t="shared" si="1"/>
        <v>45.704709695569655</v>
      </c>
      <c r="U5" s="80">
        <f t="shared" si="1"/>
        <v>47.587348456577985</v>
      </c>
      <c r="V5" s="80">
        <f t="shared" si="1"/>
        <v>47.947729779906254</v>
      </c>
      <c r="W5" s="80">
        <f t="shared" si="1"/>
        <v>51.146643385678352</v>
      </c>
      <c r="DA5" s="103"/>
    </row>
    <row r="6" spans="1:105" x14ac:dyDescent="0.25">
      <c r="A6" s="239" t="s">
        <v>125</v>
      </c>
      <c r="B6" s="240">
        <v>1.286470313235226</v>
      </c>
      <c r="C6" s="240">
        <v>1.3317080668514349</v>
      </c>
      <c r="D6" s="240">
        <v>1.2859301998607731</v>
      </c>
      <c r="E6" s="240">
        <v>1.1703654929707601</v>
      </c>
      <c r="F6" s="240">
        <v>1.2724126222215439</v>
      </c>
      <c r="G6" s="240">
        <v>1.339728774308081</v>
      </c>
      <c r="H6" s="240">
        <v>1.39370690837806</v>
      </c>
      <c r="I6" s="240">
        <v>1.457071580496228</v>
      </c>
      <c r="J6" s="240">
        <v>1.3893855652362059</v>
      </c>
      <c r="K6" s="240">
        <v>1.281906103723744</v>
      </c>
      <c r="L6" s="240">
        <v>1.2392922235828181</v>
      </c>
      <c r="M6" s="240">
        <v>1.1959313360699571</v>
      </c>
      <c r="N6" s="240">
        <v>1.274647952911357</v>
      </c>
      <c r="O6" s="240">
        <v>1.219640988593925</v>
      </c>
      <c r="P6" s="240">
        <v>1.251188037929031</v>
      </c>
      <c r="Q6" s="240">
        <v>1.2936616457323391</v>
      </c>
      <c r="R6" s="240">
        <v>1.3707815545247011</v>
      </c>
      <c r="S6" s="240">
        <v>1.3713554370150329</v>
      </c>
      <c r="T6" s="240">
        <v>1.396633393644571</v>
      </c>
      <c r="U6" s="240">
        <v>1.416790556568331</v>
      </c>
      <c r="V6" s="240">
        <v>1.35016087783231</v>
      </c>
      <c r="W6" s="240">
        <v>1.433349224770692</v>
      </c>
      <c r="DA6" s="268" t="s">
        <v>1014</v>
      </c>
    </row>
    <row r="7" spans="1:105" x14ac:dyDescent="0.25">
      <c r="A7" s="241" t="s">
        <v>124</v>
      </c>
      <c r="B7" s="242">
        <v>0.82920491734464619</v>
      </c>
      <c r="C7" s="242">
        <v>0.85836327985194127</v>
      </c>
      <c r="D7" s="242">
        <v>0.82885678287048725</v>
      </c>
      <c r="E7" s="242">
        <v>0.7543686098914264</v>
      </c>
      <c r="F7" s="242">
        <v>0.82014391811665632</v>
      </c>
      <c r="G7" s="242">
        <v>0.86353309216335672</v>
      </c>
      <c r="H7" s="242">
        <v>0.89832513807334402</v>
      </c>
      <c r="I7" s="242">
        <v>0.93916735352578007</v>
      </c>
      <c r="J7" s="242">
        <v>0.895539781158463</v>
      </c>
      <c r="K7" s="242">
        <v>0.82626301893333021</v>
      </c>
      <c r="L7" s="242">
        <v>0.79879589544322127</v>
      </c>
      <c r="M7" s="242">
        <v>0.77084728226794164</v>
      </c>
      <c r="N7" s="242">
        <v>0.82158471871719485</v>
      </c>
      <c r="O7" s="242">
        <v>0.7861295318924707</v>
      </c>
      <c r="P7" s="242">
        <v>0.80646343945898036</v>
      </c>
      <c r="Q7" s="242">
        <v>0.83384014927150696</v>
      </c>
      <c r="R7" s="242">
        <v>0.88354841454424382</v>
      </c>
      <c r="S7" s="242">
        <v>0.88391831517705755</v>
      </c>
      <c r="T7" s="242">
        <v>0.90021142798502041</v>
      </c>
      <c r="U7" s="242">
        <v>0.91320389150644166</v>
      </c>
      <c r="V7" s="242">
        <v>0.87025718944841957</v>
      </c>
      <c r="W7" s="242">
        <v>0.92387691594922583</v>
      </c>
      <c r="DA7" s="269" t="s">
        <v>1015</v>
      </c>
    </row>
    <row r="8" spans="1:105" x14ac:dyDescent="0.25">
      <c r="A8" s="241" t="s">
        <v>123</v>
      </c>
      <c r="B8" s="242">
        <v>1.647822739040756</v>
      </c>
      <c r="C8" s="242">
        <v>1.7057671768602729</v>
      </c>
      <c r="D8" s="242">
        <v>1.6471309149924851</v>
      </c>
      <c r="E8" s="242">
        <v>1.499105616713313</v>
      </c>
      <c r="F8" s="242">
        <v>1.629816429316828</v>
      </c>
      <c r="G8" s="242">
        <v>1.716040794521156</v>
      </c>
      <c r="H8" s="242">
        <v>1.785180669585835</v>
      </c>
      <c r="I8" s="242">
        <v>1.8663436365769659</v>
      </c>
      <c r="J8" s="242">
        <v>1.7796455185457489</v>
      </c>
      <c r="K8" s="242">
        <v>1.6419765036932401</v>
      </c>
      <c r="L8" s="242">
        <v>1.587392950561427</v>
      </c>
      <c r="M8" s="242">
        <v>1.5318525656076589</v>
      </c>
      <c r="N8" s="242">
        <v>1.63267963471073</v>
      </c>
      <c r="O8" s="242">
        <v>1.5622219446456369</v>
      </c>
      <c r="P8" s="242">
        <v>1.6026301411731569</v>
      </c>
      <c r="Q8" s="242">
        <v>1.6570340213306249</v>
      </c>
      <c r="R8" s="242">
        <v>1.7558158882990289</v>
      </c>
      <c r="S8" s="242">
        <v>1.7565509667593551</v>
      </c>
      <c r="T8" s="242">
        <v>1.788929165698036</v>
      </c>
      <c r="U8" s="242">
        <v>1.814748207986538</v>
      </c>
      <c r="V8" s="242">
        <v>1.7294031373800609</v>
      </c>
      <c r="W8" s="242">
        <v>1.8359579861768029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16.994772035161667</v>
      </c>
      <c r="C9" s="244">
        <f t="shared" ref="C9:W9" si="3">SUM(C10:C15)</f>
        <v>17.012082749179235</v>
      </c>
      <c r="D9" s="244">
        <f t="shared" si="3"/>
        <v>16.561788090281873</v>
      </c>
      <c r="E9" s="244">
        <f t="shared" si="3"/>
        <v>16.599564345474363</v>
      </c>
      <c r="F9" s="244">
        <f t="shared" si="3"/>
        <v>17.796855615800947</v>
      </c>
      <c r="G9" s="244">
        <f t="shared" si="3"/>
        <v>17.877981075809991</v>
      </c>
      <c r="H9" s="244">
        <f t="shared" si="3"/>
        <v>19.19439834723045</v>
      </c>
      <c r="I9" s="244">
        <f t="shared" si="3"/>
        <v>19.990108732210953</v>
      </c>
      <c r="J9" s="244">
        <f t="shared" si="3"/>
        <v>19.236191265337268</v>
      </c>
      <c r="K9" s="244">
        <f t="shared" si="3"/>
        <v>17.216995914666047</v>
      </c>
      <c r="L9" s="244">
        <f t="shared" si="3"/>
        <v>17.921065312603844</v>
      </c>
      <c r="M9" s="244">
        <f t="shared" si="3"/>
        <v>17.142059884744349</v>
      </c>
      <c r="N9" s="244">
        <f t="shared" si="3"/>
        <v>16.515894848359764</v>
      </c>
      <c r="O9" s="244">
        <f t="shared" si="3"/>
        <v>16.038933032825355</v>
      </c>
      <c r="P9" s="244">
        <f t="shared" si="3"/>
        <v>15.818978627009461</v>
      </c>
      <c r="Q9" s="244">
        <f t="shared" si="3"/>
        <v>15.502937732011343</v>
      </c>
      <c r="R9" s="244">
        <f t="shared" si="3"/>
        <v>15.922443102196711</v>
      </c>
      <c r="S9" s="244">
        <f t="shared" si="3"/>
        <v>16.248633248084555</v>
      </c>
      <c r="T9" s="244">
        <f t="shared" si="3"/>
        <v>15.893776569858115</v>
      </c>
      <c r="U9" s="244">
        <f t="shared" si="3"/>
        <v>16.201650422539124</v>
      </c>
      <c r="V9" s="244">
        <f t="shared" si="3"/>
        <v>16.196953930741696</v>
      </c>
      <c r="W9" s="244">
        <f t="shared" si="3"/>
        <v>17.332826432300973</v>
      </c>
      <c r="DA9" s="270"/>
    </row>
    <row r="10" spans="1:105" x14ac:dyDescent="0.25">
      <c r="A10" s="254" t="s">
        <v>173</v>
      </c>
      <c r="B10" s="255">
        <v>1.8945487377678669</v>
      </c>
      <c r="C10" s="255">
        <v>1.5336954913201539</v>
      </c>
      <c r="D10" s="255">
        <v>1.952435493731784</v>
      </c>
      <c r="E10" s="255">
        <v>2.1734315745902242</v>
      </c>
      <c r="F10" s="255">
        <v>2.0977922156343691</v>
      </c>
      <c r="G10" s="255">
        <v>2.4280794873290481</v>
      </c>
      <c r="H10" s="255">
        <v>2.251375241017636</v>
      </c>
      <c r="I10" s="255">
        <v>2.467577314336086</v>
      </c>
      <c r="J10" s="255">
        <v>2.6936668131632731</v>
      </c>
      <c r="K10" s="255">
        <v>2.628044398664712</v>
      </c>
      <c r="L10" s="255">
        <v>3.1297195712333918</v>
      </c>
      <c r="M10" s="255">
        <v>3.3301570950526131</v>
      </c>
      <c r="N10" s="255">
        <v>3.9865132175508591</v>
      </c>
      <c r="O10" s="255">
        <v>3.920804114093313</v>
      </c>
      <c r="P10" s="255">
        <v>4.7515263685647584</v>
      </c>
      <c r="Q10" s="255">
        <v>4.0046183164001583</v>
      </c>
      <c r="R10" s="255">
        <v>3.9975574582318871</v>
      </c>
      <c r="S10" s="255">
        <v>4.2033417390044789</v>
      </c>
      <c r="T10" s="255">
        <v>4.169100093906918</v>
      </c>
      <c r="U10" s="255">
        <v>4.7646290605050101</v>
      </c>
      <c r="V10" s="255">
        <v>5.4224065982397978</v>
      </c>
      <c r="W10" s="255">
        <v>5.5134787375593932</v>
      </c>
      <c r="DA10" s="271" t="s">
        <v>1017</v>
      </c>
    </row>
    <row r="11" spans="1:105" x14ac:dyDescent="0.25">
      <c r="A11" s="254" t="s">
        <v>176</v>
      </c>
      <c r="B11" s="256">
        <v>4.7966861114068733</v>
      </c>
      <c r="C11" s="256">
        <v>5.5871815653001393</v>
      </c>
      <c r="D11" s="256">
        <v>5.9856194783329242</v>
      </c>
      <c r="E11" s="256">
        <v>6.1834900417609164</v>
      </c>
      <c r="F11" s="256">
        <v>6.8988214236443213</v>
      </c>
      <c r="G11" s="256">
        <v>6.2484928401098481</v>
      </c>
      <c r="H11" s="256">
        <v>8.4372503085721231</v>
      </c>
      <c r="I11" s="256">
        <v>9.2759170930091521</v>
      </c>
      <c r="J11" s="256">
        <v>7.8063598501502804</v>
      </c>
      <c r="K11" s="256">
        <v>6.3666739720130776</v>
      </c>
      <c r="L11" s="256">
        <v>7.7280454908278564</v>
      </c>
      <c r="M11" s="256">
        <v>7.870667494466149</v>
      </c>
      <c r="N11" s="256">
        <v>6.9634777722556098</v>
      </c>
      <c r="O11" s="256">
        <v>6.8565585326124054</v>
      </c>
      <c r="P11" s="256">
        <v>6.0925209041036323</v>
      </c>
      <c r="Q11" s="256">
        <v>5.9082083815959718</v>
      </c>
      <c r="R11" s="256">
        <v>5.8596962025361714</v>
      </c>
      <c r="S11" s="256">
        <v>6.2771054050793831</v>
      </c>
      <c r="T11" s="256">
        <v>5.8666286502086624</v>
      </c>
      <c r="U11" s="256">
        <v>6.0829746081607574</v>
      </c>
      <c r="V11" s="256">
        <v>6.0657295570627872</v>
      </c>
      <c r="W11" s="256">
        <v>7.0604562879503918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8.1422483463200628</v>
      </c>
      <c r="C14" s="255">
        <v>7.4816241395288552</v>
      </c>
      <c r="D14" s="255">
        <v>6.4576595918441271</v>
      </c>
      <c r="E14" s="255">
        <v>6.6393594906748898</v>
      </c>
      <c r="F14" s="255">
        <v>7.0192288145212256</v>
      </c>
      <c r="G14" s="255">
        <v>7.1513417645305459</v>
      </c>
      <c r="H14" s="255">
        <v>6.5733030156700387</v>
      </c>
      <c r="I14" s="255">
        <v>6.226432200937853</v>
      </c>
      <c r="J14" s="255">
        <v>6.837528915680176</v>
      </c>
      <c r="K14" s="255">
        <v>6.3090176588903022</v>
      </c>
      <c r="L14" s="255">
        <v>5.5658079941324274</v>
      </c>
      <c r="M14" s="255">
        <v>4.4923159543705173</v>
      </c>
      <c r="N14" s="255">
        <v>3.732577306682034</v>
      </c>
      <c r="O14" s="255">
        <v>3.517878898729947</v>
      </c>
      <c r="P14" s="255">
        <v>3.0058966248827259</v>
      </c>
      <c r="Q14" s="255">
        <v>3.2040660498970608</v>
      </c>
      <c r="R14" s="255">
        <v>3.3527079828452759</v>
      </c>
      <c r="S14" s="255">
        <v>3.1545385578389231</v>
      </c>
      <c r="T14" s="255">
        <v>2.9563096760549339</v>
      </c>
      <c r="U14" s="255">
        <v>2.4938548942624701</v>
      </c>
      <c r="V14" s="255">
        <v>2.3617419442527399</v>
      </c>
      <c r="W14" s="255">
        <v>2.3122144521933632</v>
      </c>
      <c r="DA14" s="271" t="s">
        <v>1021</v>
      </c>
    </row>
    <row r="15" spans="1:105" x14ac:dyDescent="0.25">
      <c r="A15" s="254" t="s">
        <v>24</v>
      </c>
      <c r="B15" s="256">
        <v>2.1612888396668639</v>
      </c>
      <c r="C15" s="256">
        <v>2.4095815530300859</v>
      </c>
      <c r="D15" s="256">
        <v>2.1660735263730349</v>
      </c>
      <c r="E15" s="256">
        <v>1.603283238448332</v>
      </c>
      <c r="F15" s="256">
        <v>1.7810131620010301</v>
      </c>
      <c r="G15" s="256">
        <v>2.050066983840551</v>
      </c>
      <c r="H15" s="256">
        <v>1.9324697819706531</v>
      </c>
      <c r="I15" s="256">
        <v>2.020182123927861</v>
      </c>
      <c r="J15" s="256">
        <v>1.8986356863435381</v>
      </c>
      <c r="K15" s="256">
        <v>1.913259885097955</v>
      </c>
      <c r="L15" s="256">
        <v>1.49749225641017</v>
      </c>
      <c r="M15" s="256">
        <v>1.4489193408550709</v>
      </c>
      <c r="N15" s="256">
        <v>1.8333265518712629</v>
      </c>
      <c r="O15" s="256">
        <v>1.743691487389688</v>
      </c>
      <c r="P15" s="256">
        <v>1.9690347294583439</v>
      </c>
      <c r="Q15" s="256">
        <v>2.386044984118151</v>
      </c>
      <c r="R15" s="256">
        <v>2.7124814585833761</v>
      </c>
      <c r="S15" s="256">
        <v>2.613647546161773</v>
      </c>
      <c r="T15" s="256">
        <v>2.9017381496876</v>
      </c>
      <c r="U15" s="256">
        <v>2.8601918596108868</v>
      </c>
      <c r="V15" s="256">
        <v>2.3470758311863702</v>
      </c>
      <c r="W15" s="256">
        <v>2.446676954597824</v>
      </c>
      <c r="DA15" s="272" t="s">
        <v>1022</v>
      </c>
    </row>
    <row r="16" spans="1:105" x14ac:dyDescent="0.25">
      <c r="A16" s="257" t="s">
        <v>175</v>
      </c>
      <c r="B16" s="258">
        <v>6.3331345183737193</v>
      </c>
      <c r="C16" s="258">
        <v>6.0070383328899499</v>
      </c>
      <c r="D16" s="258">
        <v>6.419358110505252</v>
      </c>
      <c r="E16" s="258">
        <v>6.6298721822767641</v>
      </c>
      <c r="F16" s="258">
        <v>6.9118508839397839</v>
      </c>
      <c r="G16" s="258">
        <v>7.2237212611136403</v>
      </c>
      <c r="H16" s="258">
        <v>7.549003917277334</v>
      </c>
      <c r="I16" s="258">
        <v>8.0209422890603861</v>
      </c>
      <c r="J16" s="258">
        <v>7.9401459203086517</v>
      </c>
      <c r="K16" s="258">
        <v>7.2434462845383614</v>
      </c>
      <c r="L16" s="258">
        <v>7.9565846833234106</v>
      </c>
      <c r="M16" s="258">
        <v>7.9110518322419008</v>
      </c>
      <c r="N16" s="258">
        <v>8.1723704983986316</v>
      </c>
      <c r="O16" s="258">
        <v>7.9538412335973447</v>
      </c>
      <c r="P16" s="258">
        <v>8.3353619387588473</v>
      </c>
      <c r="Q16" s="258">
        <v>7.7660661846709944</v>
      </c>
      <c r="R16" s="258">
        <v>7.8939537088395744</v>
      </c>
      <c r="S16" s="258">
        <v>8.1481477734343493</v>
      </c>
      <c r="T16" s="258">
        <v>7.9966281406938711</v>
      </c>
      <c r="U16" s="258">
        <v>8.4777233772792595</v>
      </c>
      <c r="V16" s="258">
        <v>8.8544867709723629</v>
      </c>
      <c r="W16" s="258">
        <v>9.3567893811304845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10.717156909065526</v>
      </c>
      <c r="C17" s="258">
        <f t="shared" ref="C17:W17" si="5">SUM(C18:C24)</f>
        <v>10.799211775544329</v>
      </c>
      <c r="D17" s="258">
        <f t="shared" si="5"/>
        <v>11.107256322789405</v>
      </c>
      <c r="E17" s="258">
        <f t="shared" si="5"/>
        <v>11.612701788357652</v>
      </c>
      <c r="F17" s="258">
        <f t="shared" si="5"/>
        <v>12.355911979516826</v>
      </c>
      <c r="G17" s="258">
        <f t="shared" si="5"/>
        <v>12.192616702661841</v>
      </c>
      <c r="H17" s="258">
        <f t="shared" si="5"/>
        <v>13.570439314522634</v>
      </c>
      <c r="I17" s="258">
        <f t="shared" si="5"/>
        <v>14.490230980643776</v>
      </c>
      <c r="J17" s="258">
        <f t="shared" si="5"/>
        <v>13.609200924779833</v>
      </c>
      <c r="K17" s="258">
        <f t="shared" si="5"/>
        <v>12.224502592553527</v>
      </c>
      <c r="L17" s="258">
        <f t="shared" si="5"/>
        <v>13.420411169543481</v>
      </c>
      <c r="M17" s="258">
        <f t="shared" si="5"/>
        <v>13.369940246758786</v>
      </c>
      <c r="N17" s="258">
        <f t="shared" si="5"/>
        <v>12.838355614995793</v>
      </c>
      <c r="O17" s="258">
        <f t="shared" si="5"/>
        <v>12.94036584739378</v>
      </c>
      <c r="P17" s="258">
        <f t="shared" si="5"/>
        <v>13.718141918144442</v>
      </c>
      <c r="Q17" s="258">
        <f t="shared" si="5"/>
        <v>12.967101350364359</v>
      </c>
      <c r="R17" s="258">
        <f t="shared" si="5"/>
        <v>12.937814463867774</v>
      </c>
      <c r="S17" s="258">
        <f t="shared" si="5"/>
        <v>13.792888598688348</v>
      </c>
      <c r="T17" s="258">
        <f t="shared" si="5"/>
        <v>13.157217985627181</v>
      </c>
      <c r="U17" s="258">
        <f t="shared" si="5"/>
        <v>14.076754437823308</v>
      </c>
      <c r="V17" s="258">
        <f t="shared" si="5"/>
        <v>14.376081178238572</v>
      </c>
      <c r="W17" s="258">
        <f t="shared" si="5"/>
        <v>15.41767674341407</v>
      </c>
      <c r="DA17" s="273"/>
    </row>
    <row r="18" spans="1:105" x14ac:dyDescent="0.25">
      <c r="A18" s="61" t="s">
        <v>29</v>
      </c>
      <c r="B18" s="55">
        <v>0.13428764469851509</v>
      </c>
      <c r="C18" s="55">
        <v>0.13428764469769441</v>
      </c>
      <c r="D18" s="55">
        <v>0.13428764469571991</v>
      </c>
      <c r="E18" s="55">
        <v>0.26857528939125253</v>
      </c>
      <c r="F18" s="55">
        <v>0.13428764469599441</v>
      </c>
      <c r="G18" s="55">
        <v>0.26857528939163011</v>
      </c>
      <c r="H18" s="55">
        <v>0.2685752893921346</v>
      </c>
      <c r="I18" s="55">
        <v>0.21293970740513429</v>
      </c>
      <c r="J18" s="55">
        <v>0.21293970740488041</v>
      </c>
      <c r="K18" s="55">
        <v>0.13428764469502361</v>
      </c>
      <c r="L18" s="55">
        <v>0.21293970740488261</v>
      </c>
      <c r="M18" s="55">
        <v>0.2272265330890289</v>
      </c>
      <c r="N18" s="55">
        <v>0.22722653308882371</v>
      </c>
      <c r="O18" s="55">
        <v>0.45447435801823183</v>
      </c>
      <c r="P18" s="55">
        <v>0.52435418200611972</v>
      </c>
      <c r="Q18" s="55">
        <v>0.52435418200520667</v>
      </c>
      <c r="R18" s="55">
        <v>0.67292865238778621</v>
      </c>
      <c r="S18" s="55">
        <v>0.65285044579753604</v>
      </c>
      <c r="T18" s="55">
        <v>0.69217647715511676</v>
      </c>
      <c r="U18" s="55">
        <v>0.5409831102619469</v>
      </c>
      <c r="V18" s="55">
        <v>0.32161326670830348</v>
      </c>
      <c r="W18" s="55">
        <v>0.27879537333849191</v>
      </c>
      <c r="DA18" s="101" t="s">
        <v>1024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0.31893831102808151</v>
      </c>
      <c r="G19" s="55">
        <v>0.31893831102765557</v>
      </c>
      <c r="H19" s="55">
        <v>0.31893831102825487</v>
      </c>
      <c r="I19" s="55">
        <v>0.31864176215672457</v>
      </c>
      <c r="J19" s="55">
        <v>0.31864176215634449</v>
      </c>
      <c r="K19" s="55">
        <v>0.31864176215452938</v>
      </c>
      <c r="L19" s="55">
        <v>0.31864176215634782</v>
      </c>
      <c r="M19" s="55">
        <v>0.31864176215613349</v>
      </c>
      <c r="N19" s="55">
        <v>0.31864176215584578</v>
      </c>
      <c r="O19" s="55">
        <v>0.31864176215516421</v>
      </c>
      <c r="P19" s="55">
        <v>0.63730823671658632</v>
      </c>
      <c r="Q19" s="55">
        <v>0.3140452546504432</v>
      </c>
      <c r="R19" s="55">
        <v>0.6281152217098348</v>
      </c>
      <c r="S19" s="55">
        <v>0.97441016610610776</v>
      </c>
      <c r="T19" s="55">
        <v>0.69090944519706987</v>
      </c>
      <c r="U19" s="55">
        <v>1.0363888801985031</v>
      </c>
      <c r="V19" s="55">
        <v>1.0372785268145139</v>
      </c>
      <c r="W19" s="55">
        <v>1.383054510689778</v>
      </c>
      <c r="DA19" s="101" t="s">
        <v>1025</v>
      </c>
    </row>
    <row r="20" spans="1:105" x14ac:dyDescent="0.25">
      <c r="A20" s="61" t="s">
        <v>173</v>
      </c>
      <c r="B20" s="55">
        <v>2.0016626658667058</v>
      </c>
      <c r="C20" s="55">
        <v>1.638205099712212</v>
      </c>
      <c r="D20" s="55">
        <v>1.8920807307937499</v>
      </c>
      <c r="E20" s="55">
        <v>1.869175810754937</v>
      </c>
      <c r="F20" s="55">
        <v>1.9114939541927589</v>
      </c>
      <c r="G20" s="55">
        <v>2.302547337570918</v>
      </c>
      <c r="H20" s="55">
        <v>2.068046295112516</v>
      </c>
      <c r="I20" s="55">
        <v>2.1495006826057068</v>
      </c>
      <c r="J20" s="55">
        <v>2.4078712179542152</v>
      </c>
      <c r="K20" s="55">
        <v>2.2633475005189538</v>
      </c>
      <c r="L20" s="55">
        <v>2.4771495518515789</v>
      </c>
      <c r="M20" s="55">
        <v>2.4304133090389599</v>
      </c>
      <c r="N20" s="55">
        <v>3.0110141955842158</v>
      </c>
      <c r="O20" s="55">
        <v>2.6868124289852351</v>
      </c>
      <c r="P20" s="55">
        <v>2.789630923459673</v>
      </c>
      <c r="Q20" s="55">
        <v>2.4899170048738468</v>
      </c>
      <c r="R20" s="55">
        <v>2.650715730199571</v>
      </c>
      <c r="S20" s="55">
        <v>2.5367380032183502</v>
      </c>
      <c r="T20" s="55">
        <v>2.6425249298620339</v>
      </c>
      <c r="U20" s="55">
        <v>2.779542186775497</v>
      </c>
      <c r="V20" s="55">
        <v>3.0619151533715838</v>
      </c>
      <c r="W20" s="55">
        <v>3.126307505783287</v>
      </c>
      <c r="DA20" s="101" t="s">
        <v>1026</v>
      </c>
    </row>
    <row r="21" spans="1:105" x14ac:dyDescent="0.25">
      <c r="A21" s="61" t="s">
        <v>129</v>
      </c>
      <c r="B21" s="55">
        <v>2.077893547017363</v>
      </c>
      <c r="C21" s="55">
        <v>1.026802110129754</v>
      </c>
      <c r="D21" s="55">
        <v>1.0268021101146561</v>
      </c>
      <c r="E21" s="55">
        <v>1.2910558915621539</v>
      </c>
      <c r="F21" s="55">
        <v>2.0641303291945579</v>
      </c>
      <c r="G21" s="55">
        <v>2.0595279091649061</v>
      </c>
      <c r="H21" s="55">
        <v>1.839272382330968</v>
      </c>
      <c r="I21" s="55">
        <v>1.8390741919932549</v>
      </c>
      <c r="J21" s="55">
        <v>1.575084664323978</v>
      </c>
      <c r="K21" s="55">
        <v>1.575084664315006</v>
      </c>
      <c r="L21" s="55">
        <v>1.8372904789663029</v>
      </c>
      <c r="M21" s="55">
        <v>1.8165685782698251</v>
      </c>
      <c r="N21" s="55">
        <v>1.309069190997072</v>
      </c>
      <c r="O21" s="55">
        <v>2.1013020277740391</v>
      </c>
      <c r="P21" s="55">
        <v>3.41957605882379</v>
      </c>
      <c r="Q21" s="55">
        <v>3.4433588991480839</v>
      </c>
      <c r="R21" s="55">
        <v>2.383414960626232</v>
      </c>
      <c r="S21" s="55">
        <v>2.3999748642539962</v>
      </c>
      <c r="T21" s="55">
        <v>1.8792407667720701</v>
      </c>
      <c r="U21" s="55">
        <v>2.644695887027237</v>
      </c>
      <c r="V21" s="55">
        <v>2.4855050048587808</v>
      </c>
      <c r="W21" s="55">
        <v>2.4350325326017761</v>
      </c>
      <c r="DA21" s="101" t="s">
        <v>1027</v>
      </c>
    </row>
    <row r="22" spans="1:105" x14ac:dyDescent="0.25">
      <c r="A22" s="61" t="s">
        <v>176</v>
      </c>
      <c r="B22" s="55">
        <v>4.9465300253615023</v>
      </c>
      <c r="C22" s="55">
        <v>5.8250030941177178</v>
      </c>
      <c r="D22" s="55">
        <v>5.6616929902608284</v>
      </c>
      <c r="E22" s="55">
        <v>5.1905345808622716</v>
      </c>
      <c r="F22" s="55">
        <v>6.1356362623419871</v>
      </c>
      <c r="G22" s="55">
        <v>5.7835592218172449</v>
      </c>
      <c r="H22" s="55">
        <v>7.5646275029025736</v>
      </c>
      <c r="I22" s="55">
        <v>7.8867471899379202</v>
      </c>
      <c r="J22" s="55">
        <v>6.8110205382295472</v>
      </c>
      <c r="K22" s="55">
        <v>5.3518680056049011</v>
      </c>
      <c r="L22" s="55">
        <v>5.9702252098961486</v>
      </c>
      <c r="M22" s="55">
        <v>5.6066212924045322</v>
      </c>
      <c r="N22" s="55">
        <v>5.133576417575191</v>
      </c>
      <c r="O22" s="55">
        <v>4.586090642849121</v>
      </c>
      <c r="P22" s="55">
        <v>3.4912815696470481</v>
      </c>
      <c r="Q22" s="55">
        <v>3.5855335383443832</v>
      </c>
      <c r="R22" s="55">
        <v>3.792431839421154</v>
      </c>
      <c r="S22" s="55">
        <v>3.6975544589095439</v>
      </c>
      <c r="T22" s="55">
        <v>3.6294399302682079</v>
      </c>
      <c r="U22" s="55">
        <v>3.4636533570122139</v>
      </c>
      <c r="V22" s="55">
        <v>3.343169209291192</v>
      </c>
      <c r="W22" s="55">
        <v>3.907626091528543</v>
      </c>
      <c r="DA22" s="101" t="s">
        <v>1028</v>
      </c>
    </row>
    <row r="23" spans="1:105" x14ac:dyDescent="0.25">
      <c r="A23" s="61" t="s">
        <v>171</v>
      </c>
      <c r="B23" s="55">
        <v>1.5567830261214399</v>
      </c>
      <c r="C23" s="55">
        <v>2.1749138268869501</v>
      </c>
      <c r="D23" s="55">
        <v>2.392392846924452</v>
      </c>
      <c r="E23" s="55">
        <v>2.9933602157870371</v>
      </c>
      <c r="F23" s="55">
        <v>1.791425478063446</v>
      </c>
      <c r="G23" s="55">
        <v>1.459468633689486</v>
      </c>
      <c r="H23" s="55">
        <v>1.5109795337561891</v>
      </c>
      <c r="I23" s="55">
        <v>2.0833274465450349</v>
      </c>
      <c r="J23" s="55">
        <v>2.2836430347108672</v>
      </c>
      <c r="K23" s="55">
        <v>2.581273015265114</v>
      </c>
      <c r="L23" s="55">
        <v>2.6041644592682189</v>
      </c>
      <c r="M23" s="55">
        <v>2.9704687718003062</v>
      </c>
      <c r="N23" s="55">
        <v>2.838827515594645</v>
      </c>
      <c r="O23" s="55">
        <v>2.7930446276119891</v>
      </c>
      <c r="P23" s="55">
        <v>2.8559909474912231</v>
      </c>
      <c r="Q23" s="55">
        <v>2.6098924713423952</v>
      </c>
      <c r="R23" s="55">
        <v>2.810208059523196</v>
      </c>
      <c r="S23" s="55">
        <v>3.531360660402814</v>
      </c>
      <c r="T23" s="55">
        <v>3.622926436372683</v>
      </c>
      <c r="U23" s="55">
        <v>3.611491016547911</v>
      </c>
      <c r="V23" s="55">
        <v>4.1266000171941961</v>
      </c>
      <c r="W23" s="55">
        <v>4.2868607294721937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1030</v>
      </c>
    </row>
    <row r="25" spans="1:105" x14ac:dyDescent="0.25">
      <c r="A25" s="257" t="s">
        <v>174</v>
      </c>
      <c r="B25" s="258">
        <v>0.8518752034158048</v>
      </c>
      <c r="C25" s="258">
        <v>0.80801173367010981</v>
      </c>
      <c r="D25" s="258">
        <v>0.86347321067006266</v>
      </c>
      <c r="E25" s="258">
        <v>0.89178963395018851</v>
      </c>
      <c r="F25" s="258">
        <v>0.92971882417048302</v>
      </c>
      <c r="G25" s="258">
        <v>0.97166876858166962</v>
      </c>
      <c r="H25" s="258">
        <v>1.015422809820357</v>
      </c>
      <c r="I25" s="258">
        <v>1.0789036336203299</v>
      </c>
      <c r="J25" s="258">
        <v>1.068035646707064</v>
      </c>
      <c r="K25" s="258">
        <v>0.97432199792545904</v>
      </c>
      <c r="L25" s="258">
        <v>1.070246838423657</v>
      </c>
      <c r="M25" s="258">
        <v>1.064122176668151</v>
      </c>
      <c r="N25" s="258">
        <v>1.0992723682901311</v>
      </c>
      <c r="O25" s="258">
        <v>1.069877814714044</v>
      </c>
      <c r="P25" s="258">
        <v>1.1211964828038949</v>
      </c>
      <c r="Q25" s="258">
        <v>1.044620036352244</v>
      </c>
      <c r="R25" s="258">
        <v>1.0618222938361781</v>
      </c>
      <c r="S25" s="258">
        <v>1.096014149362937</v>
      </c>
      <c r="T25" s="258">
        <v>1.075633117255091</v>
      </c>
      <c r="U25" s="258">
        <v>1.140345638572859</v>
      </c>
      <c r="V25" s="258">
        <v>1.1910243967313641</v>
      </c>
      <c r="W25" s="258">
        <v>1.258589539547029</v>
      </c>
      <c r="DA25" s="273" t="s">
        <v>1031</v>
      </c>
    </row>
    <row r="26" spans="1:105" x14ac:dyDescent="0.25">
      <c r="A26" s="257" t="s">
        <v>177</v>
      </c>
      <c r="B26" s="258">
        <v>1.275699872837917</v>
      </c>
      <c r="C26" s="258">
        <v>1.3205588920799101</v>
      </c>
      <c r="D26" s="258">
        <v>1.275164281339211</v>
      </c>
      <c r="E26" s="258">
        <v>1.160567092140657</v>
      </c>
      <c r="F26" s="258">
        <v>1.2617598740256259</v>
      </c>
      <c r="G26" s="258">
        <v>1.3285124494820879</v>
      </c>
      <c r="H26" s="258">
        <v>1.3820386739589909</v>
      </c>
      <c r="I26" s="258">
        <v>1.444872851578124</v>
      </c>
      <c r="J26" s="258">
        <v>1.377753509474559</v>
      </c>
      <c r="K26" s="258">
        <v>1.271173875282047</v>
      </c>
      <c r="L26" s="258">
        <v>1.228916762220341</v>
      </c>
      <c r="M26" s="258">
        <v>1.1859188957968341</v>
      </c>
      <c r="N26" s="258">
        <v>1.2639764903341459</v>
      </c>
      <c r="O26" s="258">
        <v>1.20943004906534</v>
      </c>
      <c r="P26" s="258">
        <v>1.240712983783048</v>
      </c>
      <c r="Q26" s="258">
        <v>1.2828309988792419</v>
      </c>
      <c r="R26" s="258">
        <v>1.359305253144991</v>
      </c>
      <c r="S26" s="258">
        <v>1.359874331041627</v>
      </c>
      <c r="T26" s="258">
        <v>1.384940658438494</v>
      </c>
      <c r="U26" s="258">
        <v>1.4049290638560641</v>
      </c>
      <c r="V26" s="258">
        <v>1.3388572145360309</v>
      </c>
      <c r="W26" s="258">
        <v>1.4213491014603481</v>
      </c>
      <c r="DA26" s="273" t="s">
        <v>1032</v>
      </c>
    </row>
    <row r="27" spans="1:105" x14ac:dyDescent="0.25">
      <c r="A27" s="129" t="s">
        <v>33</v>
      </c>
      <c r="B27" s="259">
        <v>1.9442492059307741</v>
      </c>
      <c r="C27" s="259">
        <v>2.0126172558123292</v>
      </c>
      <c r="D27" s="259">
        <v>1.943432929807968</v>
      </c>
      <c r="E27" s="259">
        <v>1.7687793934667471</v>
      </c>
      <c r="F27" s="259">
        <v>1.9230037451460349</v>
      </c>
      <c r="G27" s="259">
        <v>2.024738992274612</v>
      </c>
      <c r="H27" s="259">
        <v>2.1063164241232042</v>
      </c>
      <c r="I27" s="259">
        <v>2.202079779237085</v>
      </c>
      <c r="J27" s="259">
        <v>2.0997855559907119</v>
      </c>
      <c r="K27" s="259">
        <v>1.937351292603817</v>
      </c>
      <c r="L27" s="259">
        <v>1.872948716210687</v>
      </c>
      <c r="M27" s="259">
        <v>1.807417183731463</v>
      </c>
      <c r="N27" s="259">
        <v>1.926382011922928</v>
      </c>
      <c r="O27" s="259">
        <v>1.843249703625911</v>
      </c>
      <c r="P27" s="259">
        <v>1.8909269216605751</v>
      </c>
      <c r="Q27" s="259">
        <v>1.9551175037478721</v>
      </c>
      <c r="R27" s="259">
        <v>2.071669218846476</v>
      </c>
      <c r="S27" s="259">
        <v>2.072536530407922</v>
      </c>
      <c r="T27" s="259">
        <v>2.1107392363692719</v>
      </c>
      <c r="U27" s="259">
        <v>2.1412028604460551</v>
      </c>
      <c r="V27" s="259">
        <v>2.0405050840254302</v>
      </c>
      <c r="W27" s="259">
        <v>2.1662280609287219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</v>
      </c>
      <c r="D31" s="236">
        <f t="shared" si="6"/>
        <v>1</v>
      </c>
      <c r="E31" s="236">
        <f t="shared" si="6"/>
        <v>1</v>
      </c>
      <c r="F31" s="236">
        <f t="shared" si="6"/>
        <v>0.99999999999999978</v>
      </c>
      <c r="G31" s="236">
        <f t="shared" si="6"/>
        <v>1</v>
      </c>
      <c r="H31" s="236">
        <f t="shared" si="6"/>
        <v>0.99999999999999989</v>
      </c>
      <c r="I31" s="236">
        <f t="shared" si="6"/>
        <v>1</v>
      </c>
      <c r="J31" s="236">
        <f t="shared" si="6"/>
        <v>1</v>
      </c>
      <c r="K31" s="236">
        <f t="shared" si="6"/>
        <v>1.0000000000000002</v>
      </c>
      <c r="L31" s="236">
        <f t="shared" si="6"/>
        <v>1</v>
      </c>
      <c r="M31" s="236">
        <f t="shared" si="6"/>
        <v>0.99999999999999989</v>
      </c>
      <c r="N31" s="236">
        <f t="shared" si="6"/>
        <v>1.0000000000000002</v>
      </c>
      <c r="O31" s="236">
        <f t="shared" si="6"/>
        <v>1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1.0000000000000002</v>
      </c>
      <c r="S31" s="236">
        <f t="shared" si="7"/>
        <v>1</v>
      </c>
      <c r="T31" s="236">
        <f t="shared" si="7"/>
        <v>1</v>
      </c>
      <c r="U31" s="236">
        <f t="shared" si="7"/>
        <v>0.99999999999999989</v>
      </c>
      <c r="V31" s="236">
        <f t="shared" si="7"/>
        <v>0.99999999999999989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3.071772838980099E-2</v>
      </c>
      <c r="C32" s="245">
        <f t="shared" si="8"/>
        <v>3.1816906850371932E-2</v>
      </c>
      <c r="D32" s="245">
        <f t="shared" si="8"/>
        <v>3.066675126328592E-2</v>
      </c>
      <c r="E32" s="245">
        <f t="shared" si="8"/>
        <v>2.7808166857289578E-2</v>
      </c>
      <c r="F32" s="245">
        <f t="shared" si="8"/>
        <v>2.8337880962990579E-2</v>
      </c>
      <c r="G32" s="245">
        <f t="shared" si="8"/>
        <v>2.9419667782268698E-2</v>
      </c>
      <c r="H32" s="245">
        <f t="shared" si="8"/>
        <v>2.8504176118092833E-2</v>
      </c>
      <c r="I32" s="245">
        <f t="shared" si="8"/>
        <v>2.8298300259002693E-2</v>
      </c>
      <c r="J32" s="245">
        <f t="shared" si="8"/>
        <v>2.8127671519338007E-2</v>
      </c>
      <c r="K32" s="245">
        <f t="shared" si="8"/>
        <v>2.8730734165214905E-2</v>
      </c>
      <c r="L32" s="245">
        <f t="shared" si="8"/>
        <v>2.6314364570870621E-2</v>
      </c>
      <c r="M32" s="245">
        <f t="shared" si="8"/>
        <v>2.6010301618395466E-2</v>
      </c>
      <c r="N32" s="245">
        <f t="shared" si="8"/>
        <v>2.7986460846453318E-2</v>
      </c>
      <c r="O32" s="245">
        <f t="shared" si="8"/>
        <v>2.7331692753195167E-2</v>
      </c>
      <c r="P32" s="245">
        <f t="shared" si="8"/>
        <v>2.732710774826656E-2</v>
      </c>
      <c r="Q32" s="245">
        <f t="shared" si="8"/>
        <v>2.9200178875514425E-2</v>
      </c>
      <c r="R32" s="245">
        <f t="shared" si="8"/>
        <v>3.0288726454410549E-2</v>
      </c>
      <c r="S32" s="245">
        <f t="shared" si="8"/>
        <v>2.9346411380354299E-2</v>
      </c>
      <c r="T32" s="245">
        <f t="shared" si="8"/>
        <v>3.0557756584546306E-2</v>
      </c>
      <c r="U32" s="245">
        <f t="shared" si="8"/>
        <v>2.9772420664730029E-2</v>
      </c>
      <c r="V32" s="245">
        <f t="shared" si="8"/>
        <v>2.8159015745478112E-2</v>
      </c>
      <c r="W32" s="245">
        <f t="shared" si="8"/>
        <v>2.8024306775369864E-2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1.9799361997265844E-2</v>
      </c>
      <c r="C33" s="246">
        <f t="shared" si="9"/>
        <v>2.0507846425680393E-2</v>
      </c>
      <c r="D33" s="246">
        <f t="shared" si="9"/>
        <v>1.9766504275215441E-2</v>
      </c>
      <c r="E33" s="246">
        <f t="shared" si="9"/>
        <v>1.7923980416164297E-2</v>
      </c>
      <c r="F33" s="246">
        <f t="shared" si="9"/>
        <v>1.826541195695865E-2</v>
      </c>
      <c r="G33" s="246">
        <f t="shared" si="9"/>
        <v>1.896268646134126E-2</v>
      </c>
      <c r="H33" s="246">
        <f t="shared" si="9"/>
        <v>1.8372598853479111E-2</v>
      </c>
      <c r="I33" s="246">
        <f t="shared" si="9"/>
        <v>1.8239899891860017E-2</v>
      </c>
      <c r="J33" s="246">
        <f t="shared" si="9"/>
        <v>1.8129919748117361E-2</v>
      </c>
      <c r="K33" s="246">
        <f t="shared" si="9"/>
        <v>1.8518628687828859E-2</v>
      </c>
      <c r="L33" s="246">
        <f t="shared" si="9"/>
        <v>1.6961137987003019E-2</v>
      </c>
      <c r="M33" s="246">
        <f t="shared" si="9"/>
        <v>1.6765151734711922E-2</v>
      </c>
      <c r="N33" s="246">
        <f t="shared" si="9"/>
        <v>1.803890125889698E-2</v>
      </c>
      <c r="O33" s="246">
        <f t="shared" si="9"/>
        <v>1.7616865151989344E-2</v>
      </c>
      <c r="P33" s="246">
        <f t="shared" si="9"/>
        <v>1.761390984972256E-2</v>
      </c>
      <c r="Q33" s="246">
        <f t="shared" si="9"/>
        <v>1.8821213098986284E-2</v>
      </c>
      <c r="R33" s="246">
        <f t="shared" si="9"/>
        <v>1.9522845306039972E-2</v>
      </c>
      <c r="S33" s="246">
        <f t="shared" si="9"/>
        <v>1.891546845089093E-2</v>
      </c>
      <c r="T33" s="246">
        <f t="shared" si="9"/>
        <v>1.9696250867386685E-2</v>
      </c>
      <c r="U33" s="246">
        <f t="shared" si="9"/>
        <v>1.9190056204533283E-2</v>
      </c>
      <c r="V33" s="246">
        <f t="shared" si="9"/>
        <v>1.815012292434174E-2</v>
      </c>
      <c r="W33" s="246">
        <f t="shared" si="9"/>
        <v>1.8063295160595464E-2</v>
      </c>
      <c r="DA33" s="277"/>
    </row>
    <row r="34" spans="1:105" x14ac:dyDescent="0.25">
      <c r="A34" s="241" t="s">
        <v>123</v>
      </c>
      <c r="B34" s="246">
        <f t="shared" ref="B34:W34" si="10">IF(B$8=0,0,B$8/B$5)</f>
        <v>3.9345930342612329E-2</v>
      </c>
      <c r="C34" s="246">
        <f t="shared" si="10"/>
        <v>4.0753853434935899E-2</v>
      </c>
      <c r="D34" s="246">
        <f t="shared" si="10"/>
        <v>3.9280634418269365E-2</v>
      </c>
      <c r="E34" s="246">
        <f t="shared" si="10"/>
        <v>3.5619111616532688E-2</v>
      </c>
      <c r="F34" s="246">
        <f t="shared" si="10"/>
        <v>3.6297615379569145E-2</v>
      </c>
      <c r="G34" s="246">
        <f t="shared" si="10"/>
        <v>3.7683261749533292E-2</v>
      </c>
      <c r="H34" s="246">
        <f t="shared" si="10"/>
        <v>3.6510620635229231E-2</v>
      </c>
      <c r="I34" s="246">
        <f t="shared" si="10"/>
        <v>3.6246916981489165E-2</v>
      </c>
      <c r="J34" s="246">
        <f t="shared" si="10"/>
        <v>3.6028360894915928E-2</v>
      </c>
      <c r="K34" s="246">
        <f t="shared" si="10"/>
        <v>3.680081582894619E-2</v>
      </c>
      <c r="L34" s="246">
        <f t="shared" si="10"/>
        <v>3.3705720106547536E-2</v>
      </c>
      <c r="M34" s="246">
        <f t="shared" si="10"/>
        <v>3.3316249908880581E-2</v>
      </c>
      <c r="N34" s="246">
        <f t="shared" si="10"/>
        <v>3.5847486019389689E-2</v>
      </c>
      <c r="O34" s="246">
        <f t="shared" si="10"/>
        <v>3.5008802264491469E-2</v>
      </c>
      <c r="P34" s="246">
        <f t="shared" si="10"/>
        <v>3.5002929392570353E-2</v>
      </c>
      <c r="Q34" s="246">
        <f t="shared" si="10"/>
        <v>3.7402121323830542E-2</v>
      </c>
      <c r="R34" s="246">
        <f t="shared" si="10"/>
        <v>3.8796427461002023E-2</v>
      </c>
      <c r="S34" s="246">
        <f t="shared" si="10"/>
        <v>3.7589428597214952E-2</v>
      </c>
      <c r="T34" s="246">
        <f t="shared" si="10"/>
        <v>3.9141024581793686E-2</v>
      </c>
      <c r="U34" s="246">
        <f t="shared" si="10"/>
        <v>3.8135098231884906E-2</v>
      </c>
      <c r="V34" s="246">
        <f t="shared" si="10"/>
        <v>3.606850929790658E-2</v>
      </c>
      <c r="W34" s="246">
        <f t="shared" si="10"/>
        <v>3.589596236711972E-2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0.40579311162637643</v>
      </c>
      <c r="C35" s="247">
        <f t="shared" si="11"/>
        <v>0.40644933047615089</v>
      </c>
      <c r="D35" s="247">
        <f t="shared" si="11"/>
        <v>0.39496407806186912</v>
      </c>
      <c r="E35" s="247">
        <f t="shared" si="11"/>
        <v>0.39440965907630232</v>
      </c>
      <c r="F35" s="247">
        <f t="shared" si="11"/>
        <v>0.39635348404166326</v>
      </c>
      <c r="G35" s="247">
        <f t="shared" si="11"/>
        <v>0.39259010775495001</v>
      </c>
      <c r="H35" s="247">
        <f t="shared" si="11"/>
        <v>0.3925649702109919</v>
      </c>
      <c r="I35" s="247">
        <f t="shared" si="11"/>
        <v>0.3882349410188648</v>
      </c>
      <c r="J35" s="247">
        <f t="shared" si="11"/>
        <v>0.3894306107193361</v>
      </c>
      <c r="K35" s="247">
        <f t="shared" si="11"/>
        <v>0.38587610380429377</v>
      </c>
      <c r="L35" s="247">
        <f t="shared" si="11"/>
        <v>0.38052481663355381</v>
      </c>
      <c r="M35" s="247">
        <f t="shared" si="11"/>
        <v>0.37282253129013782</v>
      </c>
      <c r="N35" s="247">
        <f t="shared" si="11"/>
        <v>0.36262674996811839</v>
      </c>
      <c r="O35" s="247">
        <f t="shared" si="11"/>
        <v>0.35942641633226496</v>
      </c>
      <c r="P35" s="247">
        <f t="shared" si="11"/>
        <v>0.34550117192882979</v>
      </c>
      <c r="Q35" s="247">
        <f t="shared" si="11"/>
        <v>0.34992809469467351</v>
      </c>
      <c r="R35" s="247">
        <f t="shared" si="11"/>
        <v>0.35182157362452454</v>
      </c>
      <c r="S35" s="247">
        <f t="shared" si="11"/>
        <v>0.34771370193033674</v>
      </c>
      <c r="T35" s="247">
        <f t="shared" si="11"/>
        <v>0.34774920737323411</v>
      </c>
      <c r="U35" s="247">
        <f t="shared" si="11"/>
        <v>0.34046129797130092</v>
      </c>
      <c r="V35" s="247">
        <f t="shared" si="11"/>
        <v>0.33780439668552259</v>
      </c>
      <c r="W35" s="247">
        <f t="shared" si="11"/>
        <v>0.33888492547986759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0.15121958430758303</v>
      </c>
      <c r="C36" s="260">
        <f t="shared" si="12"/>
        <v>0.14351897674995079</v>
      </c>
      <c r="D36" s="260">
        <f t="shared" si="12"/>
        <v>0.15308829240197927</v>
      </c>
      <c r="E36" s="260">
        <f t="shared" si="12"/>
        <v>0.15752736473738543</v>
      </c>
      <c r="F36" s="260">
        <f t="shared" si="12"/>
        <v>0.15393371942590153</v>
      </c>
      <c r="G36" s="260">
        <f t="shared" si="12"/>
        <v>0.15862873421034984</v>
      </c>
      <c r="H36" s="260">
        <f t="shared" si="12"/>
        <v>0.15439267458655384</v>
      </c>
      <c r="I36" s="260">
        <f t="shared" si="12"/>
        <v>0.15577754469595925</v>
      </c>
      <c r="J36" s="260">
        <f t="shared" si="12"/>
        <v>0.16074574391024743</v>
      </c>
      <c r="K36" s="260">
        <f t="shared" si="12"/>
        <v>0.1623438167870162</v>
      </c>
      <c r="L36" s="260">
        <f t="shared" si="12"/>
        <v>0.1689451980023545</v>
      </c>
      <c r="M36" s="260">
        <f t="shared" si="12"/>
        <v>0.17205740669992386</v>
      </c>
      <c r="N36" s="260">
        <f t="shared" si="12"/>
        <v>0.17943442850533423</v>
      </c>
      <c r="O36" s="260">
        <f t="shared" si="12"/>
        <v>0.17824257042640054</v>
      </c>
      <c r="P36" s="260">
        <f t="shared" si="12"/>
        <v>0.18205203927483771</v>
      </c>
      <c r="Q36" s="260">
        <f t="shared" si="12"/>
        <v>0.17529353405472772</v>
      </c>
      <c r="R36" s="260">
        <f t="shared" si="12"/>
        <v>0.1744244396502149</v>
      </c>
      <c r="S36" s="260">
        <f t="shared" si="12"/>
        <v>0.17436682722285446</v>
      </c>
      <c r="T36" s="260">
        <f t="shared" si="12"/>
        <v>0.17496289100090306</v>
      </c>
      <c r="U36" s="260">
        <f t="shared" si="12"/>
        <v>0.17815078276561103</v>
      </c>
      <c r="V36" s="260">
        <f t="shared" si="12"/>
        <v>0.18466957271213844</v>
      </c>
      <c r="W36" s="260">
        <f t="shared" si="12"/>
        <v>0.18294043874148921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0.25589919305301512</v>
      </c>
      <c r="C37" s="260">
        <f t="shared" si="13"/>
        <v>0.25801264081271441</v>
      </c>
      <c r="D37" s="260">
        <f t="shared" si="13"/>
        <v>0.26488488014778844</v>
      </c>
      <c r="E37" s="260">
        <f t="shared" si="13"/>
        <v>0.2759205999613854</v>
      </c>
      <c r="F37" s="260">
        <f t="shared" si="13"/>
        <v>0.27517831617656885</v>
      </c>
      <c r="G37" s="260">
        <f t="shared" si="13"/>
        <v>0.26774279963801484</v>
      </c>
      <c r="H37" s="260">
        <f t="shared" si="13"/>
        <v>0.27754342745649652</v>
      </c>
      <c r="I37" s="260">
        <f t="shared" si="13"/>
        <v>0.28141987847495603</v>
      </c>
      <c r="J37" s="260">
        <f t="shared" si="13"/>
        <v>0.2755139702259683</v>
      </c>
      <c r="K37" s="260">
        <f t="shared" si="13"/>
        <v>0.27398179419568858</v>
      </c>
      <c r="L37" s="260">
        <f t="shared" si="13"/>
        <v>0.2849607102232829</v>
      </c>
      <c r="M37" s="260">
        <f t="shared" si="13"/>
        <v>0.29078272970161423</v>
      </c>
      <c r="N37" s="260">
        <f t="shared" si="13"/>
        <v>0.28188186073751986</v>
      </c>
      <c r="O37" s="260">
        <f t="shared" si="13"/>
        <v>0.28998869893890061</v>
      </c>
      <c r="P37" s="260">
        <f t="shared" si="13"/>
        <v>0.29961694880302936</v>
      </c>
      <c r="Q37" s="260">
        <f t="shared" si="13"/>
        <v>0.29268988547095381</v>
      </c>
      <c r="R37" s="260">
        <f t="shared" si="13"/>
        <v>0.28587335591182694</v>
      </c>
      <c r="S37" s="260">
        <f t="shared" si="13"/>
        <v>0.29516183187456868</v>
      </c>
      <c r="T37" s="260">
        <f t="shared" si="13"/>
        <v>0.2878744460530413</v>
      </c>
      <c r="U37" s="260">
        <f t="shared" si="13"/>
        <v>0.29580875788168615</v>
      </c>
      <c r="V37" s="260">
        <f t="shared" si="13"/>
        <v>0.29982819299743452</v>
      </c>
      <c r="W37" s="260">
        <f t="shared" si="13"/>
        <v>0.30144063662506532</v>
      </c>
      <c r="DA37" s="279"/>
    </row>
    <row r="38" spans="1:105" x14ac:dyDescent="0.25">
      <c r="A38" s="128" t="s">
        <v>174</v>
      </c>
      <c r="B38" s="260">
        <f t="shared" ref="B38:W38" si="14">IF(B$25=0,0,B$25/B$5)</f>
        <v>2.0340672343014655E-2</v>
      </c>
      <c r="C38" s="260">
        <f t="shared" si="14"/>
        <v>1.9304857201152211E-2</v>
      </c>
      <c r="D38" s="260">
        <f t="shared" si="14"/>
        <v>2.0592033826561239E-2</v>
      </c>
      <c r="E38" s="260">
        <f t="shared" si="14"/>
        <v>2.1189137146841362E-2</v>
      </c>
      <c r="F38" s="260">
        <f t="shared" si="14"/>
        <v>2.0705752920303459E-2</v>
      </c>
      <c r="G38" s="260">
        <f t="shared" si="14"/>
        <v>2.1337283272759827E-2</v>
      </c>
      <c r="H38" s="260">
        <f t="shared" si="14"/>
        <v>2.0767487361551332E-2</v>
      </c>
      <c r="I38" s="260">
        <f t="shared" si="14"/>
        <v>2.095376739440576E-2</v>
      </c>
      <c r="J38" s="260">
        <f t="shared" si="14"/>
        <v>2.1622044012248522E-2</v>
      </c>
      <c r="K38" s="260">
        <f t="shared" si="14"/>
        <v>2.1837002127068454E-2</v>
      </c>
      <c r="L38" s="260">
        <f t="shared" si="14"/>
        <v>2.272495941730545E-2</v>
      </c>
      <c r="M38" s="260">
        <f t="shared" si="14"/>
        <v>2.3143585203576483E-2</v>
      </c>
      <c r="N38" s="260">
        <f t="shared" si="14"/>
        <v>2.4135874556164012E-2</v>
      </c>
      <c r="O38" s="260">
        <f t="shared" si="14"/>
        <v>2.3975556732424637E-2</v>
      </c>
      <c r="P38" s="260">
        <f t="shared" si="14"/>
        <v>2.4487971562830287E-2</v>
      </c>
      <c r="Q38" s="260">
        <f t="shared" si="14"/>
        <v>2.3578879391731655E-2</v>
      </c>
      <c r="R38" s="260">
        <f t="shared" si="14"/>
        <v>2.3461976778896904E-2</v>
      </c>
      <c r="S38" s="260">
        <f t="shared" si="14"/>
        <v>2.3454227283266495E-2</v>
      </c>
      <c r="T38" s="260">
        <f t="shared" si="14"/>
        <v>2.3534404318935134E-2</v>
      </c>
      <c r="U38" s="260">
        <f t="shared" si="14"/>
        <v>2.3963210297656946E-2</v>
      </c>
      <c r="V38" s="260">
        <f t="shared" si="14"/>
        <v>2.4840058167477492E-2</v>
      </c>
      <c r="W38" s="260">
        <f t="shared" si="14"/>
        <v>2.460747091566616E-2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3.0460556918870525E-2</v>
      </c>
      <c r="C39" s="260">
        <f t="shared" si="15"/>
        <v>3.1550532962585233E-2</v>
      </c>
      <c r="D39" s="260">
        <f t="shared" si="15"/>
        <v>3.0410006577254522E-2</v>
      </c>
      <c r="E39" s="260">
        <f t="shared" si="15"/>
        <v>2.7575354486406634E-2</v>
      </c>
      <c r="F39" s="260">
        <f t="shared" si="15"/>
        <v>2.8100633779936404E-2</v>
      </c>
      <c r="G39" s="260">
        <f t="shared" si="15"/>
        <v>2.9173363786678879E-2</v>
      </c>
      <c r="H39" s="260">
        <f t="shared" si="15"/>
        <v>2.8265536697660174E-2</v>
      </c>
      <c r="I39" s="260">
        <f t="shared" si="15"/>
        <v>2.8061384449015427E-2</v>
      </c>
      <c r="J39" s="260">
        <f t="shared" si="15"/>
        <v>2.7892184227872874E-2</v>
      </c>
      <c r="K39" s="260">
        <f t="shared" si="15"/>
        <v>2.8490197981275178E-2</v>
      </c>
      <c r="L39" s="260">
        <f t="shared" si="15"/>
        <v>2.6094058441543118E-2</v>
      </c>
      <c r="M39" s="260">
        <f t="shared" si="15"/>
        <v>2.5792541130326054E-2</v>
      </c>
      <c r="N39" s="260">
        <f t="shared" si="15"/>
        <v>2.7752155782918432E-2</v>
      </c>
      <c r="O39" s="260">
        <f t="shared" si="15"/>
        <v>2.7102869464599003E-2</v>
      </c>
      <c r="P39" s="260">
        <f t="shared" si="15"/>
        <v>2.7098322845727042E-2</v>
      </c>
      <c r="Q39" s="260">
        <f t="shared" si="15"/>
        <v>2.8955712459978907E-2</v>
      </c>
      <c r="R39" s="260">
        <f t="shared" si="15"/>
        <v>3.0035146624676889E-2</v>
      </c>
      <c r="S39" s="260">
        <f t="shared" si="15"/>
        <v>2.9100720693678354E-2</v>
      </c>
      <c r="T39" s="260">
        <f t="shared" si="15"/>
        <v>3.0301924411364152E-2</v>
      </c>
      <c r="U39" s="260">
        <f t="shared" si="15"/>
        <v>2.9523163391589665E-2</v>
      </c>
      <c r="V39" s="260">
        <f t="shared" si="15"/>
        <v>2.7923266037448845E-2</v>
      </c>
      <c r="W39" s="260">
        <f t="shared" si="15"/>
        <v>2.7789684862454575E-2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4.6423861021461184E-2</v>
      </c>
      <c r="C40" s="262">
        <f t="shared" si="16"/>
        <v>4.8085055086458231E-2</v>
      </c>
      <c r="D40" s="262">
        <f t="shared" si="16"/>
        <v>4.6346819027776688E-2</v>
      </c>
      <c r="E40" s="262">
        <f t="shared" si="16"/>
        <v>4.2026625701692327E-2</v>
      </c>
      <c r="F40" s="262">
        <f t="shared" si="16"/>
        <v>4.2827185356107939E-2</v>
      </c>
      <c r="G40" s="262">
        <f t="shared" si="16"/>
        <v>4.4462095344103329E-2</v>
      </c>
      <c r="H40" s="262">
        <f t="shared" si="16"/>
        <v>4.3078508079944934E-2</v>
      </c>
      <c r="I40" s="262">
        <f t="shared" si="16"/>
        <v>4.2767366834446818E-2</v>
      </c>
      <c r="J40" s="262">
        <f t="shared" si="16"/>
        <v>4.2509494741955429E-2</v>
      </c>
      <c r="K40" s="262">
        <f t="shared" si="16"/>
        <v>4.342090642266809E-2</v>
      </c>
      <c r="L40" s="262">
        <f t="shared" si="16"/>
        <v>3.9769034617539112E-2</v>
      </c>
      <c r="M40" s="262">
        <f t="shared" si="16"/>
        <v>3.9309502712433539E-2</v>
      </c>
      <c r="N40" s="262">
        <f t="shared" si="16"/>
        <v>4.2296082325205167E-2</v>
      </c>
      <c r="O40" s="262">
        <f t="shared" si="16"/>
        <v>4.1306527935734208E-2</v>
      </c>
      <c r="P40" s="262">
        <f t="shared" si="16"/>
        <v>4.1299598594186311E-2</v>
      </c>
      <c r="Q40" s="262">
        <f t="shared" si="16"/>
        <v>4.4130380629603276E-2</v>
      </c>
      <c r="R40" s="262">
        <f t="shared" si="16"/>
        <v>4.5775508188407414E-2</v>
      </c>
      <c r="S40" s="262">
        <f t="shared" si="16"/>
        <v>4.4351382566835094E-2</v>
      </c>
      <c r="T40" s="262">
        <f t="shared" si="16"/>
        <v>4.6182094808795482E-2</v>
      </c>
      <c r="U40" s="262">
        <f t="shared" si="16"/>
        <v>4.4995212591007E-2</v>
      </c>
      <c r="V40" s="262">
        <f t="shared" si="16"/>
        <v>4.2556865432251539E-2</v>
      </c>
      <c r="W40" s="262">
        <f t="shared" si="16"/>
        <v>4.2353279072371942E-2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0.42072733715407601</v>
      </c>
      <c r="C44" s="238">
        <f>IF(C$5=0,0,C$5/AGR_fec!C$5)</f>
        <v>0.42321477756795228</v>
      </c>
      <c r="D44" s="238">
        <f>IF(D$5=0,0,D$5/AGR_fec!D$5)</f>
        <v>0.41657515713636484</v>
      </c>
      <c r="E44" s="238">
        <f>IF(E$5=0,0,E$5/AGR_fec!E$5)</f>
        <v>0.40922870796644645</v>
      </c>
      <c r="F44" s="238">
        <f>IF(F$5=0,0,F$5/AGR_fec!F$5)</f>
        <v>0.41377911673432655</v>
      </c>
      <c r="G44" s="238">
        <f>IF(G$5=0,0,G$5/AGR_fec!G$5)</f>
        <v>0.41476647839012476</v>
      </c>
      <c r="H44" s="238">
        <f>IF(H$5=0,0,H$5/AGR_fec!H$5)</f>
        <v>0.4144309321890246</v>
      </c>
      <c r="I44" s="238">
        <f>IF(I$5=0,0,I$5/AGR_fec!I$5)</f>
        <v>0.41172885997188152</v>
      </c>
      <c r="J44" s="238">
        <f>IF(J$5=0,0,J$5/AGR_fec!J$5)</f>
        <v>0.41123319554691901</v>
      </c>
      <c r="K44" s="238">
        <f>IF(K$5=0,0,K$5/AGR_fec!K$5)</f>
        <v>0.40923170002964088</v>
      </c>
      <c r="L44" s="238">
        <f>IF(L$5=0,0,L$5/AGR_fec!L$5)</f>
        <v>0.4036973701700346</v>
      </c>
      <c r="M44" s="238">
        <f>IF(M$5=0,0,M$5/AGR_fec!M$5)</f>
        <v>0.39951453043868557</v>
      </c>
      <c r="N44" s="238">
        <f>IF(N$5=0,0,N$5/AGR_fec!N$5)</f>
        <v>0.39978343138715483</v>
      </c>
      <c r="O44" s="238">
        <f>IF(O$5=0,0,O$5/AGR_fec!O$5)</f>
        <v>0.39598736468947354</v>
      </c>
      <c r="P44" s="238">
        <f>IF(P$5=0,0,P$5/AGR_fec!P$5)</f>
        <v>0.38925649304078824</v>
      </c>
      <c r="Q44" s="238">
        <f>IF(Q$5=0,0,Q$5/AGR_fec!Q$5)</f>
        <v>0.39375665085366363</v>
      </c>
      <c r="R44" s="238">
        <f>IF(R$5=0,0,R$5/AGR_fec!R$5)</f>
        <v>0.39709680765410305</v>
      </c>
      <c r="S44" s="238">
        <f>IF(S$5=0,0,S$5/AGR_fec!S$5)</f>
        <v>0.39305249054028452</v>
      </c>
      <c r="T44" s="238">
        <f>IF(T$5=0,0,T$5/AGR_fec!T$5)</f>
        <v>0.39505710090924073</v>
      </c>
      <c r="U44" s="238">
        <f>IF(U$5=0,0,U$5/AGR_fec!U$5)</f>
        <v>0.3911627096584061</v>
      </c>
      <c r="V44" s="238">
        <f>IF(V$5=0,0,V$5/AGR_fec!V$5)</f>
        <v>0.38729346163217143</v>
      </c>
      <c r="W44" s="238">
        <f>IF(W$5=0,0,W$5/AGR_fec!W$5)</f>
        <v>0.38818866265325597</v>
      </c>
      <c r="DA44" s="287"/>
    </row>
    <row r="45" spans="1:105" x14ac:dyDescent="0.25">
      <c r="A45" s="239" t="s">
        <v>125</v>
      </c>
      <c r="B45" s="251">
        <f>IF(B$6=0,0,B$6/AGR_fec!B$6)</f>
        <v>0.47337958825697946</v>
      </c>
      <c r="C45" s="251">
        <f>IF(C$6=0,0,C$6/AGR_fec!C$6)</f>
        <v>0.4733795882569794</v>
      </c>
      <c r="D45" s="251">
        <f>IF(D$6=0,0,D$6/AGR_fec!D$6)</f>
        <v>0.4733795882569794</v>
      </c>
      <c r="E45" s="251">
        <f>IF(E$6=0,0,E$6/AGR_fec!E$6)</f>
        <v>0.47337958825697934</v>
      </c>
      <c r="F45" s="251">
        <f>IF(F$6=0,0,F$6/AGR_fec!F$6)</f>
        <v>0.47337958825697923</v>
      </c>
      <c r="G45" s="251">
        <f>IF(G$6=0,0,G$6/AGR_fec!G$6)</f>
        <v>0.47337958825697918</v>
      </c>
      <c r="H45" s="251">
        <f>IF(H$6=0,0,H$6/AGR_fec!H$6)</f>
        <v>0.47337958825697912</v>
      </c>
      <c r="I45" s="251">
        <f>IF(I$6=0,0,I$6/AGR_fec!I$6)</f>
        <v>0.47337958825697918</v>
      </c>
      <c r="J45" s="251">
        <f>IF(J$6=0,0,J$6/AGR_fec!J$6)</f>
        <v>0.47337958825697923</v>
      </c>
      <c r="K45" s="251">
        <f>IF(K$6=0,0,K$6/AGR_fec!K$6)</f>
        <v>0.47337958825697923</v>
      </c>
      <c r="L45" s="251">
        <f>IF(L$6=0,0,L$6/AGR_fec!L$6)</f>
        <v>0.47337958825697934</v>
      </c>
      <c r="M45" s="251">
        <f>IF(M$6=0,0,M$6/AGR_fec!M$6)</f>
        <v>0.47337958825697929</v>
      </c>
      <c r="N45" s="251">
        <f>IF(N$6=0,0,N$6/AGR_fec!N$6)</f>
        <v>0.47337958825697923</v>
      </c>
      <c r="O45" s="251">
        <f>IF(O$6=0,0,O$6/AGR_fec!O$6)</f>
        <v>0.47337958825697934</v>
      </c>
      <c r="P45" s="251">
        <f>IF(P$6=0,0,P$6/AGR_fec!P$6)</f>
        <v>0.4733795882569794</v>
      </c>
      <c r="Q45" s="251">
        <f>IF(Q$6=0,0,Q$6/AGR_fec!Q$6)</f>
        <v>0.47337958825697951</v>
      </c>
      <c r="R45" s="251">
        <f>IF(R$6=0,0,R$6/AGR_fec!R$6)</f>
        <v>0.47337958825697934</v>
      </c>
      <c r="S45" s="251">
        <f>IF(S$6=0,0,S$6/AGR_fec!S$6)</f>
        <v>0.47337958825697918</v>
      </c>
      <c r="T45" s="251">
        <f>IF(T$6=0,0,T$6/AGR_fec!T$6)</f>
        <v>0.47337958825697934</v>
      </c>
      <c r="U45" s="251">
        <f>IF(U$6=0,0,U$6/AGR_fec!U$6)</f>
        <v>0.47337958825697918</v>
      </c>
      <c r="V45" s="251">
        <f>IF(V$6=0,0,V$6/AGR_fec!V$6)</f>
        <v>0.47337958825697946</v>
      </c>
      <c r="W45" s="251">
        <f>IF(W$6=0,0,W$6/AGR_fec!W$6)</f>
        <v>0.47337958825697929</v>
      </c>
      <c r="DA45" s="288"/>
    </row>
    <row r="46" spans="1:105" x14ac:dyDescent="0.25">
      <c r="A46" s="241" t="s">
        <v>124</v>
      </c>
      <c r="B46" s="252">
        <f>IF(B$7=0,0,B$7/AGR_fec!B$7)</f>
        <v>0.46941641352362523</v>
      </c>
      <c r="C46" s="252">
        <f>IF(C$7=0,0,C$7/AGR_fec!C$7)</f>
        <v>0.46941641352362534</v>
      </c>
      <c r="D46" s="252">
        <f>IF(D$7=0,0,D$7/AGR_fec!D$7)</f>
        <v>0.46941641352362529</v>
      </c>
      <c r="E46" s="252">
        <f>IF(E$7=0,0,E$7/AGR_fec!E$7)</f>
        <v>0.46941641352362529</v>
      </c>
      <c r="F46" s="252">
        <f>IF(F$7=0,0,F$7/AGR_fec!F$7)</f>
        <v>0.46941641352362534</v>
      </c>
      <c r="G46" s="252">
        <f>IF(G$7=0,0,G$7/AGR_fec!G$7)</f>
        <v>0.46941641352362529</v>
      </c>
      <c r="H46" s="252">
        <f>IF(H$7=0,0,H$7/AGR_fec!H$7)</f>
        <v>0.46941641352362523</v>
      </c>
      <c r="I46" s="252">
        <f>IF(I$7=0,0,I$7/AGR_fec!I$7)</f>
        <v>0.46941641352362518</v>
      </c>
      <c r="J46" s="252">
        <f>IF(J$7=0,0,J$7/AGR_fec!J$7)</f>
        <v>0.46941641352362534</v>
      </c>
      <c r="K46" s="252">
        <f>IF(K$7=0,0,K$7/AGR_fec!K$7)</f>
        <v>0.46941641352362512</v>
      </c>
      <c r="L46" s="252">
        <f>IF(L$7=0,0,L$7/AGR_fec!L$7)</f>
        <v>0.46941641352362518</v>
      </c>
      <c r="M46" s="252">
        <f>IF(M$7=0,0,M$7/AGR_fec!M$7)</f>
        <v>0.4694164135236254</v>
      </c>
      <c r="N46" s="252">
        <f>IF(N$7=0,0,N$7/AGR_fec!N$7)</f>
        <v>0.46941641352362534</v>
      </c>
      <c r="O46" s="252">
        <f>IF(O$7=0,0,O$7/AGR_fec!O$7)</f>
        <v>0.46941641352362512</v>
      </c>
      <c r="P46" s="252">
        <f>IF(P$7=0,0,P$7/AGR_fec!P$7)</f>
        <v>0.46941641352362523</v>
      </c>
      <c r="Q46" s="252">
        <f>IF(Q$7=0,0,Q$7/AGR_fec!Q$7)</f>
        <v>0.46941641352362529</v>
      </c>
      <c r="R46" s="252">
        <f>IF(R$7=0,0,R$7/AGR_fec!R$7)</f>
        <v>0.46941641352362518</v>
      </c>
      <c r="S46" s="252">
        <f>IF(S$7=0,0,S$7/AGR_fec!S$7)</f>
        <v>0.46941641352362534</v>
      </c>
      <c r="T46" s="252">
        <f>IF(T$7=0,0,T$7/AGR_fec!T$7)</f>
        <v>0.46941641352362523</v>
      </c>
      <c r="U46" s="252">
        <f>IF(U$7=0,0,U$7/AGR_fec!U$7)</f>
        <v>0.46941641352362534</v>
      </c>
      <c r="V46" s="252">
        <f>IF(V$7=0,0,V$7/AGR_fec!V$7)</f>
        <v>0.46941641352362518</v>
      </c>
      <c r="W46" s="252">
        <f>IF(W$7=0,0,W$7/AGR_fec!W$7)</f>
        <v>0.46941641352362534</v>
      </c>
      <c r="DA46" s="289"/>
    </row>
    <row r="47" spans="1:105" x14ac:dyDescent="0.25">
      <c r="A47" s="241" t="s">
        <v>123</v>
      </c>
      <c r="B47" s="252">
        <f>IF(B$8=0,0,B$8/AGR_fec!B$8)</f>
        <v>0.67371736422474915</v>
      </c>
      <c r="C47" s="252">
        <f>IF(C$8=0,0,C$8/AGR_fec!C$8)</f>
        <v>0.67371736422474893</v>
      </c>
      <c r="D47" s="252">
        <f>IF(D$8=0,0,D$8/AGR_fec!D$8)</f>
        <v>0.67371736422474893</v>
      </c>
      <c r="E47" s="252">
        <f>IF(E$8=0,0,E$8/AGR_fec!E$8)</f>
        <v>0.67371736422474893</v>
      </c>
      <c r="F47" s="252">
        <f>IF(F$8=0,0,F$8/AGR_fec!F$8)</f>
        <v>0.67371736422474893</v>
      </c>
      <c r="G47" s="252">
        <f>IF(G$8=0,0,G$8/AGR_fec!G$8)</f>
        <v>0.67371736422474904</v>
      </c>
      <c r="H47" s="252">
        <f>IF(H$8=0,0,H$8/AGR_fec!H$8)</f>
        <v>0.67371736422474904</v>
      </c>
      <c r="I47" s="252">
        <f>IF(I$8=0,0,I$8/AGR_fec!I$8)</f>
        <v>0.67371736422474915</v>
      </c>
      <c r="J47" s="252">
        <f>IF(J$8=0,0,J$8/AGR_fec!J$8)</f>
        <v>0.67371736422474915</v>
      </c>
      <c r="K47" s="252">
        <f>IF(K$8=0,0,K$8/AGR_fec!K$8)</f>
        <v>0.67371736422474904</v>
      </c>
      <c r="L47" s="252">
        <f>IF(L$8=0,0,L$8/AGR_fec!L$8)</f>
        <v>0.67371736422474893</v>
      </c>
      <c r="M47" s="252">
        <f>IF(M$8=0,0,M$8/AGR_fec!M$8)</f>
        <v>0.67371736422474893</v>
      </c>
      <c r="N47" s="252">
        <f>IF(N$8=0,0,N$8/AGR_fec!N$8)</f>
        <v>0.67371736422474937</v>
      </c>
      <c r="O47" s="252">
        <f>IF(O$8=0,0,O$8/AGR_fec!O$8)</f>
        <v>0.6737173642247487</v>
      </c>
      <c r="P47" s="252">
        <f>IF(P$8=0,0,P$8/AGR_fec!P$8)</f>
        <v>0.67371736422474904</v>
      </c>
      <c r="Q47" s="252">
        <f>IF(Q$8=0,0,Q$8/AGR_fec!Q$8)</f>
        <v>0.67371736422474882</v>
      </c>
      <c r="R47" s="252">
        <f>IF(R$8=0,0,R$8/AGR_fec!R$8)</f>
        <v>0.67371736422474893</v>
      </c>
      <c r="S47" s="252">
        <f>IF(S$8=0,0,S$8/AGR_fec!S$8)</f>
        <v>0.67371736422474926</v>
      </c>
      <c r="T47" s="252">
        <f>IF(T$8=0,0,T$8/AGR_fec!T$8)</f>
        <v>0.67371736422474904</v>
      </c>
      <c r="U47" s="252">
        <f>IF(U$8=0,0,U$8/AGR_fec!U$8)</f>
        <v>0.67371736422474926</v>
      </c>
      <c r="V47" s="252">
        <f>IF(V$8=0,0,V$8/AGR_fec!V$8)</f>
        <v>0.67371736422474904</v>
      </c>
      <c r="W47" s="252">
        <f>IF(W$8=0,0,W$8/AGR_fec!W$8)</f>
        <v>0.6737173642247487</v>
      </c>
      <c r="DA47" s="289"/>
    </row>
    <row r="48" spans="1:105" x14ac:dyDescent="0.25">
      <c r="A48" s="243" t="s">
        <v>122</v>
      </c>
      <c r="B48" s="253">
        <f>IF(B$9=0,0,B$9/AGR_fec!B$9)</f>
        <v>0.6908230876036483</v>
      </c>
      <c r="C48" s="253">
        <f>IF(C$9=0,0,C$9/AGR_fec!C$9)</f>
        <v>0.69377424184284653</v>
      </c>
      <c r="D48" s="253">
        <f>IF(D$9=0,0,D$9/AGR_fec!D$9)</f>
        <v>0.68915555769748704</v>
      </c>
      <c r="E48" s="253">
        <f>IF(E$9=0,0,E$9/AGR_fec!E$9)</f>
        <v>0.68361724925911027</v>
      </c>
      <c r="F48" s="253">
        <f>IF(F$9=0,0,F$9/AGR_fec!F$9)</f>
        <v>0.68498763537819396</v>
      </c>
      <c r="G48" s="253">
        <f>IF(G$9=0,0,G$9/AGR_fec!G$9)</f>
        <v>0.68573262247498024</v>
      </c>
      <c r="H48" s="253">
        <f>IF(H$9=0,0,H$9/AGR_fec!H$9)</f>
        <v>0.68415396256351813</v>
      </c>
      <c r="I48" s="253">
        <f>IF(I$9=0,0,I$9/AGR_fec!I$9)</f>
        <v>0.68316745466229423</v>
      </c>
      <c r="J48" s="253">
        <f>IF(J$9=0,0,J$9/AGR_fec!J$9)</f>
        <v>0.68239695659826238</v>
      </c>
      <c r="K48" s="253">
        <f>IF(K$9=0,0,K$9/AGR_fec!K$9)</f>
        <v>0.68334279386603325</v>
      </c>
      <c r="L48" s="253">
        <f>IF(L$9=0,0,L$9/AGR_fec!L$9)</f>
        <v>0.67692841112041147</v>
      </c>
      <c r="M48" s="253">
        <f>IF(M$9=0,0,M$9/AGR_fec!M$9)</f>
        <v>0.67472556689692875</v>
      </c>
      <c r="N48" s="253">
        <f>IF(N$9=0,0,N$9/AGR_fec!N$9)</f>
        <v>0.67412794387964592</v>
      </c>
      <c r="O48" s="253">
        <f>IF(O$9=0,0,O$9/AGR_fec!O$9)</f>
        <v>0.6734764587147668</v>
      </c>
      <c r="P48" s="253">
        <f>IF(P$9=0,0,P$9/AGR_fec!P$9)</f>
        <v>0.67093503728815684</v>
      </c>
      <c r="Q48" s="253">
        <f>IF(Q$9=0,0,Q$9/AGR_fec!Q$9)</f>
        <v>0.67827462413117867</v>
      </c>
      <c r="R48" s="253">
        <f>IF(R$9=0,0,R$9/AGR_fec!R$9)</f>
        <v>0.6811186806296996</v>
      </c>
      <c r="S48" s="253">
        <f>IF(S$9=0,0,S$9/AGR_fec!S$9)</f>
        <v>0.67895671887652664</v>
      </c>
      <c r="T48" s="253">
        <f>IF(T$9=0,0,T$9/AGR_fec!T$9)</f>
        <v>0.68148320926390737</v>
      </c>
      <c r="U48" s="253">
        <f>IF(U$9=0,0,U$9/AGR_fec!U$9)</f>
        <v>0.6776957198283341</v>
      </c>
      <c r="V48" s="253">
        <f>IF(V$9=0,0,V$9/AGR_fec!V$9)</f>
        <v>0.6703304319498794</v>
      </c>
      <c r="W48" s="253">
        <f>IF(W$9=0,0,W$9/AGR_fec!W$9)</f>
        <v>0.67083510126441104</v>
      </c>
      <c r="DA48" s="290"/>
    </row>
    <row r="49" spans="1:105" x14ac:dyDescent="0.25">
      <c r="A49" s="128" t="s">
        <v>175</v>
      </c>
      <c r="B49" s="265">
        <f>IF(B$16=0,0,B$16/AGR_fec!B$16)</f>
        <v>0.33874082855345444</v>
      </c>
      <c r="C49" s="265">
        <f>IF(C$16=0,0,C$16/AGR_fec!C$16)</f>
        <v>0.33874082855345444</v>
      </c>
      <c r="D49" s="265">
        <f>IF(D$16=0,0,D$16/AGR_fec!D$16)</f>
        <v>0.33874082855345439</v>
      </c>
      <c r="E49" s="265">
        <f>IF(E$16=0,0,E$16/AGR_fec!E$16)</f>
        <v>0.33874082855345444</v>
      </c>
      <c r="F49" s="265">
        <f>IF(F$16=0,0,F$16/AGR_fec!F$16)</f>
        <v>0.33874082855345439</v>
      </c>
      <c r="G49" s="265">
        <f>IF(G$16=0,0,G$16/AGR_fec!G$16)</f>
        <v>0.33874082855345433</v>
      </c>
      <c r="H49" s="265">
        <f>IF(H$16=0,0,H$16/AGR_fec!H$16)</f>
        <v>0.33874082855345433</v>
      </c>
      <c r="I49" s="265">
        <f>IF(I$16=0,0,I$16/AGR_fec!I$16)</f>
        <v>0.33874082855345439</v>
      </c>
      <c r="J49" s="265">
        <f>IF(J$16=0,0,J$16/AGR_fec!J$16)</f>
        <v>0.33874082855345444</v>
      </c>
      <c r="K49" s="265">
        <f>IF(K$16=0,0,K$16/AGR_fec!K$16)</f>
        <v>0.33874082855345439</v>
      </c>
      <c r="L49" s="265">
        <f>IF(L$16=0,0,L$16/AGR_fec!L$16)</f>
        <v>0.3387408285534545</v>
      </c>
      <c r="M49" s="265">
        <f>IF(M$16=0,0,M$16/AGR_fec!M$16)</f>
        <v>0.33874082855345433</v>
      </c>
      <c r="N49" s="265">
        <f>IF(N$16=0,0,N$16/AGR_fec!N$16)</f>
        <v>0.33874082855345439</v>
      </c>
      <c r="O49" s="265">
        <f>IF(O$16=0,0,O$16/AGR_fec!O$16)</f>
        <v>0.33874082855345444</v>
      </c>
      <c r="P49" s="265">
        <f>IF(P$16=0,0,P$16/AGR_fec!P$16)</f>
        <v>0.3387408285534545</v>
      </c>
      <c r="Q49" s="265">
        <f>IF(Q$16=0,0,Q$16/AGR_fec!Q$16)</f>
        <v>0.33874082855345455</v>
      </c>
      <c r="R49" s="265">
        <f>IF(R$16=0,0,R$16/AGR_fec!R$16)</f>
        <v>0.33874082855345433</v>
      </c>
      <c r="S49" s="265">
        <f>IF(S$16=0,0,S$16/AGR_fec!S$16)</f>
        <v>0.33874082855345444</v>
      </c>
      <c r="T49" s="265">
        <f>IF(T$16=0,0,T$16/AGR_fec!T$16)</f>
        <v>0.3387408285534545</v>
      </c>
      <c r="U49" s="265">
        <f>IF(U$16=0,0,U$16/AGR_fec!U$16)</f>
        <v>0.33874082855345439</v>
      </c>
      <c r="V49" s="265">
        <f>IF(V$16=0,0,V$16/AGR_fec!V$16)</f>
        <v>0.33874082855345444</v>
      </c>
      <c r="W49" s="265">
        <f>IF(W$16=0,0,W$16/AGR_fec!W$16)</f>
        <v>0.33874082855345444</v>
      </c>
      <c r="DA49" s="291"/>
    </row>
    <row r="50" spans="1:105" x14ac:dyDescent="0.25">
      <c r="A50" s="128" t="s">
        <v>121</v>
      </c>
      <c r="B50" s="265">
        <f>IF(B$17=0,0,B$17/AGR_fec!B$17)</f>
        <v>0.2743402859658049</v>
      </c>
      <c r="C50" s="265">
        <f>IF(C$17=0,0,C$17/AGR_fec!C$17)</f>
        <v>0.27569733370068517</v>
      </c>
      <c r="D50" s="265">
        <f>IF(D$17=0,0,D$17/AGR_fec!D$17)</f>
        <v>0.27457033606760051</v>
      </c>
      <c r="E50" s="265">
        <f>IF(E$17=0,0,E$17/AGR_fec!E$17)</f>
        <v>0.27089344464054543</v>
      </c>
      <c r="F50" s="265">
        <f>IF(F$17=0,0,F$17/AGR_fec!F$17)</f>
        <v>0.27599150303862224</v>
      </c>
      <c r="G50" s="265">
        <f>IF(G$17=0,0,G$17/AGR_fec!G$17)</f>
        <v>0.27617513584028525</v>
      </c>
      <c r="H50" s="265">
        <f>IF(H$17=0,0,H$17/AGR_fec!H$17)</f>
        <v>0.27901852800571392</v>
      </c>
      <c r="I50" s="265">
        <f>IF(I$17=0,0,I$17/AGR_fec!I$17)</f>
        <v>0.27770993669030686</v>
      </c>
      <c r="J50" s="265">
        <f>IF(J$17=0,0,J$17/AGR_fec!J$17)</f>
        <v>0.27600804457018219</v>
      </c>
      <c r="K50" s="265">
        <f>IF(K$17=0,0,K$17/AGR_fec!K$17)</f>
        <v>0.27286288107192236</v>
      </c>
      <c r="L50" s="265">
        <f>IF(L$17=0,0,L$17/AGR_fec!L$17)</f>
        <v>0.27335817789227479</v>
      </c>
      <c r="M50" s="265">
        <f>IF(M$17=0,0,M$17/AGR_fec!M$17)</f>
        <v>0.27170421264169314</v>
      </c>
      <c r="N50" s="265">
        <f>IF(N$17=0,0,N$17/AGR_fec!N$17)</f>
        <v>0.27199917939883644</v>
      </c>
      <c r="O50" s="265">
        <f>IF(O$17=0,0,O$17/AGR_fec!O$17)</f>
        <v>0.2695928137272145</v>
      </c>
      <c r="P50" s="265">
        <f>IF(P$17=0,0,P$17/AGR_fec!P$17)</f>
        <v>0.26639807487449491</v>
      </c>
      <c r="Q50" s="265">
        <f>IF(Q$17=0,0,Q$17/AGR_fec!Q$17)</f>
        <v>0.26647339690932104</v>
      </c>
      <c r="R50" s="265">
        <f>IF(R$17=0,0,R$17/AGR_fec!R$17)</f>
        <v>0.267682604433715</v>
      </c>
      <c r="S50" s="265">
        <f>IF(S$17=0,0,S$17/AGR_fec!S$17)</f>
        <v>0.26628830334178355</v>
      </c>
      <c r="T50" s="265">
        <f>IF(T$17=0,0,T$17/AGR_fec!T$17)</f>
        <v>0.26594123772331829</v>
      </c>
      <c r="U50" s="265">
        <f>IF(U$17=0,0,U$17/AGR_fec!U$17)</f>
        <v>0.26585898983631878</v>
      </c>
      <c r="V50" s="265">
        <f>IF(V$17=0,0,V$17/AGR_fec!V$17)</f>
        <v>0.26516193554870454</v>
      </c>
      <c r="W50" s="265">
        <f>IF(W$17=0,0,W$17/AGR_fec!W$17)</f>
        <v>0.26651197721480657</v>
      </c>
      <c r="DA50" s="291"/>
    </row>
    <row r="51" spans="1:105" x14ac:dyDescent="0.25">
      <c r="A51" s="128" t="s">
        <v>174</v>
      </c>
      <c r="B51" s="265">
        <f>IF(B$25=0,0,B$25/AGR_fec!B$25)</f>
        <v>0.23711857998741806</v>
      </c>
      <c r="C51" s="265">
        <f>IF(C$25=0,0,C$25/AGR_fec!C$25)</f>
        <v>0.23711857998741806</v>
      </c>
      <c r="D51" s="265">
        <f>IF(D$25=0,0,D$25/AGR_fec!D$25)</f>
        <v>0.23711857998741809</v>
      </c>
      <c r="E51" s="265">
        <f>IF(E$25=0,0,E$25/AGR_fec!E$25)</f>
        <v>0.23711857998741803</v>
      </c>
      <c r="F51" s="265">
        <f>IF(F$25=0,0,F$25/AGR_fec!F$25)</f>
        <v>0.23711857998741806</v>
      </c>
      <c r="G51" s="265">
        <f>IF(G$25=0,0,G$25/AGR_fec!G$25)</f>
        <v>0.23711857998741803</v>
      </c>
      <c r="H51" s="265">
        <f>IF(H$25=0,0,H$25/AGR_fec!H$25)</f>
        <v>0.23711857998741806</v>
      </c>
      <c r="I51" s="265">
        <f>IF(I$25=0,0,I$25/AGR_fec!I$25)</f>
        <v>0.23711857998741798</v>
      </c>
      <c r="J51" s="265">
        <f>IF(J$25=0,0,J$25/AGR_fec!J$25)</f>
        <v>0.23711857998741792</v>
      </c>
      <c r="K51" s="265">
        <f>IF(K$25=0,0,K$25/AGR_fec!K$25)</f>
        <v>0.23711857998741806</v>
      </c>
      <c r="L51" s="265">
        <f>IF(L$25=0,0,L$25/AGR_fec!L$25)</f>
        <v>0.23711857998741795</v>
      </c>
      <c r="M51" s="265">
        <f>IF(M$25=0,0,M$25/AGR_fec!M$25)</f>
        <v>0.23711857998741803</v>
      </c>
      <c r="N51" s="265">
        <f>IF(N$25=0,0,N$25/AGR_fec!N$25)</f>
        <v>0.23711857998741809</v>
      </c>
      <c r="O51" s="265">
        <f>IF(O$25=0,0,O$25/AGR_fec!O$25)</f>
        <v>0.23711857998741812</v>
      </c>
      <c r="P51" s="265">
        <f>IF(P$25=0,0,P$25/AGR_fec!P$25)</f>
        <v>0.23711857998741812</v>
      </c>
      <c r="Q51" s="265">
        <f>IF(Q$25=0,0,Q$25/AGR_fec!Q$25)</f>
        <v>0.23711857998741812</v>
      </c>
      <c r="R51" s="265">
        <f>IF(R$25=0,0,R$25/AGR_fec!R$25)</f>
        <v>0.2371185799874182</v>
      </c>
      <c r="S51" s="265">
        <f>IF(S$25=0,0,S$25/AGR_fec!S$25)</f>
        <v>0.23711857998741817</v>
      </c>
      <c r="T51" s="265">
        <f>IF(T$25=0,0,T$25/AGR_fec!T$25)</f>
        <v>0.23711857998741817</v>
      </c>
      <c r="U51" s="265">
        <f>IF(U$25=0,0,U$25/AGR_fec!U$25)</f>
        <v>0.23711857998741814</v>
      </c>
      <c r="V51" s="265">
        <f>IF(V$25=0,0,V$25/AGR_fec!V$25)</f>
        <v>0.23711857998741809</v>
      </c>
      <c r="W51" s="265">
        <f>IF(W$25=0,0,W$25/AGR_fec!W$25)</f>
        <v>0.23711857998741809</v>
      </c>
      <c r="DA51" s="291"/>
    </row>
    <row r="52" spans="1:105" x14ac:dyDescent="0.25">
      <c r="A52" s="128" t="s">
        <v>177</v>
      </c>
      <c r="B52" s="265">
        <f>IF(B$26=0,0,B$26/AGR_fec!B$26)</f>
        <v>0.46941641352362495</v>
      </c>
      <c r="C52" s="265">
        <f>IF(C$26=0,0,C$26/AGR_fec!C$26)</f>
        <v>0.46941641352362518</v>
      </c>
      <c r="D52" s="265">
        <f>IF(D$26=0,0,D$26/AGR_fec!D$26)</f>
        <v>0.46941641352362529</v>
      </c>
      <c r="E52" s="265">
        <f>IF(E$26=0,0,E$26/AGR_fec!E$26)</f>
        <v>0.4694164135236254</v>
      </c>
      <c r="F52" s="265">
        <f>IF(F$26=0,0,F$26/AGR_fec!F$26)</f>
        <v>0.4694164135236254</v>
      </c>
      <c r="G52" s="265">
        <f>IF(G$26=0,0,G$26/AGR_fec!G$26)</f>
        <v>0.46941641352362518</v>
      </c>
      <c r="H52" s="265">
        <f>IF(H$26=0,0,H$26/AGR_fec!H$26)</f>
        <v>0.46941641352362518</v>
      </c>
      <c r="I52" s="265">
        <f>IF(I$26=0,0,I$26/AGR_fec!I$26)</f>
        <v>0.46941641352362534</v>
      </c>
      <c r="J52" s="265">
        <f>IF(J$26=0,0,J$26/AGR_fec!J$26)</f>
        <v>0.4694164135236254</v>
      </c>
      <c r="K52" s="265">
        <f>IF(K$26=0,0,K$26/AGR_fec!K$26)</f>
        <v>0.46941641352362512</v>
      </c>
      <c r="L52" s="265">
        <f>IF(L$26=0,0,L$26/AGR_fec!L$26)</f>
        <v>0.46941641352362529</v>
      </c>
      <c r="M52" s="265">
        <f>IF(M$26=0,0,M$26/AGR_fec!M$26)</f>
        <v>0.46941641352362545</v>
      </c>
      <c r="N52" s="265">
        <f>IF(N$26=0,0,N$26/AGR_fec!N$26)</f>
        <v>0.46941641352362506</v>
      </c>
      <c r="O52" s="265">
        <f>IF(O$26=0,0,O$26/AGR_fec!O$26)</f>
        <v>0.46941641352362523</v>
      </c>
      <c r="P52" s="265">
        <f>IF(P$26=0,0,P$26/AGR_fec!P$26)</f>
        <v>0.46941641352362545</v>
      </c>
      <c r="Q52" s="265">
        <f>IF(Q$26=0,0,Q$26/AGR_fec!Q$26)</f>
        <v>0.46941641352362523</v>
      </c>
      <c r="R52" s="265">
        <f>IF(R$26=0,0,R$26/AGR_fec!R$26)</f>
        <v>0.46941641352362523</v>
      </c>
      <c r="S52" s="265">
        <f>IF(S$26=0,0,S$26/AGR_fec!S$26)</f>
        <v>0.46941641352362518</v>
      </c>
      <c r="T52" s="265">
        <f>IF(T$26=0,0,T$26/AGR_fec!T$26)</f>
        <v>0.46941641352362534</v>
      </c>
      <c r="U52" s="265">
        <f>IF(U$26=0,0,U$26/AGR_fec!U$26)</f>
        <v>0.46941641352362523</v>
      </c>
      <c r="V52" s="265">
        <f>IF(V$26=0,0,V$26/AGR_fec!V$26)</f>
        <v>0.46941641352362545</v>
      </c>
      <c r="W52" s="265">
        <f>IF(W$26=0,0,W$26/AGR_fec!W$26)</f>
        <v>0.46941641352362534</v>
      </c>
      <c r="DA52" s="291"/>
    </row>
    <row r="53" spans="1:105" x14ac:dyDescent="0.25">
      <c r="A53" s="261" t="s">
        <v>33</v>
      </c>
      <c r="B53" s="266">
        <f>IF(B$27=0,0,B$27/AGR_fec!B$27)</f>
        <v>0.49339379878990325</v>
      </c>
      <c r="C53" s="266">
        <f>IF(C$27=0,0,C$27/AGR_fec!C$27)</f>
        <v>0.49339379878990325</v>
      </c>
      <c r="D53" s="266">
        <f>IF(D$27=0,0,D$27/AGR_fec!D$27)</f>
        <v>0.49339379878990308</v>
      </c>
      <c r="E53" s="266">
        <f>IF(E$27=0,0,E$27/AGR_fec!E$27)</f>
        <v>0.49339379878990325</v>
      </c>
      <c r="F53" s="266">
        <f>IF(F$27=0,0,F$27/AGR_fec!F$27)</f>
        <v>0.49339379878990314</v>
      </c>
      <c r="G53" s="266">
        <f>IF(G$27=0,0,G$27/AGR_fec!G$27)</f>
        <v>0.49339379878990303</v>
      </c>
      <c r="H53" s="266">
        <f>IF(H$27=0,0,H$27/AGR_fec!H$27)</f>
        <v>0.49339379878990319</v>
      </c>
      <c r="I53" s="266">
        <f>IF(I$27=0,0,I$27/AGR_fec!I$27)</f>
        <v>0.49339379878990308</v>
      </c>
      <c r="J53" s="266">
        <f>IF(J$27=0,0,J$27/AGR_fec!J$27)</f>
        <v>0.49339379878990297</v>
      </c>
      <c r="K53" s="266">
        <f>IF(K$27=0,0,K$27/AGR_fec!K$27)</f>
        <v>0.49339379878990314</v>
      </c>
      <c r="L53" s="266">
        <f>IF(L$27=0,0,L$27/AGR_fec!L$27)</f>
        <v>0.49339379878990308</v>
      </c>
      <c r="M53" s="266">
        <f>IF(M$27=0,0,M$27/AGR_fec!M$27)</f>
        <v>0.49339379878990314</v>
      </c>
      <c r="N53" s="266">
        <f>IF(N$27=0,0,N$27/AGR_fec!N$27)</f>
        <v>0.49339379878990314</v>
      </c>
      <c r="O53" s="266">
        <f>IF(O$27=0,0,O$27/AGR_fec!O$27)</f>
        <v>0.49339379878990325</v>
      </c>
      <c r="P53" s="266">
        <f>IF(P$27=0,0,P$27/AGR_fec!P$27)</f>
        <v>0.49339379878990325</v>
      </c>
      <c r="Q53" s="266">
        <f>IF(Q$27=0,0,Q$27/AGR_fec!Q$27)</f>
        <v>0.49339379878990308</v>
      </c>
      <c r="R53" s="266">
        <f>IF(R$27=0,0,R$27/AGR_fec!R$27)</f>
        <v>0.49339379878990336</v>
      </c>
      <c r="S53" s="266">
        <f>IF(S$27=0,0,S$27/AGR_fec!S$27)</f>
        <v>0.49339379878990308</v>
      </c>
      <c r="T53" s="266">
        <f>IF(T$27=0,0,T$27/AGR_fec!T$27)</f>
        <v>0.49339379878990308</v>
      </c>
      <c r="U53" s="266">
        <f>IF(U$27=0,0,U$27/AGR_fec!U$27)</f>
        <v>0.49339379878990336</v>
      </c>
      <c r="V53" s="266">
        <f>IF(V$27=0,0,V$27/AGR_fec!V$27)</f>
        <v>0.4933937987899033</v>
      </c>
      <c r="W53" s="266">
        <f>IF(W$27=0,0,W$27/AGR_fec!W$27)</f>
        <v>0.49339379878990308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183.92338116213705</v>
      </c>
      <c r="C5" s="80">
        <f t="shared" ref="C5:W5" si="0">SUM(C6:C9,C16:C17,C25:C27)</f>
        <v>171.87568632110759</v>
      </c>
      <c r="D5" s="80">
        <f t="shared" si="0"/>
        <v>181.48666031872045</v>
      </c>
      <c r="E5" s="80">
        <f t="shared" si="0"/>
        <v>186.40804859854714</v>
      </c>
      <c r="F5" s="80">
        <f t="shared" si="0"/>
        <v>208.97737127884722</v>
      </c>
      <c r="G5" s="80">
        <f t="shared" si="0"/>
        <v>216.18314315857643</v>
      </c>
      <c r="H5" s="80">
        <f t="shared" si="0"/>
        <v>234.85185143879781</v>
      </c>
      <c r="I5" s="80">
        <f t="shared" si="0"/>
        <v>246.64686825453964</v>
      </c>
      <c r="J5" s="80">
        <f t="shared" si="0"/>
        <v>233.00213097440582</v>
      </c>
      <c r="K5" s="80">
        <f t="shared" si="0"/>
        <v>205.32783599761345</v>
      </c>
      <c r="L5" s="80">
        <f t="shared" si="0"/>
        <v>232.30643169444573</v>
      </c>
      <c r="M5" s="80">
        <f t="shared" si="0"/>
        <v>230.61772857434337</v>
      </c>
      <c r="N5" s="80">
        <f t="shared" si="0"/>
        <v>230.63567313422212</v>
      </c>
      <c r="O5" s="80">
        <f t="shared" si="0"/>
        <v>232.64119029382158</v>
      </c>
      <c r="P5" s="80">
        <f t="shared" si="0"/>
        <v>250.32449397393137</v>
      </c>
      <c r="Q5" s="80">
        <f t="shared" si="0"/>
        <v>234.11381385377666</v>
      </c>
      <c r="R5" s="80">
        <f t="shared" si="0"/>
        <v>231.57128721464875</v>
      </c>
      <c r="S5" s="80">
        <f t="shared" si="0"/>
        <v>238.09181068593961</v>
      </c>
      <c r="T5" s="80">
        <f t="shared" si="0"/>
        <v>227.38843101482684</v>
      </c>
      <c r="U5" s="80">
        <f t="shared" si="0"/>
        <v>246.36978280624419</v>
      </c>
      <c r="V5" s="80">
        <f t="shared" si="0"/>
        <v>250.53489316658309</v>
      </c>
      <c r="W5" s="80">
        <f t="shared" si="0"/>
        <v>267.05220047842857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26.425473325847786</v>
      </c>
      <c r="C9" s="244">
        <f t="shared" ref="C9:W9" si="1">SUM(C10:C15)</f>
        <v>27.338695339350579</v>
      </c>
      <c r="D9" s="244">
        <f t="shared" si="1"/>
        <v>30.870217407379013</v>
      </c>
      <c r="E9" s="244">
        <f t="shared" si="1"/>
        <v>32.516572789899818</v>
      </c>
      <c r="F9" s="244">
        <f t="shared" si="1"/>
        <v>34.427567413067791</v>
      </c>
      <c r="G9" s="244">
        <f t="shared" si="1"/>
        <v>34.020198201551878</v>
      </c>
      <c r="H9" s="244">
        <f t="shared" si="1"/>
        <v>40.78699239519279</v>
      </c>
      <c r="I9" s="244">
        <f t="shared" si="1"/>
        <v>44.755503221805277</v>
      </c>
      <c r="J9" s="244">
        <f t="shared" si="1"/>
        <v>40.749757472539081</v>
      </c>
      <c r="K9" s="244">
        <f t="shared" si="1"/>
        <v>35.325925779627482</v>
      </c>
      <c r="L9" s="244">
        <f t="shared" si="1"/>
        <v>42.664027757491219</v>
      </c>
      <c r="M9" s="244">
        <f t="shared" si="1"/>
        <v>44.363969968548545</v>
      </c>
      <c r="N9" s="244">
        <f t="shared" si="1"/>
        <v>44.683477762010938</v>
      </c>
      <c r="O9" s="244">
        <f t="shared" si="1"/>
        <v>43.974389437978544</v>
      </c>
      <c r="P9" s="244">
        <f t="shared" si="1"/>
        <v>45.556119666952625</v>
      </c>
      <c r="Q9" s="244">
        <f t="shared" si="1"/>
        <v>41.09372675626819</v>
      </c>
      <c r="R9" s="244">
        <f t="shared" si="1"/>
        <v>40.88834002363815</v>
      </c>
      <c r="S9" s="244">
        <f t="shared" si="1"/>
        <v>43.397133891670578</v>
      </c>
      <c r="T9" s="244">
        <f t="shared" si="1"/>
        <v>41.789696806484002</v>
      </c>
      <c r="U9" s="244">
        <f t="shared" si="1"/>
        <v>45.58980747830492</v>
      </c>
      <c r="V9" s="244">
        <f t="shared" si="1"/>
        <v>48.893111492091172</v>
      </c>
      <c r="W9" s="244">
        <f t="shared" si="1"/>
        <v>52.829867734024582</v>
      </c>
      <c r="DA9" s="270"/>
    </row>
    <row r="10" spans="1:105" x14ac:dyDescent="0.25">
      <c r="A10" s="254" t="s">
        <v>173</v>
      </c>
      <c r="B10" s="255">
        <v>9.687586726396276</v>
      </c>
      <c r="C10" s="255">
        <v>7.8423995054105671</v>
      </c>
      <c r="D10" s="255">
        <v>9.9835849013341722</v>
      </c>
      <c r="E10" s="255">
        <v>11.113626402421239</v>
      </c>
      <c r="F10" s="255">
        <v>10.726852055999739</v>
      </c>
      <c r="G10" s="255">
        <v>12.41574320215037</v>
      </c>
      <c r="H10" s="255">
        <v>11.51218359614036</v>
      </c>
      <c r="I10" s="255">
        <v>12.617711416008881</v>
      </c>
      <c r="J10" s="255">
        <v>13.77379760379225</v>
      </c>
      <c r="K10" s="255">
        <v>13.43824390755991</v>
      </c>
      <c r="L10" s="255">
        <v>16.00351005556352</v>
      </c>
      <c r="M10" s="255">
        <v>17.0284274179485</v>
      </c>
      <c r="N10" s="255">
        <v>20.38463923416942</v>
      </c>
      <c r="O10" s="255">
        <v>20.048642262558801</v>
      </c>
      <c r="P10" s="255">
        <v>24.29645796943856</v>
      </c>
      <c r="Q10" s="255">
        <v>20.477217858195321</v>
      </c>
      <c r="R10" s="255">
        <v>20.4411128615255</v>
      </c>
      <c r="S10" s="255">
        <v>21.493370334332649</v>
      </c>
      <c r="T10" s="255">
        <v>21.31827908440896</v>
      </c>
      <c r="U10" s="255">
        <v>24.363457282778999</v>
      </c>
      <c r="V10" s="255">
        <v>27.726937364578781</v>
      </c>
      <c r="W10" s="255">
        <v>28.192625699974421</v>
      </c>
      <c r="DA10" s="271" t="s">
        <v>1038</v>
      </c>
    </row>
    <row r="11" spans="1:105" x14ac:dyDescent="0.25">
      <c r="A11" s="254" t="s">
        <v>176</v>
      </c>
      <c r="B11" s="256">
        <v>16.73788659945151</v>
      </c>
      <c r="C11" s="256">
        <v>19.49629583394001</v>
      </c>
      <c r="D11" s="256">
        <v>20.88663250604484</v>
      </c>
      <c r="E11" s="256">
        <v>21.402946387478579</v>
      </c>
      <c r="F11" s="256">
        <v>23.700715357068049</v>
      </c>
      <c r="G11" s="256">
        <v>21.604454999401511</v>
      </c>
      <c r="H11" s="256">
        <v>29.27480879905243</v>
      </c>
      <c r="I11" s="256">
        <v>32.137791805796397</v>
      </c>
      <c r="J11" s="256">
        <v>26.97595986874683</v>
      </c>
      <c r="K11" s="256">
        <v>21.887681872067571</v>
      </c>
      <c r="L11" s="256">
        <v>26.660517701927699</v>
      </c>
      <c r="M11" s="256">
        <v>27.335542550600049</v>
      </c>
      <c r="N11" s="256">
        <v>24.298838527841522</v>
      </c>
      <c r="O11" s="256">
        <v>23.92574717541974</v>
      </c>
      <c r="P11" s="256">
        <v>21.259661697514069</v>
      </c>
      <c r="Q11" s="256">
        <v>20.616508898072869</v>
      </c>
      <c r="R11" s="256">
        <v>20.44722716211265</v>
      </c>
      <c r="S11" s="256">
        <v>21.903763557337928</v>
      </c>
      <c r="T11" s="256">
        <v>20.471417722075039</v>
      </c>
      <c r="U11" s="256">
        <v>21.226350195525921</v>
      </c>
      <c r="V11" s="256">
        <v>21.166174127512392</v>
      </c>
      <c r="W11" s="256">
        <v>24.637242034050161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58.003151484973849</v>
      </c>
      <c r="C16" s="258">
        <v>55.016540922635087</v>
      </c>
      <c r="D16" s="258">
        <v>58.792845760608493</v>
      </c>
      <c r="E16" s="258">
        <v>60.72087674735868</v>
      </c>
      <c r="F16" s="258">
        <v>63.303429399705671</v>
      </c>
      <c r="G16" s="258">
        <v>66.159750338161956</v>
      </c>
      <c r="H16" s="258">
        <v>69.138910045911601</v>
      </c>
      <c r="I16" s="258">
        <v>73.461242500825819</v>
      </c>
      <c r="J16" s="258">
        <v>72.721254426587649</v>
      </c>
      <c r="K16" s="258">
        <v>66.340405512693536</v>
      </c>
      <c r="L16" s="258">
        <v>72.871811794128831</v>
      </c>
      <c r="M16" s="258">
        <v>72.454790988529126</v>
      </c>
      <c r="N16" s="258">
        <v>74.848124990035927</v>
      </c>
      <c r="O16" s="258">
        <v>72.846685416410068</v>
      </c>
      <c r="P16" s="258">
        <v>76.34091141017899</v>
      </c>
      <c r="Q16" s="258">
        <v>71.126913859943855</v>
      </c>
      <c r="R16" s="258">
        <v>72.298194750294073</v>
      </c>
      <c r="S16" s="258">
        <v>74.626276807053884</v>
      </c>
      <c r="T16" s="258">
        <v>73.238557000172136</v>
      </c>
      <c r="U16" s="258">
        <v>77.644754248217865</v>
      </c>
      <c r="V16" s="258">
        <v>81.095409549312862</v>
      </c>
      <c r="W16" s="258">
        <v>85.695838342317685</v>
      </c>
      <c r="DA16" s="273" t="s">
        <v>1044</v>
      </c>
    </row>
    <row r="17" spans="1:105" x14ac:dyDescent="0.25">
      <c r="A17" s="257" t="s">
        <v>121</v>
      </c>
      <c r="B17" s="258">
        <f>SUM(B18:B24)</f>
        <v>88.348967411152017</v>
      </c>
      <c r="C17" s="258">
        <f t="shared" ref="C17:W17" si="2">SUM(C18:C24)</f>
        <v>78.948563228103637</v>
      </c>
      <c r="D17" s="258">
        <f t="shared" si="2"/>
        <v>80.526061874411255</v>
      </c>
      <c r="E17" s="258">
        <f t="shared" si="2"/>
        <v>81.502576563182473</v>
      </c>
      <c r="F17" s="258">
        <f t="shared" si="2"/>
        <v>99.082092953534953</v>
      </c>
      <c r="G17" s="258">
        <f t="shared" si="2"/>
        <v>103.2900472342056</v>
      </c>
      <c r="H17" s="258">
        <f t="shared" si="2"/>
        <v>111.64033124769398</v>
      </c>
      <c r="I17" s="258">
        <f t="shared" si="2"/>
        <v>114.31393257956643</v>
      </c>
      <c r="J17" s="258">
        <f t="shared" si="2"/>
        <v>105.55712399825907</v>
      </c>
      <c r="K17" s="258">
        <f t="shared" si="2"/>
        <v>90.913642923318633</v>
      </c>
      <c r="L17" s="258">
        <f t="shared" si="2"/>
        <v>102.7676662129289</v>
      </c>
      <c r="M17" s="258">
        <f t="shared" si="2"/>
        <v>99.876175710501727</v>
      </c>
      <c r="N17" s="258">
        <f t="shared" si="2"/>
        <v>96.72137940163384</v>
      </c>
      <c r="O17" s="258">
        <f t="shared" si="2"/>
        <v>101.82201775241118</v>
      </c>
      <c r="P17" s="258">
        <f t="shared" si="2"/>
        <v>113.75792056515601</v>
      </c>
      <c r="Q17" s="258">
        <f t="shared" si="2"/>
        <v>108.22554398722139</v>
      </c>
      <c r="R17" s="258">
        <f t="shared" si="2"/>
        <v>104.49205180615944</v>
      </c>
      <c r="S17" s="258">
        <f t="shared" si="2"/>
        <v>105.72833898385554</v>
      </c>
      <c r="T17" s="258">
        <f t="shared" si="2"/>
        <v>98.286778130578909</v>
      </c>
      <c r="U17" s="258">
        <f t="shared" si="2"/>
        <v>108.21513448088055</v>
      </c>
      <c r="V17" s="258">
        <f t="shared" si="2"/>
        <v>104.96321335341977</v>
      </c>
      <c r="W17" s="258">
        <f t="shared" si="2"/>
        <v>112.05932489904177</v>
      </c>
      <c r="DA17" s="273"/>
    </row>
    <row r="18" spans="1:105" x14ac:dyDescent="0.25">
      <c r="A18" s="61" t="s">
        <v>29</v>
      </c>
      <c r="B18" s="55">
        <v>2.1796992000279611</v>
      </c>
      <c r="C18" s="55">
        <v>2.179699200014638</v>
      </c>
      <c r="D18" s="55">
        <v>2.179699199982589</v>
      </c>
      <c r="E18" s="55">
        <v>4.3593983999621404</v>
      </c>
      <c r="F18" s="55">
        <v>2.179699199987045</v>
      </c>
      <c r="G18" s="55">
        <v>4.3593983999682671</v>
      </c>
      <c r="H18" s="55">
        <v>4.3593983999764587</v>
      </c>
      <c r="I18" s="55">
        <v>3.5672542559775828</v>
      </c>
      <c r="J18" s="55">
        <v>3.5672542559733289</v>
      </c>
      <c r="K18" s="55">
        <v>2.1796991999712869</v>
      </c>
      <c r="L18" s="55">
        <v>3.5672542559733662</v>
      </c>
      <c r="M18" s="55">
        <v>3.771518975969304</v>
      </c>
      <c r="N18" s="55">
        <v>3.7715189759658991</v>
      </c>
      <c r="O18" s="55">
        <v>7.543413575915662</v>
      </c>
      <c r="P18" s="55">
        <v>8.5391051759088246</v>
      </c>
      <c r="Q18" s="55">
        <v>8.554176935893766</v>
      </c>
      <c r="R18" s="55">
        <v>10.943165015916559</v>
      </c>
      <c r="S18" s="55">
        <v>10.681791407875499</v>
      </c>
      <c r="T18" s="55">
        <v>11.37556893591999</v>
      </c>
      <c r="U18" s="55">
        <v>8.8707242879115924</v>
      </c>
      <c r="V18" s="55">
        <v>5.2327864079592903</v>
      </c>
      <c r="W18" s="55">
        <v>4.593464639963603</v>
      </c>
      <c r="DA18" s="101" t="s">
        <v>1045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2.9317269599825728</v>
      </c>
      <c r="G19" s="55">
        <v>2.9317269599786591</v>
      </c>
      <c r="H19" s="55">
        <v>2.931726959984168</v>
      </c>
      <c r="I19" s="55">
        <v>2.9290010399815962</v>
      </c>
      <c r="J19" s="55">
        <v>2.929001039978103</v>
      </c>
      <c r="K19" s="55">
        <v>2.9290010399614168</v>
      </c>
      <c r="L19" s="55">
        <v>2.9290010399781332</v>
      </c>
      <c r="M19" s="55">
        <v>2.9290010399761619</v>
      </c>
      <c r="N19" s="55">
        <v>2.9290010399735178</v>
      </c>
      <c r="O19" s="55">
        <v>2.929001039967253</v>
      </c>
      <c r="P19" s="55">
        <v>5.85822923993745</v>
      </c>
      <c r="Q19" s="55">
        <v>2.8867492799641519</v>
      </c>
      <c r="R19" s="55">
        <v>5.7737257199559799</v>
      </c>
      <c r="S19" s="55">
        <v>8.9569187998956004</v>
      </c>
      <c r="T19" s="55">
        <v>6.3509392799553268</v>
      </c>
      <c r="U19" s="55">
        <v>9.5266360799050567</v>
      </c>
      <c r="V19" s="55">
        <v>9.5348138399258211</v>
      </c>
      <c r="W19" s="55">
        <v>12.71323655989926</v>
      </c>
      <c r="DA19" s="101" t="s">
        <v>1046</v>
      </c>
    </row>
    <row r="20" spans="1:105" x14ac:dyDescent="0.25">
      <c r="A20" s="61" t="s">
        <v>173</v>
      </c>
      <c r="B20" s="55">
        <v>22.603497769808651</v>
      </c>
      <c r="C20" s="55">
        <v>18.499203661672318</v>
      </c>
      <c r="D20" s="55">
        <v>21.366058980910431</v>
      </c>
      <c r="E20" s="55">
        <v>21.10740835118968</v>
      </c>
      <c r="F20" s="55">
        <v>21.585280111067391</v>
      </c>
      <c r="G20" s="55">
        <v>26.00119615416202</v>
      </c>
      <c r="H20" s="55">
        <v>23.353125687237871</v>
      </c>
      <c r="I20" s="55">
        <v>24.272938049949971</v>
      </c>
      <c r="J20" s="55">
        <v>27.190551451609519</v>
      </c>
      <c r="K20" s="55">
        <v>25.558537436241991</v>
      </c>
      <c r="L20" s="55">
        <v>27.97286741945371</v>
      </c>
      <c r="M20" s="55">
        <v>27.44510488573685</v>
      </c>
      <c r="N20" s="55">
        <v>34.001459794066122</v>
      </c>
      <c r="O20" s="55">
        <v>30.340456352652041</v>
      </c>
      <c r="P20" s="55">
        <v>31.501519927538538</v>
      </c>
      <c r="Q20" s="55">
        <v>28.11704211024259</v>
      </c>
      <c r="R20" s="55">
        <v>29.932839392805342</v>
      </c>
      <c r="S20" s="55">
        <v>28.64576173403692</v>
      </c>
      <c r="T20" s="55">
        <v>29.840345917096599</v>
      </c>
      <c r="U20" s="55">
        <v>31.387594269119852</v>
      </c>
      <c r="V20" s="55">
        <v>34.576251793461132</v>
      </c>
      <c r="W20" s="55">
        <v>35.303393493683863</v>
      </c>
      <c r="DA20" s="101" t="s">
        <v>1047</v>
      </c>
    </row>
    <row r="21" spans="1:105" x14ac:dyDescent="0.25">
      <c r="A21" s="61" t="s">
        <v>129</v>
      </c>
      <c r="B21" s="55">
        <v>24.51220704031444</v>
      </c>
      <c r="C21" s="55">
        <v>12.280426200082481</v>
      </c>
      <c r="D21" s="55">
        <v>12.28042619990191</v>
      </c>
      <c r="E21" s="55">
        <v>15.38650619986638</v>
      </c>
      <c r="F21" s="55">
        <v>24.693242039853232</v>
      </c>
      <c r="G21" s="55">
        <v>24.753420719819822</v>
      </c>
      <c r="H21" s="55">
        <v>21.61044899988331</v>
      </c>
      <c r="I21" s="55">
        <v>21.720641039863519</v>
      </c>
      <c r="J21" s="55">
        <v>18.617667119860808</v>
      </c>
      <c r="K21" s="55">
        <v>18.61766711975476</v>
      </c>
      <c r="L21" s="55">
        <v>21.698071199838001</v>
      </c>
      <c r="M21" s="55">
        <v>21.673233359823609</v>
      </c>
      <c r="N21" s="55">
        <v>15.489078119859951</v>
      </c>
      <c r="O21" s="55">
        <v>24.801303959722709</v>
      </c>
      <c r="P21" s="55">
        <v>40.29489791956977</v>
      </c>
      <c r="Q21" s="55">
        <v>40.359274559498793</v>
      </c>
      <c r="R21" s="55">
        <v>27.900528839787281</v>
      </c>
      <c r="S21" s="55">
        <v>28.25114471967073</v>
      </c>
      <c r="T21" s="55">
        <v>22.0649756398448</v>
      </c>
      <c r="U21" s="55">
        <v>31.08414023969021</v>
      </c>
      <c r="V21" s="55">
        <v>29.224561319772651</v>
      </c>
      <c r="W21" s="55">
        <v>28.597962239773398</v>
      </c>
      <c r="DA21" s="101" t="s">
        <v>1048</v>
      </c>
    </row>
    <row r="22" spans="1:105" x14ac:dyDescent="0.25">
      <c r="A22" s="61" t="s">
        <v>176</v>
      </c>
      <c r="B22" s="55">
        <v>39.053563401000972</v>
      </c>
      <c r="C22" s="55">
        <v>45.989234166334192</v>
      </c>
      <c r="D22" s="55">
        <v>44.69987749361632</v>
      </c>
      <c r="E22" s="55">
        <v>40.649263612164269</v>
      </c>
      <c r="F22" s="55">
        <v>47.692144642644713</v>
      </c>
      <c r="G22" s="55">
        <v>45.244305000276832</v>
      </c>
      <c r="H22" s="55">
        <v>59.385631200612167</v>
      </c>
      <c r="I22" s="55">
        <v>61.824098193793752</v>
      </c>
      <c r="J22" s="55">
        <v>53.252650130837317</v>
      </c>
      <c r="K22" s="55">
        <v>41.628738127389177</v>
      </c>
      <c r="L22" s="55">
        <v>46.600472297685698</v>
      </c>
      <c r="M22" s="55">
        <v>44.057317448995803</v>
      </c>
      <c r="N22" s="55">
        <v>40.530321471768353</v>
      </c>
      <c r="O22" s="55">
        <v>36.207842824153531</v>
      </c>
      <c r="P22" s="55">
        <v>27.564168302201431</v>
      </c>
      <c r="Q22" s="55">
        <v>28.308301101622082</v>
      </c>
      <c r="R22" s="55">
        <v>29.94179283769428</v>
      </c>
      <c r="S22" s="55">
        <v>29.192722322376781</v>
      </c>
      <c r="T22" s="55">
        <v>28.654948357762201</v>
      </c>
      <c r="U22" s="55">
        <v>27.346039604253829</v>
      </c>
      <c r="V22" s="55">
        <v>26.394799992300879</v>
      </c>
      <c r="W22" s="55">
        <v>30.85126796572165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11.14578894016341</v>
      </c>
      <c r="C25" s="258">
        <v>10.57188683101829</v>
      </c>
      <c r="D25" s="258">
        <v>11.2975352763217</v>
      </c>
      <c r="E25" s="258">
        <v>11.668022498106181</v>
      </c>
      <c r="F25" s="258">
        <v>12.164281512538791</v>
      </c>
      <c r="G25" s="258">
        <v>12.713147384656979</v>
      </c>
      <c r="H25" s="258">
        <v>13.28561774999943</v>
      </c>
      <c r="I25" s="258">
        <v>14.116189952342131</v>
      </c>
      <c r="J25" s="258">
        <v>13.97399507702001</v>
      </c>
      <c r="K25" s="258">
        <v>12.7478617819738</v>
      </c>
      <c r="L25" s="258">
        <v>14.002925929896771</v>
      </c>
      <c r="M25" s="258">
        <v>13.92279190676399</v>
      </c>
      <c r="N25" s="258">
        <v>14.382690980541421</v>
      </c>
      <c r="O25" s="258">
        <v>13.998097687021779</v>
      </c>
      <c r="P25" s="258">
        <v>14.669542331643729</v>
      </c>
      <c r="Q25" s="258">
        <v>13.66762925034322</v>
      </c>
      <c r="R25" s="258">
        <v>13.8927006345571</v>
      </c>
      <c r="S25" s="258">
        <v>14.340061003359621</v>
      </c>
      <c r="T25" s="258">
        <v>14.073399077591761</v>
      </c>
      <c r="U25" s="258">
        <v>14.920086598840831</v>
      </c>
      <c r="V25" s="258">
        <v>15.583158771759299</v>
      </c>
      <c r="W25" s="258">
        <v>16.46716950304457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1</v>
      </c>
      <c r="D31" s="236">
        <f t="shared" si="3"/>
        <v>1</v>
      </c>
      <c r="E31" s="236">
        <f t="shared" si="3"/>
        <v>1</v>
      </c>
      <c r="F31" s="236">
        <f t="shared" si="3"/>
        <v>1</v>
      </c>
      <c r="G31" s="236">
        <f t="shared" si="3"/>
        <v>0.99999999999999989</v>
      </c>
      <c r="H31" s="236">
        <f t="shared" si="3"/>
        <v>1</v>
      </c>
      <c r="I31" s="236">
        <f t="shared" si="3"/>
        <v>1</v>
      </c>
      <c r="J31" s="236">
        <f t="shared" si="3"/>
        <v>1</v>
      </c>
      <c r="K31" s="236">
        <f t="shared" si="3"/>
        <v>1</v>
      </c>
      <c r="L31" s="236">
        <f t="shared" si="3"/>
        <v>0.99999999999999989</v>
      </c>
      <c r="M31" s="236">
        <f t="shared" si="3"/>
        <v>1</v>
      </c>
      <c r="N31" s="236">
        <f t="shared" si="3"/>
        <v>1</v>
      </c>
      <c r="O31" s="236">
        <f t="shared" si="3"/>
        <v>1</v>
      </c>
      <c r="P31" s="236">
        <f t="shared" si="3"/>
        <v>1</v>
      </c>
      <c r="Q31" s="236">
        <f t="shared" si="3"/>
        <v>0.99999999999999989</v>
      </c>
      <c r="R31" s="236">
        <f t="shared" ref="R31:W31" si="4">SUM(R32:R40)</f>
        <v>1</v>
      </c>
      <c r="S31" s="236">
        <f t="shared" si="4"/>
        <v>1</v>
      </c>
      <c r="T31" s="236">
        <f t="shared" si="4"/>
        <v>0.99999999999999989</v>
      </c>
      <c r="U31" s="236">
        <f t="shared" si="4"/>
        <v>0.99999999999999989</v>
      </c>
      <c r="V31" s="236">
        <f t="shared" si="4"/>
        <v>1.0000000000000002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0.14367653073185133</v>
      </c>
      <c r="C35" s="247">
        <f t="shared" si="8"/>
        <v>0.15906086500376165</v>
      </c>
      <c r="D35" s="247">
        <f t="shared" si="8"/>
        <v>0.1700963440131954</v>
      </c>
      <c r="E35" s="247">
        <f t="shared" si="8"/>
        <v>0.1744376009210219</v>
      </c>
      <c r="F35" s="247">
        <f t="shared" si="8"/>
        <v>0.16474303989176731</v>
      </c>
      <c r="G35" s="247">
        <f t="shared" si="8"/>
        <v>0.15736748806819367</v>
      </c>
      <c r="H35" s="247">
        <f t="shared" si="8"/>
        <v>0.17367115543401132</v>
      </c>
      <c r="I35" s="247">
        <f t="shared" si="8"/>
        <v>0.18145579361509503</v>
      </c>
      <c r="J35" s="247">
        <f t="shared" si="8"/>
        <v>0.17489006346047217</v>
      </c>
      <c r="K35" s="247">
        <f t="shared" si="8"/>
        <v>0.17204645248410488</v>
      </c>
      <c r="L35" s="247">
        <f t="shared" si="8"/>
        <v>0.18365409621377815</v>
      </c>
      <c r="M35" s="247">
        <f t="shared" si="8"/>
        <v>0.19237016270519333</v>
      </c>
      <c r="N35" s="247">
        <f t="shared" si="8"/>
        <v>0.19374053091954546</v>
      </c>
      <c r="O35" s="247">
        <f t="shared" si="8"/>
        <v>0.18902237124233973</v>
      </c>
      <c r="P35" s="247">
        <f t="shared" si="8"/>
        <v>0.18198826229005305</v>
      </c>
      <c r="Q35" s="247">
        <f t="shared" si="8"/>
        <v>0.17552884248827197</v>
      </c>
      <c r="R35" s="247">
        <f t="shared" si="8"/>
        <v>0.17656912700812433</v>
      </c>
      <c r="S35" s="247">
        <f t="shared" si="8"/>
        <v>0.18227058615180405</v>
      </c>
      <c r="T35" s="247">
        <f t="shared" si="8"/>
        <v>0.18378110363828981</v>
      </c>
      <c r="U35" s="247">
        <f t="shared" si="8"/>
        <v>0.18504626240693936</v>
      </c>
      <c r="V35" s="247">
        <f t="shared" si="8"/>
        <v>0.19515489788315302</v>
      </c>
      <c r="W35" s="247">
        <f t="shared" si="8"/>
        <v>0.19782599671292345</v>
      </c>
      <c r="DA35" s="278"/>
    </row>
    <row r="36" spans="1:105" x14ac:dyDescent="0.25">
      <c r="A36" s="128" t="s">
        <v>175</v>
      </c>
      <c r="B36" s="260">
        <f t="shared" ref="B36:W36" si="9">IF(B$16=0,0,B$16/B$5)</f>
        <v>0.31536583939722901</v>
      </c>
      <c r="C36" s="260">
        <f t="shared" si="9"/>
        <v>0.32009495991102643</v>
      </c>
      <c r="D36" s="260">
        <f t="shared" si="9"/>
        <v>0.32395133425982153</v>
      </c>
      <c r="E36" s="260">
        <f t="shared" si="9"/>
        <v>0.32574171128269586</v>
      </c>
      <c r="F36" s="260">
        <f t="shared" si="9"/>
        <v>0.30292001958067155</v>
      </c>
      <c r="G36" s="260">
        <f t="shared" si="9"/>
        <v>0.30603565741308475</v>
      </c>
      <c r="H36" s="260">
        <f t="shared" si="9"/>
        <v>0.29439371936963055</v>
      </c>
      <c r="I36" s="260">
        <f t="shared" si="9"/>
        <v>0.29783975373655991</v>
      </c>
      <c r="J36" s="260">
        <f t="shared" si="9"/>
        <v>0.31210553363812682</v>
      </c>
      <c r="K36" s="260">
        <f t="shared" si="9"/>
        <v>0.32309504062305816</v>
      </c>
      <c r="L36" s="260">
        <f t="shared" si="9"/>
        <v>0.31368830928442665</v>
      </c>
      <c r="M36" s="260">
        <f t="shared" si="9"/>
        <v>0.31417702115287355</v>
      </c>
      <c r="N36" s="260">
        <f t="shared" si="9"/>
        <v>0.32452969643805651</v>
      </c>
      <c r="O36" s="260">
        <f t="shared" si="9"/>
        <v>0.31312892323326763</v>
      </c>
      <c r="P36" s="260">
        <f t="shared" si="9"/>
        <v>0.30496780478113772</v>
      </c>
      <c r="Q36" s="260">
        <f t="shared" si="9"/>
        <v>0.30381340036760268</v>
      </c>
      <c r="R36" s="260">
        <f t="shared" si="9"/>
        <v>0.31220707722403951</v>
      </c>
      <c r="S36" s="260">
        <f t="shared" si="9"/>
        <v>0.31343487452196062</v>
      </c>
      <c r="T36" s="260">
        <f t="shared" si="9"/>
        <v>0.32208567812052241</v>
      </c>
      <c r="U36" s="260">
        <f t="shared" si="9"/>
        <v>0.31515534642201248</v>
      </c>
      <c r="V36" s="260">
        <f t="shared" si="9"/>
        <v>0.32368908188525952</v>
      </c>
      <c r="W36" s="260">
        <f t="shared" si="9"/>
        <v>0.32089545859870139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0.48035745565849663</v>
      </c>
      <c r="C37" s="260">
        <f t="shared" si="10"/>
        <v>0.45933526095487176</v>
      </c>
      <c r="D37" s="260">
        <f t="shared" si="10"/>
        <v>0.44370237312755789</v>
      </c>
      <c r="E37" s="260">
        <f t="shared" si="10"/>
        <v>0.43722670333140168</v>
      </c>
      <c r="F37" s="260">
        <f t="shared" si="10"/>
        <v>0.47412833431293183</v>
      </c>
      <c r="G37" s="260">
        <f t="shared" si="10"/>
        <v>0.47778955252972449</v>
      </c>
      <c r="H37" s="260">
        <f t="shared" si="10"/>
        <v>0.47536491862312336</v>
      </c>
      <c r="I37" s="260">
        <f t="shared" si="10"/>
        <v>0.46347206185320144</v>
      </c>
      <c r="J37" s="260">
        <f t="shared" si="10"/>
        <v>0.4530307236110816</v>
      </c>
      <c r="K37" s="260">
        <f t="shared" si="10"/>
        <v>0.4427731022518317</v>
      </c>
      <c r="L37" s="260">
        <f t="shared" si="10"/>
        <v>0.44237977168062192</v>
      </c>
      <c r="M37" s="260">
        <f t="shared" si="10"/>
        <v>0.43308108326244754</v>
      </c>
      <c r="N37" s="260">
        <f t="shared" si="10"/>
        <v>0.41936868693051349</v>
      </c>
      <c r="O37" s="260">
        <f t="shared" si="10"/>
        <v>0.43767837339471927</v>
      </c>
      <c r="P37" s="260">
        <f t="shared" si="10"/>
        <v>0.45444182772223118</v>
      </c>
      <c r="Q37" s="260">
        <f t="shared" si="10"/>
        <v>0.46227748036609723</v>
      </c>
      <c r="R37" s="260">
        <f t="shared" si="10"/>
        <v>0.45123060403124743</v>
      </c>
      <c r="S37" s="260">
        <f t="shared" si="10"/>
        <v>0.44406541610672573</v>
      </c>
      <c r="T37" s="260">
        <f t="shared" si="10"/>
        <v>0.43224177101679429</v>
      </c>
      <c r="U37" s="260">
        <f t="shared" si="10"/>
        <v>0.43923866493800334</v>
      </c>
      <c r="V37" s="260">
        <f t="shared" si="10"/>
        <v>0.41895646561147359</v>
      </c>
      <c r="W37" s="260">
        <f t="shared" si="10"/>
        <v>0.41961580806406229</v>
      </c>
      <c r="DA37" s="279"/>
    </row>
    <row r="38" spans="1:105" x14ac:dyDescent="0.25">
      <c r="A38" s="128" t="s">
        <v>174</v>
      </c>
      <c r="B38" s="260">
        <f t="shared" ref="B38:W38" si="11">IF(B$25=0,0,B$25/B$5)</f>
        <v>6.0600174212423141E-2</v>
      </c>
      <c r="C38" s="260">
        <f t="shared" si="11"/>
        <v>6.1508914130340174E-2</v>
      </c>
      <c r="D38" s="260">
        <f t="shared" si="11"/>
        <v>6.2249948599425259E-2</v>
      </c>
      <c r="E38" s="260">
        <f t="shared" si="11"/>
        <v>6.2593984464880667E-2</v>
      </c>
      <c r="F38" s="260">
        <f t="shared" si="11"/>
        <v>5.8208606214629255E-2</v>
      </c>
      <c r="G38" s="260">
        <f t="shared" si="11"/>
        <v>5.8807301988997022E-2</v>
      </c>
      <c r="H38" s="260">
        <f t="shared" si="11"/>
        <v>5.6570206573234749E-2</v>
      </c>
      <c r="I38" s="260">
        <f t="shared" si="11"/>
        <v>5.7232390795143681E-2</v>
      </c>
      <c r="J38" s="260">
        <f t="shared" si="11"/>
        <v>5.9973679290319402E-2</v>
      </c>
      <c r="K38" s="260">
        <f t="shared" si="11"/>
        <v>6.2085404641005273E-2</v>
      </c>
      <c r="L38" s="260">
        <f t="shared" si="11"/>
        <v>6.0277822821173187E-2</v>
      </c>
      <c r="M38" s="260">
        <f t="shared" si="11"/>
        <v>6.0371732879485683E-2</v>
      </c>
      <c r="N38" s="260">
        <f t="shared" si="11"/>
        <v>6.2361085711884576E-2</v>
      </c>
      <c r="O38" s="260">
        <f t="shared" si="11"/>
        <v>6.0170332129673328E-2</v>
      </c>
      <c r="P38" s="260">
        <f t="shared" si="11"/>
        <v>5.8602105206578013E-2</v>
      </c>
      <c r="Q38" s="260">
        <f t="shared" si="11"/>
        <v>5.8380276778028053E-2</v>
      </c>
      <c r="R38" s="260">
        <f t="shared" si="11"/>
        <v>5.9993191736588812E-2</v>
      </c>
      <c r="S38" s="260">
        <f t="shared" si="11"/>
        <v>6.0229123219509649E-2</v>
      </c>
      <c r="T38" s="260">
        <f t="shared" si="11"/>
        <v>6.1891447224393339E-2</v>
      </c>
      <c r="U38" s="260">
        <f t="shared" si="11"/>
        <v>6.0559726233044696E-2</v>
      </c>
      <c r="V38" s="260">
        <f t="shared" si="11"/>
        <v>6.2199554620113957E-2</v>
      </c>
      <c r="W38" s="260">
        <f t="shared" si="11"/>
        <v>6.1662736624312979E-2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1.8476810343726684</v>
      </c>
      <c r="C44" s="238">
        <f>IF(C$5=0,0,C$5/AGR_fec!C$5)</f>
        <v>1.7378976464904365</v>
      </c>
      <c r="D44" s="238">
        <f>IF(D$5=0,0,D$5/AGR_fec!D$5)</f>
        <v>1.8029697930480382</v>
      </c>
      <c r="E44" s="238">
        <f>IF(E$5=0,0,E$5/AGR_fec!E$5)</f>
        <v>1.8125149802657363</v>
      </c>
      <c r="F44" s="238">
        <f>IF(F$5=0,0,F$5/AGR_fec!F$5)</f>
        <v>1.9257824879583412</v>
      </c>
      <c r="G44" s="238">
        <f>IF(G$5=0,0,G$5/AGR_fec!G$5)</f>
        <v>1.9690028976025786</v>
      </c>
      <c r="H44" s="238">
        <f>IF(H$5=0,0,H$5/AGR_fec!H$5)</f>
        <v>1.9905962927547751</v>
      </c>
      <c r="I44" s="238">
        <f>IF(I$5=0,0,I$5/AGR_fec!I$5)</f>
        <v>1.9722700420857946</v>
      </c>
      <c r="J44" s="238">
        <f>IF(J$5=0,0,J$5/AGR_fec!J$5)</f>
        <v>1.939809386908427</v>
      </c>
      <c r="K44" s="238">
        <f>IF(K$5=0,0,K$5/AGR_fec!K$5)</f>
        <v>1.8832483960216508</v>
      </c>
      <c r="L44" s="238">
        <f>IF(L$5=0,0,L$5/AGR_fec!L$5)</f>
        <v>1.9912982724395194</v>
      </c>
      <c r="M44" s="238">
        <f>IF(M$5=0,0,M$5/AGR_fec!M$5)</f>
        <v>2.0038463252910153</v>
      </c>
      <c r="N44" s="238">
        <f>IF(N$5=0,0,N$5/AGR_fec!N$5)</f>
        <v>2.0244590737495907</v>
      </c>
      <c r="O44" s="238">
        <f>IF(O$5=0,0,O$5/AGR_fec!O$5)</f>
        <v>2.0644409182775774</v>
      </c>
      <c r="P44" s="238">
        <f>IF(P$5=0,0,P$5/AGR_fec!P$5)</f>
        <v>2.1281895094124406</v>
      </c>
      <c r="Q44" s="238">
        <f>IF(Q$5=0,0,Q$5/AGR_fec!Q$5)</f>
        <v>2.080749274091295</v>
      </c>
      <c r="R44" s="238">
        <f>IF(R$5=0,0,R$5/AGR_fec!R$5)</f>
        <v>2.0318604016579491</v>
      </c>
      <c r="S44" s="238">
        <f>IF(S$5=0,0,S$5/AGR_fec!S$5)</f>
        <v>2.0026265927508433</v>
      </c>
      <c r="T44" s="238">
        <f>IF(T$5=0,0,T$5/AGR_fec!T$5)</f>
        <v>1.9654739070736531</v>
      </c>
      <c r="U44" s="238">
        <f>IF(U$5=0,0,U$5/AGR_fec!U$5)</f>
        <v>2.0251322031186247</v>
      </c>
      <c r="V44" s="238">
        <f>IF(V$5=0,0,V$5/AGR_fec!V$5)</f>
        <v>2.0236729972311513</v>
      </c>
      <c r="W44" s="238">
        <f>IF(W$5=0,0,W$5/AGR_fec!W$5)</f>
        <v>2.02685122033557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1.0741731066812958</v>
      </c>
      <c r="C48" s="253">
        <f>IF(C$9=0,0,C$9/AGR_fec!C$9)</f>
        <v>1.1149065585720588</v>
      </c>
      <c r="D48" s="253">
        <f>IF(D$9=0,0,D$9/AGR_fec!D$9)</f>
        <v>1.2845461961989684</v>
      </c>
      <c r="E48" s="253">
        <f>IF(E$9=0,0,E$9/AGR_fec!E$9)</f>
        <v>1.3391249061319697</v>
      </c>
      <c r="F48" s="253">
        <f>IF(F$9=0,0,F$9/AGR_fec!F$9)</f>
        <v>1.325091269109526</v>
      </c>
      <c r="G48" s="253">
        <f>IF(G$9=0,0,G$9/AGR_fec!G$9)</f>
        <v>1.3048878187612594</v>
      </c>
      <c r="H48" s="253">
        <f>IF(H$9=0,0,H$9/AGR_fec!H$9)</f>
        <v>1.4537878168109168</v>
      </c>
      <c r="I48" s="253">
        <f>IF(I$9=0,0,I$9/AGR_fec!I$9)</f>
        <v>1.5295316112464736</v>
      </c>
      <c r="J48" s="253">
        <f>IF(J$9=0,0,J$9/AGR_fec!J$9)</f>
        <v>1.4455829689885558</v>
      </c>
      <c r="K48" s="253">
        <f>IF(K$9=0,0,K$9/AGR_fec!K$9)</f>
        <v>1.402086457927989</v>
      </c>
      <c r="L48" s="253">
        <f>IF(L$9=0,0,L$9/AGR_fec!L$9)</f>
        <v>1.6115388241771587</v>
      </c>
      <c r="M48" s="253">
        <f>IF(M$9=0,0,M$9/AGR_fec!M$9)</f>
        <v>1.7462023227130767</v>
      </c>
      <c r="N48" s="253">
        <f>IF(N$9=0,0,N$9/AGR_fec!N$9)</f>
        <v>1.8238418968916992</v>
      </c>
      <c r="O48" s="253">
        <f>IF(O$9=0,0,O$9/AGR_fec!O$9)</f>
        <v>1.8464891655961262</v>
      </c>
      <c r="P48" s="253">
        <f>IF(P$9=0,0,P$9/AGR_fec!P$9)</f>
        <v>1.9321852294093953</v>
      </c>
      <c r="Q48" s="253">
        <f>IF(Q$9=0,0,Q$9/AGR_fec!Q$9)</f>
        <v>1.7979064711202295</v>
      </c>
      <c r="R48" s="253">
        <f>IF(R$9=0,0,R$9/AGR_fec!R$9)</f>
        <v>1.7490916457535783</v>
      </c>
      <c r="S48" s="253">
        <f>IF(S$9=0,0,S$9/AGR_fec!S$9)</f>
        <v>1.8133694807350875</v>
      </c>
      <c r="T48" s="253">
        <f>IF(T$9=0,0,T$9/AGR_fec!T$9)</f>
        <v>1.791831951875904</v>
      </c>
      <c r="U48" s="253">
        <f>IF(U$9=0,0,U$9/AGR_fec!U$9)</f>
        <v>1.9069672897560885</v>
      </c>
      <c r="V48" s="253">
        <f>IF(V$9=0,0,V$9/AGR_fec!V$9)</f>
        <v>2.0235002634452925</v>
      </c>
      <c r="W48" s="253">
        <f>IF(W$9=0,0,W$9/AGR_fec!W$9)</f>
        <v>2.044682660936048</v>
      </c>
      <c r="DA48" s="290"/>
    </row>
    <row r="49" spans="1:105" x14ac:dyDescent="0.25">
      <c r="A49" s="128" t="s">
        <v>175</v>
      </c>
      <c r="B49" s="265">
        <f>IF(B$16=0,0,B$16/AGR_fec!B$16)</f>
        <v>3.1024188000000001</v>
      </c>
      <c r="C49" s="265">
        <f>IF(C$16=0,0,C$16/AGR_fec!C$16)</f>
        <v>3.1024188000000006</v>
      </c>
      <c r="D49" s="265">
        <f>IF(D$16=0,0,D$16/AGR_fec!D$16)</f>
        <v>3.1024187999999997</v>
      </c>
      <c r="E49" s="265">
        <f>IF(E$16=0,0,E$16/AGR_fec!E$16)</f>
        <v>3.1024188000000006</v>
      </c>
      <c r="F49" s="265">
        <f>IF(F$16=0,0,F$16/AGR_fec!F$16)</f>
        <v>3.1024188000000001</v>
      </c>
      <c r="G49" s="265">
        <f>IF(G$16=0,0,G$16/AGR_fec!G$16)</f>
        <v>3.1024187999999993</v>
      </c>
      <c r="H49" s="265">
        <f>IF(H$16=0,0,H$16/AGR_fec!H$16)</f>
        <v>3.1024187999999997</v>
      </c>
      <c r="I49" s="265">
        <f>IF(I$16=0,0,I$16/AGR_fec!I$16)</f>
        <v>3.1024187999999997</v>
      </c>
      <c r="J49" s="265">
        <f>IF(J$16=0,0,J$16/AGR_fec!J$16)</f>
        <v>3.1024188000000006</v>
      </c>
      <c r="K49" s="265">
        <f>IF(K$16=0,0,K$16/AGR_fec!K$16)</f>
        <v>3.1024188000000001</v>
      </c>
      <c r="L49" s="265">
        <f>IF(L$16=0,0,L$16/AGR_fec!L$16)</f>
        <v>3.1024188000000001</v>
      </c>
      <c r="M49" s="265">
        <f>IF(M$16=0,0,M$16/AGR_fec!M$16)</f>
        <v>3.1024187999999993</v>
      </c>
      <c r="N49" s="265">
        <f>IF(N$16=0,0,N$16/AGR_fec!N$16)</f>
        <v>3.1024188000000001</v>
      </c>
      <c r="O49" s="265">
        <f>IF(O$16=0,0,O$16/AGR_fec!O$16)</f>
        <v>3.1024188000000001</v>
      </c>
      <c r="P49" s="265">
        <f>IF(P$16=0,0,P$16/AGR_fec!P$16)</f>
        <v>3.1024188000000001</v>
      </c>
      <c r="Q49" s="265">
        <f>IF(Q$16=0,0,Q$16/AGR_fec!Q$16)</f>
        <v>3.102418800000001</v>
      </c>
      <c r="R49" s="265">
        <f>IF(R$16=0,0,R$16/AGR_fec!R$16)</f>
        <v>3.1024187999999993</v>
      </c>
      <c r="S49" s="265">
        <f>IF(S$16=0,0,S$16/AGR_fec!S$16)</f>
        <v>3.1024188000000006</v>
      </c>
      <c r="T49" s="265">
        <f>IF(T$16=0,0,T$16/AGR_fec!T$16)</f>
        <v>3.1024188000000006</v>
      </c>
      <c r="U49" s="265">
        <f>IF(U$16=0,0,U$16/AGR_fec!U$16)</f>
        <v>3.1024188000000001</v>
      </c>
      <c r="V49" s="265">
        <f>IF(V$16=0,0,V$16/AGR_fec!V$16)</f>
        <v>3.1024188000000006</v>
      </c>
      <c r="W49" s="265">
        <f>IF(W$16=0,0,W$16/AGR_fec!W$16)</f>
        <v>3.1024188000000006</v>
      </c>
      <c r="DA49" s="291"/>
    </row>
    <row r="50" spans="1:105" x14ac:dyDescent="0.25">
      <c r="A50" s="128" t="s">
        <v>121</v>
      </c>
      <c r="B50" s="265">
        <f>IF(B$17=0,0,B$17/AGR_fec!B$17)</f>
        <v>2.2615775051176707</v>
      </c>
      <c r="C50" s="265">
        <f>IF(C$17=0,0,C$17/AGR_fec!C$17)</f>
        <v>2.0155089865705529</v>
      </c>
      <c r="D50" s="265">
        <f>IF(D$17=0,0,D$17/AGR_fec!D$17)</f>
        <v>1.9905967080000642</v>
      </c>
      <c r="E50" s="265">
        <f>IF(E$17=0,0,E$17/AGR_fec!E$17)</f>
        <v>1.9012383263311872</v>
      </c>
      <c r="F50" s="265">
        <f>IF(F$17=0,0,F$17/AGR_fec!F$17)</f>
        <v>2.2131766399591934</v>
      </c>
      <c r="G50" s="265">
        <f>IF(G$17=0,0,G$17/AGR_fec!G$17)</f>
        <v>2.3396243416418154</v>
      </c>
      <c r="H50" s="265">
        <f>IF(H$17=0,0,H$17/AGR_fec!H$17)</f>
        <v>2.2954099103826717</v>
      </c>
      <c r="I50" s="265">
        <f>IF(I$17=0,0,I$17/AGR_fec!I$17)</f>
        <v>2.1908632803644221</v>
      </c>
      <c r="J50" s="265">
        <f>IF(J$17=0,0,J$17/AGR_fec!J$17)</f>
        <v>2.14080279556774</v>
      </c>
      <c r="K50" s="265">
        <f>IF(K$17=0,0,K$17/AGR_fec!K$17)</f>
        <v>2.029281629169247</v>
      </c>
      <c r="L50" s="265">
        <f>IF(L$17=0,0,L$17/AGR_fec!L$17)</f>
        <v>2.0932579208870359</v>
      </c>
      <c r="M50" s="265">
        <f>IF(M$17=0,0,M$17/AGR_fec!M$17)</f>
        <v>2.0296857863417839</v>
      </c>
      <c r="N50" s="265">
        <f>IF(N$17=0,0,N$17/AGR_fec!N$17)</f>
        <v>2.0491826692227475</v>
      </c>
      <c r="O50" s="265">
        <f>IF(O$17=0,0,O$17/AGR_fec!O$17)</f>
        <v>2.1213066607992004</v>
      </c>
      <c r="P50" s="265">
        <f>IF(P$17=0,0,P$17/AGR_fec!P$17)</f>
        <v>2.2091104772870298</v>
      </c>
      <c r="Q50" s="265">
        <f>IF(Q$17=0,0,Q$17/AGR_fec!Q$17)</f>
        <v>2.2240304567237521</v>
      </c>
      <c r="R50" s="265">
        <f>IF(R$17=0,0,R$17/AGR_fec!R$17)</f>
        <v>2.1619342778651625</v>
      </c>
      <c r="S50" s="265">
        <f>IF(S$17=0,0,S$17/AGR_fec!S$17)</f>
        <v>2.0412127453732354</v>
      </c>
      <c r="T50" s="265">
        <f>IF(T$17=0,0,T$17/AGR_fec!T$17)</f>
        <v>1.9866287429787042</v>
      </c>
      <c r="U50" s="265">
        <f>IF(U$17=0,0,U$17/AGR_fec!U$17)</f>
        <v>2.0437925848010319</v>
      </c>
      <c r="V50" s="265">
        <f>IF(V$17=0,0,V$17/AGR_fec!V$17)</f>
        <v>1.9360108272298</v>
      </c>
      <c r="W50" s="265">
        <f>IF(W$17=0,0,W$17/AGR_fec!W$17)</f>
        <v>1.937072150442994</v>
      </c>
      <c r="DA50" s="291"/>
    </row>
    <row r="51" spans="1:105" x14ac:dyDescent="0.25">
      <c r="A51" s="128" t="s">
        <v>174</v>
      </c>
      <c r="B51" s="265">
        <f>IF(B$25=0,0,B$25/AGR_fec!B$25)</f>
        <v>3.1024187999999997</v>
      </c>
      <c r="C51" s="265">
        <f>IF(C$25=0,0,C$25/AGR_fec!C$25)</f>
        <v>3.1024188000000006</v>
      </c>
      <c r="D51" s="265">
        <f>IF(D$25=0,0,D$25/AGR_fec!D$25)</f>
        <v>3.1024188000000015</v>
      </c>
      <c r="E51" s="265">
        <f>IF(E$25=0,0,E$25/AGR_fec!E$25)</f>
        <v>3.1024188000000006</v>
      </c>
      <c r="F51" s="265">
        <f>IF(F$25=0,0,F$25/AGR_fec!F$25)</f>
        <v>3.1024187999999993</v>
      </c>
      <c r="G51" s="265">
        <f>IF(G$25=0,0,G$25/AGR_fec!G$25)</f>
        <v>3.1024187999999993</v>
      </c>
      <c r="H51" s="265">
        <f>IF(H$25=0,0,H$25/AGR_fec!H$25)</f>
        <v>3.1024188000000006</v>
      </c>
      <c r="I51" s="265">
        <f>IF(I$25=0,0,I$25/AGR_fec!I$25)</f>
        <v>3.1024187999999997</v>
      </c>
      <c r="J51" s="265">
        <f>IF(J$25=0,0,J$25/AGR_fec!J$25)</f>
        <v>3.1024188000000001</v>
      </c>
      <c r="K51" s="265">
        <f>IF(K$25=0,0,K$25/AGR_fec!K$25)</f>
        <v>3.1024187999999993</v>
      </c>
      <c r="L51" s="265">
        <f>IF(L$25=0,0,L$25/AGR_fec!L$25)</f>
        <v>3.1024188000000006</v>
      </c>
      <c r="M51" s="265">
        <f>IF(M$25=0,0,M$25/AGR_fec!M$25)</f>
        <v>3.1024188000000006</v>
      </c>
      <c r="N51" s="265">
        <f>IF(N$25=0,0,N$25/AGR_fec!N$25)</f>
        <v>3.102418800000001</v>
      </c>
      <c r="O51" s="265">
        <f>IF(O$25=0,0,O$25/AGR_fec!O$25)</f>
        <v>3.1024187999999997</v>
      </c>
      <c r="P51" s="265">
        <f>IF(P$25=0,0,P$25/AGR_fec!P$25)</f>
        <v>3.1024187999999993</v>
      </c>
      <c r="Q51" s="265">
        <f>IF(Q$25=0,0,Q$25/AGR_fec!Q$25)</f>
        <v>3.1024187999999993</v>
      </c>
      <c r="R51" s="265">
        <f>IF(R$25=0,0,R$25/AGR_fec!R$25)</f>
        <v>3.1024188000000001</v>
      </c>
      <c r="S51" s="265">
        <f>IF(S$25=0,0,S$25/AGR_fec!S$25)</f>
        <v>3.1024188000000006</v>
      </c>
      <c r="T51" s="265">
        <f>IF(T$25=0,0,T$25/AGR_fec!T$25)</f>
        <v>3.1024188000000001</v>
      </c>
      <c r="U51" s="265">
        <f>IF(U$25=0,0,U$25/AGR_fec!U$25)</f>
        <v>3.1024188000000019</v>
      </c>
      <c r="V51" s="265">
        <f>IF(V$25=0,0,V$25/AGR_fec!V$25)</f>
        <v>3.1024188000000006</v>
      </c>
      <c r="W51" s="265">
        <f>IF(W$25=0,0,W$25/AGR_fec!W$25)</f>
        <v>3.1024187999999997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2024-05-20T16:52:42Z</dcterms:created>
  <dcterms:modified xsi:type="dcterms:W3CDTF">2024-05-20T16:52:42Z</dcterms:modified>
</cp:coreProperties>
</file>