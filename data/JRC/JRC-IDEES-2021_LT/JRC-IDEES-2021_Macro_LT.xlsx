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W20" i="59"/>
  <c r="V20" i="59"/>
  <c r="U20" i="59"/>
  <c r="Y122" i="59"/>
  <c r="T90" i="59"/>
  <c r="Y89" i="59"/>
  <c r="W87" i="59"/>
  <c r="W84" i="59"/>
  <c r="W81" i="59"/>
  <c r="V113" i="59"/>
  <c r="Y80" i="59"/>
  <c r="T80" i="59"/>
  <c r="V111" i="59"/>
  <c r="W110" i="59"/>
  <c r="Y77" i="59"/>
  <c r="U109" i="59"/>
  <c r="Y75" i="59"/>
  <c r="W74" i="59"/>
  <c r="M106" i="59"/>
  <c r="Y73" i="59"/>
  <c r="W73" i="59"/>
  <c r="W104" i="59"/>
  <c r="Y71" i="59"/>
  <c r="U103" i="59"/>
  <c r="W69" i="59"/>
  <c r="V101" i="59"/>
  <c r="Y99" i="59"/>
  <c r="W98" i="59"/>
  <c r="Y82" i="59"/>
  <c r="W90" i="59"/>
  <c r="T83" i="59"/>
  <c r="E106" i="59"/>
  <c r="X122" i="59"/>
  <c r="U115" i="59"/>
  <c r="X110" i="59"/>
  <c r="Y93" i="59"/>
  <c r="W122" i="59"/>
  <c r="U121" i="59"/>
  <c r="Y120" i="59"/>
  <c r="T118" i="59"/>
  <c r="Y84" i="59"/>
  <c r="U116" i="59"/>
  <c r="V115" i="59"/>
  <c r="Y114" i="59"/>
  <c r="W113" i="59"/>
  <c r="U113" i="59"/>
  <c r="W80" i="59"/>
  <c r="Y111" i="59"/>
  <c r="U108" i="59"/>
  <c r="W75" i="59"/>
  <c r="Y72" i="59"/>
  <c r="V103" i="59"/>
  <c r="Y102" i="59"/>
  <c r="W101" i="59"/>
  <c r="U100" i="59"/>
  <c r="Y67" i="59"/>
  <c r="Y65" i="59"/>
  <c r="Y20" i="59"/>
  <c r="U94" i="59"/>
  <c r="X20" i="59"/>
  <c r="X13" i="59"/>
  <c r="V13" i="59"/>
  <c r="W5" i="59"/>
  <c r="T5" i="59"/>
  <c r="Y5" i="59"/>
  <c r="U5" i="59"/>
  <c r="U101" i="59" l="1"/>
  <c r="Y107" i="59"/>
  <c r="U71" i="59"/>
  <c r="Y69" i="59"/>
  <c r="V94" i="59"/>
  <c r="W65" i="59"/>
  <c r="W72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105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78" i="59"/>
  <c r="W67" i="59"/>
  <c r="T112" i="59"/>
  <c r="Y70" i="59"/>
  <c r="T71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5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<sst xmlns="http://schemas.openxmlformats.org/spreadsheetml/2006/main" count="722" uniqueCount="281">
  <si>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</si>
  <si>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</si>
  <si>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</si>
  <si>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</si>
  <si>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</si>
  <si>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</si>
  <si>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</si>
  <si>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</si>
  <si>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</si>
  <si>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</si>
  <si>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</si>
  <si>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</si>
  <si>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</si>
  <si>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</si>
  <si>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</si>
  <si>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</si>
  <si>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</si>
  <si>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</si>
  <si>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</si>
  <si>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</si>
  <si>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</si>
  <si>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</si>
  <si>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</si>
  <si>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</si>
  <si>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</si>
  <si>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</si>
  <si>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</si>
  <si>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</si>
  <si>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</si>
  <si>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</si>
  <si>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</si>
  <si>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</si>
  <si>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</si>
  <si>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</si>
  <si>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</si>
  <si>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</si>
  <si>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</si>
  <si>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</si>
  <si>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</si>
  <si>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</si>
  <si>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</si>
  <si>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</si>
  <si>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</si>
  <si>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</si>
  <si>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</si>
  <si>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</si>
  <si>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</si>
  <si>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</si>
  <si>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</si>
  <si>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</si>
  <si>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</si>
  <si>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</si>
  <si>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</si>
  <si>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</si>
  <si>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</si>
  <si>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</si>
  <si>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</si>
  <si>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</si>
  <si>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</si>
  <si>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</si>
  <si>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</si>
  <si>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</si>
  <si>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</si>
  <si>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</si>
  <si>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</si>
  <si>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</si>
  <si>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</si>
  <si>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</si>
  <si>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</si>
  <si>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</si>
  <si>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</si>
  <si>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</si>
  <si>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</si>
  <si>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</si>
  <si>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</si>
  <si>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</si>
  <si>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</si>
  <si>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</si>
  <si>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</si>
  <si>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</si>
  <si>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</si>
  <si>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</si>
  <si>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</si>
  <si>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</si>
  <si>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</si>
  <si>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</si>
  <si>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</si>
  <si>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</si>
  <si>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</si>
  <si>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</si>
  <si>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</si>
  <si>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</si>
  <si>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</si>
  <si>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</si>
  <si>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</si>
  <si>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</si>
  <si>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</si>
  <si>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</si>
  <si>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</si>
  <si>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</si>
  <si>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</si>
  <si>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</si>
  <si>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</si>
  <si>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</si>
  <si>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</si>
  <si>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</si>
  <si>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</si>
  <si>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</si>
  <si>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</si>
  <si>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</si>
  <si>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</si>
  <si>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</si>
  <si>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</si>
  <si>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</si>
  <si>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</si>
  <si>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</si>
  <si>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</si>
  <si>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</si>
  <si>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</si>
  <si>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</si>
  <si>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</si>
  <si>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</si>
  <si>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</si>
  <si>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</si>
  <si>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</si>
  <si>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</si>
  <si>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</si>
  <si>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</si>
  <si>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</si>
  <si>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</si>
  <si>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</si>
  <si>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</si>
  <si>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</si>
  <si>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</si>
  <si>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</si>
  <si>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</si>
  <si>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</si>
  <si>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</si>
  <si>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</si>
  <si>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</si>
  <si>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</si>
  <si>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</si>
  <si>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</si>
  <si>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</si>
  <si>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</si>
  <si>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</si>
  <si>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</si>
  <si>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</si>
  <si>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</si>
  <si>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</si>
  <si>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</si>
  <si>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</si>
  <si>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</si>
  <si>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</si>
  <si>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</si>
  <si>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</si>
  <si>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</si>
  <si>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</si>
  <si>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</si>
  <si>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</si>
  <si>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</si>
  <si>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</si>
  <si>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</si>
  <si>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</si>
  <si>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</si>
  <si>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</si>
  <si>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</si>
  <si>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</si>
  <si>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</si>
  <si>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</si>
  <si>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</si>
  <si>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</si>
  <si>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</si>
  <si>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</si>
  <si>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</si>
  <si>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</si>
  <si>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</si>
  <si>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</si>
  <si>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</si>
  <si>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</si>
  <si>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</si>
  <si>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</si>
  <si>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</si>
  <si>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</si>
  <si>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</si>
  <si>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</si>
  <si>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</si>
  <si>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</si>
  <si>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</si>
  <si>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</si>
  <si>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</si>
  <si>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</si>
  <si>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</si>
  <si>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</si>
  <si>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</si>
  <si>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</si>
  <si>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</si>
  <si>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</si>
  <si>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</si>
  <si>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</si>
  <si>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</si>
  <si>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</si>
  <si>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</si>
  <si>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</si>
  <si>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</si>
  <si>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</si>
  <si>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</si>
  <si>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</si>
  <si>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</si>
  <si>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</si>
  <si>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</si>
  <si>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</si>
  <si>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</si>
  <si>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</si>
  <si>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</si>
  <si>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</si>
  <si>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</si>
  <si>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</si>
  <si>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</si>
  <si>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</si>
  <si>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</si>
  <si>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</si>
  <si>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</si>
  <si>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</si>
  <si>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</si>
  <si>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</si>
  <si>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</si>
  <si>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</si>
  <si>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</si>
  <si>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</si>
  <si>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</si>
  <si>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</si>
  <si>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</si>
  <si>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</si>
  <si>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</si>
  <si>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</si>
  <si>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</si>
  <si>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</si>
  <si>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</si>
  <si>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</si>
  <si>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</si>
  <si>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</si>
  <si>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</si>
  <si>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</si>
  <si>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</si>
  <si>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</si>
  <si>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</si>
  <si>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</si>
  <si>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</si>
  <si>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</si>
  <si>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</si>
  <si>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</si>
  <si>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</si>
  <si>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</si>
  <si>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</si>
  <si>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</si>
  <si>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</si>
  <si>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</si>
  <si>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</si>
  <si>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</si>
  <si>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</si>
  <si>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</si>
  <si>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</si>
  <si>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</si>
  <si>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</si>
  <si>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</si>
  <si>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</si>
  <si>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</si>
  <si>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</si>
  <si>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</si>
  <si>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</si>
  <si>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</si>
  <si>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</si>
  <si>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</si>
  <si>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</si>
  <si>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</si>
  <si>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</si>
  <si>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</si>
  <si>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</si>
  <si>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LT</t>
  </si>
  <si>
    <t>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</si>
</sst>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45432.786446759259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13798.293981519077</v>
      </c>
      <c r="E2" s="19">
        <v>15113.225009081862</v>
      </c>
      <c r="F2" s="19">
        <v>16759.612928190232</v>
      </c>
      <c r="G2" s="19">
        <v>18415.281175606622</v>
      </c>
      <c r="H2" s="19">
        <v>20150.933845901691</v>
      </c>
      <c r="I2" s="19">
        <v>23204.08818568342</v>
      </c>
      <c r="J2" s="19">
        <v>26603.579358984403</v>
      </c>
      <c r="K2" s="19">
        <v>32086.981972183454</v>
      </c>
      <c r="L2" s="19">
        <v>36122.530490426157</v>
      </c>
      <c r="M2" s="19">
        <v>29748.330286569671</v>
      </c>
      <c r="N2" s="19">
        <v>31005.695957529169</v>
      </c>
      <c r="O2" s="19">
        <v>34637.246671985886</v>
      </c>
      <c r="P2" s="19">
        <v>36952.112757521252</v>
      </c>
      <c r="Q2" s="19">
        <v>38754.16074563616</v>
      </c>
      <c r="R2" s="19">
        <v>40459.570828330136</v>
      </c>
      <c r="S2" s="19">
        <v>41304.717657000001</v>
      </c>
      <c r="T2" s="19">
        <v>43012.973689651095</v>
      </c>
      <c r="U2" s="19">
        <v>46757.978274953486</v>
      </c>
      <c r="V2" s="19">
        <v>50340.713855921764</v>
      </c>
      <c r="W2" s="19">
        <v>54149.327157819986</v>
      </c>
      <c r="X2" s="19">
        <v>55160.695047521156</v>
      </c>
      <c r="Y2" s="19">
        <v>62465.451865387913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8704.1031153651475</v>
      </c>
      <c r="E3" s="23">
        <v>9575.4509258317939</v>
      </c>
      <c r="F3" s="23">
        <v>10467.887958255284</v>
      </c>
      <c r="G3" s="23">
        <v>11495.696045302637</v>
      </c>
      <c r="H3" s="23">
        <v>12723.589734052446</v>
      </c>
      <c r="I3" s="23">
        <v>14526.439599642137</v>
      </c>
      <c r="J3" s="23">
        <v>16585.393744405104</v>
      </c>
      <c r="K3" s="23">
        <v>19743.326361501757</v>
      </c>
      <c r="L3" s="23">
        <v>22743.404086697177</v>
      </c>
      <c r="M3" s="23">
        <v>19607.254213161421</v>
      </c>
      <c r="N3" s="23">
        <v>19289.483016151044</v>
      </c>
      <c r="O3" s="23">
        <v>21000.769753912686</v>
      </c>
      <c r="P3" s="23">
        <v>22322.327830480717</v>
      </c>
      <c r="Q3" s="23">
        <v>23483.134806629834</v>
      </c>
      <c r="R3" s="23">
        <v>24350.49252834298</v>
      </c>
      <c r="S3" s="23">
        <v>25087.915435000003</v>
      </c>
      <c r="T3" s="23">
        <v>26358.403427778878</v>
      </c>
      <c r="U3" s="23">
        <v>28258.674709310671</v>
      </c>
      <c r="V3" s="23">
        <v>30058.235684183044</v>
      </c>
      <c r="W3" s="23">
        <v>31572.993971783202</v>
      </c>
      <c r="X3" s="23">
        <v>30886.734373817286</v>
      </c>
      <c r="Y3" s="23">
        <v>34942.256921500055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11086</v>
      </c>
      <c r="E4" s="27">
        <v>12160.9</v>
      </c>
      <c r="F4" s="27">
        <v>13478.3</v>
      </c>
      <c r="G4" s="27">
        <v>14918.8</v>
      </c>
      <c r="H4" s="27">
        <v>16481.3</v>
      </c>
      <c r="I4" s="27">
        <v>18987.300000000003</v>
      </c>
      <c r="J4" s="27">
        <v>21707.8</v>
      </c>
      <c r="K4" s="27">
        <v>26047.1</v>
      </c>
      <c r="L4" s="27">
        <v>29313</v>
      </c>
      <c r="M4" s="27">
        <v>24262.6</v>
      </c>
      <c r="N4" s="27">
        <v>25215.9</v>
      </c>
      <c r="O4" s="27">
        <v>28201.9</v>
      </c>
      <c r="P4" s="27">
        <v>30226.9</v>
      </c>
      <c r="Q4" s="27">
        <v>31770</v>
      </c>
      <c r="R4" s="27">
        <v>33080.69999999999</v>
      </c>
      <c r="S4" s="27">
        <v>33627.5</v>
      </c>
      <c r="T4" s="27">
        <v>34997</v>
      </c>
      <c r="U4" s="27">
        <v>37981.899999999994</v>
      </c>
      <c r="V4" s="27">
        <v>40928.1</v>
      </c>
      <c r="W4" s="27">
        <v>43994.8</v>
      </c>
      <c r="X4" s="27">
        <v>44708.6</v>
      </c>
      <c r="Y4" s="27">
        <v>50526.1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696.9</v>
      </c>
      <c r="E6" s="19">
        <v>666.1</v>
      </c>
      <c r="F6" s="19">
        <v>723.6</v>
      </c>
      <c r="G6" s="19">
        <v>736.4</v>
      </c>
      <c r="H6" s="19">
        <v>760.3</v>
      </c>
      <c r="I6" s="19">
        <v>908.1</v>
      </c>
      <c r="J6" s="19">
        <v>929.5</v>
      </c>
      <c r="K6" s="19">
        <v>1008.3</v>
      </c>
      <c r="L6" s="19">
        <v>1072.5</v>
      </c>
      <c r="M6" s="19">
        <v>682.2</v>
      </c>
      <c r="N6" s="19">
        <v>847.7</v>
      </c>
      <c r="O6" s="19">
        <v>1093</v>
      </c>
      <c r="P6" s="19">
        <v>1329.5</v>
      </c>
      <c r="Q6" s="19">
        <v>1242.0999999999997</v>
      </c>
      <c r="R6" s="19">
        <v>1252.2</v>
      </c>
      <c r="S6" s="19">
        <v>1277.5</v>
      </c>
      <c r="T6" s="19">
        <v>1209</v>
      </c>
      <c r="U6" s="19">
        <v>1482.8</v>
      </c>
      <c r="V6" s="19">
        <v>1310.7</v>
      </c>
      <c r="W6" s="19">
        <v>1517.8</v>
      </c>
      <c r="X6" s="19">
        <v>1752.2</v>
      </c>
      <c r="Y6" s="19">
        <v>1918.2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2621.2000000000003</v>
      </c>
      <c r="E7" s="23">
        <v>2975.3999999999987</v>
      </c>
      <c r="F7" s="23">
        <v>3130.4999999999995</v>
      </c>
      <c r="G7" s="23">
        <v>3600.7999999999988</v>
      </c>
      <c r="H7" s="23">
        <v>4194.7</v>
      </c>
      <c r="I7" s="23">
        <v>4737.8000000000038</v>
      </c>
      <c r="J7" s="23">
        <v>5167.6000000000022</v>
      </c>
      <c r="K7" s="23">
        <v>5676.5</v>
      </c>
      <c r="L7" s="23">
        <v>6258.2000000000007</v>
      </c>
      <c r="M7" s="23">
        <v>5147.9999999999991</v>
      </c>
      <c r="N7" s="23">
        <v>5871.7000000000044</v>
      </c>
      <c r="O7" s="23">
        <v>6954</v>
      </c>
      <c r="P7" s="23">
        <v>7513.8</v>
      </c>
      <c r="Q7" s="23">
        <v>7475.5999999999976</v>
      </c>
      <c r="R7" s="23">
        <v>7608.8999999999869</v>
      </c>
      <c r="S7" s="23">
        <v>7481.5000000000036</v>
      </c>
      <c r="T7" s="23">
        <v>7743.6000000000049</v>
      </c>
      <c r="U7" s="23">
        <v>8407.5999999999931</v>
      </c>
      <c r="V7" s="23">
        <v>8782.3000000000029</v>
      </c>
      <c r="W7" s="23">
        <v>9184.7999999999993</v>
      </c>
      <c r="X7" s="23">
        <v>9167.0000000000055</v>
      </c>
      <c r="Y7" s="23">
        <v>10483.200000000006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664.5</v>
      </c>
      <c r="E8" s="23">
        <v>724.3</v>
      </c>
      <c r="F8" s="23">
        <v>852.1</v>
      </c>
      <c r="G8" s="23">
        <v>1037.5999999999999</v>
      </c>
      <c r="H8" s="23">
        <v>1195.5</v>
      </c>
      <c r="I8" s="23">
        <v>1480.6</v>
      </c>
      <c r="J8" s="23">
        <v>2055.6</v>
      </c>
      <c r="K8" s="23">
        <v>2915.8</v>
      </c>
      <c r="L8" s="23">
        <v>3285.6</v>
      </c>
      <c r="M8" s="23">
        <v>1601</v>
      </c>
      <c r="N8" s="23">
        <v>1472.6</v>
      </c>
      <c r="O8" s="23">
        <v>1839.3</v>
      </c>
      <c r="P8" s="23">
        <v>1846.5</v>
      </c>
      <c r="Q8" s="23">
        <v>2123.5</v>
      </c>
      <c r="R8" s="23">
        <v>2453.8000000000002</v>
      </c>
      <c r="S8" s="23">
        <v>2496.6999999999998</v>
      </c>
      <c r="T8" s="23">
        <v>2346.1999999999998</v>
      </c>
      <c r="U8" s="23">
        <v>2540.6</v>
      </c>
      <c r="V8" s="23">
        <v>2878.2</v>
      </c>
      <c r="W8" s="23">
        <v>3215.5</v>
      </c>
      <c r="X8" s="23">
        <v>3257.2</v>
      </c>
      <c r="Y8" s="23">
        <v>3569.9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2950.7</v>
      </c>
      <c r="E9" s="23">
        <v>3333.1</v>
      </c>
      <c r="F9" s="23">
        <v>3822.6</v>
      </c>
      <c r="G9" s="23">
        <v>4240.6000000000004</v>
      </c>
      <c r="H9" s="23">
        <v>4599.7</v>
      </c>
      <c r="I9" s="23">
        <v>5359.9</v>
      </c>
      <c r="J9" s="23">
        <v>5973.5</v>
      </c>
      <c r="K9" s="23">
        <v>7278.2</v>
      </c>
      <c r="L9" s="23">
        <v>8241.9</v>
      </c>
      <c r="M9" s="23">
        <v>7158.6</v>
      </c>
      <c r="N9" s="23">
        <v>7803.3</v>
      </c>
      <c r="O9" s="23">
        <v>8741.2000000000025</v>
      </c>
      <c r="P9" s="23">
        <v>9622.2000000000007</v>
      </c>
      <c r="Q9" s="23">
        <v>10265</v>
      </c>
      <c r="R9" s="23">
        <v>10644.1</v>
      </c>
      <c r="S9" s="23">
        <v>10531.5</v>
      </c>
      <c r="T9" s="23">
        <v>11023.9</v>
      </c>
      <c r="U9" s="23">
        <v>12018.6</v>
      </c>
      <c r="V9" s="23">
        <v>12970.1</v>
      </c>
      <c r="W9" s="23">
        <v>13672.2</v>
      </c>
      <c r="X9" s="23">
        <v>13242.7</v>
      </c>
      <c r="Y9" s="23">
        <v>14718.9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529.6</v>
      </c>
      <c r="E10" s="23">
        <v>597.29999999999995</v>
      </c>
      <c r="F10" s="23">
        <v>692.5</v>
      </c>
      <c r="G10" s="23">
        <v>745.3</v>
      </c>
      <c r="H10" s="23">
        <v>726.3</v>
      </c>
      <c r="I10" s="23">
        <v>770</v>
      </c>
      <c r="J10" s="23">
        <v>851.5</v>
      </c>
      <c r="K10" s="23">
        <v>976.2</v>
      </c>
      <c r="L10" s="23">
        <v>984.9</v>
      </c>
      <c r="M10" s="23">
        <v>951.50000000000011</v>
      </c>
      <c r="N10" s="23">
        <v>931.3</v>
      </c>
      <c r="O10" s="23">
        <v>873.8</v>
      </c>
      <c r="P10" s="23">
        <v>908.7</v>
      </c>
      <c r="Q10" s="23">
        <v>1024.7</v>
      </c>
      <c r="R10" s="23">
        <v>1039.0999999999999</v>
      </c>
      <c r="S10" s="23">
        <v>1153.4000000000001</v>
      </c>
      <c r="T10" s="23">
        <v>1259.2</v>
      </c>
      <c r="U10" s="23">
        <v>1384.1</v>
      </c>
      <c r="V10" s="23">
        <v>1521.3</v>
      </c>
      <c r="W10" s="23">
        <v>1714.6</v>
      </c>
      <c r="X10" s="23">
        <v>1856.8</v>
      </c>
      <c r="Y10" s="23">
        <v>2146.5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229.2</v>
      </c>
      <c r="E11" s="23">
        <v>239.7</v>
      </c>
      <c r="F11" s="23">
        <v>294.2</v>
      </c>
      <c r="G11" s="23">
        <v>286.2</v>
      </c>
      <c r="H11" s="23">
        <v>315.39999999999992</v>
      </c>
      <c r="I11" s="23">
        <v>419.1</v>
      </c>
      <c r="J11" s="23">
        <v>620.29999999999995</v>
      </c>
      <c r="K11" s="23">
        <v>912</v>
      </c>
      <c r="L11" s="23">
        <v>994.2</v>
      </c>
      <c r="M11" s="23">
        <v>619.70000000000005</v>
      </c>
      <c r="N11" s="23">
        <v>713.3</v>
      </c>
      <c r="O11" s="23">
        <v>751</v>
      </c>
      <c r="P11" s="23">
        <v>626.4</v>
      </c>
      <c r="Q11" s="23">
        <v>706.4</v>
      </c>
      <c r="R11" s="23">
        <v>662.2</v>
      </c>
      <c r="S11" s="23">
        <v>704.8</v>
      </c>
      <c r="T11" s="23">
        <v>760.7</v>
      </c>
      <c r="U11" s="23">
        <v>774.9</v>
      </c>
      <c r="V11" s="23">
        <v>917.5</v>
      </c>
      <c r="W11" s="23">
        <v>1028</v>
      </c>
      <c r="X11" s="23">
        <v>1129.2</v>
      </c>
      <c r="Y11" s="23">
        <v>1490.7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752.7</v>
      </c>
      <c r="E12" s="23">
        <v>803.9</v>
      </c>
      <c r="F12" s="23">
        <v>851.2</v>
      </c>
      <c r="G12" s="23">
        <v>898.7</v>
      </c>
      <c r="H12" s="23">
        <v>1003.9</v>
      </c>
      <c r="I12" s="23">
        <v>1194.8</v>
      </c>
      <c r="J12" s="23">
        <v>1406.4</v>
      </c>
      <c r="K12" s="23">
        <v>1727.6999999999998</v>
      </c>
      <c r="L12" s="23">
        <v>2031.3</v>
      </c>
      <c r="M12" s="23">
        <v>1785.1</v>
      </c>
      <c r="N12" s="23">
        <v>1662.6</v>
      </c>
      <c r="O12" s="23">
        <v>1730.4</v>
      </c>
      <c r="P12" s="23">
        <v>1830.3</v>
      </c>
      <c r="Q12" s="23">
        <v>1970.4</v>
      </c>
      <c r="R12" s="23">
        <v>2103.1</v>
      </c>
      <c r="S12" s="23">
        <v>2230.4</v>
      </c>
      <c r="T12" s="23">
        <v>2371</v>
      </c>
      <c r="U12" s="23">
        <v>2504.3000000000002</v>
      </c>
      <c r="V12" s="23">
        <v>2810.4</v>
      </c>
      <c r="W12" s="23">
        <v>2888.5</v>
      </c>
      <c r="X12" s="23">
        <v>2993.7</v>
      </c>
      <c r="Y12" s="23">
        <v>3251.6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430.5</v>
      </c>
      <c r="E13" s="23">
        <v>471</v>
      </c>
      <c r="F13" s="23">
        <v>546.1</v>
      </c>
      <c r="G13" s="23">
        <v>702.5</v>
      </c>
      <c r="H13" s="23">
        <v>799.6</v>
      </c>
      <c r="I13" s="23">
        <v>973.8</v>
      </c>
      <c r="J13" s="23">
        <v>1145.9000000000003</v>
      </c>
      <c r="K13" s="23">
        <v>1531</v>
      </c>
      <c r="L13" s="23">
        <v>1671.5</v>
      </c>
      <c r="M13" s="23">
        <v>1555.1</v>
      </c>
      <c r="N13" s="23">
        <v>1466.6</v>
      </c>
      <c r="O13" s="23">
        <v>1585.4</v>
      </c>
      <c r="P13" s="23">
        <v>1738.3</v>
      </c>
      <c r="Q13" s="23">
        <v>1898.3</v>
      </c>
      <c r="R13" s="23">
        <v>2012.6</v>
      </c>
      <c r="S13" s="23">
        <v>2190.6</v>
      </c>
      <c r="T13" s="23">
        <v>2394.1</v>
      </c>
      <c r="U13" s="23">
        <v>2656.7</v>
      </c>
      <c r="V13" s="23">
        <v>2950.3</v>
      </c>
      <c r="W13" s="23">
        <v>3235.1</v>
      </c>
      <c r="X13" s="23">
        <v>3162.2</v>
      </c>
      <c r="Y13" s="23">
        <v>3940.8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1947.1</v>
      </c>
      <c r="E14" s="23">
        <v>2068.4</v>
      </c>
      <c r="F14" s="23">
        <v>2212.5</v>
      </c>
      <c r="G14" s="23">
        <v>2310.1</v>
      </c>
      <c r="H14" s="23">
        <v>2503.1999999999998</v>
      </c>
      <c r="I14" s="23">
        <v>2711.8</v>
      </c>
      <c r="J14" s="23">
        <v>3124.7</v>
      </c>
      <c r="K14" s="23">
        <v>3565.3</v>
      </c>
      <c r="L14" s="23">
        <v>4281.7</v>
      </c>
      <c r="M14" s="23">
        <v>4259.4999999999991</v>
      </c>
      <c r="N14" s="23">
        <v>3970.1</v>
      </c>
      <c r="O14" s="23">
        <v>4130.8999999999996</v>
      </c>
      <c r="P14" s="23">
        <v>4267.8</v>
      </c>
      <c r="Q14" s="23">
        <v>4444.7</v>
      </c>
      <c r="R14" s="23">
        <v>4628.6000000000013</v>
      </c>
      <c r="S14" s="23">
        <v>4826.3</v>
      </c>
      <c r="T14" s="23">
        <v>5083.5</v>
      </c>
      <c r="U14" s="23">
        <v>5341.6</v>
      </c>
      <c r="V14" s="23">
        <v>5852.8</v>
      </c>
      <c r="W14" s="23">
        <v>6542.8</v>
      </c>
      <c r="X14" s="23">
        <v>7211.3</v>
      </c>
      <c r="Y14" s="23">
        <v>7983.2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263.60000000000002</v>
      </c>
      <c r="E15" s="23">
        <v>281.7</v>
      </c>
      <c r="F15" s="23">
        <v>353</v>
      </c>
      <c r="G15" s="23">
        <v>360.6</v>
      </c>
      <c r="H15" s="23">
        <v>382.7</v>
      </c>
      <c r="I15" s="23">
        <v>431.4</v>
      </c>
      <c r="J15" s="23">
        <v>432.79999999999995</v>
      </c>
      <c r="K15" s="23">
        <v>456.1</v>
      </c>
      <c r="L15" s="23">
        <v>491.2</v>
      </c>
      <c r="M15" s="23">
        <v>501.9</v>
      </c>
      <c r="N15" s="23">
        <v>476.7</v>
      </c>
      <c r="O15" s="23">
        <v>502.9</v>
      </c>
      <c r="P15" s="23">
        <v>543.4</v>
      </c>
      <c r="Q15" s="23">
        <v>619.29999999999995</v>
      </c>
      <c r="R15" s="23">
        <v>676.1</v>
      </c>
      <c r="S15" s="23">
        <v>734.8</v>
      </c>
      <c r="T15" s="23">
        <v>805.8</v>
      </c>
      <c r="U15" s="23">
        <v>870.7</v>
      </c>
      <c r="V15" s="23">
        <v>934.5</v>
      </c>
      <c r="W15" s="23">
        <v>995.5</v>
      </c>
      <c r="X15" s="23">
        <v>936.3</v>
      </c>
      <c r="Y15" s="23">
        <v>1023.1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11086.000000000002</v>
      </c>
      <c r="E16" s="30">
        <f t="shared" ref="E16:S16" si="0">SUM(E6:E15)</f>
        <v>12160.899999999998</v>
      </c>
      <c r="F16" s="30">
        <f t="shared" si="0"/>
        <v>13478.300000000001</v>
      </c>
      <c r="G16" s="30">
        <f t="shared" si="0"/>
        <v>14918.800000000001</v>
      </c>
      <c r="H16" s="30">
        <f t="shared" si="0"/>
        <v>16481.3</v>
      </c>
      <c r="I16" s="30">
        <f t="shared" si="0"/>
        <v>18987.300000000003</v>
      </c>
      <c r="J16" s="30">
        <f t="shared" si="0"/>
        <v>21707.800000000003</v>
      </c>
      <c r="K16" s="30">
        <f t="shared" si="0"/>
        <v>26047.1</v>
      </c>
      <c r="L16" s="30">
        <f t="shared" si="0"/>
        <v>29313.000000000004</v>
      </c>
      <c r="M16" s="30">
        <f t="shared" si="0"/>
        <v>24262.6</v>
      </c>
      <c r="N16" s="30">
        <f t="shared" si="0"/>
        <v>25215.899999999998</v>
      </c>
      <c r="O16" s="30">
        <f t="shared" si="0"/>
        <v>28201.9</v>
      </c>
      <c r="P16" s="30">
        <f t="shared" si="0"/>
        <v>30226.9</v>
      </c>
      <c r="Q16" s="30">
        <f t="shared" si="0"/>
        <v>31770</v>
      </c>
      <c r="R16" s="30">
        <f t="shared" si="0"/>
        <v>33080.699999999983</v>
      </c>
      <c r="S16" s="30">
        <f t="shared" si="0"/>
        <v>33627.500000000007</v>
      </c>
      <c r="T16" s="30">
        <f t="shared" ref="T16:Y16" si="1">SUM(T6:T15)</f>
        <v>34997.000000000007</v>
      </c>
      <c r="U16" s="30">
        <f t="shared" si="1"/>
        <v>37981.899999999987</v>
      </c>
      <c r="V16" s="30">
        <f t="shared" si="1"/>
        <v>40928.100000000006</v>
      </c>
      <c r="W16" s="30">
        <f t="shared" si="1"/>
        <v>43994.799999999996</v>
      </c>
      <c r="X16" s="30">
        <f t="shared" si="1"/>
        <v>44708.600000000006</v>
      </c>
      <c r="Y16" s="30">
        <f t="shared" si="1"/>
        <v>50526.1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696.9</v>
      </c>
      <c r="E18" s="19">
        <v>666.1</v>
      </c>
      <c r="F18" s="19">
        <v>723.6</v>
      </c>
      <c r="G18" s="19">
        <v>736.4</v>
      </c>
      <c r="H18" s="19">
        <v>760.3</v>
      </c>
      <c r="I18" s="19">
        <v>908.1</v>
      </c>
      <c r="J18" s="19">
        <v>929.5</v>
      </c>
      <c r="K18" s="19">
        <v>1008.3</v>
      </c>
      <c r="L18" s="19">
        <v>1072.5</v>
      </c>
      <c r="M18" s="19">
        <v>682.2</v>
      </c>
      <c r="N18" s="19">
        <v>847.7</v>
      </c>
      <c r="O18" s="19">
        <v>1093</v>
      </c>
      <c r="P18" s="19">
        <v>1329.5</v>
      </c>
      <c r="Q18" s="19">
        <v>1242.0999999999997</v>
      </c>
      <c r="R18" s="19">
        <v>1252.2</v>
      </c>
      <c r="S18" s="19">
        <v>1277.5</v>
      </c>
      <c r="T18" s="19">
        <v>1209</v>
      </c>
      <c r="U18" s="19">
        <v>1482.8</v>
      </c>
      <c r="V18" s="19">
        <v>1310.7</v>
      </c>
      <c r="W18" s="19">
        <v>1517.8</v>
      </c>
      <c r="X18" s="19">
        <v>1752.2</v>
      </c>
      <c r="Y18" s="19">
        <v>1918.2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77.7</v>
      </c>
      <c r="E19" s="23">
        <v>88.1</v>
      </c>
      <c r="F19" s="23">
        <v>80.400000000000006</v>
      </c>
      <c r="G19" s="23">
        <v>84.3</v>
      </c>
      <c r="H19" s="23">
        <v>88.4</v>
      </c>
      <c r="I19" s="23">
        <v>99.200000000000017</v>
      </c>
      <c r="J19" s="23">
        <v>109.10000000000002</v>
      </c>
      <c r="K19" s="23">
        <v>118.3</v>
      </c>
      <c r="L19" s="23">
        <v>127.9</v>
      </c>
      <c r="M19" s="23">
        <v>76.8</v>
      </c>
      <c r="N19" s="23">
        <v>92.8</v>
      </c>
      <c r="O19" s="23">
        <v>119.9</v>
      </c>
      <c r="P19" s="23">
        <v>119.1</v>
      </c>
      <c r="Q19" s="23">
        <v>127.5</v>
      </c>
      <c r="R19" s="23">
        <v>128.69999999999996</v>
      </c>
      <c r="S19" s="23">
        <v>98.6</v>
      </c>
      <c r="T19" s="23">
        <v>99.9</v>
      </c>
      <c r="U19" s="23">
        <v>114.3</v>
      </c>
      <c r="V19" s="23">
        <v>124.6</v>
      </c>
      <c r="W19" s="23">
        <v>123.4</v>
      </c>
      <c r="X19" s="23">
        <v>133.80000000000001</v>
      </c>
      <c r="Y19" s="23">
        <v>138.5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2093.8000000000002</v>
      </c>
      <c r="E20" s="23">
        <v>2356.5999999999995</v>
      </c>
      <c r="F20" s="23">
        <v>2471.1</v>
      </c>
      <c r="G20" s="23">
        <v>2778.7999999999988</v>
      </c>
      <c r="H20" s="23">
        <v>3323.4</v>
      </c>
      <c r="I20" s="23">
        <v>3832.0000000000036</v>
      </c>
      <c r="J20" s="23">
        <v>4230.800000000002</v>
      </c>
      <c r="K20" s="23">
        <v>4615.1000000000004</v>
      </c>
      <c r="L20" s="23">
        <v>5133.1000000000013</v>
      </c>
      <c r="M20" s="23">
        <v>4065.3999999999987</v>
      </c>
      <c r="N20" s="23">
        <v>4745.3000000000047</v>
      </c>
      <c r="O20" s="23">
        <v>5754.6000000000013</v>
      </c>
      <c r="P20" s="23">
        <v>6250.4</v>
      </c>
      <c r="Q20" s="23">
        <v>6176.5999999999967</v>
      </c>
      <c r="R20" s="23">
        <v>6355.0999999999876</v>
      </c>
      <c r="S20" s="23">
        <v>6428.0000000000036</v>
      </c>
      <c r="T20" s="23">
        <v>6571.3000000000038</v>
      </c>
      <c r="U20" s="23">
        <v>7174.7999999999938</v>
      </c>
      <c r="V20" s="23">
        <v>7546.0000000000027</v>
      </c>
      <c r="W20" s="23">
        <v>7865.9999999999973</v>
      </c>
      <c r="X20" s="23">
        <v>7756.3000000000047</v>
      </c>
      <c r="Y20" s="23">
        <v>8999.5000000000073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352.3</v>
      </c>
      <c r="E21" s="23">
        <v>421.5</v>
      </c>
      <c r="F21" s="23">
        <v>465.5</v>
      </c>
      <c r="G21" s="23">
        <v>612.1</v>
      </c>
      <c r="H21" s="23">
        <v>645</v>
      </c>
      <c r="I21" s="23">
        <v>664.4</v>
      </c>
      <c r="J21" s="23">
        <v>673.4</v>
      </c>
      <c r="K21" s="23">
        <v>756</v>
      </c>
      <c r="L21" s="23">
        <v>790.2</v>
      </c>
      <c r="M21" s="23">
        <v>807.9</v>
      </c>
      <c r="N21" s="23">
        <v>810.7</v>
      </c>
      <c r="O21" s="23">
        <v>778.7</v>
      </c>
      <c r="P21" s="23">
        <v>825.1</v>
      </c>
      <c r="Q21" s="23">
        <v>822.9</v>
      </c>
      <c r="R21" s="23">
        <v>746</v>
      </c>
      <c r="S21" s="23">
        <v>605.70000000000005</v>
      </c>
      <c r="T21" s="23">
        <v>706.1</v>
      </c>
      <c r="U21" s="23">
        <v>705.1</v>
      </c>
      <c r="V21" s="23">
        <v>702.2</v>
      </c>
      <c r="W21" s="23">
        <v>729</v>
      </c>
      <c r="X21" s="23">
        <v>795.9</v>
      </c>
      <c r="Y21" s="23">
        <v>813.8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97.4</v>
      </c>
      <c r="E22" s="23">
        <v>109.2</v>
      </c>
      <c r="F22" s="23">
        <v>113.5</v>
      </c>
      <c r="G22" s="23">
        <v>125.6</v>
      </c>
      <c r="H22" s="23">
        <v>137.9</v>
      </c>
      <c r="I22" s="23">
        <v>142.19999999999999</v>
      </c>
      <c r="J22" s="23">
        <v>154.30000000000001</v>
      </c>
      <c r="K22" s="23">
        <v>187.1</v>
      </c>
      <c r="L22" s="23">
        <v>207</v>
      </c>
      <c r="M22" s="23">
        <v>197.9</v>
      </c>
      <c r="N22" s="23">
        <v>222.9</v>
      </c>
      <c r="O22" s="23">
        <v>300.8</v>
      </c>
      <c r="P22" s="23">
        <v>319.2</v>
      </c>
      <c r="Q22" s="23">
        <v>348.6</v>
      </c>
      <c r="R22" s="23">
        <v>379.1</v>
      </c>
      <c r="S22" s="23">
        <v>349.2</v>
      </c>
      <c r="T22" s="23">
        <v>366.3</v>
      </c>
      <c r="U22" s="23">
        <v>413.4</v>
      </c>
      <c r="V22" s="23">
        <v>409.5</v>
      </c>
      <c r="W22" s="23">
        <v>466.4</v>
      </c>
      <c r="X22" s="23">
        <v>481</v>
      </c>
      <c r="Y22" s="23">
        <v>531.4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664.5</v>
      </c>
      <c r="E23" s="23">
        <v>724.3</v>
      </c>
      <c r="F23" s="23">
        <v>852.1</v>
      </c>
      <c r="G23" s="23">
        <v>1037.5999999999999</v>
      </c>
      <c r="H23" s="23">
        <v>1195.5</v>
      </c>
      <c r="I23" s="23">
        <v>1480.6</v>
      </c>
      <c r="J23" s="23">
        <v>2055.6</v>
      </c>
      <c r="K23" s="23">
        <v>2915.8</v>
      </c>
      <c r="L23" s="23">
        <v>3285.6</v>
      </c>
      <c r="M23" s="23">
        <v>1601</v>
      </c>
      <c r="N23" s="23">
        <v>1472.6</v>
      </c>
      <c r="O23" s="23">
        <v>1839.3</v>
      </c>
      <c r="P23" s="23">
        <v>1846.5</v>
      </c>
      <c r="Q23" s="23">
        <v>2123.5</v>
      </c>
      <c r="R23" s="23">
        <v>2453.8000000000002</v>
      </c>
      <c r="S23" s="23">
        <v>2496.6999999999998</v>
      </c>
      <c r="T23" s="23">
        <v>2346.1999999999998</v>
      </c>
      <c r="U23" s="23">
        <v>2540.6</v>
      </c>
      <c r="V23" s="23">
        <v>2878.2</v>
      </c>
      <c r="W23" s="23">
        <v>3215.5</v>
      </c>
      <c r="X23" s="23">
        <v>3257.2</v>
      </c>
      <c r="Y23" s="23">
        <v>3569.9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1846.7</v>
      </c>
      <c r="E24" s="23">
        <v>2118.1000000000004</v>
      </c>
      <c r="F24" s="23">
        <v>2393.1999999999998</v>
      </c>
      <c r="G24" s="23">
        <v>2621.1000000000008</v>
      </c>
      <c r="H24" s="23">
        <v>2829.8999999999996</v>
      </c>
      <c r="I24" s="23">
        <v>3284</v>
      </c>
      <c r="J24" s="23">
        <v>3547.2999999999993</v>
      </c>
      <c r="K24" s="23">
        <v>4374.8</v>
      </c>
      <c r="L24" s="23">
        <v>5105.3999999999996</v>
      </c>
      <c r="M24" s="23">
        <v>4242.6000000000004</v>
      </c>
      <c r="N24" s="23">
        <v>4426.7</v>
      </c>
      <c r="O24" s="23">
        <v>4962.2000000000016</v>
      </c>
      <c r="P24" s="23">
        <v>5499.5000000000009</v>
      </c>
      <c r="Q24" s="23">
        <v>5845.2</v>
      </c>
      <c r="R24" s="23">
        <v>6053.7000000000007</v>
      </c>
      <c r="S24" s="23">
        <v>6062.1</v>
      </c>
      <c r="T24" s="23">
        <v>6342.2</v>
      </c>
      <c r="U24" s="23">
        <v>6795.8999999999987</v>
      </c>
      <c r="V24" s="23">
        <v>7224.2999999999993</v>
      </c>
      <c r="W24" s="23">
        <v>7426.4</v>
      </c>
      <c r="X24" s="23">
        <v>7547.2</v>
      </c>
      <c r="Y24" s="23">
        <v>8280.9000000000015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936</v>
      </c>
      <c r="E25" s="23">
        <v>1025.2</v>
      </c>
      <c r="F25" s="23">
        <v>1217.5</v>
      </c>
      <c r="G25" s="23">
        <v>1388.9</v>
      </c>
      <c r="H25" s="23">
        <v>1524.2</v>
      </c>
      <c r="I25" s="23">
        <v>1806.9</v>
      </c>
      <c r="J25" s="23">
        <v>2129</v>
      </c>
      <c r="K25" s="23">
        <v>2563.6</v>
      </c>
      <c r="L25" s="23">
        <v>2746.8</v>
      </c>
      <c r="M25" s="23">
        <v>2574.9999999999995</v>
      </c>
      <c r="N25" s="23">
        <v>3037.1</v>
      </c>
      <c r="O25" s="23">
        <v>3402.2</v>
      </c>
      <c r="P25" s="23">
        <v>3705.7</v>
      </c>
      <c r="Q25" s="23">
        <v>3969.3</v>
      </c>
      <c r="R25" s="23">
        <v>4114.8999999999996</v>
      </c>
      <c r="S25" s="23">
        <v>3936</v>
      </c>
      <c r="T25" s="23">
        <v>4092.6</v>
      </c>
      <c r="U25" s="23">
        <v>4563.8</v>
      </c>
      <c r="V25" s="23">
        <v>5005</v>
      </c>
      <c r="W25" s="23">
        <v>5430.4</v>
      </c>
      <c r="X25" s="23">
        <v>5118.5</v>
      </c>
      <c r="Y25" s="23">
        <v>5726.4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168</v>
      </c>
      <c r="E26" s="23">
        <v>189.8</v>
      </c>
      <c r="F26" s="23">
        <v>211.9</v>
      </c>
      <c r="G26" s="23">
        <v>230.6</v>
      </c>
      <c r="H26" s="23">
        <v>245.6</v>
      </c>
      <c r="I26" s="23">
        <v>269</v>
      </c>
      <c r="J26" s="23">
        <v>297.2</v>
      </c>
      <c r="K26" s="23">
        <v>339.8</v>
      </c>
      <c r="L26" s="23">
        <v>389.7</v>
      </c>
      <c r="M26" s="23">
        <v>341</v>
      </c>
      <c r="N26" s="23">
        <v>339.5</v>
      </c>
      <c r="O26" s="23">
        <v>376.8</v>
      </c>
      <c r="P26" s="23">
        <v>417</v>
      </c>
      <c r="Q26" s="23">
        <v>450.5</v>
      </c>
      <c r="R26" s="23">
        <v>475.5</v>
      </c>
      <c r="S26" s="23">
        <v>533.4</v>
      </c>
      <c r="T26" s="23">
        <v>589.1</v>
      </c>
      <c r="U26" s="23">
        <v>658.9</v>
      </c>
      <c r="V26" s="23">
        <v>740.8</v>
      </c>
      <c r="W26" s="23">
        <v>815.4</v>
      </c>
      <c r="X26" s="23">
        <v>577</v>
      </c>
      <c r="Y26" s="23">
        <v>711.6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529.6</v>
      </c>
      <c r="E27" s="23">
        <v>597.29999999999995</v>
      </c>
      <c r="F27" s="23">
        <v>692.5</v>
      </c>
      <c r="G27" s="23">
        <v>745.3</v>
      </c>
      <c r="H27" s="23">
        <v>726.3</v>
      </c>
      <c r="I27" s="23">
        <v>770</v>
      </c>
      <c r="J27" s="23">
        <v>851.5</v>
      </c>
      <c r="K27" s="23">
        <v>976.2</v>
      </c>
      <c r="L27" s="23">
        <v>984.9</v>
      </c>
      <c r="M27" s="23">
        <v>951.50000000000011</v>
      </c>
      <c r="N27" s="23">
        <v>931.3</v>
      </c>
      <c r="O27" s="23">
        <v>873.8</v>
      </c>
      <c r="P27" s="23">
        <v>908.7</v>
      </c>
      <c r="Q27" s="23">
        <v>1024.7</v>
      </c>
      <c r="R27" s="23">
        <v>1039.0999999999999</v>
      </c>
      <c r="S27" s="23">
        <v>1153.4000000000001</v>
      </c>
      <c r="T27" s="23">
        <v>1259.2</v>
      </c>
      <c r="U27" s="23">
        <v>1384.1</v>
      </c>
      <c r="V27" s="23">
        <v>1521.3</v>
      </c>
      <c r="W27" s="23">
        <v>1714.6</v>
      </c>
      <c r="X27" s="23">
        <v>1856.8</v>
      </c>
      <c r="Y27" s="23">
        <v>2146.5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229.2</v>
      </c>
      <c r="E28" s="23">
        <v>239.7</v>
      </c>
      <c r="F28" s="23">
        <v>294.2</v>
      </c>
      <c r="G28" s="23">
        <v>286.2</v>
      </c>
      <c r="H28" s="23">
        <v>315.39999999999992</v>
      </c>
      <c r="I28" s="23">
        <v>419.1</v>
      </c>
      <c r="J28" s="23">
        <v>620.29999999999995</v>
      </c>
      <c r="K28" s="23">
        <v>912</v>
      </c>
      <c r="L28" s="23">
        <v>994.2</v>
      </c>
      <c r="M28" s="23">
        <v>619.70000000000005</v>
      </c>
      <c r="N28" s="23">
        <v>713.3</v>
      </c>
      <c r="O28" s="23">
        <v>751</v>
      </c>
      <c r="P28" s="23">
        <v>626.4</v>
      </c>
      <c r="Q28" s="23">
        <v>706.4</v>
      </c>
      <c r="R28" s="23">
        <v>662.2</v>
      </c>
      <c r="S28" s="23">
        <v>704.8</v>
      </c>
      <c r="T28" s="23">
        <v>760.7</v>
      </c>
      <c r="U28" s="23">
        <v>774.9</v>
      </c>
      <c r="V28" s="23">
        <v>917.5</v>
      </c>
      <c r="W28" s="23">
        <v>1028</v>
      </c>
      <c r="X28" s="23">
        <v>1129.2</v>
      </c>
      <c r="Y28" s="23">
        <v>1490.7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752.7</v>
      </c>
      <c r="E29" s="23">
        <v>803.9</v>
      </c>
      <c r="F29" s="23">
        <v>851.2</v>
      </c>
      <c r="G29" s="23">
        <v>898.7</v>
      </c>
      <c r="H29" s="23">
        <v>1003.9</v>
      </c>
      <c r="I29" s="23">
        <v>1194.8</v>
      </c>
      <c r="J29" s="23">
        <v>1406.4</v>
      </c>
      <c r="K29" s="23">
        <v>1727.6999999999998</v>
      </c>
      <c r="L29" s="23">
        <v>2031.3</v>
      </c>
      <c r="M29" s="23">
        <v>1785.1</v>
      </c>
      <c r="N29" s="23">
        <v>1662.6</v>
      </c>
      <c r="O29" s="23">
        <v>1730.4</v>
      </c>
      <c r="P29" s="23">
        <v>1830.3</v>
      </c>
      <c r="Q29" s="23">
        <v>1970.4</v>
      </c>
      <c r="R29" s="23">
        <v>2103.1</v>
      </c>
      <c r="S29" s="23">
        <v>2230.4</v>
      </c>
      <c r="T29" s="23">
        <v>2371</v>
      </c>
      <c r="U29" s="23">
        <v>2504.3000000000002</v>
      </c>
      <c r="V29" s="23">
        <v>2810.4</v>
      </c>
      <c r="W29" s="23">
        <v>2888.5</v>
      </c>
      <c r="X29" s="23">
        <v>2993.7</v>
      </c>
      <c r="Y29" s="23">
        <v>3251.6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289.89999999999998</v>
      </c>
      <c r="E30" s="23">
        <v>315.59999999999997</v>
      </c>
      <c r="F30" s="23">
        <v>352.49999999999994</v>
      </c>
      <c r="G30" s="23">
        <v>488.40000000000009</v>
      </c>
      <c r="H30" s="23">
        <v>554.9</v>
      </c>
      <c r="I30" s="23">
        <v>650.69999999999993</v>
      </c>
      <c r="J30" s="23">
        <v>762.3000000000003</v>
      </c>
      <c r="K30" s="23">
        <v>1016.5999999999999</v>
      </c>
      <c r="L30" s="23">
        <v>1053.8000000000002</v>
      </c>
      <c r="M30" s="23">
        <v>990.30000000000018</v>
      </c>
      <c r="N30" s="23">
        <v>925.2</v>
      </c>
      <c r="O30" s="23">
        <v>1011.7</v>
      </c>
      <c r="P30" s="23">
        <v>1078.5999999999999</v>
      </c>
      <c r="Q30" s="23">
        <v>1160.0999999999999</v>
      </c>
      <c r="R30" s="23">
        <v>1226.8</v>
      </c>
      <c r="S30" s="23">
        <v>1304.1999999999998</v>
      </c>
      <c r="T30" s="23">
        <v>1388.5</v>
      </c>
      <c r="U30" s="23">
        <v>1509.3</v>
      </c>
      <c r="V30" s="23">
        <v>1647.3999999999996</v>
      </c>
      <c r="W30" s="23">
        <v>1794.6</v>
      </c>
      <c r="X30" s="23">
        <v>1825.8000000000002</v>
      </c>
      <c r="Y30" s="23">
        <v>2172.5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140.6</v>
      </c>
      <c r="E31" s="23">
        <v>155.4</v>
      </c>
      <c r="F31" s="23">
        <v>193.6</v>
      </c>
      <c r="G31" s="23">
        <v>214.1</v>
      </c>
      <c r="H31" s="23">
        <v>244.69999999999996</v>
      </c>
      <c r="I31" s="23">
        <v>323.10000000000002</v>
      </c>
      <c r="J31" s="23">
        <v>383.6</v>
      </c>
      <c r="K31" s="23">
        <v>514.4</v>
      </c>
      <c r="L31" s="23">
        <v>617.70000000000016</v>
      </c>
      <c r="M31" s="23">
        <v>564.79999999999995</v>
      </c>
      <c r="N31" s="23">
        <v>541.4</v>
      </c>
      <c r="O31" s="23">
        <v>573.70000000000005</v>
      </c>
      <c r="P31" s="23">
        <v>659.7</v>
      </c>
      <c r="Q31" s="23">
        <v>738.2</v>
      </c>
      <c r="R31" s="23">
        <v>785.8</v>
      </c>
      <c r="S31" s="23">
        <v>886.4</v>
      </c>
      <c r="T31" s="23">
        <v>1005.6</v>
      </c>
      <c r="U31" s="23">
        <v>1147.4000000000001</v>
      </c>
      <c r="V31" s="23">
        <v>1302.9000000000001</v>
      </c>
      <c r="W31" s="23">
        <v>1440.5</v>
      </c>
      <c r="X31" s="23">
        <v>1336.4</v>
      </c>
      <c r="Y31" s="23">
        <v>1768.3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911.30000000000018</v>
      </c>
      <c r="E32" s="23">
        <v>969.7</v>
      </c>
      <c r="F32" s="23">
        <v>1050.6999999999998</v>
      </c>
      <c r="G32" s="23">
        <v>1140.7</v>
      </c>
      <c r="H32" s="23">
        <v>1224.8999999999999</v>
      </c>
      <c r="I32" s="23">
        <v>1330.8999999999996</v>
      </c>
      <c r="J32" s="23">
        <v>1516.2</v>
      </c>
      <c r="K32" s="23">
        <v>1671.2</v>
      </c>
      <c r="L32" s="23">
        <v>1939.1999999999994</v>
      </c>
      <c r="M32" s="23">
        <v>1800.9999999999998</v>
      </c>
      <c r="N32" s="23">
        <v>1700.4999999999998</v>
      </c>
      <c r="O32" s="23">
        <v>1772.0999999999997</v>
      </c>
      <c r="P32" s="23">
        <v>1827.6000000000006</v>
      </c>
      <c r="Q32" s="23">
        <v>1903.9999999999998</v>
      </c>
      <c r="R32" s="23">
        <v>2000.4000000000012</v>
      </c>
      <c r="S32" s="23">
        <v>2057</v>
      </c>
      <c r="T32" s="23">
        <v>2116.8000000000002</v>
      </c>
      <c r="U32" s="23">
        <v>2156.8000000000002</v>
      </c>
      <c r="V32" s="23">
        <v>2300.9</v>
      </c>
      <c r="W32" s="23">
        <v>2534.9999999999995</v>
      </c>
      <c r="X32" s="23">
        <v>2749.1</v>
      </c>
      <c r="Y32" s="23">
        <v>2888.099999999999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667.4</v>
      </c>
      <c r="E33" s="23">
        <v>721.1</v>
      </c>
      <c r="F33" s="23">
        <v>766.4</v>
      </c>
      <c r="G33" s="23">
        <v>768.7</v>
      </c>
      <c r="H33" s="23">
        <v>831.7</v>
      </c>
      <c r="I33" s="23">
        <v>865.2</v>
      </c>
      <c r="J33" s="23">
        <v>962.3</v>
      </c>
      <c r="K33" s="23">
        <v>1110.5</v>
      </c>
      <c r="L33" s="23">
        <v>1382.4</v>
      </c>
      <c r="M33" s="23">
        <v>1499.3</v>
      </c>
      <c r="N33" s="23">
        <v>1364.8</v>
      </c>
      <c r="O33" s="23">
        <v>1384</v>
      </c>
      <c r="P33" s="23">
        <v>1403.5</v>
      </c>
      <c r="Q33" s="23">
        <v>1442.3</v>
      </c>
      <c r="R33" s="23">
        <v>1459.1</v>
      </c>
      <c r="S33" s="23">
        <v>1517.3</v>
      </c>
      <c r="T33" s="23">
        <v>1591.3</v>
      </c>
      <c r="U33" s="23">
        <v>1665.5</v>
      </c>
      <c r="V33" s="23">
        <v>1831.1</v>
      </c>
      <c r="W33" s="23">
        <v>2025.9</v>
      </c>
      <c r="X33" s="23">
        <v>2236.5</v>
      </c>
      <c r="Y33" s="23">
        <v>2457.3000000000002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368.4</v>
      </c>
      <c r="E34" s="23">
        <v>377.6</v>
      </c>
      <c r="F34" s="23">
        <v>395.4</v>
      </c>
      <c r="G34" s="23">
        <v>400.7</v>
      </c>
      <c r="H34" s="23">
        <v>446.6</v>
      </c>
      <c r="I34" s="23">
        <v>515.70000000000005</v>
      </c>
      <c r="J34" s="23">
        <v>646.20000000000016</v>
      </c>
      <c r="K34" s="23">
        <v>783.6</v>
      </c>
      <c r="L34" s="23">
        <v>960.09999999999991</v>
      </c>
      <c r="M34" s="23">
        <v>959.2</v>
      </c>
      <c r="N34" s="23">
        <v>904.8</v>
      </c>
      <c r="O34" s="23">
        <v>974.8</v>
      </c>
      <c r="P34" s="23">
        <v>1036.7</v>
      </c>
      <c r="Q34" s="23">
        <v>1098.4000000000001</v>
      </c>
      <c r="R34" s="23">
        <v>1169.0999999999999</v>
      </c>
      <c r="S34" s="23">
        <v>1252</v>
      </c>
      <c r="T34" s="23">
        <v>1375.4</v>
      </c>
      <c r="U34" s="23">
        <v>1519.3</v>
      </c>
      <c r="V34" s="23">
        <v>1720.8</v>
      </c>
      <c r="W34" s="23">
        <v>1981.9</v>
      </c>
      <c r="X34" s="23">
        <v>2225.6999999999998</v>
      </c>
      <c r="Y34" s="23">
        <v>2637.8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72.400000000000048</v>
      </c>
      <c r="E35" s="23">
        <v>75.40000000000002</v>
      </c>
      <c r="F35" s="23">
        <v>111.79999999999997</v>
      </c>
      <c r="G35" s="23">
        <v>109.39999999999996</v>
      </c>
      <c r="H35" s="23">
        <v>138.30000000000001</v>
      </c>
      <c r="I35" s="23">
        <v>191.09999999999997</v>
      </c>
      <c r="J35" s="23">
        <v>206</v>
      </c>
      <c r="K35" s="23">
        <v>223.60000000000002</v>
      </c>
      <c r="L35" s="23">
        <v>233.7</v>
      </c>
      <c r="M35" s="23">
        <v>244</v>
      </c>
      <c r="N35" s="23">
        <v>226.69999999999996</v>
      </c>
      <c r="O35" s="23">
        <v>241.2</v>
      </c>
      <c r="P35" s="23">
        <v>258.60000000000002</v>
      </c>
      <c r="Q35" s="23">
        <v>291.2999999999999</v>
      </c>
      <c r="R35" s="23">
        <v>324.2</v>
      </c>
      <c r="S35" s="23">
        <v>366.79999999999995</v>
      </c>
      <c r="T35" s="23">
        <v>414.8</v>
      </c>
      <c r="U35" s="23">
        <v>448.6</v>
      </c>
      <c r="V35" s="23">
        <v>484.4</v>
      </c>
      <c r="W35" s="23">
        <v>519.4</v>
      </c>
      <c r="X35" s="23">
        <v>470.19999999999993</v>
      </c>
      <c r="Y35" s="23">
        <v>519.00000000000011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181</v>
      </c>
      <c r="E36" s="23">
        <v>194.1</v>
      </c>
      <c r="F36" s="23">
        <v>224.8</v>
      </c>
      <c r="G36" s="23">
        <v>230.1</v>
      </c>
      <c r="H36" s="23">
        <v>222.9</v>
      </c>
      <c r="I36" s="23">
        <v>209.4</v>
      </c>
      <c r="J36" s="23">
        <v>202</v>
      </c>
      <c r="K36" s="23">
        <v>206.9</v>
      </c>
      <c r="L36" s="23">
        <v>229.7</v>
      </c>
      <c r="M36" s="23">
        <v>235.1</v>
      </c>
      <c r="N36" s="23">
        <v>226.1</v>
      </c>
      <c r="O36" s="23">
        <v>236.9</v>
      </c>
      <c r="P36" s="23">
        <v>259.10000000000002</v>
      </c>
      <c r="Q36" s="23">
        <v>301.10000000000002</v>
      </c>
      <c r="R36" s="23">
        <v>324.3</v>
      </c>
      <c r="S36" s="23">
        <v>338.9</v>
      </c>
      <c r="T36" s="23">
        <v>358.8</v>
      </c>
      <c r="U36" s="23">
        <v>387</v>
      </c>
      <c r="V36" s="23">
        <v>411.2</v>
      </c>
      <c r="W36" s="23">
        <v>431</v>
      </c>
      <c r="X36" s="23">
        <v>419.4</v>
      </c>
      <c r="Y36" s="23">
        <v>456.5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10.199999999999998</v>
      </c>
      <c r="E37" s="23">
        <v>12.2</v>
      </c>
      <c r="F37" s="23">
        <v>16.399999999999999</v>
      </c>
      <c r="G37" s="23">
        <v>21.1</v>
      </c>
      <c r="H37" s="23">
        <v>21.5</v>
      </c>
      <c r="I37" s="23">
        <v>30.9</v>
      </c>
      <c r="J37" s="23">
        <v>24.8</v>
      </c>
      <c r="K37" s="23">
        <v>25.6</v>
      </c>
      <c r="L37" s="23">
        <v>27.8</v>
      </c>
      <c r="M37" s="23">
        <v>22.8</v>
      </c>
      <c r="N37" s="23">
        <v>23.9</v>
      </c>
      <c r="O37" s="23">
        <v>24.8</v>
      </c>
      <c r="P37" s="23">
        <v>25.7</v>
      </c>
      <c r="Q37" s="23">
        <v>26.9</v>
      </c>
      <c r="R37" s="23">
        <v>27.6</v>
      </c>
      <c r="S37" s="23">
        <v>29.1</v>
      </c>
      <c r="T37" s="23">
        <v>32.200000000000003</v>
      </c>
      <c r="U37" s="23">
        <v>35.1</v>
      </c>
      <c r="V37" s="23">
        <v>38.9</v>
      </c>
      <c r="W37" s="23">
        <v>45.1</v>
      </c>
      <c r="X37" s="23">
        <v>46.7</v>
      </c>
      <c r="Y37" s="23">
        <v>47.6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11086.000000000002</v>
      </c>
      <c r="E39" s="30">
        <f t="shared" ref="E39:S39" si="2">SUM(E18:E38)</f>
        <v>12160.900000000001</v>
      </c>
      <c r="F39" s="30">
        <f t="shared" si="2"/>
        <v>13478.299999999997</v>
      </c>
      <c r="G39" s="30">
        <f t="shared" si="2"/>
        <v>14918.800000000003</v>
      </c>
      <c r="H39" s="30">
        <f t="shared" si="2"/>
        <v>16481.3</v>
      </c>
      <c r="I39" s="30">
        <f t="shared" si="2"/>
        <v>18987.300000000007</v>
      </c>
      <c r="J39" s="30">
        <f t="shared" si="2"/>
        <v>21707.8</v>
      </c>
      <c r="K39" s="30">
        <f t="shared" si="2"/>
        <v>26047.1</v>
      </c>
      <c r="L39" s="30">
        <f t="shared" si="2"/>
        <v>29313.000000000004</v>
      </c>
      <c r="M39" s="30">
        <f t="shared" si="2"/>
        <v>24262.599999999995</v>
      </c>
      <c r="N39" s="30">
        <f t="shared" si="2"/>
        <v>25215.900000000005</v>
      </c>
      <c r="O39" s="30">
        <f t="shared" si="2"/>
        <v>28201.900000000005</v>
      </c>
      <c r="P39" s="30">
        <f t="shared" si="2"/>
        <v>30226.900000000005</v>
      </c>
      <c r="Q39" s="30">
        <f t="shared" si="2"/>
        <v>31770</v>
      </c>
      <c r="R39" s="30">
        <f t="shared" si="2"/>
        <v>33080.699999999983</v>
      </c>
      <c r="S39" s="30">
        <f t="shared" si="2"/>
        <v>33627.500000000015</v>
      </c>
      <c r="T39" s="30">
        <f t="shared" ref="T39:Y39" si="3">SUM(T18:T38)</f>
        <v>34997.000000000007</v>
      </c>
      <c r="U39" s="30">
        <f t="shared" si="3"/>
        <v>37981.899999999994</v>
      </c>
      <c r="V39" s="30">
        <f t="shared" si="3"/>
        <v>40928.100000000006</v>
      </c>
      <c r="W39" s="30">
        <f t="shared" si="3"/>
        <v>43994.799999999996</v>
      </c>
      <c r="X39" s="30">
        <f t="shared" si="3"/>
        <v>44708.6</v>
      </c>
      <c r="Y39" s="30">
        <f t="shared" si="3"/>
        <v>50526.100000000006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530.1</v>
      </c>
      <c r="E41" s="19">
        <v>569.70000000000005</v>
      </c>
      <c r="F41" s="19">
        <v>569.1</v>
      </c>
      <c r="G41" s="19">
        <v>607.79999999999995</v>
      </c>
      <c r="H41" s="19">
        <v>655.4</v>
      </c>
      <c r="I41" s="19">
        <v>737.2</v>
      </c>
      <c r="J41" s="19">
        <v>793.6</v>
      </c>
      <c r="K41" s="19">
        <v>961.9</v>
      </c>
      <c r="L41" s="19">
        <v>1000</v>
      </c>
      <c r="M41" s="19">
        <v>1083.5999999999997</v>
      </c>
      <c r="N41" s="19">
        <v>1131.4000000000001</v>
      </c>
      <c r="O41" s="19">
        <v>1286.2</v>
      </c>
      <c r="P41" s="19">
        <v>1374.6</v>
      </c>
      <c r="Q41" s="19">
        <v>1466</v>
      </c>
      <c r="R41" s="19">
        <v>1476.1</v>
      </c>
      <c r="S41" s="19">
        <v>1440.4</v>
      </c>
      <c r="T41" s="19">
        <v>1438.7</v>
      </c>
      <c r="U41" s="19">
        <v>1523</v>
      </c>
      <c r="V41" s="19">
        <v>1547.9</v>
      </c>
      <c r="W41" s="19">
        <v>1616.1</v>
      </c>
      <c r="X41" s="19">
        <v>1627.1</v>
      </c>
      <c r="Y41" s="19">
        <v>1661.7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419.1</v>
      </c>
      <c r="E42" s="23">
        <v>467.5</v>
      </c>
      <c r="F42" s="23">
        <v>455.2</v>
      </c>
      <c r="G42" s="23">
        <v>447.8</v>
      </c>
      <c r="H42" s="23">
        <v>468.3</v>
      </c>
      <c r="I42" s="23">
        <v>452.6</v>
      </c>
      <c r="J42" s="23">
        <v>439.5</v>
      </c>
      <c r="K42" s="23">
        <v>443.4</v>
      </c>
      <c r="L42" s="23">
        <v>396.4</v>
      </c>
      <c r="M42" s="23">
        <v>309.89999999999992</v>
      </c>
      <c r="N42" s="23">
        <v>369.9</v>
      </c>
      <c r="O42" s="23">
        <v>446</v>
      </c>
      <c r="P42" s="23">
        <v>469.4</v>
      </c>
      <c r="Q42" s="23">
        <v>489.8</v>
      </c>
      <c r="R42" s="23">
        <v>522.20000000000005</v>
      </c>
      <c r="S42" s="23">
        <v>510.6</v>
      </c>
      <c r="T42" s="23">
        <v>536.29999999999984</v>
      </c>
      <c r="U42" s="23">
        <v>542</v>
      </c>
      <c r="V42" s="23">
        <v>525.4</v>
      </c>
      <c r="W42" s="23">
        <v>513.9</v>
      </c>
      <c r="X42" s="23">
        <v>465.4</v>
      </c>
      <c r="Y42" s="23">
        <v>489.2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218.2</v>
      </c>
      <c r="E43" s="23">
        <v>256.60000000000002</v>
      </c>
      <c r="F43" s="23">
        <v>290.2</v>
      </c>
      <c r="G43" s="23">
        <v>346.3</v>
      </c>
      <c r="H43" s="23">
        <v>394.3</v>
      </c>
      <c r="I43" s="23">
        <v>438.4</v>
      </c>
      <c r="J43" s="23">
        <v>481.2</v>
      </c>
      <c r="K43" s="23">
        <v>539.9</v>
      </c>
      <c r="L43" s="23">
        <v>540.40000000000009</v>
      </c>
      <c r="M43" s="23">
        <v>428.2</v>
      </c>
      <c r="N43" s="23">
        <v>521.09999999999991</v>
      </c>
      <c r="O43" s="23">
        <v>625.9</v>
      </c>
      <c r="P43" s="23">
        <v>653.70000000000005</v>
      </c>
      <c r="Q43" s="23">
        <v>734.9</v>
      </c>
      <c r="R43" s="23">
        <v>778.6</v>
      </c>
      <c r="S43" s="23">
        <v>773.6</v>
      </c>
      <c r="T43" s="23">
        <v>816.5</v>
      </c>
      <c r="U43" s="23">
        <v>854.2</v>
      </c>
      <c r="V43" s="23">
        <v>897.4</v>
      </c>
      <c r="W43" s="23">
        <v>912.5</v>
      </c>
      <c r="X43" s="23">
        <v>899.9</v>
      </c>
      <c r="Y43" s="23">
        <v>1085.3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209.60000000000039</v>
      </c>
      <c r="E44" s="23">
        <v>260.89999999999924</v>
      </c>
      <c r="F44" s="23">
        <v>241.20000000000007</v>
      </c>
      <c r="G44" s="23">
        <v>278.49999999999977</v>
      </c>
      <c r="H44" s="23">
        <v>409.10000000000065</v>
      </c>
      <c r="I44" s="23">
        <v>545.39999999999918</v>
      </c>
      <c r="J44" s="23">
        <v>502.89999999999964</v>
      </c>
      <c r="K44" s="23">
        <v>302.80000000000018</v>
      </c>
      <c r="L44" s="23">
        <v>532.69999999999982</v>
      </c>
      <c r="M44" s="23">
        <v>373.5999999999994</v>
      </c>
      <c r="N44" s="23">
        <v>540.70000000000084</v>
      </c>
      <c r="O44" s="23">
        <v>694.59999999999945</v>
      </c>
      <c r="P44" s="23">
        <v>740.5</v>
      </c>
      <c r="Q44" s="23">
        <v>402.80000000000013</v>
      </c>
      <c r="R44" s="23">
        <v>348</v>
      </c>
      <c r="S44" s="23">
        <v>384.30000000000013</v>
      </c>
      <c r="T44" s="23">
        <v>405.70000000000073</v>
      </c>
      <c r="U44" s="23">
        <v>437.99999999999915</v>
      </c>
      <c r="V44" s="23">
        <v>442.29999999999927</v>
      </c>
      <c r="W44" s="23">
        <v>437.20000000000073</v>
      </c>
      <c r="X44" s="23">
        <v>197.49999999999909</v>
      </c>
      <c r="Y44" s="23">
        <v>139.30000000000109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122.3</v>
      </c>
      <c r="E45" s="23">
        <v>110</v>
      </c>
      <c r="F45" s="23">
        <v>120</v>
      </c>
      <c r="G45" s="23">
        <v>126.6</v>
      </c>
      <c r="H45" s="23">
        <v>160.6</v>
      </c>
      <c r="I45" s="23">
        <v>204.6</v>
      </c>
      <c r="J45" s="23">
        <v>290.2</v>
      </c>
      <c r="K45" s="23">
        <v>456.4</v>
      </c>
      <c r="L45" s="23">
        <v>593.29999999999984</v>
      </c>
      <c r="M45" s="23">
        <v>380.9</v>
      </c>
      <c r="N45" s="23">
        <v>486.90000000000009</v>
      </c>
      <c r="O45" s="23">
        <v>647.1</v>
      </c>
      <c r="P45" s="23">
        <v>648.29999999999995</v>
      </c>
      <c r="Q45" s="23">
        <v>495.7</v>
      </c>
      <c r="R45" s="23">
        <v>505.3</v>
      </c>
      <c r="S45" s="23">
        <v>532.5</v>
      </c>
      <c r="T45" s="23">
        <v>463.2</v>
      </c>
      <c r="U45" s="23">
        <v>529.4</v>
      </c>
      <c r="V45" s="23">
        <v>617.1</v>
      </c>
      <c r="W45" s="23">
        <v>666.5</v>
      </c>
      <c r="X45" s="23">
        <v>903.4</v>
      </c>
      <c r="Y45" s="23">
        <v>1256.5000000000002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143.5</v>
      </c>
      <c r="E47" s="23">
        <v>182.1</v>
      </c>
      <c r="F47" s="23">
        <v>207.7</v>
      </c>
      <c r="G47" s="23">
        <v>268.5</v>
      </c>
      <c r="H47" s="23">
        <v>302.10000000000002</v>
      </c>
      <c r="I47" s="23">
        <v>395.8</v>
      </c>
      <c r="J47" s="23">
        <v>515.79999999999995</v>
      </c>
      <c r="K47" s="23">
        <v>549.1</v>
      </c>
      <c r="L47" s="23">
        <v>531.79999999999995</v>
      </c>
      <c r="M47" s="23">
        <v>331.5</v>
      </c>
      <c r="N47" s="23">
        <v>393.2</v>
      </c>
      <c r="O47" s="23">
        <v>485.7</v>
      </c>
      <c r="P47" s="23">
        <v>540.79999999999995</v>
      </c>
      <c r="Q47" s="23">
        <v>624.5</v>
      </c>
      <c r="R47" s="23">
        <v>661.1</v>
      </c>
      <c r="S47" s="23">
        <v>624.79999999999995</v>
      </c>
      <c r="T47" s="23">
        <v>666.1</v>
      </c>
      <c r="U47" s="23">
        <v>725</v>
      </c>
      <c r="V47" s="23">
        <v>752.6</v>
      </c>
      <c r="W47" s="23">
        <v>762.7</v>
      </c>
      <c r="X47" s="23">
        <v>718.8</v>
      </c>
      <c r="Y47" s="23">
        <v>830.5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71.5</v>
      </c>
      <c r="E48" s="23">
        <v>76</v>
      </c>
      <c r="F48" s="23">
        <v>74.400000000000006</v>
      </c>
      <c r="G48" s="23">
        <v>107</v>
      </c>
      <c r="H48" s="23">
        <v>145.4</v>
      </c>
      <c r="I48" s="23">
        <v>194.4</v>
      </c>
      <c r="J48" s="23">
        <v>237.3</v>
      </c>
      <c r="K48" s="23">
        <v>316.10000000000008</v>
      </c>
      <c r="L48" s="23">
        <v>313.39999999999998</v>
      </c>
      <c r="M48" s="23">
        <v>189.8</v>
      </c>
      <c r="N48" s="23">
        <v>225.5</v>
      </c>
      <c r="O48" s="23">
        <v>309.8</v>
      </c>
      <c r="P48" s="23">
        <v>333.8</v>
      </c>
      <c r="Q48" s="23">
        <v>334.8</v>
      </c>
      <c r="R48" s="23">
        <v>343.6</v>
      </c>
      <c r="S48" s="23">
        <v>356.1</v>
      </c>
      <c r="T48" s="23">
        <v>380.7</v>
      </c>
      <c r="U48" s="23">
        <v>447.1</v>
      </c>
      <c r="V48" s="23">
        <v>470.9</v>
      </c>
      <c r="W48" s="23">
        <v>499.9</v>
      </c>
      <c r="X48" s="23">
        <v>493.6</v>
      </c>
      <c r="Y48" s="23">
        <v>606.6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96</v>
      </c>
      <c r="E49" s="23">
        <v>104.5</v>
      </c>
      <c r="F49" s="23">
        <v>115.5</v>
      </c>
      <c r="G49" s="23">
        <v>132.19999999999999</v>
      </c>
      <c r="H49" s="23">
        <v>170.7</v>
      </c>
      <c r="I49" s="23">
        <v>157</v>
      </c>
      <c r="J49" s="23">
        <v>125.1</v>
      </c>
      <c r="K49" s="23">
        <v>116.20000000000002</v>
      </c>
      <c r="L49" s="23">
        <v>116.2</v>
      </c>
      <c r="M49" s="23">
        <v>117.79999999999998</v>
      </c>
      <c r="N49" s="23">
        <v>137.80000000000001</v>
      </c>
      <c r="O49" s="23">
        <v>128.80000000000001</v>
      </c>
      <c r="P49" s="23">
        <v>131.4</v>
      </c>
      <c r="Q49" s="23">
        <v>124.7</v>
      </c>
      <c r="R49" s="23">
        <v>135.1</v>
      </c>
      <c r="S49" s="23">
        <v>162</v>
      </c>
      <c r="T49" s="23">
        <v>170.2</v>
      </c>
      <c r="U49" s="23">
        <v>215.2</v>
      </c>
      <c r="V49" s="23">
        <v>221.8</v>
      </c>
      <c r="W49" s="23">
        <v>262</v>
      </c>
      <c r="X49" s="23">
        <v>270.5</v>
      </c>
      <c r="Y49" s="23">
        <v>414.4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39.6</v>
      </c>
      <c r="E50" s="23">
        <v>45.9</v>
      </c>
      <c r="F50" s="23">
        <v>54.6</v>
      </c>
      <c r="G50" s="23">
        <v>65.8</v>
      </c>
      <c r="H50" s="23">
        <v>76.400000000000006</v>
      </c>
      <c r="I50" s="23">
        <v>83.3</v>
      </c>
      <c r="J50" s="23">
        <v>92</v>
      </c>
      <c r="K50" s="23">
        <v>92.2</v>
      </c>
      <c r="L50" s="23">
        <v>84.2</v>
      </c>
      <c r="M50" s="23">
        <v>51.3</v>
      </c>
      <c r="N50" s="23">
        <v>64.2</v>
      </c>
      <c r="O50" s="23">
        <v>80</v>
      </c>
      <c r="P50" s="23">
        <v>105.6</v>
      </c>
      <c r="Q50" s="23">
        <v>115.5</v>
      </c>
      <c r="R50" s="23">
        <v>121.4</v>
      </c>
      <c r="S50" s="23">
        <v>123.1</v>
      </c>
      <c r="T50" s="23">
        <v>127.7</v>
      </c>
      <c r="U50" s="23">
        <v>143.80000000000001</v>
      </c>
      <c r="V50" s="23">
        <v>146.30000000000001</v>
      </c>
      <c r="W50" s="23">
        <v>149.5</v>
      </c>
      <c r="X50" s="23">
        <v>147.50000000000003</v>
      </c>
      <c r="Y50" s="23">
        <v>166.5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28.4</v>
      </c>
      <c r="E51" s="23">
        <v>35.4</v>
      </c>
      <c r="F51" s="23">
        <v>46.2</v>
      </c>
      <c r="G51" s="23">
        <v>44.2</v>
      </c>
      <c r="H51" s="23">
        <v>53.9</v>
      </c>
      <c r="I51" s="23">
        <v>66.099999999999994</v>
      </c>
      <c r="J51" s="23">
        <v>83</v>
      </c>
      <c r="K51" s="23">
        <v>103.6</v>
      </c>
      <c r="L51" s="23">
        <v>147.80000000000001</v>
      </c>
      <c r="M51" s="23">
        <v>104.5</v>
      </c>
      <c r="N51" s="23">
        <v>120.2</v>
      </c>
      <c r="O51" s="23">
        <v>157.19999999999999</v>
      </c>
      <c r="P51" s="23">
        <v>176.5</v>
      </c>
      <c r="Q51" s="23">
        <v>200.8</v>
      </c>
      <c r="R51" s="23">
        <v>191.7</v>
      </c>
      <c r="S51" s="23">
        <v>191.4</v>
      </c>
      <c r="T51" s="23">
        <v>193.9</v>
      </c>
      <c r="U51" s="23">
        <v>239.6</v>
      </c>
      <c r="V51" s="23">
        <v>239.6</v>
      </c>
      <c r="W51" s="23">
        <v>244.9</v>
      </c>
      <c r="X51" s="23">
        <v>243.2</v>
      </c>
      <c r="Y51" s="23">
        <v>270.2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69.900000000000006</v>
      </c>
      <c r="E52" s="23">
        <v>75.400000000000006</v>
      </c>
      <c r="F52" s="23">
        <v>82.6</v>
      </c>
      <c r="G52" s="23">
        <v>114.7</v>
      </c>
      <c r="H52" s="23">
        <v>141.19999999999999</v>
      </c>
      <c r="I52" s="23">
        <v>154.4</v>
      </c>
      <c r="J52" s="23">
        <v>175.7</v>
      </c>
      <c r="K52" s="23">
        <v>169.1</v>
      </c>
      <c r="L52" s="23">
        <v>207.2</v>
      </c>
      <c r="M52" s="23">
        <v>127.4</v>
      </c>
      <c r="N52" s="23">
        <v>145.10000000000002</v>
      </c>
      <c r="O52" s="23">
        <v>128.80000000000001</v>
      </c>
      <c r="P52" s="23">
        <v>162.4</v>
      </c>
      <c r="Q52" s="23">
        <v>186</v>
      </c>
      <c r="R52" s="23">
        <v>182.1</v>
      </c>
      <c r="S52" s="23">
        <v>197.3</v>
      </c>
      <c r="T52" s="23">
        <v>217.3</v>
      </c>
      <c r="U52" s="23">
        <v>255</v>
      </c>
      <c r="V52" s="23">
        <v>280.8</v>
      </c>
      <c r="W52" s="23">
        <v>308.7</v>
      </c>
      <c r="X52" s="23">
        <v>310.7</v>
      </c>
      <c r="Y52" s="23">
        <v>378.4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145.6</v>
      </c>
      <c r="E53" s="23">
        <v>172.6</v>
      </c>
      <c r="F53" s="23">
        <v>214.4</v>
      </c>
      <c r="G53" s="23">
        <v>239.4</v>
      </c>
      <c r="H53" s="23">
        <v>346</v>
      </c>
      <c r="I53" s="23">
        <v>402.80000000000393</v>
      </c>
      <c r="J53" s="23">
        <v>494.50000000000296</v>
      </c>
      <c r="K53" s="23">
        <v>564.39999999999975</v>
      </c>
      <c r="L53" s="23">
        <v>669.7000000000013</v>
      </c>
      <c r="M53" s="23">
        <v>566.90000000000009</v>
      </c>
      <c r="N53" s="23">
        <v>609.30000000000439</v>
      </c>
      <c r="O53" s="23">
        <v>764.50000000000193</v>
      </c>
      <c r="P53" s="23">
        <v>913.40000000000032</v>
      </c>
      <c r="Q53" s="23">
        <v>1001.0999999999964</v>
      </c>
      <c r="R53" s="23">
        <v>1089.8999999999878</v>
      </c>
      <c r="S53" s="23">
        <v>1131.9000000000033</v>
      </c>
      <c r="T53" s="23">
        <v>1155.0000000000039</v>
      </c>
      <c r="U53" s="23">
        <v>1262.4999999999943</v>
      </c>
      <c r="V53" s="23">
        <v>1403.9000000000037</v>
      </c>
      <c r="W53" s="23">
        <v>1492.0999999999983</v>
      </c>
      <c r="X53" s="23">
        <v>1478.7000000000057</v>
      </c>
      <c r="Y53" s="23">
        <v>1700.9000000000058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2093.8000000000006</v>
      </c>
      <c r="E54" s="30">
        <f t="shared" ref="E54:S54" si="4">SUM(E41:E53)</f>
        <v>2356.5999999999995</v>
      </c>
      <c r="F54" s="30">
        <f t="shared" si="4"/>
        <v>2471.1</v>
      </c>
      <c r="G54" s="30">
        <f t="shared" si="4"/>
        <v>2778.7999999999993</v>
      </c>
      <c r="H54" s="30">
        <f t="shared" si="4"/>
        <v>3323.4000000000005</v>
      </c>
      <c r="I54" s="30">
        <f t="shared" si="4"/>
        <v>3832.0000000000036</v>
      </c>
      <c r="J54" s="30">
        <f t="shared" si="4"/>
        <v>4230.8000000000029</v>
      </c>
      <c r="K54" s="30">
        <f t="shared" si="4"/>
        <v>4615.0999999999995</v>
      </c>
      <c r="L54" s="30">
        <f t="shared" si="4"/>
        <v>5133.1000000000013</v>
      </c>
      <c r="M54" s="30">
        <f t="shared" si="4"/>
        <v>4065.3999999999996</v>
      </c>
      <c r="N54" s="30">
        <f t="shared" si="4"/>
        <v>4745.3000000000056</v>
      </c>
      <c r="O54" s="30">
        <f t="shared" si="4"/>
        <v>5754.6000000000013</v>
      </c>
      <c r="P54" s="30">
        <f t="shared" si="4"/>
        <v>6250.4000000000005</v>
      </c>
      <c r="Q54" s="30">
        <f t="shared" si="4"/>
        <v>6176.5999999999967</v>
      </c>
      <c r="R54" s="30">
        <f t="shared" si="4"/>
        <v>6355.0999999999885</v>
      </c>
      <c r="S54" s="30">
        <f t="shared" si="4"/>
        <v>6428.0000000000036</v>
      </c>
      <c r="T54" s="30">
        <f t="shared" ref="T54:Y54" si="5">SUM(T41:T53)</f>
        <v>6571.3000000000038</v>
      </c>
      <c r="U54" s="30">
        <f t="shared" si="5"/>
        <v>7174.7999999999938</v>
      </c>
      <c r="V54" s="30">
        <f t="shared" si="5"/>
        <v>7546.0000000000036</v>
      </c>
      <c r="W54" s="30">
        <f t="shared" si="5"/>
        <v>7865.9999999999982</v>
      </c>
      <c r="X54" s="30">
        <f t="shared" si="5"/>
        <v>7756.3000000000047</v>
      </c>
      <c r="Y54" s="30">
        <f t="shared" si="5"/>
        <v>8999.5000000000055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530.1</v>
      </c>
      <c r="E56" s="19">
        <v>569.70000000000005</v>
      </c>
      <c r="F56" s="19">
        <v>569.1</v>
      </c>
      <c r="G56" s="19">
        <v>607.79999999999995</v>
      </c>
      <c r="H56" s="19">
        <v>655.4</v>
      </c>
      <c r="I56" s="19">
        <v>737.2</v>
      </c>
      <c r="J56" s="19">
        <v>793.6</v>
      </c>
      <c r="K56" s="19">
        <v>961.9</v>
      </c>
      <c r="L56" s="19">
        <v>1000</v>
      </c>
      <c r="M56" s="19">
        <v>1083.5999999999997</v>
      </c>
      <c r="N56" s="19">
        <v>1131.4000000000001</v>
      </c>
      <c r="O56" s="19">
        <v>1286.2</v>
      </c>
      <c r="P56" s="19">
        <v>1374.6</v>
      </c>
      <c r="Q56" s="19">
        <v>1466</v>
      </c>
      <c r="R56" s="19">
        <v>1476.1</v>
      </c>
      <c r="S56" s="19">
        <v>1440.4</v>
      </c>
      <c r="T56" s="19">
        <v>1438.7</v>
      </c>
      <c r="U56" s="19">
        <v>1523</v>
      </c>
      <c r="V56" s="19">
        <v>1547.9</v>
      </c>
      <c r="W56" s="19">
        <v>1616.1</v>
      </c>
      <c r="X56" s="19">
        <v>1627.1</v>
      </c>
      <c r="Y56" s="19">
        <v>1661.7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419.1</v>
      </c>
      <c r="E57" s="23">
        <v>467.5</v>
      </c>
      <c r="F57" s="23">
        <v>455.2</v>
      </c>
      <c r="G57" s="23">
        <v>447.8</v>
      </c>
      <c r="H57" s="23">
        <v>468.3</v>
      </c>
      <c r="I57" s="23">
        <v>452.6</v>
      </c>
      <c r="J57" s="23">
        <v>439.5</v>
      </c>
      <c r="K57" s="23">
        <v>443.4</v>
      </c>
      <c r="L57" s="23">
        <v>396.4</v>
      </c>
      <c r="M57" s="23">
        <v>309.89999999999992</v>
      </c>
      <c r="N57" s="23">
        <v>369.9</v>
      </c>
      <c r="O57" s="23">
        <v>446</v>
      </c>
      <c r="P57" s="23">
        <v>469.4</v>
      </c>
      <c r="Q57" s="23">
        <v>489.8</v>
      </c>
      <c r="R57" s="23">
        <v>522.20000000000005</v>
      </c>
      <c r="S57" s="23">
        <v>510.6</v>
      </c>
      <c r="T57" s="23">
        <v>536.29999999999984</v>
      </c>
      <c r="U57" s="23">
        <v>542</v>
      </c>
      <c r="V57" s="23">
        <v>525.4</v>
      </c>
      <c r="W57" s="23">
        <v>513.9</v>
      </c>
      <c r="X57" s="23">
        <v>465.4</v>
      </c>
      <c r="Y57" s="23">
        <v>489.2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140.6</v>
      </c>
      <c r="E58" s="23">
        <v>168.6</v>
      </c>
      <c r="F58" s="23">
        <v>205.4</v>
      </c>
      <c r="G58" s="23">
        <v>243.5</v>
      </c>
      <c r="H58" s="23">
        <v>285.2</v>
      </c>
      <c r="I58" s="23">
        <v>321.60000000000002</v>
      </c>
      <c r="J58" s="23">
        <v>343.3</v>
      </c>
      <c r="K58" s="23">
        <v>392.6</v>
      </c>
      <c r="L58" s="23">
        <v>348.5</v>
      </c>
      <c r="M58" s="23">
        <v>274.7</v>
      </c>
      <c r="N58" s="23">
        <v>325.3</v>
      </c>
      <c r="O58" s="23">
        <v>387.8</v>
      </c>
      <c r="P58" s="23">
        <v>391</v>
      </c>
      <c r="Q58" s="23">
        <v>434.9</v>
      </c>
      <c r="R58" s="23">
        <v>467.7</v>
      </c>
      <c r="S58" s="23">
        <v>463.9</v>
      </c>
      <c r="T58" s="23">
        <v>497.6</v>
      </c>
      <c r="U58" s="23">
        <v>508.1</v>
      </c>
      <c r="V58" s="23">
        <v>535.5</v>
      </c>
      <c r="W58" s="23">
        <v>534.4</v>
      </c>
      <c r="X58" s="23">
        <v>534.70000000000005</v>
      </c>
      <c r="Y58" s="23">
        <v>690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37.299999999999997</v>
      </c>
      <c r="E59" s="23">
        <v>45.6</v>
      </c>
      <c r="F59" s="23">
        <v>47.4</v>
      </c>
      <c r="G59" s="23">
        <v>48.5</v>
      </c>
      <c r="H59" s="23">
        <v>58.7</v>
      </c>
      <c r="I59" s="23">
        <v>60.7</v>
      </c>
      <c r="J59" s="23">
        <v>60.2</v>
      </c>
      <c r="K59" s="23">
        <v>67.3</v>
      </c>
      <c r="L59" s="23">
        <v>80.900000000000006</v>
      </c>
      <c r="M59" s="23">
        <v>72.400000000000006</v>
      </c>
      <c r="N59" s="23">
        <v>107.5</v>
      </c>
      <c r="O59" s="23">
        <v>125.2</v>
      </c>
      <c r="P59" s="23">
        <v>134.00000000000003</v>
      </c>
      <c r="Q59" s="23">
        <v>162.4</v>
      </c>
      <c r="R59" s="23">
        <v>177.7</v>
      </c>
      <c r="S59" s="23">
        <v>177.7</v>
      </c>
      <c r="T59" s="23">
        <v>188.7</v>
      </c>
      <c r="U59" s="23">
        <v>216.5</v>
      </c>
      <c r="V59" s="23">
        <v>231.6</v>
      </c>
      <c r="W59" s="23">
        <v>236.5</v>
      </c>
      <c r="X59" s="23">
        <v>233.3</v>
      </c>
      <c r="Y59" s="23">
        <v>258.3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40.300000000000004</v>
      </c>
      <c r="E60" s="23">
        <v>42.400000000000027</v>
      </c>
      <c r="F60" s="23">
        <v>37.399999999999984</v>
      </c>
      <c r="G60" s="23">
        <v>54.299999999999976</v>
      </c>
      <c r="H60" s="23">
        <v>50.399999999999984</v>
      </c>
      <c r="I60" s="23">
        <v>56.099999999999966</v>
      </c>
      <c r="J60" s="23">
        <v>77.69999999999996</v>
      </c>
      <c r="K60" s="23">
        <v>80</v>
      </c>
      <c r="L60" s="23">
        <v>111.00000000000006</v>
      </c>
      <c r="M60" s="23">
        <v>81.100000000000009</v>
      </c>
      <c r="N60" s="23">
        <v>88.29999999999994</v>
      </c>
      <c r="O60" s="23">
        <v>112.89999999999996</v>
      </c>
      <c r="P60" s="23">
        <v>128.70000000000002</v>
      </c>
      <c r="Q60" s="23">
        <v>137.59999999999994</v>
      </c>
      <c r="R60" s="23">
        <v>133.19999999999996</v>
      </c>
      <c r="S60" s="23">
        <v>132.00000000000006</v>
      </c>
      <c r="T60" s="23">
        <v>130.20000000000002</v>
      </c>
      <c r="U60" s="23">
        <v>129.60000000000002</v>
      </c>
      <c r="V60" s="23">
        <v>130.29999999999995</v>
      </c>
      <c r="W60" s="23">
        <v>141.60000000000002</v>
      </c>
      <c r="X60" s="23">
        <v>131.89999999999995</v>
      </c>
      <c r="Y60" s="23">
        <v>137.00000000000011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209.60000000000039</v>
      </c>
      <c r="E61" s="23">
        <v>260.89999999999924</v>
      </c>
      <c r="F61" s="23">
        <v>241.20000000000007</v>
      </c>
      <c r="G61" s="23">
        <v>278.49999999999977</v>
      </c>
      <c r="H61" s="23">
        <v>409.10000000000065</v>
      </c>
      <c r="I61" s="23">
        <v>545.39999999999918</v>
      </c>
      <c r="J61" s="23">
        <v>502.89999999999964</v>
      </c>
      <c r="K61" s="23">
        <v>302.80000000000018</v>
      </c>
      <c r="L61" s="23">
        <v>532.69999999999982</v>
      </c>
      <c r="M61" s="23">
        <v>373.5999999999994</v>
      </c>
      <c r="N61" s="23">
        <v>540.70000000000084</v>
      </c>
      <c r="O61" s="23">
        <v>694.59999999999945</v>
      </c>
      <c r="P61" s="23">
        <v>740.5</v>
      </c>
      <c r="Q61" s="23">
        <v>402.80000000000013</v>
      </c>
      <c r="R61" s="23">
        <v>348</v>
      </c>
      <c r="S61" s="23">
        <v>384.30000000000013</v>
      </c>
      <c r="T61" s="23">
        <v>405.70000000000073</v>
      </c>
      <c r="U61" s="23">
        <v>437.99999999999915</v>
      </c>
      <c r="V61" s="23">
        <v>442.29999999999927</v>
      </c>
      <c r="W61" s="23">
        <v>437.20000000000073</v>
      </c>
      <c r="X61" s="23">
        <v>197.49999999999909</v>
      </c>
      <c r="Y61" s="23">
        <v>139.30000000000109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122.3</v>
      </c>
      <c r="E62" s="23">
        <v>110</v>
      </c>
      <c r="F62" s="23">
        <v>120</v>
      </c>
      <c r="G62" s="23">
        <v>126.6</v>
      </c>
      <c r="H62" s="23">
        <v>160.6</v>
      </c>
      <c r="I62" s="23">
        <v>204.6</v>
      </c>
      <c r="J62" s="23">
        <v>290.2</v>
      </c>
      <c r="K62" s="23">
        <v>456.4</v>
      </c>
      <c r="L62" s="23">
        <v>593.29999999999984</v>
      </c>
      <c r="M62" s="23">
        <v>380.9</v>
      </c>
      <c r="N62" s="23">
        <v>486.90000000000009</v>
      </c>
      <c r="O62" s="23">
        <v>647.1</v>
      </c>
      <c r="P62" s="23">
        <v>648.29999999999995</v>
      </c>
      <c r="Q62" s="23">
        <v>495.7</v>
      </c>
      <c r="R62" s="23">
        <v>505.3</v>
      </c>
      <c r="S62" s="23">
        <v>532.5</v>
      </c>
      <c r="T62" s="23">
        <v>463.2</v>
      </c>
      <c r="U62" s="23">
        <v>529.4</v>
      </c>
      <c r="V62" s="23">
        <v>617.1</v>
      </c>
      <c r="W62" s="23">
        <v>666.5</v>
      </c>
      <c r="X62" s="23">
        <v>903.4</v>
      </c>
      <c r="Y62" s="23">
        <v>1256.5000000000002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63.8</v>
      </c>
      <c r="E64" s="23">
        <v>95.9</v>
      </c>
      <c r="F64" s="23">
        <v>116.8</v>
      </c>
      <c r="G64" s="23">
        <v>157.5</v>
      </c>
      <c r="H64" s="23">
        <v>172.8</v>
      </c>
      <c r="I64" s="23">
        <v>220.8</v>
      </c>
      <c r="J64" s="23">
        <v>271</v>
      </c>
      <c r="K64" s="23">
        <v>276.39999999999998</v>
      </c>
      <c r="L64" s="23">
        <v>266.60000000000002</v>
      </c>
      <c r="M64" s="23">
        <v>195.3</v>
      </c>
      <c r="N64" s="23">
        <v>241</v>
      </c>
      <c r="O64" s="23">
        <v>292.10000000000008</v>
      </c>
      <c r="P64" s="23">
        <v>328.6</v>
      </c>
      <c r="Q64" s="23">
        <v>376.3</v>
      </c>
      <c r="R64" s="23">
        <v>395.1</v>
      </c>
      <c r="S64" s="23">
        <v>384.7</v>
      </c>
      <c r="T64" s="23">
        <v>412.9</v>
      </c>
      <c r="U64" s="23">
        <v>455.9</v>
      </c>
      <c r="V64" s="23">
        <v>476</v>
      </c>
      <c r="W64" s="23">
        <v>475.6</v>
      </c>
      <c r="X64" s="23">
        <v>441.4</v>
      </c>
      <c r="Y64" s="23">
        <v>517.29999999999995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79.7</v>
      </c>
      <c r="E65" s="23">
        <v>86.2</v>
      </c>
      <c r="F65" s="23">
        <v>90.90000000000002</v>
      </c>
      <c r="G65" s="23">
        <v>111</v>
      </c>
      <c r="H65" s="23">
        <v>129.30000000000001</v>
      </c>
      <c r="I65" s="23">
        <v>175</v>
      </c>
      <c r="J65" s="23">
        <v>244.79999999999995</v>
      </c>
      <c r="K65" s="23">
        <v>272.70000000000005</v>
      </c>
      <c r="L65" s="23">
        <v>265.19999999999993</v>
      </c>
      <c r="M65" s="23">
        <v>136.19999999999999</v>
      </c>
      <c r="N65" s="23">
        <v>152.19999999999999</v>
      </c>
      <c r="O65" s="23">
        <v>193.59999999999994</v>
      </c>
      <c r="P65" s="23">
        <v>212.1999999999999</v>
      </c>
      <c r="Q65" s="23">
        <v>248.2</v>
      </c>
      <c r="R65" s="23">
        <v>265.99999999999994</v>
      </c>
      <c r="S65" s="23">
        <v>240.09999999999997</v>
      </c>
      <c r="T65" s="23">
        <v>253.20000000000005</v>
      </c>
      <c r="U65" s="23">
        <v>269.09999999999997</v>
      </c>
      <c r="V65" s="23">
        <v>276.60000000000002</v>
      </c>
      <c r="W65" s="23">
        <v>287.09999999999997</v>
      </c>
      <c r="X65" s="23">
        <v>277.39999999999998</v>
      </c>
      <c r="Y65" s="23">
        <v>313.20000000000005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71.5</v>
      </c>
      <c r="E67" s="23">
        <v>76</v>
      </c>
      <c r="F67" s="23">
        <v>74.400000000000006</v>
      </c>
      <c r="G67" s="23">
        <v>107</v>
      </c>
      <c r="H67" s="23">
        <v>145.4</v>
      </c>
      <c r="I67" s="23">
        <v>194.4</v>
      </c>
      <c r="J67" s="23">
        <v>237.3</v>
      </c>
      <c r="K67" s="23">
        <v>316.10000000000008</v>
      </c>
      <c r="L67" s="23">
        <v>313.39999999999998</v>
      </c>
      <c r="M67" s="23">
        <v>189.8</v>
      </c>
      <c r="N67" s="23">
        <v>225.5</v>
      </c>
      <c r="O67" s="23">
        <v>309.8</v>
      </c>
      <c r="P67" s="23">
        <v>333.8</v>
      </c>
      <c r="Q67" s="23">
        <v>334.8</v>
      </c>
      <c r="R67" s="23">
        <v>343.6</v>
      </c>
      <c r="S67" s="23">
        <v>356.1</v>
      </c>
      <c r="T67" s="23">
        <v>380.7</v>
      </c>
      <c r="U67" s="23">
        <v>447.1</v>
      </c>
      <c r="V67" s="23">
        <v>470.9</v>
      </c>
      <c r="W67" s="23">
        <v>499.9</v>
      </c>
      <c r="X67" s="23">
        <v>493.6</v>
      </c>
      <c r="Y67" s="23">
        <v>606.6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96</v>
      </c>
      <c r="E68" s="23">
        <v>104.5</v>
      </c>
      <c r="F68" s="23">
        <v>115.5</v>
      </c>
      <c r="G68" s="23">
        <v>132.19999999999999</v>
      </c>
      <c r="H68" s="23">
        <v>170.7</v>
      </c>
      <c r="I68" s="23">
        <v>157</v>
      </c>
      <c r="J68" s="23">
        <v>125.1</v>
      </c>
      <c r="K68" s="23">
        <v>116.20000000000002</v>
      </c>
      <c r="L68" s="23">
        <v>116.2</v>
      </c>
      <c r="M68" s="23">
        <v>117.79999999999998</v>
      </c>
      <c r="N68" s="23">
        <v>137.80000000000001</v>
      </c>
      <c r="O68" s="23">
        <v>128.80000000000001</v>
      </c>
      <c r="P68" s="23">
        <v>131.4</v>
      </c>
      <c r="Q68" s="23">
        <v>124.7</v>
      </c>
      <c r="R68" s="23">
        <v>135.1</v>
      </c>
      <c r="S68" s="23">
        <v>162</v>
      </c>
      <c r="T68" s="23">
        <v>170.2</v>
      </c>
      <c r="U68" s="23">
        <v>215.2</v>
      </c>
      <c r="V68" s="23">
        <v>221.8</v>
      </c>
      <c r="W68" s="23">
        <v>262</v>
      </c>
      <c r="X68" s="23">
        <v>270.5</v>
      </c>
      <c r="Y68" s="23">
        <v>414.4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39.6</v>
      </c>
      <c r="E69" s="23">
        <v>45.9</v>
      </c>
      <c r="F69" s="23">
        <v>54.6</v>
      </c>
      <c r="G69" s="23">
        <v>65.8</v>
      </c>
      <c r="H69" s="23">
        <v>76.400000000000006</v>
      </c>
      <c r="I69" s="23">
        <v>83.3</v>
      </c>
      <c r="J69" s="23">
        <v>92</v>
      </c>
      <c r="K69" s="23">
        <v>92.2</v>
      </c>
      <c r="L69" s="23">
        <v>84.2</v>
      </c>
      <c r="M69" s="23">
        <v>51.3</v>
      </c>
      <c r="N69" s="23">
        <v>64.2</v>
      </c>
      <c r="O69" s="23">
        <v>80</v>
      </c>
      <c r="P69" s="23">
        <v>105.6</v>
      </c>
      <c r="Q69" s="23">
        <v>115.5</v>
      </c>
      <c r="R69" s="23">
        <v>121.4</v>
      </c>
      <c r="S69" s="23">
        <v>123.1</v>
      </c>
      <c r="T69" s="23">
        <v>127.7</v>
      </c>
      <c r="U69" s="23">
        <v>143.80000000000001</v>
      </c>
      <c r="V69" s="23">
        <v>146.30000000000001</v>
      </c>
      <c r="W69" s="23">
        <v>149.5</v>
      </c>
      <c r="X69" s="23">
        <v>147.50000000000003</v>
      </c>
      <c r="Y69" s="23">
        <v>166.5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28.4</v>
      </c>
      <c r="E70" s="23">
        <v>35.4</v>
      </c>
      <c r="F70" s="23">
        <v>46.2</v>
      </c>
      <c r="G70" s="23">
        <v>44.2</v>
      </c>
      <c r="H70" s="23">
        <v>53.9</v>
      </c>
      <c r="I70" s="23">
        <v>66.099999999999994</v>
      </c>
      <c r="J70" s="23">
        <v>83</v>
      </c>
      <c r="K70" s="23">
        <v>103.6</v>
      </c>
      <c r="L70" s="23">
        <v>147.80000000000001</v>
      </c>
      <c r="M70" s="23">
        <v>104.5</v>
      </c>
      <c r="N70" s="23">
        <v>120.2</v>
      </c>
      <c r="O70" s="23">
        <v>157.19999999999999</v>
      </c>
      <c r="P70" s="23">
        <v>176.5</v>
      </c>
      <c r="Q70" s="23">
        <v>200.8</v>
      </c>
      <c r="R70" s="23">
        <v>191.7</v>
      </c>
      <c r="S70" s="23">
        <v>191.4</v>
      </c>
      <c r="T70" s="23">
        <v>193.9</v>
      </c>
      <c r="U70" s="23">
        <v>239.6</v>
      </c>
      <c r="V70" s="23">
        <v>239.6</v>
      </c>
      <c r="W70" s="23">
        <v>244.9</v>
      </c>
      <c r="X70" s="23">
        <v>243.2</v>
      </c>
      <c r="Y70" s="23">
        <v>270.2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33</v>
      </c>
      <c r="E71" s="23">
        <v>35.6</v>
      </c>
      <c r="F71" s="23">
        <v>39.200000000000003</v>
      </c>
      <c r="G71" s="23">
        <v>60.2</v>
      </c>
      <c r="H71" s="23">
        <v>88.3</v>
      </c>
      <c r="I71" s="23">
        <v>81.5</v>
      </c>
      <c r="J71" s="23">
        <v>100.6</v>
      </c>
      <c r="K71" s="23">
        <v>90.2</v>
      </c>
      <c r="L71" s="23">
        <v>82</v>
      </c>
      <c r="M71" s="23">
        <v>26.7</v>
      </c>
      <c r="N71" s="23">
        <v>44.5</v>
      </c>
      <c r="O71" s="23">
        <v>66.40000000000002</v>
      </c>
      <c r="P71" s="23">
        <v>70.099999999999994</v>
      </c>
      <c r="Q71" s="23">
        <v>84.9</v>
      </c>
      <c r="R71" s="23">
        <v>103.8</v>
      </c>
      <c r="S71" s="23">
        <v>107.7</v>
      </c>
      <c r="T71" s="23">
        <v>131.50000000000003</v>
      </c>
      <c r="U71" s="23">
        <v>160</v>
      </c>
      <c r="V71" s="23">
        <v>163.9</v>
      </c>
      <c r="W71" s="23">
        <v>151.50000000000003</v>
      </c>
      <c r="X71" s="23">
        <v>151.1</v>
      </c>
      <c r="Y71" s="23">
        <v>182.8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36.900000000000006</v>
      </c>
      <c r="E72" s="23">
        <v>39.800000000000011</v>
      </c>
      <c r="F72" s="23">
        <v>43.4</v>
      </c>
      <c r="G72" s="23">
        <v>54.5</v>
      </c>
      <c r="H72" s="23">
        <v>52.899999999999991</v>
      </c>
      <c r="I72" s="23">
        <v>72.899999999999991</v>
      </c>
      <c r="J72" s="23">
        <v>75.099999999999994</v>
      </c>
      <c r="K72" s="23">
        <v>78.90000000000002</v>
      </c>
      <c r="L72" s="23">
        <v>125.19999999999996</v>
      </c>
      <c r="M72" s="23">
        <v>100.70000000000002</v>
      </c>
      <c r="N72" s="23">
        <v>100.60000000000002</v>
      </c>
      <c r="O72" s="23">
        <v>62.4</v>
      </c>
      <c r="P72" s="23">
        <v>92.3</v>
      </c>
      <c r="Q72" s="23">
        <v>101.1</v>
      </c>
      <c r="R72" s="23">
        <v>78.3</v>
      </c>
      <c r="S72" s="23">
        <v>89.6</v>
      </c>
      <c r="T72" s="23">
        <v>85.799999999999983</v>
      </c>
      <c r="U72" s="23">
        <v>95</v>
      </c>
      <c r="V72" s="23">
        <v>116.89999999999998</v>
      </c>
      <c r="W72" s="23">
        <v>157.19999999999996</v>
      </c>
      <c r="X72" s="23">
        <v>159.59999999999997</v>
      </c>
      <c r="Y72" s="23">
        <v>195.6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107.9</v>
      </c>
      <c r="E73" s="23">
        <v>126.2</v>
      </c>
      <c r="F73" s="23">
        <v>157.80000000000001</v>
      </c>
      <c r="G73" s="23">
        <v>191.8</v>
      </c>
      <c r="H73" s="23">
        <v>266.2</v>
      </c>
      <c r="I73" s="23">
        <v>293.89999999999998</v>
      </c>
      <c r="J73" s="23">
        <v>367.5</v>
      </c>
      <c r="K73" s="23">
        <v>432.4</v>
      </c>
      <c r="L73" s="23">
        <v>512.20000000000005</v>
      </c>
      <c r="M73" s="23">
        <v>418.6</v>
      </c>
      <c r="N73" s="23">
        <v>457.1</v>
      </c>
      <c r="O73" s="23">
        <v>607.29999999999984</v>
      </c>
      <c r="P73" s="23">
        <v>715.2</v>
      </c>
      <c r="Q73" s="23">
        <v>778.3</v>
      </c>
      <c r="R73" s="23">
        <v>849.9</v>
      </c>
      <c r="S73" s="23">
        <v>888.8</v>
      </c>
      <c r="T73" s="23">
        <v>904.8</v>
      </c>
      <c r="U73" s="23">
        <v>983.9</v>
      </c>
      <c r="V73" s="23">
        <v>1063.2</v>
      </c>
      <c r="W73" s="23">
        <v>1091.8</v>
      </c>
      <c r="X73" s="23">
        <v>1132.5</v>
      </c>
      <c r="Y73" s="23">
        <v>1323.9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37.700000000000003</v>
      </c>
      <c r="E74" s="23">
        <v>46.40000000000002</v>
      </c>
      <c r="F74" s="23">
        <v>56.599999999999973</v>
      </c>
      <c r="G74" s="23">
        <v>47.600000000000009</v>
      </c>
      <c r="H74" s="23">
        <v>79.799999999999969</v>
      </c>
      <c r="I74" s="23">
        <v>108.90000000000397</v>
      </c>
      <c r="J74" s="23">
        <v>127.000000000003</v>
      </c>
      <c r="K74" s="23">
        <v>131.99999999999972</v>
      </c>
      <c r="L74" s="23">
        <v>157.50000000000119</v>
      </c>
      <c r="M74" s="23">
        <v>148.30000000000015</v>
      </c>
      <c r="N74" s="23">
        <v>152.20000000000434</v>
      </c>
      <c r="O74" s="23">
        <v>157.20000000000195</v>
      </c>
      <c r="P74" s="23">
        <v>198.20000000000033</v>
      </c>
      <c r="Q74" s="23">
        <v>222.79999999999637</v>
      </c>
      <c r="R74" s="23">
        <v>239.99999999998795</v>
      </c>
      <c r="S74" s="23">
        <v>243.10000000000332</v>
      </c>
      <c r="T74" s="23">
        <v>250.20000000000385</v>
      </c>
      <c r="U74" s="23">
        <v>278.59999999999422</v>
      </c>
      <c r="V74" s="23">
        <v>340.70000000000363</v>
      </c>
      <c r="W74" s="23">
        <v>400.29999999999825</v>
      </c>
      <c r="X74" s="23">
        <v>346.20000000000596</v>
      </c>
      <c r="Y74" s="23">
        <v>377.0000000000058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2093.8000000000002</v>
      </c>
      <c r="E75" s="30">
        <f t="shared" ref="E75:S75" si="6">SUM(E56:E74)</f>
        <v>2356.5999999999995</v>
      </c>
      <c r="F75" s="30">
        <f t="shared" si="6"/>
        <v>2471.1</v>
      </c>
      <c r="G75" s="30">
        <f t="shared" si="6"/>
        <v>2778.7999999999993</v>
      </c>
      <c r="H75" s="30">
        <f t="shared" si="6"/>
        <v>3323.4000000000015</v>
      </c>
      <c r="I75" s="30">
        <f t="shared" si="6"/>
        <v>3832.0000000000041</v>
      </c>
      <c r="J75" s="30">
        <f t="shared" si="6"/>
        <v>4230.800000000002</v>
      </c>
      <c r="K75" s="30">
        <f t="shared" si="6"/>
        <v>4615.0999999999995</v>
      </c>
      <c r="L75" s="30">
        <f t="shared" si="6"/>
        <v>5133.1000000000004</v>
      </c>
      <c r="M75" s="30">
        <f t="shared" si="6"/>
        <v>4065.3999999999992</v>
      </c>
      <c r="N75" s="30">
        <f t="shared" si="6"/>
        <v>4745.3000000000056</v>
      </c>
      <c r="O75" s="30">
        <f t="shared" si="6"/>
        <v>5754.6</v>
      </c>
      <c r="P75" s="30">
        <f t="shared" si="6"/>
        <v>6250.4000000000015</v>
      </c>
      <c r="Q75" s="30">
        <f t="shared" si="6"/>
        <v>6176.5999999999967</v>
      </c>
      <c r="R75" s="30">
        <f t="shared" si="6"/>
        <v>6355.0999999999876</v>
      </c>
      <c r="S75" s="30">
        <f t="shared" si="6"/>
        <v>6428.0000000000036</v>
      </c>
      <c r="T75" s="30">
        <f t="shared" ref="T75:Y75" si="7">SUM(T56:T74)</f>
        <v>6571.3000000000029</v>
      </c>
      <c r="U75" s="30">
        <f t="shared" si="7"/>
        <v>7174.7999999999938</v>
      </c>
      <c r="V75" s="30">
        <f t="shared" si="7"/>
        <v>7546.0000000000018</v>
      </c>
      <c r="W75" s="30">
        <f t="shared" si="7"/>
        <v>7865.9999999999991</v>
      </c>
      <c r="X75" s="30">
        <f t="shared" si="7"/>
        <v>7756.3000000000056</v>
      </c>
      <c r="Y75" s="30">
        <f t="shared" si="7"/>
        <v>8999.5000000000073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20260.324471799537</v>
      </c>
      <c r="E2" s="19">
        <v>21582.613365343608</v>
      </c>
      <c r="F2" s="19">
        <v>23039.485487524897</v>
      </c>
      <c r="G2" s="19">
        <v>25473.822710443379</v>
      </c>
      <c r="H2" s="19">
        <v>27147.348501780583</v>
      </c>
      <c r="I2" s="19">
        <v>29246.392974140934</v>
      </c>
      <c r="J2" s="19">
        <v>31415.118982315911</v>
      </c>
      <c r="K2" s="19">
        <v>34904.47086000289</v>
      </c>
      <c r="L2" s="19">
        <v>35817.011383326382</v>
      </c>
      <c r="M2" s="19">
        <v>30502.035585897189</v>
      </c>
      <c r="N2" s="19">
        <v>31005.695957529169</v>
      </c>
      <c r="O2" s="19">
        <v>32878.259774072983</v>
      </c>
      <c r="P2" s="19">
        <v>34142.208960104639</v>
      </c>
      <c r="Q2" s="19">
        <v>35354.151952376145</v>
      </c>
      <c r="R2" s="19">
        <v>36604.72702529619</v>
      </c>
      <c r="S2" s="19">
        <v>37345.699999999997</v>
      </c>
      <c r="T2" s="19">
        <v>38286.504686146334</v>
      </c>
      <c r="U2" s="19">
        <v>39925.864364841764</v>
      </c>
      <c r="V2" s="19">
        <v>41520.511580810249</v>
      </c>
      <c r="W2" s="19">
        <v>43457.482691283512</v>
      </c>
      <c r="X2" s="19">
        <v>43446.960127536135</v>
      </c>
      <c r="Y2" s="19">
        <v>46177.324274162558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12424.493427208443</v>
      </c>
      <c r="E3" s="23">
        <v>12941.022699217217</v>
      </c>
      <c r="F3" s="23">
        <v>13719.561145303718</v>
      </c>
      <c r="G3" s="23">
        <v>15278.499814333458</v>
      </c>
      <c r="H3" s="23">
        <v>16938.813464757299</v>
      </c>
      <c r="I3" s="23">
        <v>18896.919033773203</v>
      </c>
      <c r="J3" s="23">
        <v>20621.417596365824</v>
      </c>
      <c r="K3" s="23">
        <v>23193.87986972</v>
      </c>
      <c r="L3" s="23">
        <v>24092.844295699291</v>
      </c>
      <c r="M3" s="23">
        <v>19902.810955855883</v>
      </c>
      <c r="N3" s="23">
        <v>19289.483016151044</v>
      </c>
      <c r="O3" s="23">
        <v>20122.425864909394</v>
      </c>
      <c r="P3" s="23">
        <v>20743.344450879751</v>
      </c>
      <c r="Q3" s="23">
        <v>21637.260143765223</v>
      </c>
      <c r="R3" s="23">
        <v>22436.853309569779</v>
      </c>
      <c r="S3" s="23">
        <v>23346.5</v>
      </c>
      <c r="T3" s="23">
        <v>24300.178323756689</v>
      </c>
      <c r="U3" s="23">
        <v>25166.470481276257</v>
      </c>
      <c r="V3" s="23">
        <v>26080.446052288069</v>
      </c>
      <c r="W3" s="23">
        <v>26795.378063127559</v>
      </c>
      <c r="X3" s="23">
        <v>25900.391082595921</v>
      </c>
      <c r="Y3" s="23">
        <v>28007.355601109368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18243.154291732491</v>
      </c>
      <c r="E4" s="27">
        <v>19433.497930549562</v>
      </c>
      <c r="F4" s="27">
        <v>20745.740276131695</v>
      </c>
      <c r="G4" s="27">
        <v>22937.531710767056</v>
      </c>
      <c r="H4" s="27">
        <v>24444.625721193064</v>
      </c>
      <c r="I4" s="27">
        <v>26334.674063800281</v>
      </c>
      <c r="J4" s="27">
        <v>28287.095555179108</v>
      </c>
      <c r="K4" s="27">
        <v>31429.381598793363</v>
      </c>
      <c r="L4" s="27">
        <v>32250.717892860677</v>
      </c>
      <c r="M4" s="27">
        <v>27465.332412637679</v>
      </c>
      <c r="N4" s="27">
        <v>27918.710348874545</v>
      </c>
      <c r="O4" s="27">
        <v>29604.875027555874</v>
      </c>
      <c r="P4" s="27">
        <v>30742.763572750759</v>
      </c>
      <c r="Q4" s="27">
        <v>31834.305296699331</v>
      </c>
      <c r="R4" s="27">
        <v>32960.066157862217</v>
      </c>
      <c r="S4" s="27">
        <v>33627.5</v>
      </c>
      <c r="T4" s="27">
        <v>34474.368572441781</v>
      </c>
      <c r="U4" s="27">
        <v>35951.026512319091</v>
      </c>
      <c r="V4" s="27">
        <v>37386.478857800554</v>
      </c>
      <c r="W4" s="27">
        <v>39130.836965222799</v>
      </c>
      <c r="X4" s="27">
        <v>39121.296442134371</v>
      </c>
      <c r="Y4" s="27">
        <v>41579.791961552386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1146.8206951026857</v>
      </c>
      <c r="E6" s="19">
        <v>1064.4485993256308</v>
      </c>
      <c r="F6" s="19">
        <v>1113.7619480059723</v>
      </c>
      <c r="G6" s="19">
        <v>1132.2089143770852</v>
      </c>
      <c r="H6" s="19">
        <v>1127.6567343488127</v>
      </c>
      <c r="I6" s="19">
        <v>1259.5006934812761</v>
      </c>
      <c r="J6" s="19">
        <v>1211.2169505218853</v>
      </c>
      <c r="K6" s="19">
        <v>1216.6515837104073</v>
      </c>
      <c r="L6" s="19">
        <v>1179.9848169785787</v>
      </c>
      <c r="M6" s="19">
        <v>772.2523460759121</v>
      </c>
      <c r="N6" s="19">
        <v>938.56220728750316</v>
      </c>
      <c r="O6" s="19">
        <v>1147.3740565394023</v>
      </c>
      <c r="P6" s="19">
        <v>1352.189743902687</v>
      </c>
      <c r="Q6" s="19">
        <v>1244.6141205234571</v>
      </c>
      <c r="R6" s="19">
        <v>1247.6336608014667</v>
      </c>
      <c r="S6" s="19">
        <v>1277.5</v>
      </c>
      <c r="T6" s="19">
        <v>1190.9452697111785</v>
      </c>
      <c r="U6" s="19">
        <v>1403.5154142490701</v>
      </c>
      <c r="V6" s="19">
        <v>1197.2815214710477</v>
      </c>
      <c r="W6" s="19">
        <v>1349.9955527884015</v>
      </c>
      <c r="X6" s="19">
        <v>1533.2248298069687</v>
      </c>
      <c r="Y6" s="19">
        <v>1578.5575562065901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4313.4544497103743</v>
      </c>
      <c r="E7" s="23">
        <v>4754.7821084423977</v>
      </c>
      <c r="F7" s="23">
        <v>4818.451877049054</v>
      </c>
      <c r="G7" s="23">
        <v>5536.2002429236927</v>
      </c>
      <c r="H7" s="23">
        <v>6221.467451759785</v>
      </c>
      <c r="I7" s="23">
        <v>6571.151178918175</v>
      </c>
      <c r="J7" s="23">
        <v>6733.8189494533581</v>
      </c>
      <c r="K7" s="23">
        <v>6849.4720965309207</v>
      </c>
      <c r="L7" s="23">
        <v>6885.3901926483377</v>
      </c>
      <c r="M7" s="23">
        <v>5827.5506854277264</v>
      </c>
      <c r="N7" s="23">
        <v>6501.068435212972</v>
      </c>
      <c r="O7" s="23">
        <v>7299.9443633806077</v>
      </c>
      <c r="P7" s="23">
        <v>7642.0333190944039</v>
      </c>
      <c r="Q7" s="23">
        <v>7490.7312771799006</v>
      </c>
      <c r="R7" s="23">
        <v>7581.1529800928474</v>
      </c>
      <c r="S7" s="23">
        <v>7481.5000000000036</v>
      </c>
      <c r="T7" s="23">
        <v>7627.9601245123959</v>
      </c>
      <c r="U7" s="23">
        <v>7958.049768573288</v>
      </c>
      <c r="V7" s="23">
        <v>8022.3434088770773</v>
      </c>
      <c r="W7" s="23">
        <v>8169.3498176643225</v>
      </c>
      <c r="X7" s="23">
        <v>8021.3856950350928</v>
      </c>
      <c r="Y7" s="23">
        <v>8627.0120807136555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1093.503159557662</v>
      </c>
      <c r="E8" s="23">
        <v>1157.4540166514855</v>
      </c>
      <c r="F8" s="23">
        <v>1311.5485847096309</v>
      </c>
      <c r="G8" s="23">
        <v>1595.3014252548392</v>
      </c>
      <c r="H8" s="23">
        <v>1773.1337970722157</v>
      </c>
      <c r="I8" s="23">
        <v>2053.5367545076283</v>
      </c>
      <c r="J8" s="23">
        <v>2678.6202942364575</v>
      </c>
      <c r="K8" s="23">
        <v>3518.3107088989441</v>
      </c>
      <c r="L8" s="23">
        <v>3614.8793609928375</v>
      </c>
      <c r="M8" s="23">
        <v>1812.3365670881492</v>
      </c>
      <c r="N8" s="23">
        <v>1630.4432068557003</v>
      </c>
      <c r="O8" s="23">
        <v>1930.800642445492</v>
      </c>
      <c r="P8" s="23">
        <v>1878.0130591322388</v>
      </c>
      <c r="Q8" s="23">
        <v>2127.7981522675805</v>
      </c>
      <c r="R8" s="23">
        <v>2444.8518422573384</v>
      </c>
      <c r="S8" s="23">
        <v>2496.6999999999998</v>
      </c>
      <c r="T8" s="23">
        <v>2311.1627723708575</v>
      </c>
      <c r="U8" s="23">
        <v>2404.7553691942185</v>
      </c>
      <c r="V8" s="23">
        <v>2629.1414321339507</v>
      </c>
      <c r="W8" s="23">
        <v>2860.001778884639</v>
      </c>
      <c r="X8" s="23">
        <v>2850.1426296354634</v>
      </c>
      <c r="Y8" s="23">
        <v>2937.8024293097205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4855.6806213796735</v>
      </c>
      <c r="E9" s="23">
        <v>5326.3978778145329</v>
      </c>
      <c r="F9" s="23">
        <v>5883.7291631393437</v>
      </c>
      <c r="G9" s="23">
        <v>6519.8874556049277</v>
      </c>
      <c r="H9" s="23">
        <v>6822.1526778695697</v>
      </c>
      <c r="I9" s="23">
        <v>7433.980582524272</v>
      </c>
      <c r="J9" s="23">
        <v>7783.9746680392491</v>
      </c>
      <c r="K9" s="23">
        <v>8782.1417797888389</v>
      </c>
      <c r="L9" s="23">
        <v>9067.8945110076893</v>
      </c>
      <c r="M9" s="23">
        <v>8103.5556209601646</v>
      </c>
      <c r="N9" s="23">
        <v>8639.7103599464117</v>
      </c>
      <c r="O9" s="23">
        <v>9176.0531592152111</v>
      </c>
      <c r="P9" s="23">
        <v>9786.4160615121746</v>
      </c>
      <c r="Q9" s="23">
        <v>10285.777270085573</v>
      </c>
      <c r="R9" s="23">
        <v>10605.284658151168</v>
      </c>
      <c r="S9" s="23">
        <v>10531.5</v>
      </c>
      <c r="T9" s="23">
        <v>10859.273415028172</v>
      </c>
      <c r="U9" s="23">
        <v>11375.971376917907</v>
      </c>
      <c r="V9" s="23">
        <v>11847.761548509678</v>
      </c>
      <c r="W9" s="23">
        <v>12160.633282931602</v>
      </c>
      <c r="X9" s="23">
        <v>11587.7391015208</v>
      </c>
      <c r="Y9" s="23">
        <v>12112.725896178281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871.51132174828854</v>
      </c>
      <c r="E10" s="23">
        <v>954.50405100915668</v>
      </c>
      <c r="F10" s="23">
        <v>1065.8929643368376</v>
      </c>
      <c r="G10" s="23">
        <v>1145.8925908273243</v>
      </c>
      <c r="H10" s="23">
        <v>1077.2288388235468</v>
      </c>
      <c r="I10" s="23">
        <v>1067.9611650485438</v>
      </c>
      <c r="J10" s="23">
        <v>1109.5763672613075</v>
      </c>
      <c r="K10" s="23">
        <v>1177.9185520361991</v>
      </c>
      <c r="L10" s="23">
        <v>1083.6056375218668</v>
      </c>
      <c r="M10" s="23">
        <v>1077.1007142938001</v>
      </c>
      <c r="N10" s="23">
        <v>1031.1230195197024</v>
      </c>
      <c r="O10" s="23">
        <v>917.26939671009131</v>
      </c>
      <c r="P10" s="23">
        <v>924.20821382803445</v>
      </c>
      <c r="Q10" s="23">
        <v>1026.7740836489709</v>
      </c>
      <c r="R10" s="23">
        <v>1035.3107626088515</v>
      </c>
      <c r="S10" s="23">
        <v>1153.4000000000001</v>
      </c>
      <c r="T10" s="23">
        <v>1240.3956026636195</v>
      </c>
      <c r="U10" s="23">
        <v>1310.0928546413122</v>
      </c>
      <c r="V10" s="23">
        <v>1389.6577238223124</v>
      </c>
      <c r="W10" s="23">
        <v>1525.0378012985857</v>
      </c>
      <c r="X10" s="23">
        <v>1624.7528044661451</v>
      </c>
      <c r="Y10" s="23">
        <v>1766.4340498370584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377.17219589257502</v>
      </c>
      <c r="E11" s="23">
        <v>383.04808475957623</v>
      </c>
      <c r="F11" s="23">
        <v>452.8313503363143</v>
      </c>
      <c r="G11" s="23">
        <v>440.03013483802528</v>
      </c>
      <c r="H11" s="23">
        <v>467.79288966673084</v>
      </c>
      <c r="I11" s="23">
        <v>581.27600554785022</v>
      </c>
      <c r="J11" s="23">
        <v>808.30325380174861</v>
      </c>
      <c r="K11" s="23">
        <v>1100.4524886877828</v>
      </c>
      <c r="L11" s="23">
        <v>1093.8376736970656</v>
      </c>
      <c r="M11" s="23">
        <v>701.50216778546292</v>
      </c>
      <c r="N11" s="23">
        <v>789.75630819650348</v>
      </c>
      <c r="O11" s="23">
        <v>788.36039932396261</v>
      </c>
      <c r="P11" s="23">
        <v>637.09037651797155</v>
      </c>
      <c r="Q11" s="23">
        <v>707.82981622878208</v>
      </c>
      <c r="R11" s="23">
        <v>659.78518621844046</v>
      </c>
      <c r="S11" s="23">
        <v>704.8</v>
      </c>
      <c r="T11" s="23">
        <v>749.34000551637178</v>
      </c>
      <c r="U11" s="23">
        <v>733.46647862260886</v>
      </c>
      <c r="V11" s="23">
        <v>838.10619970220966</v>
      </c>
      <c r="W11" s="23">
        <v>914.34670461620556</v>
      </c>
      <c r="X11" s="23">
        <v>988.08211266866181</v>
      </c>
      <c r="Y11" s="23">
        <v>1226.752032654136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1238.6453396524487</v>
      </c>
      <c r="E12" s="23">
        <v>1284.657302203685</v>
      </c>
      <c r="F12" s="23">
        <v>1310.163308654897</v>
      </c>
      <c r="G12" s="23">
        <v>1381.7438231269507</v>
      </c>
      <c r="H12" s="23">
        <v>1488.9577740533646</v>
      </c>
      <c r="I12" s="23">
        <v>1657.1428571428573</v>
      </c>
      <c r="J12" s="23">
        <v>1832.6579012522641</v>
      </c>
      <c r="K12" s="23">
        <v>2084.705882352941</v>
      </c>
      <c r="L12" s="23">
        <v>2234.8747400732746</v>
      </c>
      <c r="M12" s="23">
        <v>2020.7382922604966</v>
      </c>
      <c r="N12" s="23">
        <v>1840.8086892016076</v>
      </c>
      <c r="O12" s="23">
        <v>1816.4831358058389</v>
      </c>
      <c r="P12" s="23">
        <v>1861.5365838774637</v>
      </c>
      <c r="Q12" s="23">
        <v>1974.3882642938736</v>
      </c>
      <c r="R12" s="23">
        <v>2095.4307235518004</v>
      </c>
      <c r="S12" s="23">
        <v>2230.4</v>
      </c>
      <c r="T12" s="23">
        <v>2335.5924189290358</v>
      </c>
      <c r="U12" s="23">
        <v>2370.3963123172016</v>
      </c>
      <c r="V12" s="23">
        <v>2567.2083527445125</v>
      </c>
      <c r="W12" s="23">
        <v>2569.1541403539977</v>
      </c>
      <c r="X12" s="23">
        <v>2619.5726361106736</v>
      </c>
      <c r="Y12" s="23">
        <v>2675.8616149313671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708.43206951026855</v>
      </c>
      <c r="E13" s="23">
        <v>752.67270722469914</v>
      </c>
      <c r="F13" s="23">
        <v>840.5547261001401</v>
      </c>
      <c r="G13" s="23">
        <v>1080.0879445272983</v>
      </c>
      <c r="H13" s="23">
        <v>1185.9454488824288</v>
      </c>
      <c r="I13" s="23">
        <v>1350.624133148405</v>
      </c>
      <c r="J13" s="23">
        <v>1493.2044148499501</v>
      </c>
      <c r="K13" s="23">
        <v>1847.3604826546002</v>
      </c>
      <c r="L13" s="23">
        <v>1839.0159641768712</v>
      </c>
      <c r="M13" s="23">
        <v>1760.3776361516432</v>
      </c>
      <c r="N13" s="23">
        <v>1623.8000863605664</v>
      </c>
      <c r="O13" s="23">
        <v>1664.2697431267782</v>
      </c>
      <c r="P13" s="23">
        <v>1767.966477492321</v>
      </c>
      <c r="Q13" s="23">
        <v>1902.1423275015532</v>
      </c>
      <c r="R13" s="23">
        <v>2005.2607456708447</v>
      </c>
      <c r="S13" s="23">
        <v>2190.6</v>
      </c>
      <c r="T13" s="23">
        <v>2358.3474526183063</v>
      </c>
      <c r="U13" s="23">
        <v>2514.6475593711252</v>
      </c>
      <c r="V13" s="23">
        <v>2695.0024206882063</v>
      </c>
      <c r="W13" s="23">
        <v>2877.4348483500844</v>
      </c>
      <c r="X13" s="23">
        <v>2767.0149279851598</v>
      </c>
      <c r="Y13" s="23">
        <v>3243.0297244807266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3204.1535018430754</v>
      </c>
      <c r="E14" s="23">
        <v>3305.3677868865557</v>
      </c>
      <c r="F14" s="23">
        <v>3405.4703012205823</v>
      </c>
      <c r="G14" s="23">
        <v>3551.7596592918317</v>
      </c>
      <c r="H14" s="23">
        <v>3712.6796493778083</v>
      </c>
      <c r="I14" s="23">
        <v>3761.1650485436894</v>
      </c>
      <c r="J14" s="23">
        <v>4071.7478271067616</v>
      </c>
      <c r="K14" s="23">
        <v>4302.0211161387633</v>
      </c>
      <c r="L14" s="23">
        <v>4710.8074506826852</v>
      </c>
      <c r="M14" s="23">
        <v>4821.7661508506999</v>
      </c>
      <c r="N14" s="23">
        <v>4395.6421129551918</v>
      </c>
      <c r="O14" s="23">
        <v>4336.4020952960809</v>
      </c>
      <c r="P14" s="23">
        <v>4340.6358698968697</v>
      </c>
      <c r="Q14" s="23">
        <v>4453.6964668630635</v>
      </c>
      <c r="R14" s="23">
        <v>4611.7211007711785</v>
      </c>
      <c r="S14" s="23">
        <v>4826.3</v>
      </c>
      <c r="T14" s="23">
        <v>5007.5850112297567</v>
      </c>
      <c r="U14" s="23">
        <v>5055.9872786301812</v>
      </c>
      <c r="V14" s="23">
        <v>5346.3411069396107</v>
      </c>
      <c r="W14" s="23">
        <v>5819.4432091078888</v>
      </c>
      <c r="X14" s="23">
        <v>6310.0925780087855</v>
      </c>
      <c r="Y14" s="23">
        <v>6569.6698377168432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433.78093733543977</v>
      </c>
      <c r="E15" s="23">
        <v>450.16539623184241</v>
      </c>
      <c r="F15" s="23">
        <v>543.33605257892225</v>
      </c>
      <c r="G15" s="23">
        <v>554.41951999508001</v>
      </c>
      <c r="H15" s="23">
        <v>567.61045933880132</v>
      </c>
      <c r="I15" s="23">
        <v>598.33564493758672</v>
      </c>
      <c r="J15" s="23">
        <v>563.97492865612901</v>
      </c>
      <c r="K15" s="23">
        <v>550.34690799396685</v>
      </c>
      <c r="L15" s="23">
        <v>540.42754508147118</v>
      </c>
      <c r="M15" s="23">
        <v>568.15223174362404</v>
      </c>
      <c r="N15" s="23">
        <v>527.79592333838946</v>
      </c>
      <c r="O15" s="23">
        <v>527.91803571241121</v>
      </c>
      <c r="P15" s="23">
        <v>552.67386749659283</v>
      </c>
      <c r="Q15" s="23">
        <v>620.55351810657521</v>
      </c>
      <c r="R15" s="23">
        <v>673.6344977382779</v>
      </c>
      <c r="S15" s="23">
        <v>734.8</v>
      </c>
      <c r="T15" s="23">
        <v>793.76649986209065</v>
      </c>
      <c r="U15" s="23">
        <v>824.14409980217511</v>
      </c>
      <c r="V15" s="23">
        <v>853.63514291195088</v>
      </c>
      <c r="W15" s="23">
        <v>885.4398292270746</v>
      </c>
      <c r="X15" s="23">
        <v>819.28912689662411</v>
      </c>
      <c r="Y15" s="23">
        <v>841.94673952401331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18243.154291732491</v>
      </c>
      <c r="E16" s="30">
        <f t="shared" ref="E16:S16" si="0">SUM(E6:E15)</f>
        <v>19433.497930549562</v>
      </c>
      <c r="F16" s="30">
        <f t="shared" si="0"/>
        <v>20745.740276131695</v>
      </c>
      <c r="G16" s="30">
        <f t="shared" si="0"/>
        <v>22937.531710767056</v>
      </c>
      <c r="H16" s="30">
        <f t="shared" si="0"/>
        <v>24444.625721193068</v>
      </c>
      <c r="I16" s="30">
        <f t="shared" si="0"/>
        <v>26334.674063800281</v>
      </c>
      <c r="J16" s="30">
        <f t="shared" si="0"/>
        <v>28287.095555179108</v>
      </c>
      <c r="K16" s="30">
        <f t="shared" si="0"/>
        <v>31429.381598793367</v>
      </c>
      <c r="L16" s="30">
        <f t="shared" si="0"/>
        <v>32250.717892860677</v>
      </c>
      <c r="M16" s="30">
        <f t="shared" si="0"/>
        <v>27465.332412637679</v>
      </c>
      <c r="N16" s="30">
        <f t="shared" si="0"/>
        <v>27918.710348874545</v>
      </c>
      <c r="O16" s="30">
        <f t="shared" si="0"/>
        <v>29604.875027555874</v>
      </c>
      <c r="P16" s="30">
        <f t="shared" si="0"/>
        <v>30742.763572750759</v>
      </c>
      <c r="Q16" s="30">
        <f t="shared" si="0"/>
        <v>31834.305296699335</v>
      </c>
      <c r="R16" s="30">
        <f t="shared" si="0"/>
        <v>32960.066157862209</v>
      </c>
      <c r="S16" s="30">
        <f t="shared" si="0"/>
        <v>33627.500000000007</v>
      </c>
      <c r="T16" s="30">
        <f t="shared" ref="T16:Y16" si="1">SUM(T6:T15)</f>
        <v>34474.368572441781</v>
      </c>
      <c r="U16" s="30">
        <f t="shared" si="1"/>
        <v>35951.026512319084</v>
      </c>
      <c r="V16" s="30">
        <f t="shared" si="1"/>
        <v>37386.478857800554</v>
      </c>
      <c r="W16" s="30">
        <f t="shared" si="1"/>
        <v>39130.836965222799</v>
      </c>
      <c r="X16" s="30">
        <f t="shared" si="1"/>
        <v>39121.296442134379</v>
      </c>
      <c r="Y16" s="30">
        <f t="shared" si="1"/>
        <v>41579.791961552393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1146.8206951026857</v>
      </c>
      <c r="E18" s="19">
        <v>1064.4485993256308</v>
      </c>
      <c r="F18" s="19">
        <v>1113.7619480059723</v>
      </c>
      <c r="G18" s="19">
        <v>1132.2089143770852</v>
      </c>
      <c r="H18" s="19">
        <v>1127.6567343488127</v>
      </c>
      <c r="I18" s="19">
        <v>1259.5006934812761</v>
      </c>
      <c r="J18" s="19">
        <v>1211.2169505218853</v>
      </c>
      <c r="K18" s="19">
        <v>1216.6515837104073</v>
      </c>
      <c r="L18" s="19">
        <v>1179.9848169785787</v>
      </c>
      <c r="M18" s="19">
        <v>772.2523460759121</v>
      </c>
      <c r="N18" s="19">
        <v>938.56220728750316</v>
      </c>
      <c r="O18" s="19">
        <v>1147.3740565394023</v>
      </c>
      <c r="P18" s="19">
        <v>1352.189743902687</v>
      </c>
      <c r="Q18" s="19">
        <v>1244.6141205234571</v>
      </c>
      <c r="R18" s="19">
        <v>1247.6336608014667</v>
      </c>
      <c r="S18" s="19">
        <v>1277.5</v>
      </c>
      <c r="T18" s="19">
        <v>1190.9452697111785</v>
      </c>
      <c r="U18" s="19">
        <v>1403.5154142490701</v>
      </c>
      <c r="V18" s="19">
        <v>1197.2815214710477</v>
      </c>
      <c r="W18" s="19">
        <v>1349.9955527884015</v>
      </c>
      <c r="X18" s="19">
        <v>1533.2248298069687</v>
      </c>
      <c r="Y18" s="19">
        <v>1578.5575562065901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127.86334913112164</v>
      </c>
      <c r="E19" s="23">
        <v>140.78655096920593</v>
      </c>
      <c r="F19" s="23">
        <v>123.75132755621914</v>
      </c>
      <c r="G19" s="23">
        <v>129.6105533432758</v>
      </c>
      <c r="H19" s="23">
        <v>131.11252836569122</v>
      </c>
      <c r="I19" s="23">
        <v>137.58668515950072</v>
      </c>
      <c r="J19" s="23">
        <v>142.16650812473125</v>
      </c>
      <c r="K19" s="23">
        <v>142.74509803921569</v>
      </c>
      <c r="L19" s="23">
        <v>140.71800288257361</v>
      </c>
      <c r="M19" s="23">
        <v>86.937819083304092</v>
      </c>
      <c r="N19" s="23">
        <v>102.74693032473787</v>
      </c>
      <c r="O19" s="23">
        <v>125.86472953254743</v>
      </c>
      <c r="P19" s="23">
        <v>121.13260511380972</v>
      </c>
      <c r="Q19" s="23">
        <v>127.75807130403415</v>
      </c>
      <c r="R19" s="23">
        <v>128.23067572683973</v>
      </c>
      <c r="S19" s="23">
        <v>98.6</v>
      </c>
      <c r="T19" s="23">
        <v>98.408132708144521</v>
      </c>
      <c r="U19" s="23">
        <v>108.18843529044288</v>
      </c>
      <c r="V19" s="23">
        <v>113.81801905492679</v>
      </c>
      <c r="W19" s="23">
        <v>109.75718224673129</v>
      </c>
      <c r="X19" s="23">
        <v>117.0788050611645</v>
      </c>
      <c r="Y19" s="23">
        <v>113.97676026202311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3445.5634544497102</v>
      </c>
      <c r="E20" s="23">
        <v>3765.9203860843431</v>
      </c>
      <c r="F20" s="23">
        <v>3803.5062876140933</v>
      </c>
      <c r="G20" s="23">
        <v>4272.3820359465553</v>
      </c>
      <c r="H20" s="23">
        <v>4929.1784702549576</v>
      </c>
      <c r="I20" s="23">
        <v>5314.8404993065242</v>
      </c>
      <c r="J20" s="23">
        <v>5513.0894828058035</v>
      </c>
      <c r="K20" s="23">
        <v>5568.7481146304681</v>
      </c>
      <c r="L20" s="23">
        <v>5647.5338592379894</v>
      </c>
      <c r="M20" s="23">
        <v>4602.0443971518798</v>
      </c>
      <c r="N20" s="23">
        <v>5253.9332809264988</v>
      </c>
      <c r="O20" s="23">
        <v>6040.8771690408466</v>
      </c>
      <c r="P20" s="23">
        <v>6357.0716624966944</v>
      </c>
      <c r="Q20" s="23">
        <v>6189.1019860117403</v>
      </c>
      <c r="R20" s="23">
        <v>6331.9251539365796</v>
      </c>
      <c r="S20" s="23">
        <v>6428.0000000000036</v>
      </c>
      <c r="T20" s="23">
        <v>6473.1667914417467</v>
      </c>
      <c r="U20" s="23">
        <v>6791.1669774441725</v>
      </c>
      <c r="V20" s="23">
        <v>6893.0238506298383</v>
      </c>
      <c r="W20" s="23">
        <v>6996.3532864893687</v>
      </c>
      <c r="X20" s="23">
        <v>6786.9830769500049</v>
      </c>
      <c r="Y20" s="23">
        <v>7406.020606339911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579.74591890468662</v>
      </c>
      <c r="E21" s="23">
        <v>673.57016156095688</v>
      </c>
      <c r="F21" s="23">
        <v>716.49555942064683</v>
      </c>
      <c r="G21" s="23">
        <v>941.09869159453274</v>
      </c>
      <c r="H21" s="23">
        <v>956.64684158224941</v>
      </c>
      <c r="I21" s="23">
        <v>921.49791955617206</v>
      </c>
      <c r="J21" s="23">
        <v>877.49703548298828</v>
      </c>
      <c r="K21" s="23">
        <v>912.2171945701358</v>
      </c>
      <c r="L21" s="23">
        <v>869.3930092088325</v>
      </c>
      <c r="M21" s="23">
        <v>914.54510465366377</v>
      </c>
      <c r="N21" s="23">
        <v>897.59629756751065</v>
      </c>
      <c r="O21" s="23">
        <v>817.43840606334186</v>
      </c>
      <c r="P21" s="23">
        <v>839.18146498240469</v>
      </c>
      <c r="Q21" s="23">
        <v>824.56562255756626</v>
      </c>
      <c r="R21" s="23">
        <v>743.27959667616528</v>
      </c>
      <c r="S21" s="23">
        <v>605.70000000000005</v>
      </c>
      <c r="T21" s="23">
        <v>695.55538043264107</v>
      </c>
      <c r="U21" s="23">
        <v>667.39865024751771</v>
      </c>
      <c r="V21" s="23">
        <v>641.43670128707538</v>
      </c>
      <c r="W21" s="23">
        <v>648.40345103620029</v>
      </c>
      <c r="X21" s="23">
        <v>696.43513414185963</v>
      </c>
      <c r="Y21" s="23">
        <v>669.70604694032056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160.28172722485519</v>
      </c>
      <c r="E22" s="23">
        <v>174.50500982789205</v>
      </c>
      <c r="F22" s="23">
        <v>174.69870245809543</v>
      </c>
      <c r="G22" s="23">
        <v>193.10896203932904</v>
      </c>
      <c r="H22" s="23">
        <v>204.52961155688712</v>
      </c>
      <c r="I22" s="23">
        <v>197.2260748959778</v>
      </c>
      <c r="J22" s="23">
        <v>201.06592303983533</v>
      </c>
      <c r="K22" s="23">
        <v>225.76168929110105</v>
      </c>
      <c r="L22" s="23">
        <v>227.74532131894244</v>
      </c>
      <c r="M22" s="23">
        <v>224.02336453887864</v>
      </c>
      <c r="N22" s="23">
        <v>246.7919263942249</v>
      </c>
      <c r="O22" s="23">
        <v>315.76405874387211</v>
      </c>
      <c r="P22" s="23">
        <v>324.64758650149508</v>
      </c>
      <c r="Q22" s="23">
        <v>349.30559730655926</v>
      </c>
      <c r="R22" s="23">
        <v>377.71755375326308</v>
      </c>
      <c r="S22" s="23">
        <v>349.2</v>
      </c>
      <c r="T22" s="23">
        <v>360.82981992986328</v>
      </c>
      <c r="U22" s="23">
        <v>391.29570559115564</v>
      </c>
      <c r="V22" s="23">
        <v>374.06483790523691</v>
      </c>
      <c r="W22" s="23">
        <v>414.83589789202171</v>
      </c>
      <c r="X22" s="23">
        <v>420.88867888206369</v>
      </c>
      <c r="Y22" s="23">
        <v>437.30866717140128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1093.503159557662</v>
      </c>
      <c r="E23" s="23">
        <v>1157.4540166514855</v>
      </c>
      <c r="F23" s="23">
        <v>1311.5485847096309</v>
      </c>
      <c r="G23" s="23">
        <v>1595.3014252548392</v>
      </c>
      <c r="H23" s="23">
        <v>1773.1337970722157</v>
      </c>
      <c r="I23" s="23">
        <v>2053.5367545076283</v>
      </c>
      <c r="J23" s="23">
        <v>2678.6202942364575</v>
      </c>
      <c r="K23" s="23">
        <v>3518.3107088989441</v>
      </c>
      <c r="L23" s="23">
        <v>3614.8793609928375</v>
      </c>
      <c r="M23" s="23">
        <v>1812.3365670881492</v>
      </c>
      <c r="N23" s="23">
        <v>1630.4432068557003</v>
      </c>
      <c r="O23" s="23">
        <v>1930.800642445492</v>
      </c>
      <c r="P23" s="23">
        <v>1878.0130591322388</v>
      </c>
      <c r="Q23" s="23">
        <v>2127.7981522675805</v>
      </c>
      <c r="R23" s="23">
        <v>2444.8518422573384</v>
      </c>
      <c r="S23" s="23">
        <v>2496.6999999999998</v>
      </c>
      <c r="T23" s="23">
        <v>2311.1627723708575</v>
      </c>
      <c r="U23" s="23">
        <v>2404.7553691942185</v>
      </c>
      <c r="V23" s="23">
        <v>2629.1414321339507</v>
      </c>
      <c r="W23" s="23">
        <v>2860.001778884639</v>
      </c>
      <c r="X23" s="23">
        <v>2850.1426296354634</v>
      </c>
      <c r="Y23" s="23">
        <v>2937.8024293097205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3038.9349657714588</v>
      </c>
      <c r="E24" s="23">
        <v>3384.7899387954044</v>
      </c>
      <c r="F24" s="23">
        <v>3683.6029490988008</v>
      </c>
      <c r="G24" s="23">
        <v>4029.9195891822096</v>
      </c>
      <c r="H24" s="23">
        <v>4197.2323984397008</v>
      </c>
      <c r="I24" s="23">
        <v>4554.7850208044383</v>
      </c>
      <c r="J24" s="23">
        <v>4622.4312948749684</v>
      </c>
      <c r="K24" s="23">
        <v>5278.793363499246</v>
      </c>
      <c r="L24" s="23">
        <v>5617.0577945011046</v>
      </c>
      <c r="M24" s="23">
        <v>4802.6353026409633</v>
      </c>
      <c r="N24" s="23">
        <v>4901.1835826348824</v>
      </c>
      <c r="O24" s="23">
        <v>5209.0572217381741</v>
      </c>
      <c r="P24" s="23">
        <v>5593.3565224466556</v>
      </c>
      <c r="Q24" s="23">
        <v>5857.0312030301211</v>
      </c>
      <c r="R24" s="23">
        <v>6031.6242552258745</v>
      </c>
      <c r="S24" s="23">
        <v>6062.1</v>
      </c>
      <c r="T24" s="23">
        <v>6247.4880806966385</v>
      </c>
      <c r="U24" s="23">
        <v>6432.5265738435755</v>
      </c>
      <c r="V24" s="23">
        <v>6599.161437066673</v>
      </c>
      <c r="W24" s="23">
        <v>6605.3544427643865</v>
      </c>
      <c r="X24" s="23">
        <v>6604.0146304754908</v>
      </c>
      <c r="Y24" s="23">
        <v>6814.6581520129039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1540.2843601895734</v>
      </c>
      <c r="E25" s="23">
        <v>1638.3016124135065</v>
      </c>
      <c r="F25" s="23">
        <v>1873.9706629315522</v>
      </c>
      <c r="G25" s="23">
        <v>2135.4222721052874</v>
      </c>
      <c r="H25" s="23">
        <v>2260.6528929297124</v>
      </c>
      <c r="I25" s="23">
        <v>2506.1026352288491</v>
      </c>
      <c r="J25" s="23">
        <v>2774.266689253463</v>
      </c>
      <c r="K25" s="23">
        <v>3093.3333333333335</v>
      </c>
      <c r="L25" s="23">
        <v>3022.0813941974452</v>
      </c>
      <c r="M25" s="23">
        <v>2914.9073455665107</v>
      </c>
      <c r="N25" s="23">
        <v>3362.6368759618686</v>
      </c>
      <c r="O25" s="23">
        <v>3571.4510660186229</v>
      </c>
      <c r="P25" s="23">
        <v>3768.9428612111224</v>
      </c>
      <c r="Q25" s="23">
        <v>3977.3342151145312</v>
      </c>
      <c r="R25" s="23">
        <v>4099.8943865452438</v>
      </c>
      <c r="S25" s="23">
        <v>3936</v>
      </c>
      <c r="T25" s="23">
        <v>4031.4827219354584</v>
      </c>
      <c r="U25" s="23">
        <v>4319.7758615793809</v>
      </c>
      <c r="V25" s="23">
        <v>4571.90357439734</v>
      </c>
      <c r="W25" s="23">
        <v>4830.0275727119097</v>
      </c>
      <c r="X25" s="23">
        <v>4478.8330620745173</v>
      </c>
      <c r="Y25" s="23">
        <v>4712.4658481187662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276.46129541864138</v>
      </c>
      <c r="E26" s="23">
        <v>303.3063266056219</v>
      </c>
      <c r="F26" s="23">
        <v>326.15555110899049</v>
      </c>
      <c r="G26" s="23">
        <v>354.54559431743058</v>
      </c>
      <c r="H26" s="23">
        <v>364.26738650015574</v>
      </c>
      <c r="I26" s="23">
        <v>373.09292649098478</v>
      </c>
      <c r="J26" s="23">
        <v>387.27668391081693</v>
      </c>
      <c r="K26" s="23">
        <v>410.01508295625945</v>
      </c>
      <c r="L26" s="23">
        <v>428.7553223091395</v>
      </c>
      <c r="M26" s="23">
        <v>386.01297275269133</v>
      </c>
      <c r="N26" s="23">
        <v>375.88990134966065</v>
      </c>
      <c r="O26" s="23">
        <v>395.54487145841426</v>
      </c>
      <c r="P26" s="23">
        <v>424.11667785439676</v>
      </c>
      <c r="Q26" s="23">
        <v>451.41185194092066</v>
      </c>
      <c r="R26" s="23">
        <v>473.766016380049</v>
      </c>
      <c r="S26" s="23">
        <v>533.4</v>
      </c>
      <c r="T26" s="23">
        <v>580.30261239607546</v>
      </c>
      <c r="U26" s="23">
        <v>623.66894149495022</v>
      </c>
      <c r="V26" s="23">
        <v>676.69653704566429</v>
      </c>
      <c r="W26" s="23">
        <v>725.25126745530542</v>
      </c>
      <c r="X26" s="23">
        <v>504.89140897079159</v>
      </c>
      <c r="Y26" s="23">
        <v>585.60189604661116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871.51132174828854</v>
      </c>
      <c r="E27" s="23">
        <v>954.50405100915668</v>
      </c>
      <c r="F27" s="23">
        <v>1065.8929643368376</v>
      </c>
      <c r="G27" s="23">
        <v>1145.8925908273243</v>
      </c>
      <c r="H27" s="23">
        <v>1077.2288388235468</v>
      </c>
      <c r="I27" s="23">
        <v>1067.9611650485438</v>
      </c>
      <c r="J27" s="23">
        <v>1109.5763672613075</v>
      </c>
      <c r="K27" s="23">
        <v>1177.9185520361991</v>
      </c>
      <c r="L27" s="23">
        <v>1083.6056375218668</v>
      </c>
      <c r="M27" s="23">
        <v>1077.1007142938001</v>
      </c>
      <c r="N27" s="23">
        <v>1031.1230195197024</v>
      </c>
      <c r="O27" s="23">
        <v>917.26939671009131</v>
      </c>
      <c r="P27" s="23">
        <v>924.20821382803445</v>
      </c>
      <c r="Q27" s="23">
        <v>1026.7740836489709</v>
      </c>
      <c r="R27" s="23">
        <v>1035.3107626088515</v>
      </c>
      <c r="S27" s="23">
        <v>1153.4000000000001</v>
      </c>
      <c r="T27" s="23">
        <v>1240.3956026636195</v>
      </c>
      <c r="U27" s="23">
        <v>1310.0928546413122</v>
      </c>
      <c r="V27" s="23">
        <v>1389.6577238223124</v>
      </c>
      <c r="W27" s="23">
        <v>1525.0378012985857</v>
      </c>
      <c r="X27" s="23">
        <v>1624.7528044661451</v>
      </c>
      <c r="Y27" s="23">
        <v>1766.4340498370584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377.17219589257502</v>
      </c>
      <c r="E28" s="23">
        <v>383.04808475957623</v>
      </c>
      <c r="F28" s="23">
        <v>452.8313503363143</v>
      </c>
      <c r="G28" s="23">
        <v>440.03013483802528</v>
      </c>
      <c r="H28" s="23">
        <v>467.79288966673084</v>
      </c>
      <c r="I28" s="23">
        <v>581.27600554785022</v>
      </c>
      <c r="J28" s="23">
        <v>808.30325380174861</v>
      </c>
      <c r="K28" s="23">
        <v>1100.4524886877828</v>
      </c>
      <c r="L28" s="23">
        <v>1093.8376736970656</v>
      </c>
      <c r="M28" s="23">
        <v>701.50216778546292</v>
      </c>
      <c r="N28" s="23">
        <v>789.75630819650348</v>
      </c>
      <c r="O28" s="23">
        <v>788.36039932396261</v>
      </c>
      <c r="P28" s="23">
        <v>637.09037651797155</v>
      </c>
      <c r="Q28" s="23">
        <v>707.82981622878208</v>
      </c>
      <c r="R28" s="23">
        <v>659.78518621844046</v>
      </c>
      <c r="S28" s="23">
        <v>704.8</v>
      </c>
      <c r="T28" s="23">
        <v>749.34000551637178</v>
      </c>
      <c r="U28" s="23">
        <v>733.46647862260886</v>
      </c>
      <c r="V28" s="23">
        <v>838.10619970220966</v>
      </c>
      <c r="W28" s="23">
        <v>914.34670461620556</v>
      </c>
      <c r="X28" s="23">
        <v>988.08211266866181</v>
      </c>
      <c r="Y28" s="23">
        <v>1226.752032654136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1238.6453396524487</v>
      </c>
      <c r="E29" s="23">
        <v>1284.657302203685</v>
      </c>
      <c r="F29" s="23">
        <v>1310.163308654897</v>
      </c>
      <c r="G29" s="23">
        <v>1381.7438231269507</v>
      </c>
      <c r="H29" s="23">
        <v>1488.9577740533646</v>
      </c>
      <c r="I29" s="23">
        <v>1657.1428571428573</v>
      </c>
      <c r="J29" s="23">
        <v>1832.6579012522641</v>
      </c>
      <c r="K29" s="23">
        <v>2084.705882352941</v>
      </c>
      <c r="L29" s="23">
        <v>2234.8747400732746</v>
      </c>
      <c r="M29" s="23">
        <v>2020.7382922604966</v>
      </c>
      <c r="N29" s="23">
        <v>1840.8086892016076</v>
      </c>
      <c r="O29" s="23">
        <v>1816.4831358058389</v>
      </c>
      <c r="P29" s="23">
        <v>1861.5365838774637</v>
      </c>
      <c r="Q29" s="23">
        <v>1974.3882642938736</v>
      </c>
      <c r="R29" s="23">
        <v>2095.4307235518004</v>
      </c>
      <c r="S29" s="23">
        <v>2230.4</v>
      </c>
      <c r="T29" s="23">
        <v>2335.5924189290358</v>
      </c>
      <c r="U29" s="23">
        <v>2370.3963123172016</v>
      </c>
      <c r="V29" s="23">
        <v>2567.2083527445125</v>
      </c>
      <c r="W29" s="23">
        <v>2569.1541403539977</v>
      </c>
      <c r="X29" s="23">
        <v>2619.5726361106736</v>
      </c>
      <c r="Y29" s="23">
        <v>2675.8616149313671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477.06029489204843</v>
      </c>
      <c r="E30" s="23">
        <v>504.33865477731433</v>
      </c>
      <c r="F30" s="23">
        <v>542.56645477073675</v>
      </c>
      <c r="G30" s="23">
        <v>750.91096385356946</v>
      </c>
      <c r="H30" s="23">
        <v>823.01291844029481</v>
      </c>
      <c r="I30" s="23">
        <v>902.49653259361992</v>
      </c>
      <c r="J30" s="23">
        <v>993.34123871203167</v>
      </c>
      <c r="K30" s="23">
        <v>1226.6666666666665</v>
      </c>
      <c r="L30" s="23">
        <v>1159.4107227338241</v>
      </c>
      <c r="M30" s="23">
        <v>1121.022424976511</v>
      </c>
      <c r="N30" s="23">
        <v>1024.3691803496495</v>
      </c>
      <c r="O30" s="23">
        <v>1062.0295818855566</v>
      </c>
      <c r="P30" s="23">
        <v>1097.0077907284228</v>
      </c>
      <c r="Q30" s="23">
        <v>1162.4481452534119</v>
      </c>
      <c r="R30" s="23">
        <v>1222.326285793994</v>
      </c>
      <c r="S30" s="23">
        <v>1304.1999999999998</v>
      </c>
      <c r="T30" s="23">
        <v>1367.7646873399267</v>
      </c>
      <c r="U30" s="23">
        <v>1428.598472299785</v>
      </c>
      <c r="V30" s="23">
        <v>1504.8459437486868</v>
      </c>
      <c r="W30" s="23">
        <v>1596.1931868718314</v>
      </c>
      <c r="X30" s="23">
        <v>1597.6269228749936</v>
      </c>
      <c r="Y30" s="23">
        <v>1787.8304091642251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231.37177461822012</v>
      </c>
      <c r="E31" s="23">
        <v>248.33405244738483</v>
      </c>
      <c r="F31" s="23">
        <v>297.98827132940329</v>
      </c>
      <c r="G31" s="23">
        <v>329.17698067372891</v>
      </c>
      <c r="H31" s="23">
        <v>362.93253044213395</v>
      </c>
      <c r="I31" s="23">
        <v>448.12760055478509</v>
      </c>
      <c r="J31" s="23">
        <v>499.86317613791846</v>
      </c>
      <c r="K31" s="23">
        <v>620.69381598793359</v>
      </c>
      <c r="L31" s="23">
        <v>679.60524144304725</v>
      </c>
      <c r="M31" s="23">
        <v>639.35521117513213</v>
      </c>
      <c r="N31" s="23">
        <v>599.43090601091683</v>
      </c>
      <c r="O31" s="23">
        <v>602.24016124122159</v>
      </c>
      <c r="P31" s="23">
        <v>670.95868676389819</v>
      </c>
      <c r="Q31" s="23">
        <v>739.69418224814126</v>
      </c>
      <c r="R31" s="23">
        <v>782.93445987685072</v>
      </c>
      <c r="S31" s="23">
        <v>886.4</v>
      </c>
      <c r="T31" s="23">
        <v>990.58276527837972</v>
      </c>
      <c r="U31" s="23">
        <v>1086.0490870713402</v>
      </c>
      <c r="V31" s="23">
        <v>1190.1564769395195</v>
      </c>
      <c r="W31" s="23">
        <v>1281.241661478253</v>
      </c>
      <c r="X31" s="23">
        <v>1169.3880051101662</v>
      </c>
      <c r="Y31" s="23">
        <v>1455.1993153165015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1499.6379673512376</v>
      </c>
      <c r="E32" s="23">
        <v>1549.6108793965834</v>
      </c>
      <c r="F32" s="23">
        <v>1617.2328341208881</v>
      </c>
      <c r="G32" s="23">
        <v>1753.8168232345752</v>
      </c>
      <c r="H32" s="23">
        <v>1816.7390949675923</v>
      </c>
      <c r="I32" s="23">
        <v>1845.9084604715672</v>
      </c>
      <c r="J32" s="23">
        <v>1975.7365684575391</v>
      </c>
      <c r="K32" s="23">
        <v>2016.5309200603319</v>
      </c>
      <c r="L32" s="23">
        <v>2133.544575370498</v>
      </c>
      <c r="M32" s="23">
        <v>2038.7371376175865</v>
      </c>
      <c r="N32" s="23">
        <v>1882.7710669958697</v>
      </c>
      <c r="O32" s="23">
        <v>1860.257608045265</v>
      </c>
      <c r="P32" s="23">
        <v>1858.7905046683352</v>
      </c>
      <c r="Q32" s="23">
        <v>1907.8538648069098</v>
      </c>
      <c r="R32" s="23">
        <v>1993.1052348404849</v>
      </c>
      <c r="S32" s="23">
        <v>2057</v>
      </c>
      <c r="T32" s="23">
        <v>2085.188541707711</v>
      </c>
      <c r="U32" s="23">
        <v>2041.4769661804658</v>
      </c>
      <c r="V32" s="23">
        <v>2101.7967900760918</v>
      </c>
      <c r="W32" s="23">
        <v>2254.7362803522187</v>
      </c>
      <c r="X32" s="23">
        <v>2405.5406800721025</v>
      </c>
      <c r="Y32" s="23">
        <v>2376.72405279963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1098.2754081095313</v>
      </c>
      <c r="E33" s="23">
        <v>1152.340316729789</v>
      </c>
      <c r="F33" s="23">
        <v>1179.6395203866462</v>
      </c>
      <c r="G33" s="23">
        <v>1181.8698974493013</v>
      </c>
      <c r="H33" s="23">
        <v>1233.555314951871</v>
      </c>
      <c r="I33" s="23">
        <v>1200</v>
      </c>
      <c r="J33" s="23">
        <v>1253.958118867359</v>
      </c>
      <c r="K33" s="23">
        <v>1339.9698340874811</v>
      </c>
      <c r="L33" s="23">
        <v>1520.9426675908505</v>
      </c>
      <c r="M33" s="23">
        <v>1697.21187697393</v>
      </c>
      <c r="N33" s="23">
        <v>1511.0884752931277</v>
      </c>
      <c r="O33" s="23">
        <v>1452.8505894332413</v>
      </c>
      <c r="P33" s="23">
        <v>1427.4526555603018</v>
      </c>
      <c r="Q33" s="23">
        <v>1445.2193430730074</v>
      </c>
      <c r="R33" s="23">
        <v>1453.7791682442262</v>
      </c>
      <c r="S33" s="23">
        <v>1517.3</v>
      </c>
      <c r="T33" s="23">
        <v>1567.5361519366404</v>
      </c>
      <c r="U33" s="23">
        <v>1576.4465352251323</v>
      </c>
      <c r="V33" s="23">
        <v>1672.6498771386553</v>
      </c>
      <c r="W33" s="23">
        <v>1801.9211954104776</v>
      </c>
      <c r="X33" s="23">
        <v>1957.0011025358324</v>
      </c>
      <c r="Y33" s="23">
        <v>2022.2028374864217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606.24012638230647</v>
      </c>
      <c r="E34" s="23">
        <v>603.41659076018345</v>
      </c>
      <c r="F34" s="23">
        <v>608.5979467130478</v>
      </c>
      <c r="G34" s="23">
        <v>616.07293860795505</v>
      </c>
      <c r="H34" s="23">
        <v>662.38523945834504</v>
      </c>
      <c r="I34" s="23">
        <v>715.25658807212221</v>
      </c>
      <c r="J34" s="23">
        <v>842.05313978186382</v>
      </c>
      <c r="K34" s="23">
        <v>945.52036199095028</v>
      </c>
      <c r="L34" s="23">
        <v>1056.3202077213364</v>
      </c>
      <c r="M34" s="23">
        <v>1085.8171362591834</v>
      </c>
      <c r="N34" s="23">
        <v>1001.7825706661943</v>
      </c>
      <c r="O34" s="23">
        <v>1023.2938978175749</v>
      </c>
      <c r="P34" s="23">
        <v>1054.392709668233</v>
      </c>
      <c r="Q34" s="23">
        <v>1100.6232589831461</v>
      </c>
      <c r="R34" s="23">
        <v>1164.8366976864675</v>
      </c>
      <c r="S34" s="23">
        <v>1252</v>
      </c>
      <c r="T34" s="23">
        <v>1354.8603175854053</v>
      </c>
      <c r="U34" s="23">
        <v>1438.0637772245832</v>
      </c>
      <c r="V34" s="23">
        <v>1571.8944397248638</v>
      </c>
      <c r="W34" s="23">
        <v>1762.7857333451925</v>
      </c>
      <c r="X34" s="23">
        <v>1947.5507954008503</v>
      </c>
      <c r="Y34" s="23">
        <v>2170.742947430791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119.14165350184315</v>
      </c>
      <c r="E35" s="23">
        <v>120.4915544049731</v>
      </c>
      <c r="F35" s="23">
        <v>172.08206991026486</v>
      </c>
      <c r="G35" s="23">
        <v>168.20159591642189</v>
      </c>
      <c r="H35" s="23">
        <v>205.12288091600792</v>
      </c>
      <c r="I35" s="23">
        <v>265.04854368932035</v>
      </c>
      <c r="J35" s="23">
        <v>268.43538655998748</v>
      </c>
      <c r="K35" s="23">
        <v>269.80392156862752</v>
      </c>
      <c r="L35" s="23">
        <v>257.12116711225531</v>
      </c>
      <c r="M35" s="23">
        <v>276.20869604591405</v>
      </c>
      <c r="N35" s="23">
        <v>250.99923604114301</v>
      </c>
      <c r="O35" s="23">
        <v>253.1991056150996</v>
      </c>
      <c r="P35" s="23">
        <v>263.01336425215112</v>
      </c>
      <c r="Q35" s="23">
        <v>291.88961702639318</v>
      </c>
      <c r="R35" s="23">
        <v>323.01775501663906</v>
      </c>
      <c r="S35" s="23">
        <v>366.79999999999995</v>
      </c>
      <c r="T35" s="23">
        <v>408.60554001339688</v>
      </c>
      <c r="U35" s="23">
        <v>424.61357892644509</v>
      </c>
      <c r="V35" s="23">
        <v>442.48353475286143</v>
      </c>
      <c r="W35" s="23">
        <v>461.97634083429688</v>
      </c>
      <c r="X35" s="23">
        <v>411.43837174708176</v>
      </c>
      <c r="Y35" s="23">
        <v>427.10424964613719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297.85413375460769</v>
      </c>
      <c r="E36" s="23">
        <v>310.17786087540151</v>
      </c>
      <c r="F36" s="23">
        <v>346.01117456017488</v>
      </c>
      <c r="G36" s="23">
        <v>353.77684844943963</v>
      </c>
      <c r="H36" s="23">
        <v>330.59935037005175</v>
      </c>
      <c r="I36" s="23">
        <v>290.42995839112348</v>
      </c>
      <c r="J36" s="23">
        <v>263.22304895688092</v>
      </c>
      <c r="K36" s="23">
        <v>249.65309200603318</v>
      </c>
      <c r="L36" s="23">
        <v>252.72029133797625</v>
      </c>
      <c r="M36" s="23">
        <v>266.13387065735407</v>
      </c>
      <c r="N36" s="23">
        <v>250.33492399162967</v>
      </c>
      <c r="O36" s="23">
        <v>248.68519121151365</v>
      </c>
      <c r="P36" s="23">
        <v>263.52189743902687</v>
      </c>
      <c r="Q36" s="23">
        <v>301.70945309525246</v>
      </c>
      <c r="R36" s="23">
        <v>323.11739035131421</v>
      </c>
      <c r="S36" s="23">
        <v>338.9</v>
      </c>
      <c r="T36" s="23">
        <v>353.44182197880133</v>
      </c>
      <c r="U36" s="23">
        <v>366.30730058968851</v>
      </c>
      <c r="V36" s="23">
        <v>375.61773222621105</v>
      </c>
      <c r="W36" s="23">
        <v>383.34963977586051</v>
      </c>
      <c r="X36" s="23">
        <v>366.98692707512993</v>
      </c>
      <c r="Y36" s="23">
        <v>375.67069357121693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16.785150078988938</v>
      </c>
      <c r="E37" s="23">
        <v>19.495980951467793</v>
      </c>
      <c r="F37" s="23">
        <v>25.242808108482507</v>
      </c>
      <c r="G37" s="23">
        <v>32.441075629218496</v>
      </c>
      <c r="H37" s="23">
        <v>31.888228052741646</v>
      </c>
      <c r="I37" s="23">
        <v>42.857142857142861</v>
      </c>
      <c r="J37" s="23">
        <v>32.316493139260629</v>
      </c>
      <c r="K37" s="23">
        <v>30.889894419306184</v>
      </c>
      <c r="L37" s="23">
        <v>30.586086631239613</v>
      </c>
      <c r="M37" s="23">
        <v>25.809665040355902</v>
      </c>
      <c r="N37" s="23">
        <v>26.461763305616756</v>
      </c>
      <c r="O37" s="23">
        <v>26.033738885797966</v>
      </c>
      <c r="P37" s="23">
        <v>26.138605805414862</v>
      </c>
      <c r="Q37" s="23">
        <v>26.954447984929558</v>
      </c>
      <c r="R37" s="23">
        <v>27.499352370324612</v>
      </c>
      <c r="S37" s="23">
        <v>29.1</v>
      </c>
      <c r="T37" s="23">
        <v>31.719137869892435</v>
      </c>
      <c r="U37" s="23">
        <v>33.223220286041517</v>
      </c>
      <c r="V37" s="23">
        <v>35.533875932878423</v>
      </c>
      <c r="W37" s="23">
        <v>40.113848616917188</v>
      </c>
      <c r="X37" s="23">
        <v>40.863828074412417</v>
      </c>
      <c r="Y37" s="23">
        <v>39.171796306659203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18243.154291732488</v>
      </c>
      <c r="E39" s="30">
        <f t="shared" ref="E39:S39" si="2">SUM(E18:E38)</f>
        <v>19433.497930549562</v>
      </c>
      <c r="F39" s="30">
        <f t="shared" si="2"/>
        <v>20745.740276131699</v>
      </c>
      <c r="G39" s="30">
        <f t="shared" si="2"/>
        <v>22937.53171076706</v>
      </c>
      <c r="H39" s="30">
        <f t="shared" si="2"/>
        <v>24444.625721193068</v>
      </c>
      <c r="I39" s="30">
        <f t="shared" si="2"/>
        <v>26334.674063800285</v>
      </c>
      <c r="J39" s="30">
        <f t="shared" si="2"/>
        <v>28287.095555179101</v>
      </c>
      <c r="K39" s="30">
        <f t="shared" si="2"/>
        <v>31429.381598793367</v>
      </c>
      <c r="L39" s="30">
        <f t="shared" si="2"/>
        <v>32250.717892860674</v>
      </c>
      <c r="M39" s="30">
        <f t="shared" si="2"/>
        <v>27465.332412637683</v>
      </c>
      <c r="N39" s="30">
        <f t="shared" si="2"/>
        <v>27918.710348874538</v>
      </c>
      <c r="O39" s="30">
        <f t="shared" si="2"/>
        <v>29604.87502755587</v>
      </c>
      <c r="P39" s="30">
        <f t="shared" si="2"/>
        <v>30742.763572750755</v>
      </c>
      <c r="Q39" s="30">
        <f t="shared" si="2"/>
        <v>31834.305296699331</v>
      </c>
      <c r="R39" s="30">
        <f t="shared" si="2"/>
        <v>32960.066157862209</v>
      </c>
      <c r="S39" s="30">
        <f t="shared" si="2"/>
        <v>33627.500000000015</v>
      </c>
      <c r="T39" s="30">
        <f t="shared" ref="T39:Y39" si="3">SUM(T18:T38)</f>
        <v>34474.368572441788</v>
      </c>
      <c r="U39" s="30">
        <f t="shared" si="3"/>
        <v>35951.026512319091</v>
      </c>
      <c r="V39" s="30">
        <f t="shared" si="3"/>
        <v>37386.478857800546</v>
      </c>
      <c r="W39" s="30">
        <f t="shared" si="3"/>
        <v>39130.836965222792</v>
      </c>
      <c r="X39" s="30">
        <f t="shared" si="3"/>
        <v>39121.296442134379</v>
      </c>
      <c r="Y39" s="30">
        <f t="shared" si="3"/>
        <v>41579.791961552393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872.33412322274876</v>
      </c>
      <c r="E41" s="19">
        <v>910.39838918452483</v>
      </c>
      <c r="F41" s="19">
        <v>875.95622527667047</v>
      </c>
      <c r="G41" s="19">
        <v>934.48747712981037</v>
      </c>
      <c r="H41" s="19">
        <v>972.07184491938949</v>
      </c>
      <c r="I41" s="19">
        <v>1022.4687933425798</v>
      </c>
      <c r="J41" s="19">
        <v>1034.1277804563401</v>
      </c>
      <c r="K41" s="19">
        <v>1160.6636500754148</v>
      </c>
      <c r="L41" s="19">
        <v>1100.2189435697703</v>
      </c>
      <c r="M41" s="19">
        <v>1226.6382911284934</v>
      </c>
      <c r="N41" s="19">
        <v>1252.6710880324185</v>
      </c>
      <c r="O41" s="19">
        <v>1350.1852804400542</v>
      </c>
      <c r="P41" s="19">
        <v>1398.059437358882</v>
      </c>
      <c r="Q41" s="19">
        <v>1468.9673139742279</v>
      </c>
      <c r="R41" s="19">
        <v>1470.7171751389913</v>
      </c>
      <c r="S41" s="19">
        <v>1440.4</v>
      </c>
      <c r="T41" s="19">
        <v>1417.2150202923676</v>
      </c>
      <c r="U41" s="19">
        <v>1441.5659400467587</v>
      </c>
      <c r="V41" s="19">
        <v>1413.9559526093192</v>
      </c>
      <c r="W41" s="19">
        <v>1437.427732811527</v>
      </c>
      <c r="X41" s="19">
        <v>1423.7587721600953</v>
      </c>
      <c r="Y41" s="19">
        <v>1367.4742420751177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689.67219589257502</v>
      </c>
      <c r="E42" s="23">
        <v>747.07959793534371</v>
      </c>
      <c r="F42" s="23">
        <v>700.64184457202668</v>
      </c>
      <c r="G42" s="23">
        <v>688.4887993727034</v>
      </c>
      <c r="H42" s="23">
        <v>694.57010219064705</v>
      </c>
      <c r="I42" s="23">
        <v>627.73925104022192</v>
      </c>
      <c r="J42" s="23">
        <v>572.70559414133254</v>
      </c>
      <c r="K42" s="23">
        <v>535.02262443438917</v>
      </c>
      <c r="L42" s="23">
        <v>436.12678923105693</v>
      </c>
      <c r="M42" s="23">
        <v>350.80768403536371</v>
      </c>
      <c r="N42" s="23">
        <v>409.54837852500577</v>
      </c>
      <c r="O42" s="23">
        <v>468.18740093007636</v>
      </c>
      <c r="P42" s="23">
        <v>477.41095583897805</v>
      </c>
      <c r="Q42" s="23">
        <v>490.79139862522294</v>
      </c>
      <c r="R42" s="23">
        <v>520.29571767331572</v>
      </c>
      <c r="S42" s="23">
        <v>510.6</v>
      </c>
      <c r="T42" s="23">
        <v>528.29110682059957</v>
      </c>
      <c r="U42" s="23">
        <v>513.01952692405985</v>
      </c>
      <c r="V42" s="23">
        <v>479.9356919057667</v>
      </c>
      <c r="W42" s="23">
        <v>457.08440807613624</v>
      </c>
      <c r="X42" s="23">
        <v>407.23823524264537</v>
      </c>
      <c r="Y42" s="23">
        <v>402.58073010961516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359.07056345444971</v>
      </c>
      <c r="E43" s="23">
        <v>410.05481247103575</v>
      </c>
      <c r="F43" s="23">
        <v>446.67456787083074</v>
      </c>
      <c r="G43" s="23">
        <v>532.43338817053859</v>
      </c>
      <c r="H43" s="23">
        <v>584.81527075330371</v>
      </c>
      <c r="I43" s="23">
        <v>608.04438280166437</v>
      </c>
      <c r="J43" s="23">
        <v>627.04421365371832</v>
      </c>
      <c r="K43" s="23">
        <v>651.46304675716442</v>
      </c>
      <c r="L43" s="23">
        <v>594.55831710510392</v>
      </c>
      <c r="M43" s="23">
        <v>484.7236215035262</v>
      </c>
      <c r="N43" s="23">
        <v>576.95501500238038</v>
      </c>
      <c r="O43" s="23">
        <v>657.03698260568331</v>
      </c>
      <c r="P43" s="23">
        <v>664.85628852138893</v>
      </c>
      <c r="Q43" s="23">
        <v>736.38750275556617</v>
      </c>
      <c r="R43" s="23">
        <v>775.76071578024425</v>
      </c>
      <c r="S43" s="23">
        <v>773.6</v>
      </c>
      <c r="T43" s="23">
        <v>804.30671027227231</v>
      </c>
      <c r="U43" s="23">
        <v>808.52634667625819</v>
      </c>
      <c r="V43" s="23">
        <v>819.74550802480974</v>
      </c>
      <c r="W43" s="23">
        <v>811.61611669483227</v>
      </c>
      <c r="X43" s="23">
        <v>787.43809173798149</v>
      </c>
      <c r="Y43" s="23">
        <v>893.13341452977386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344.91837809373419</v>
      </c>
      <c r="E44" s="23">
        <v>416.9263467408141</v>
      </c>
      <c r="F44" s="23">
        <v>371.2539826686575</v>
      </c>
      <c r="G44" s="23">
        <v>428.19144847096413</v>
      </c>
      <c r="H44" s="23">
        <v>606.76623704077338</v>
      </c>
      <c r="I44" s="23">
        <v>756.44937586685057</v>
      </c>
      <c r="J44" s="23">
        <v>655.32114515057094</v>
      </c>
      <c r="K44" s="23">
        <v>365.36953242835619</v>
      </c>
      <c r="L44" s="23">
        <v>586.08663123961651</v>
      </c>
      <c r="M44" s="23">
        <v>422.91626574898902</v>
      </c>
      <c r="N44" s="23">
        <v>598.65587528648541</v>
      </c>
      <c r="O44" s="23">
        <v>729.15463830948602</v>
      </c>
      <c r="P44" s="23">
        <v>753.13764976302355</v>
      </c>
      <c r="Q44" s="23">
        <v>403.61530291188217</v>
      </c>
      <c r="R44" s="23">
        <v>346.73096466931031</v>
      </c>
      <c r="S44" s="23">
        <v>384.30000000000013</v>
      </c>
      <c r="T44" s="23">
        <v>399.64143583277581</v>
      </c>
      <c r="U44" s="23">
        <v>414.58035570615823</v>
      </c>
      <c r="V44" s="23">
        <v>404.02656362756045</v>
      </c>
      <c r="W44" s="23">
        <v>388.8641821577877</v>
      </c>
      <c r="X44" s="23">
        <v>172.81811658878834</v>
      </c>
      <c r="Y44" s="23">
        <v>114.63510977978298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201.25724065297524</v>
      </c>
      <c r="E45" s="23">
        <v>175.78343480831617</v>
      </c>
      <c r="F45" s="23">
        <v>184.70347396450617</v>
      </c>
      <c r="G45" s="23">
        <v>194.64645377531096</v>
      </c>
      <c r="H45" s="23">
        <v>238.19764768699108</v>
      </c>
      <c r="I45" s="23">
        <v>283.77253814147019</v>
      </c>
      <c r="J45" s="23">
        <v>378.15509310538044</v>
      </c>
      <c r="K45" s="23">
        <v>550.70889894419304</v>
      </c>
      <c r="L45" s="23">
        <v>652.7598992199446</v>
      </c>
      <c r="M45" s="23">
        <v>431.17988657331415</v>
      </c>
      <c r="N45" s="23">
        <v>539.08922818011717</v>
      </c>
      <c r="O45" s="23">
        <v>679.29163036289776</v>
      </c>
      <c r="P45" s="23">
        <v>659.36413010313049</v>
      </c>
      <c r="Q45" s="23">
        <v>496.70334074831158</v>
      </c>
      <c r="R45" s="23">
        <v>503.45734611322558</v>
      </c>
      <c r="S45" s="23">
        <v>532.5</v>
      </c>
      <c r="T45" s="23">
        <v>456.282753457583</v>
      </c>
      <c r="U45" s="23">
        <v>501.09324271881417</v>
      </c>
      <c r="V45" s="23">
        <v>563.70063851360612</v>
      </c>
      <c r="W45" s="23">
        <v>592.81330605710218</v>
      </c>
      <c r="X45" s="23">
        <v>790.50069127246638</v>
      </c>
      <c r="Y45" s="23">
        <v>1034.0202113301953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236.14402317008953</v>
      </c>
      <c r="E47" s="23">
        <v>291.00148616903977</v>
      </c>
      <c r="F47" s="23">
        <v>319.69092952023277</v>
      </c>
      <c r="G47" s="23">
        <v>412.81653111114531</v>
      </c>
      <c r="H47" s="23">
        <v>448.06668347596519</v>
      </c>
      <c r="I47" s="23">
        <v>548.95977808599173</v>
      </c>
      <c r="J47" s="23">
        <v>672.13093392059</v>
      </c>
      <c r="K47" s="23">
        <v>662.56410256410254</v>
      </c>
      <c r="L47" s="23">
        <v>585.09643419040378</v>
      </c>
      <c r="M47" s="23">
        <v>375.25894565254305</v>
      </c>
      <c r="N47" s="23">
        <v>435.34582978110916</v>
      </c>
      <c r="O47" s="23">
        <v>509.86237809806744</v>
      </c>
      <c r="P47" s="23">
        <v>550.02949492483867</v>
      </c>
      <c r="Q47" s="23">
        <v>625.76404336760254</v>
      </c>
      <c r="R47" s="23">
        <v>658.68919753701448</v>
      </c>
      <c r="S47" s="23">
        <v>624.79999999999995</v>
      </c>
      <c r="T47" s="23">
        <v>656.15272469364436</v>
      </c>
      <c r="U47" s="23">
        <v>686.23460704786601</v>
      </c>
      <c r="V47" s="23">
        <v>687.47545056771992</v>
      </c>
      <c r="W47" s="23">
        <v>678.37765720892992</v>
      </c>
      <c r="X47" s="23">
        <v>628.97044153935008</v>
      </c>
      <c r="Y47" s="23">
        <v>683.44909312353923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117.66061084781464</v>
      </c>
      <c r="E48" s="23">
        <v>121.45037314029116</v>
      </c>
      <c r="F48" s="23">
        <v>114.51615385799384</v>
      </c>
      <c r="G48" s="23">
        <v>164.51161575006535</v>
      </c>
      <c r="H48" s="23">
        <v>215.65341204040163</v>
      </c>
      <c r="I48" s="23">
        <v>269.62552011095704</v>
      </c>
      <c r="J48" s="23">
        <v>309.22192830429628</v>
      </c>
      <c r="K48" s="23">
        <v>381.41779788838619</v>
      </c>
      <c r="L48" s="23">
        <v>344.80861691476599</v>
      </c>
      <c r="M48" s="23">
        <v>214.85414143243642</v>
      </c>
      <c r="N48" s="23">
        <v>249.67061194211627</v>
      </c>
      <c r="O48" s="23">
        <v>325.21178656533107</v>
      </c>
      <c r="P48" s="23">
        <v>339.49675555826775</v>
      </c>
      <c r="Q48" s="23">
        <v>335.47766488306377</v>
      </c>
      <c r="R48" s="23">
        <v>342.34700994360639</v>
      </c>
      <c r="S48" s="23">
        <v>356.1</v>
      </c>
      <c r="T48" s="23">
        <v>375.01477599590208</v>
      </c>
      <c r="U48" s="23">
        <v>423.19378318772539</v>
      </c>
      <c r="V48" s="23">
        <v>430.15172690983167</v>
      </c>
      <c r="W48" s="23">
        <v>444.63221560081826</v>
      </c>
      <c r="X48" s="23">
        <v>431.91403720620923</v>
      </c>
      <c r="Y48" s="23">
        <v>499.19352184074523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157.9778830963665</v>
      </c>
      <c r="E49" s="23">
        <v>166.99426306790036</v>
      </c>
      <c r="F49" s="23">
        <v>177.77709369083718</v>
      </c>
      <c r="G49" s="23">
        <v>203.25640749680969</v>
      </c>
      <c r="H49" s="23">
        <v>253.17769900479064</v>
      </c>
      <c r="I49" s="23">
        <v>217.75312066574205</v>
      </c>
      <c r="J49" s="23">
        <v>163.01585853715744</v>
      </c>
      <c r="K49" s="23">
        <v>140.21116138763199</v>
      </c>
      <c r="L49" s="23">
        <v>127.84544124280731</v>
      </c>
      <c r="M49" s="23">
        <v>133.34993604183882</v>
      </c>
      <c r="N49" s="23">
        <v>152.57033403824224</v>
      </c>
      <c r="O49" s="23">
        <v>135.20748260043462</v>
      </c>
      <c r="P49" s="23">
        <v>133.6425215109538</v>
      </c>
      <c r="Q49" s="23">
        <v>124.95240385578869</v>
      </c>
      <c r="R49" s="23">
        <v>134.60733714604547</v>
      </c>
      <c r="S49" s="23">
        <v>162</v>
      </c>
      <c r="T49" s="23">
        <v>167.65830016943141</v>
      </c>
      <c r="U49" s="23">
        <v>203.69336198165624</v>
      </c>
      <c r="V49" s="23">
        <v>202.60703552474126</v>
      </c>
      <c r="W49" s="23">
        <v>233.03388775237926</v>
      </c>
      <c r="X49" s="23">
        <v>236.69519259375932</v>
      </c>
      <c r="Y49" s="23">
        <v>341.02505019915071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65.165876777251185</v>
      </c>
      <c r="E50" s="23">
        <v>73.349633251833737</v>
      </c>
      <c r="F50" s="23">
        <v>84.04008065385031</v>
      </c>
      <c r="G50" s="23">
        <v>101.16695622761029</v>
      </c>
      <c r="H50" s="23">
        <v>113.31444759206799</v>
      </c>
      <c r="I50" s="23">
        <v>115.53398058252428</v>
      </c>
      <c r="J50" s="23">
        <v>119.88376487145072</v>
      </c>
      <c r="K50" s="23">
        <v>111.25188536953243</v>
      </c>
      <c r="L50" s="23">
        <v>92.638435048574664</v>
      </c>
      <c r="M50" s="23">
        <v>58.071746340800779</v>
      </c>
      <c r="N50" s="23">
        <v>71.081389297932887</v>
      </c>
      <c r="O50" s="23">
        <v>83.979802857412793</v>
      </c>
      <c r="P50" s="23">
        <v>107.40220906816378</v>
      </c>
      <c r="Q50" s="23">
        <v>115.73378224012505</v>
      </c>
      <c r="R50" s="23">
        <v>120.95729629555825</v>
      </c>
      <c r="S50" s="23">
        <v>123.1</v>
      </c>
      <c r="T50" s="23">
        <v>125.7929784467473</v>
      </c>
      <c r="U50" s="23">
        <v>136.11108481859745</v>
      </c>
      <c r="V50" s="23">
        <v>133.64025832853764</v>
      </c>
      <c r="W50" s="23">
        <v>132.97162679000266</v>
      </c>
      <c r="X50" s="23">
        <v>129.06669466757671</v>
      </c>
      <c r="Y50" s="23">
        <v>137.01899338358734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46.73512374934176</v>
      </c>
      <c r="E51" s="23">
        <v>56.570305383767199</v>
      </c>
      <c r="F51" s="23">
        <v>71.110837476334879</v>
      </c>
      <c r="G51" s="23">
        <v>67.957134730400824</v>
      </c>
      <c r="H51" s="23">
        <v>79.943046141524405</v>
      </c>
      <c r="I51" s="23">
        <v>91.678224687933422</v>
      </c>
      <c r="J51" s="23">
        <v>108.15600526446097</v>
      </c>
      <c r="K51" s="23">
        <v>125.00754147812971</v>
      </c>
      <c r="L51" s="23">
        <v>162.61235985961207</v>
      </c>
      <c r="M51" s="23">
        <v>118.29429810163121</v>
      </c>
      <c r="N51" s="23">
        <v>133.08384725251608</v>
      </c>
      <c r="O51" s="23">
        <v>165.02031261481613</v>
      </c>
      <c r="P51" s="23">
        <v>179.51221496714876</v>
      </c>
      <c r="Q51" s="23">
        <v>201.20643700274553</v>
      </c>
      <c r="R51" s="23">
        <v>191.00093657214595</v>
      </c>
      <c r="S51" s="23">
        <v>191.4</v>
      </c>
      <c r="T51" s="23">
        <v>191.00437369478701</v>
      </c>
      <c r="U51" s="23">
        <v>226.78870599816372</v>
      </c>
      <c r="V51" s="23">
        <v>218.86675253258795</v>
      </c>
      <c r="W51" s="23">
        <v>217.82442408609799</v>
      </c>
      <c r="X51" s="23">
        <v>212.80691622477732</v>
      </c>
      <c r="Y51" s="23">
        <v>222.35754962309488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115.02764612954188</v>
      </c>
      <c r="E52" s="23">
        <v>120.49155440497309</v>
      </c>
      <c r="F52" s="23">
        <v>127.13755791223508</v>
      </c>
      <c r="G52" s="23">
        <v>176.35030211712612</v>
      </c>
      <c r="H52" s="23">
        <v>209.42408376963348</v>
      </c>
      <c r="I52" s="23">
        <v>214.14701803051318</v>
      </c>
      <c r="J52" s="23">
        <v>228.95192921645534</v>
      </c>
      <c r="K52" s="23">
        <v>204.04223227752641</v>
      </c>
      <c r="L52" s="23">
        <v>227.9653651076564</v>
      </c>
      <c r="M52" s="23">
        <v>144.21716342725185</v>
      </c>
      <c r="N52" s="23">
        <v>160.65279730732183</v>
      </c>
      <c r="O52" s="23">
        <v>135.20748260043462</v>
      </c>
      <c r="P52" s="23">
        <v>165.17157909725188</v>
      </c>
      <c r="Q52" s="23">
        <v>186.37648049059098</v>
      </c>
      <c r="R52" s="23">
        <v>181.43594444333738</v>
      </c>
      <c r="S52" s="23">
        <v>197.3</v>
      </c>
      <c r="T52" s="23">
        <v>214.05492730210014</v>
      </c>
      <c r="U52" s="23">
        <v>241.36527558235289</v>
      </c>
      <c r="V52" s="23">
        <v>256.50160313501959</v>
      </c>
      <c r="W52" s="23">
        <v>274.57084408076133</v>
      </c>
      <c r="X52" s="23">
        <v>271.87133581841408</v>
      </c>
      <c r="Y52" s="23">
        <v>311.39932189999672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239.59978936282255</v>
      </c>
      <c r="E53" s="23">
        <v>275.82018952650338</v>
      </c>
      <c r="F53" s="23">
        <v>330.00354014991768</v>
      </c>
      <c r="G53" s="23">
        <v>368.07552159407146</v>
      </c>
      <c r="H53" s="23">
        <v>513.17799563947017</v>
      </c>
      <c r="I53" s="23">
        <v>558.66851595007483</v>
      </c>
      <c r="J53" s="23">
        <v>644.37523618405157</v>
      </c>
      <c r="K53" s="23">
        <v>681.02564102564065</v>
      </c>
      <c r="L53" s="23">
        <v>736.81662650867656</v>
      </c>
      <c r="M53" s="23">
        <v>641.73241716569146</v>
      </c>
      <c r="N53" s="23">
        <v>674.60888628085377</v>
      </c>
      <c r="O53" s="23">
        <v>802.53199105615295</v>
      </c>
      <c r="P53" s="23">
        <v>928.98842578466702</v>
      </c>
      <c r="Q53" s="23">
        <v>1003.1263151566127</v>
      </c>
      <c r="R53" s="23">
        <v>1085.9255126237849</v>
      </c>
      <c r="S53" s="23">
        <v>1131.9000000000033</v>
      </c>
      <c r="T53" s="23">
        <v>1137.7516844635365</v>
      </c>
      <c r="U53" s="23">
        <v>1194.9947467557613</v>
      </c>
      <c r="V53" s="23">
        <v>1282.4166689503381</v>
      </c>
      <c r="W53" s="23">
        <v>1327.1368851729949</v>
      </c>
      <c r="X53" s="23">
        <v>1293.9045518979419</v>
      </c>
      <c r="Y53" s="23">
        <v>1399.7333684453124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3445.5634544497107</v>
      </c>
      <c r="E54" s="30">
        <f t="shared" ref="E54:S54" si="4">SUM(E41:E53)</f>
        <v>3765.9203860843431</v>
      </c>
      <c r="F54" s="30">
        <f t="shared" si="4"/>
        <v>3803.5062876140933</v>
      </c>
      <c r="G54" s="30">
        <f t="shared" si="4"/>
        <v>4272.3820359465553</v>
      </c>
      <c r="H54" s="30">
        <f t="shared" si="4"/>
        <v>4929.1784702549576</v>
      </c>
      <c r="I54" s="30">
        <f t="shared" si="4"/>
        <v>5314.8404993065242</v>
      </c>
      <c r="J54" s="30">
        <f t="shared" si="4"/>
        <v>5513.0894828058035</v>
      </c>
      <c r="K54" s="30">
        <f t="shared" si="4"/>
        <v>5568.7481146304681</v>
      </c>
      <c r="L54" s="30">
        <f t="shared" si="4"/>
        <v>5647.5338592379894</v>
      </c>
      <c r="M54" s="30">
        <f t="shared" si="4"/>
        <v>4602.0443971518798</v>
      </c>
      <c r="N54" s="30">
        <f t="shared" si="4"/>
        <v>5253.9332809264988</v>
      </c>
      <c r="O54" s="30">
        <f t="shared" si="4"/>
        <v>6040.8771690408466</v>
      </c>
      <c r="P54" s="30">
        <f t="shared" si="4"/>
        <v>6357.0716624966944</v>
      </c>
      <c r="Q54" s="30">
        <f t="shared" si="4"/>
        <v>6189.1019860117403</v>
      </c>
      <c r="R54" s="30">
        <f t="shared" si="4"/>
        <v>6331.9251539365796</v>
      </c>
      <c r="S54" s="30">
        <f t="shared" si="4"/>
        <v>6428.0000000000036</v>
      </c>
      <c r="T54" s="30">
        <f t="shared" ref="T54:Y54" si="5">SUM(T41:T53)</f>
        <v>6473.1667914417467</v>
      </c>
      <c r="U54" s="30">
        <f t="shared" si="5"/>
        <v>6791.1669774441725</v>
      </c>
      <c r="V54" s="30">
        <f t="shared" si="5"/>
        <v>6893.0238506298383</v>
      </c>
      <c r="W54" s="30">
        <f t="shared" si="5"/>
        <v>6996.3532864893687</v>
      </c>
      <c r="X54" s="30">
        <f t="shared" si="5"/>
        <v>6786.9830769500049</v>
      </c>
      <c r="Y54" s="30">
        <f t="shared" si="5"/>
        <v>7406.020606339911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872.33412322274876</v>
      </c>
      <c r="E56" s="19">
        <v>910.39838918452483</v>
      </c>
      <c r="F56" s="19">
        <v>875.95622527667047</v>
      </c>
      <c r="G56" s="19">
        <v>934.48747712981037</v>
      </c>
      <c r="H56" s="19">
        <v>972.07184491938949</v>
      </c>
      <c r="I56" s="19">
        <v>1022.4687933425798</v>
      </c>
      <c r="J56" s="19">
        <v>1034.1277804563401</v>
      </c>
      <c r="K56" s="19">
        <v>1160.6636500754148</v>
      </c>
      <c r="L56" s="19">
        <v>1100.2189435697703</v>
      </c>
      <c r="M56" s="19">
        <v>1226.6382911284934</v>
      </c>
      <c r="N56" s="19">
        <v>1252.6710880324185</v>
      </c>
      <c r="O56" s="19">
        <v>1350.1852804400542</v>
      </c>
      <c r="P56" s="19">
        <v>1398.059437358882</v>
      </c>
      <c r="Q56" s="19">
        <v>1468.9673139742279</v>
      </c>
      <c r="R56" s="19">
        <v>1470.7171751389913</v>
      </c>
      <c r="S56" s="19">
        <v>1440.4</v>
      </c>
      <c r="T56" s="19">
        <v>1417.2150202923676</v>
      </c>
      <c r="U56" s="19">
        <v>1441.5659400467587</v>
      </c>
      <c r="V56" s="19">
        <v>1413.9559526093192</v>
      </c>
      <c r="W56" s="19">
        <v>1437.427732811527</v>
      </c>
      <c r="X56" s="19">
        <v>1423.7587721600953</v>
      </c>
      <c r="Y56" s="19">
        <v>1367.4742420751177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689.67219589257502</v>
      </c>
      <c r="E57" s="23">
        <v>747.07959793534371</v>
      </c>
      <c r="F57" s="23">
        <v>700.64184457202668</v>
      </c>
      <c r="G57" s="23">
        <v>688.4887993727034</v>
      </c>
      <c r="H57" s="23">
        <v>694.57010219064705</v>
      </c>
      <c r="I57" s="23">
        <v>627.73925104022192</v>
      </c>
      <c r="J57" s="23">
        <v>572.70559414133254</v>
      </c>
      <c r="K57" s="23">
        <v>535.02262443438917</v>
      </c>
      <c r="L57" s="23">
        <v>436.12678923105693</v>
      </c>
      <c r="M57" s="23">
        <v>350.80768403536371</v>
      </c>
      <c r="N57" s="23">
        <v>409.54837852500577</v>
      </c>
      <c r="O57" s="23">
        <v>468.18740093007636</v>
      </c>
      <c r="P57" s="23">
        <v>477.41095583897805</v>
      </c>
      <c r="Q57" s="23">
        <v>490.79139862522294</v>
      </c>
      <c r="R57" s="23">
        <v>520.29571767331572</v>
      </c>
      <c r="S57" s="23">
        <v>510.6</v>
      </c>
      <c r="T57" s="23">
        <v>528.29110682059957</v>
      </c>
      <c r="U57" s="23">
        <v>513.01952692405985</v>
      </c>
      <c r="V57" s="23">
        <v>479.9356919057667</v>
      </c>
      <c r="W57" s="23">
        <v>457.08440807613624</v>
      </c>
      <c r="X57" s="23">
        <v>407.23823524264537</v>
      </c>
      <c r="Y57" s="23">
        <v>402.58073010961516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231.37177461822012</v>
      </c>
      <c r="E58" s="23">
        <v>269.42806462438278</v>
      </c>
      <c r="F58" s="23">
        <v>316.15077960257975</v>
      </c>
      <c r="G58" s="23">
        <v>374.37923771159734</v>
      </c>
      <c r="H58" s="23">
        <v>423.0010530531124</v>
      </c>
      <c r="I58" s="23">
        <v>446.04715672676843</v>
      </c>
      <c r="J58" s="23">
        <v>447.34887478661994</v>
      </c>
      <c r="K58" s="23">
        <v>473.72549019607845</v>
      </c>
      <c r="L58" s="23">
        <v>383.42630183406493</v>
      </c>
      <c r="M58" s="23">
        <v>310.96118362218272</v>
      </c>
      <c r="N58" s="23">
        <v>360.16784951117705</v>
      </c>
      <c r="O58" s="23">
        <v>407.0920943513085</v>
      </c>
      <c r="P58" s="23">
        <v>397.67295213685645</v>
      </c>
      <c r="Q58" s="23">
        <v>435.78027615783884</v>
      </c>
      <c r="R58" s="23">
        <v>465.99446027539204</v>
      </c>
      <c r="S58" s="23">
        <v>463.9</v>
      </c>
      <c r="T58" s="23">
        <v>490.16903739312028</v>
      </c>
      <c r="U58" s="23">
        <v>480.93214322899411</v>
      </c>
      <c r="V58" s="23">
        <v>489.16171110684826</v>
      </c>
      <c r="W58" s="23">
        <v>475.3179756292804</v>
      </c>
      <c r="X58" s="23">
        <v>467.87770602544589</v>
      </c>
      <c r="Y58" s="23">
        <v>567.82645906711866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61.380989994734065</v>
      </c>
      <c r="E59" s="23">
        <v>72.870223884174692</v>
      </c>
      <c r="F59" s="23">
        <v>72.957872215979933</v>
      </c>
      <c r="G59" s="23">
        <v>74.568349195123076</v>
      </c>
      <c r="H59" s="23">
        <v>87.062278450973707</v>
      </c>
      <c r="I59" s="23">
        <v>84.188626907073512</v>
      </c>
      <c r="J59" s="23">
        <v>78.445680926753624</v>
      </c>
      <c r="K59" s="23">
        <v>81.206636500754144</v>
      </c>
      <c r="L59" s="23">
        <v>89.007712534794422</v>
      </c>
      <c r="M59" s="23">
        <v>81.957006531656475</v>
      </c>
      <c r="N59" s="23">
        <v>119.02257553781595</v>
      </c>
      <c r="O59" s="23">
        <v>131.42839147185103</v>
      </c>
      <c r="P59" s="23">
        <v>136.28689408270785</v>
      </c>
      <c r="Q59" s="23">
        <v>162.72871199823643</v>
      </c>
      <c r="R59" s="23">
        <v>177.05198971763346</v>
      </c>
      <c r="S59" s="23">
        <v>177.7</v>
      </c>
      <c r="T59" s="23">
        <v>185.88202844871742</v>
      </c>
      <c r="U59" s="23">
        <v>204.92385162188</v>
      </c>
      <c r="V59" s="23">
        <v>211.55901455153327</v>
      </c>
      <c r="W59" s="23">
        <v>210.35310860090721</v>
      </c>
      <c r="X59" s="23">
        <v>204.14413468437724</v>
      </c>
      <c r="Y59" s="23">
        <v>212.56460054643009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66.317798841495531</v>
      </c>
      <c r="E60" s="23">
        <v>67.756523962478269</v>
      </c>
      <c r="F60" s="23">
        <v>57.565916052271064</v>
      </c>
      <c r="G60" s="23">
        <v>83.485801263818175</v>
      </c>
      <c r="H60" s="23">
        <v>74.7519392492176</v>
      </c>
      <c r="I60" s="23">
        <v>77.808599167822422</v>
      </c>
      <c r="J60" s="23">
        <v>101.24965794034475</v>
      </c>
      <c r="K60" s="23">
        <v>96.530920060331823</v>
      </c>
      <c r="L60" s="23">
        <v>122.12430273624457</v>
      </c>
      <c r="M60" s="23">
        <v>91.805431349687012</v>
      </c>
      <c r="N60" s="23">
        <v>97.764589953387372</v>
      </c>
      <c r="O60" s="23">
        <v>118.51649678252377</v>
      </c>
      <c r="P60" s="23">
        <v>130.89644230182464</v>
      </c>
      <c r="Q60" s="23">
        <v>137.8785145994909</v>
      </c>
      <c r="R60" s="23">
        <v>132.71426578721875</v>
      </c>
      <c r="S60" s="23">
        <v>132.00000000000006</v>
      </c>
      <c r="T60" s="23">
        <v>128.25564443043461</v>
      </c>
      <c r="U60" s="23">
        <v>122.67035182538407</v>
      </c>
      <c r="V60" s="23">
        <v>119.02478236642821</v>
      </c>
      <c r="W60" s="23">
        <v>125.94503246464467</v>
      </c>
      <c r="X60" s="23">
        <v>115.41625102815837</v>
      </c>
      <c r="Y60" s="23">
        <v>112.74235491622511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344.91837809373419</v>
      </c>
      <c r="E61" s="23">
        <v>416.9263467408141</v>
      </c>
      <c r="F61" s="23">
        <v>371.2539826686575</v>
      </c>
      <c r="G61" s="23">
        <v>428.19144847096413</v>
      </c>
      <c r="H61" s="23">
        <v>606.76623704077338</v>
      </c>
      <c r="I61" s="23">
        <v>756.44937586685057</v>
      </c>
      <c r="J61" s="23">
        <v>655.32114515057094</v>
      </c>
      <c r="K61" s="23">
        <v>365.36953242835619</v>
      </c>
      <c r="L61" s="23">
        <v>586.08663123961651</v>
      </c>
      <c r="M61" s="23">
        <v>422.91626574898902</v>
      </c>
      <c r="N61" s="23">
        <v>598.65587528648541</v>
      </c>
      <c r="O61" s="23">
        <v>729.15463830948602</v>
      </c>
      <c r="P61" s="23">
        <v>753.13764976302355</v>
      </c>
      <c r="Q61" s="23">
        <v>403.61530291188217</v>
      </c>
      <c r="R61" s="23">
        <v>346.73096466931031</v>
      </c>
      <c r="S61" s="23">
        <v>384.30000000000013</v>
      </c>
      <c r="T61" s="23">
        <v>399.64143583277581</v>
      </c>
      <c r="U61" s="23">
        <v>414.58035570615823</v>
      </c>
      <c r="V61" s="23">
        <v>404.02656362756045</v>
      </c>
      <c r="W61" s="23">
        <v>388.8641821577877</v>
      </c>
      <c r="X61" s="23">
        <v>172.81811658878834</v>
      </c>
      <c r="Y61" s="23">
        <v>114.63510977978298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201.25724065297524</v>
      </c>
      <c r="E62" s="23">
        <v>175.78343480831617</v>
      </c>
      <c r="F62" s="23">
        <v>184.70347396450617</v>
      </c>
      <c r="G62" s="23">
        <v>194.64645377531096</v>
      </c>
      <c r="H62" s="23">
        <v>238.19764768699108</v>
      </c>
      <c r="I62" s="23">
        <v>283.77253814147019</v>
      </c>
      <c r="J62" s="23">
        <v>378.15509310538044</v>
      </c>
      <c r="K62" s="23">
        <v>550.70889894419304</v>
      </c>
      <c r="L62" s="23">
        <v>652.7598992199446</v>
      </c>
      <c r="M62" s="23">
        <v>431.17988657331415</v>
      </c>
      <c r="N62" s="23">
        <v>539.08922818011717</v>
      </c>
      <c r="O62" s="23">
        <v>679.29163036289776</v>
      </c>
      <c r="P62" s="23">
        <v>659.36413010313049</v>
      </c>
      <c r="Q62" s="23">
        <v>496.70334074831158</v>
      </c>
      <c r="R62" s="23">
        <v>503.45734611322558</v>
      </c>
      <c r="S62" s="23">
        <v>532.5</v>
      </c>
      <c r="T62" s="23">
        <v>456.282753457583</v>
      </c>
      <c r="U62" s="23">
        <v>501.09324271881417</v>
      </c>
      <c r="V62" s="23">
        <v>563.70063851360612</v>
      </c>
      <c r="W62" s="23">
        <v>592.81330605710218</v>
      </c>
      <c r="X62" s="23">
        <v>790.50069127246638</v>
      </c>
      <c r="Y62" s="23">
        <v>1034.0202113301953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104.98946814112691</v>
      </c>
      <c r="E64" s="23">
        <v>153.2511945283411</v>
      </c>
      <c r="F64" s="23">
        <v>179.77804799211933</v>
      </c>
      <c r="G64" s="23">
        <v>242.15494841715227</v>
      </c>
      <c r="H64" s="23">
        <v>256.2923631401747</v>
      </c>
      <c r="I64" s="23">
        <v>306.24133148404997</v>
      </c>
      <c r="J64" s="23">
        <v>353.13587261046899</v>
      </c>
      <c r="K64" s="23">
        <v>333.51432880844641</v>
      </c>
      <c r="L64" s="23">
        <v>293.31837035570078</v>
      </c>
      <c r="M64" s="23">
        <v>221.08015712199594</v>
      </c>
      <c r="N64" s="23">
        <v>266.83200655454556</v>
      </c>
      <c r="O64" s="23">
        <v>306.63125518312853</v>
      </c>
      <c r="P64" s="23">
        <v>334.20801041475966</v>
      </c>
      <c r="Q64" s="23">
        <v>377.06166456241607</v>
      </c>
      <c r="R64" s="23">
        <v>393.65920730127732</v>
      </c>
      <c r="S64" s="23">
        <v>384.7</v>
      </c>
      <c r="T64" s="23">
        <v>406.73391386579453</v>
      </c>
      <c r="U64" s="23">
        <v>431.52325152154776</v>
      </c>
      <c r="V64" s="23">
        <v>434.81040987275401</v>
      </c>
      <c r="W64" s="23">
        <v>423.01876723294492</v>
      </c>
      <c r="X64" s="23">
        <v>386.23755272046344</v>
      </c>
      <c r="Y64" s="23">
        <v>425.70525692089922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131.15455502896262</v>
      </c>
      <c r="E65" s="23">
        <v>137.75029164069866</v>
      </c>
      <c r="F65" s="23">
        <v>139.91288152811345</v>
      </c>
      <c r="G65" s="23">
        <v>170.66158269399304</v>
      </c>
      <c r="H65" s="23">
        <v>191.77432033579049</v>
      </c>
      <c r="I65" s="23">
        <v>242.71844660194176</v>
      </c>
      <c r="J65" s="23">
        <v>318.995061310121</v>
      </c>
      <c r="K65" s="23">
        <v>329.04977375565613</v>
      </c>
      <c r="L65" s="23">
        <v>291.778063834703</v>
      </c>
      <c r="M65" s="23">
        <v>154.17878853054711</v>
      </c>
      <c r="N65" s="23">
        <v>168.5138232265636</v>
      </c>
      <c r="O65" s="23">
        <v>203.23112291493891</v>
      </c>
      <c r="P65" s="23">
        <v>215.82148451007902</v>
      </c>
      <c r="Q65" s="23">
        <v>248.70237880518647</v>
      </c>
      <c r="R65" s="23">
        <v>265.02999023573716</v>
      </c>
      <c r="S65" s="23">
        <v>240.09999999999997</v>
      </c>
      <c r="T65" s="23">
        <v>249.41881082784982</v>
      </c>
      <c r="U65" s="23">
        <v>254.71135552631824</v>
      </c>
      <c r="V65" s="23">
        <v>252.66504069496591</v>
      </c>
      <c r="W65" s="23">
        <v>255.35888997598499</v>
      </c>
      <c r="X65" s="23">
        <v>242.73288881888664</v>
      </c>
      <c r="Y65" s="23">
        <v>257.74383620264001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117.66061084781464</v>
      </c>
      <c r="E67" s="23">
        <v>121.45037314029116</v>
      </c>
      <c r="F67" s="23">
        <v>114.51615385799384</v>
      </c>
      <c r="G67" s="23">
        <v>164.51161575006535</v>
      </c>
      <c r="H67" s="23">
        <v>215.65341204040163</v>
      </c>
      <c r="I67" s="23">
        <v>269.62552011095704</v>
      </c>
      <c r="J67" s="23">
        <v>309.22192830429628</v>
      </c>
      <c r="K67" s="23">
        <v>381.41779788838619</v>
      </c>
      <c r="L67" s="23">
        <v>344.80861691476599</v>
      </c>
      <c r="M67" s="23">
        <v>214.85414143243642</v>
      </c>
      <c r="N67" s="23">
        <v>249.67061194211627</v>
      </c>
      <c r="O67" s="23">
        <v>325.21178656533107</v>
      </c>
      <c r="P67" s="23">
        <v>339.49675555826775</v>
      </c>
      <c r="Q67" s="23">
        <v>335.47766488306377</v>
      </c>
      <c r="R67" s="23">
        <v>342.34700994360639</v>
      </c>
      <c r="S67" s="23">
        <v>356.1</v>
      </c>
      <c r="T67" s="23">
        <v>375.01477599590208</v>
      </c>
      <c r="U67" s="23">
        <v>423.19378318772539</v>
      </c>
      <c r="V67" s="23">
        <v>430.15172690983167</v>
      </c>
      <c r="W67" s="23">
        <v>444.63221560081826</v>
      </c>
      <c r="X67" s="23">
        <v>431.91403720620923</v>
      </c>
      <c r="Y67" s="23">
        <v>499.19352184074523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157.9778830963665</v>
      </c>
      <c r="E68" s="23">
        <v>166.99426306790036</v>
      </c>
      <c r="F68" s="23">
        <v>177.77709369083718</v>
      </c>
      <c r="G68" s="23">
        <v>203.25640749680969</v>
      </c>
      <c r="H68" s="23">
        <v>253.17769900479064</v>
      </c>
      <c r="I68" s="23">
        <v>217.75312066574205</v>
      </c>
      <c r="J68" s="23">
        <v>163.01585853715744</v>
      </c>
      <c r="K68" s="23">
        <v>140.21116138763199</v>
      </c>
      <c r="L68" s="23">
        <v>127.84544124280731</v>
      </c>
      <c r="M68" s="23">
        <v>133.34993604183882</v>
      </c>
      <c r="N68" s="23">
        <v>152.57033403824224</v>
      </c>
      <c r="O68" s="23">
        <v>135.20748260043462</v>
      </c>
      <c r="P68" s="23">
        <v>133.6425215109538</v>
      </c>
      <c r="Q68" s="23">
        <v>124.95240385578869</v>
      </c>
      <c r="R68" s="23">
        <v>134.60733714604547</v>
      </c>
      <c r="S68" s="23">
        <v>162</v>
      </c>
      <c r="T68" s="23">
        <v>167.65830016943141</v>
      </c>
      <c r="U68" s="23">
        <v>203.69336198165624</v>
      </c>
      <c r="V68" s="23">
        <v>202.60703552474126</v>
      </c>
      <c r="W68" s="23">
        <v>233.03388775237926</v>
      </c>
      <c r="X68" s="23">
        <v>236.69519259375932</v>
      </c>
      <c r="Y68" s="23">
        <v>341.02505019915071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65.165876777251185</v>
      </c>
      <c r="E69" s="23">
        <v>73.349633251833737</v>
      </c>
      <c r="F69" s="23">
        <v>84.04008065385031</v>
      </c>
      <c r="G69" s="23">
        <v>101.16695622761029</v>
      </c>
      <c r="H69" s="23">
        <v>113.31444759206799</v>
      </c>
      <c r="I69" s="23">
        <v>115.53398058252428</v>
      </c>
      <c r="J69" s="23">
        <v>119.88376487145072</v>
      </c>
      <c r="K69" s="23">
        <v>111.25188536953243</v>
      </c>
      <c r="L69" s="23">
        <v>92.638435048574664</v>
      </c>
      <c r="M69" s="23">
        <v>58.071746340800779</v>
      </c>
      <c r="N69" s="23">
        <v>71.081389297932887</v>
      </c>
      <c r="O69" s="23">
        <v>83.979802857412793</v>
      </c>
      <c r="P69" s="23">
        <v>107.40220906816378</v>
      </c>
      <c r="Q69" s="23">
        <v>115.73378224012505</v>
      </c>
      <c r="R69" s="23">
        <v>120.95729629555825</v>
      </c>
      <c r="S69" s="23">
        <v>123.1</v>
      </c>
      <c r="T69" s="23">
        <v>125.7929784467473</v>
      </c>
      <c r="U69" s="23">
        <v>136.11108481859745</v>
      </c>
      <c r="V69" s="23">
        <v>133.64025832853764</v>
      </c>
      <c r="W69" s="23">
        <v>132.97162679000266</v>
      </c>
      <c r="X69" s="23">
        <v>129.06669466757671</v>
      </c>
      <c r="Y69" s="23">
        <v>137.01899338358734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46.73512374934176</v>
      </c>
      <c r="E70" s="23">
        <v>56.570305383767199</v>
      </c>
      <c r="F70" s="23">
        <v>71.110837476334879</v>
      </c>
      <c r="G70" s="23">
        <v>67.957134730400824</v>
      </c>
      <c r="H70" s="23">
        <v>79.943046141524405</v>
      </c>
      <c r="I70" s="23">
        <v>91.678224687933422</v>
      </c>
      <c r="J70" s="23">
        <v>108.15600526446097</v>
      </c>
      <c r="K70" s="23">
        <v>125.00754147812971</v>
      </c>
      <c r="L70" s="23">
        <v>162.61235985961207</v>
      </c>
      <c r="M70" s="23">
        <v>118.29429810163121</v>
      </c>
      <c r="N70" s="23">
        <v>133.08384725251608</v>
      </c>
      <c r="O70" s="23">
        <v>165.02031261481613</v>
      </c>
      <c r="P70" s="23">
        <v>179.51221496714876</v>
      </c>
      <c r="Q70" s="23">
        <v>201.20643700274553</v>
      </c>
      <c r="R70" s="23">
        <v>191.00093657214595</v>
      </c>
      <c r="S70" s="23">
        <v>191.4</v>
      </c>
      <c r="T70" s="23">
        <v>191.00437369478701</v>
      </c>
      <c r="U70" s="23">
        <v>226.78870599816372</v>
      </c>
      <c r="V70" s="23">
        <v>218.86675253258795</v>
      </c>
      <c r="W70" s="23">
        <v>217.82442408609799</v>
      </c>
      <c r="X70" s="23">
        <v>212.80691622477732</v>
      </c>
      <c r="Y70" s="23">
        <v>222.35754962309488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54.304897314375985</v>
      </c>
      <c r="E71" s="23">
        <v>56.889911628873229</v>
      </c>
      <c r="F71" s="23">
        <v>60.336468161738686</v>
      </c>
      <c r="G71" s="23">
        <v>92.55700250611153</v>
      </c>
      <c r="H71" s="23">
        <v>130.96421102591103</v>
      </c>
      <c r="I71" s="23">
        <v>113.0374479889043</v>
      </c>
      <c r="J71" s="23">
        <v>131.09029071812981</v>
      </c>
      <c r="K71" s="23">
        <v>108.83861236802413</v>
      </c>
      <c r="L71" s="23">
        <v>90.217953372721169</v>
      </c>
      <c r="M71" s="23">
        <v>30.224476165679938</v>
      </c>
      <c r="N71" s="23">
        <v>49.269810338909863</v>
      </c>
      <c r="O71" s="23">
        <v>69.703236371652636</v>
      </c>
      <c r="P71" s="23">
        <v>71.296352799983723</v>
      </c>
      <c r="Q71" s="23">
        <v>85.071845127156848</v>
      </c>
      <c r="R71" s="23">
        <v>103.42147739274256</v>
      </c>
      <c r="S71" s="23">
        <v>107.7</v>
      </c>
      <c r="T71" s="23">
        <v>129.53623074195201</v>
      </c>
      <c r="U71" s="23">
        <v>151.44487879677044</v>
      </c>
      <c r="V71" s="23">
        <v>149.71728188685796</v>
      </c>
      <c r="W71" s="23">
        <v>134.75051142933381</v>
      </c>
      <c r="X71" s="23">
        <v>132.216797045904</v>
      </c>
      <c r="Y71" s="23">
        <v>150.43286480792653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60.722748815165893</v>
      </c>
      <c r="E72" s="23">
        <v>63.601642776099858</v>
      </c>
      <c r="F72" s="23">
        <v>66.801089750496402</v>
      </c>
      <c r="G72" s="23">
        <v>83.793299611014589</v>
      </c>
      <c r="H72" s="23">
        <v>78.459872743722457</v>
      </c>
      <c r="I72" s="23">
        <v>101.10957004160888</v>
      </c>
      <c r="J72" s="23">
        <v>97.861638498325533</v>
      </c>
      <c r="K72" s="23">
        <v>95.203619909502279</v>
      </c>
      <c r="L72" s="23">
        <v>137.74741173493521</v>
      </c>
      <c r="M72" s="23">
        <v>113.99268726157192</v>
      </c>
      <c r="N72" s="23">
        <v>111.38298696841197</v>
      </c>
      <c r="O72" s="23">
        <v>65.50424622878198</v>
      </c>
      <c r="P72" s="23">
        <v>93.875226297268156</v>
      </c>
      <c r="Q72" s="23">
        <v>101.30463536343413</v>
      </c>
      <c r="R72" s="23">
        <v>78.014467050594817</v>
      </c>
      <c r="S72" s="23">
        <v>89.600000000000009</v>
      </c>
      <c r="T72" s="23">
        <v>84.518696560148129</v>
      </c>
      <c r="U72" s="23">
        <v>89.920396785582454</v>
      </c>
      <c r="V72" s="23">
        <v>106.78432124816163</v>
      </c>
      <c r="W72" s="23">
        <v>139.82033265142752</v>
      </c>
      <c r="X72" s="23">
        <v>139.65453877251008</v>
      </c>
      <c r="Y72" s="23">
        <v>160.96645709207019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177.56055818852028</v>
      </c>
      <c r="E73" s="23">
        <v>201.67154066190454</v>
      </c>
      <c r="F73" s="23">
        <v>242.88506826332565</v>
      </c>
      <c r="G73" s="23">
        <v>294.8909149613321</v>
      </c>
      <c r="H73" s="23">
        <v>394.82075849487563</v>
      </c>
      <c r="I73" s="23">
        <v>407.62829403606099</v>
      </c>
      <c r="J73" s="23">
        <v>478.8835172854146</v>
      </c>
      <c r="K73" s="23">
        <v>521.74962292609348</v>
      </c>
      <c r="L73" s="23">
        <v>563.53214289643643</v>
      </c>
      <c r="M73" s="23">
        <v>473.8563941181132</v>
      </c>
      <c r="N73" s="23">
        <v>506.09506305428533</v>
      </c>
      <c r="O73" s="23">
        <v>637.51167844133477</v>
      </c>
      <c r="P73" s="23">
        <v>727.40587050710928</v>
      </c>
      <c r="Q73" s="23">
        <v>779.87534820337078</v>
      </c>
      <c r="R73" s="23">
        <v>846.80070940358291</v>
      </c>
      <c r="S73" s="23">
        <v>888.8</v>
      </c>
      <c r="T73" s="23">
        <v>891.28807281610773</v>
      </c>
      <c r="U73" s="23">
        <v>931.29135155089023</v>
      </c>
      <c r="V73" s="23">
        <v>971.19837768216826</v>
      </c>
      <c r="W73" s="23">
        <v>971.09312461086893</v>
      </c>
      <c r="X73" s="23">
        <v>990.96970651546178</v>
      </c>
      <c r="Y73" s="23">
        <v>1089.4861582013891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62.039231174302273</v>
      </c>
      <c r="E74" s="23">
        <v>74.14864886459884</v>
      </c>
      <c r="F74" s="23">
        <v>87.118471886592033</v>
      </c>
      <c r="G74" s="23">
        <v>73.18460663273936</v>
      </c>
      <c r="H74" s="23">
        <v>118.35723714459454</v>
      </c>
      <c r="I74" s="23">
        <v>151.04022191401384</v>
      </c>
      <c r="J74" s="23">
        <v>165.49171889863698</v>
      </c>
      <c r="K74" s="23">
        <v>159.27601809954717</v>
      </c>
      <c r="L74" s="23">
        <v>173.28448361224014</v>
      </c>
      <c r="M74" s="23">
        <v>167.87602304757826</v>
      </c>
      <c r="N74" s="23">
        <v>168.51382322656843</v>
      </c>
      <c r="O74" s="23">
        <v>165.02031261481818</v>
      </c>
      <c r="P74" s="23">
        <v>201.58255527755773</v>
      </c>
      <c r="Q74" s="23">
        <v>223.25096695324191</v>
      </c>
      <c r="R74" s="23">
        <v>239.12480322020201</v>
      </c>
      <c r="S74" s="23">
        <v>243.10000000000332</v>
      </c>
      <c r="T74" s="23">
        <v>246.46361164742882</v>
      </c>
      <c r="U74" s="23">
        <v>263.70339520487107</v>
      </c>
      <c r="V74" s="23">
        <v>311.21829126816988</v>
      </c>
      <c r="W74" s="23">
        <v>356.04376056212595</v>
      </c>
      <c r="X74" s="23">
        <v>302.93484538248015</v>
      </c>
      <c r="Y74" s="23">
        <v>310.24721024392329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3445.5634544497102</v>
      </c>
      <c r="E75" s="30">
        <f t="shared" ref="E75:S75" si="6">SUM(E56:E74)</f>
        <v>3765.9203860843431</v>
      </c>
      <c r="F75" s="30">
        <f t="shared" si="6"/>
        <v>3803.5062876140928</v>
      </c>
      <c r="G75" s="30">
        <f t="shared" si="6"/>
        <v>4272.3820359465553</v>
      </c>
      <c r="H75" s="30">
        <f t="shared" si="6"/>
        <v>4929.1784702549576</v>
      </c>
      <c r="I75" s="30">
        <f t="shared" si="6"/>
        <v>5314.8404993065242</v>
      </c>
      <c r="J75" s="30">
        <f t="shared" si="6"/>
        <v>5513.0894828058035</v>
      </c>
      <c r="K75" s="30">
        <f t="shared" si="6"/>
        <v>5568.7481146304672</v>
      </c>
      <c r="L75" s="30">
        <f t="shared" si="6"/>
        <v>5647.5338592379903</v>
      </c>
      <c r="M75" s="30">
        <f t="shared" si="6"/>
        <v>4602.0443971518798</v>
      </c>
      <c r="N75" s="30">
        <f t="shared" si="6"/>
        <v>5253.9332809264997</v>
      </c>
      <c r="O75" s="30">
        <f t="shared" si="6"/>
        <v>6040.8771690408475</v>
      </c>
      <c r="P75" s="30">
        <f t="shared" si="6"/>
        <v>6357.0716624966954</v>
      </c>
      <c r="Q75" s="30">
        <f t="shared" si="6"/>
        <v>6189.1019860117403</v>
      </c>
      <c r="R75" s="30">
        <f t="shared" si="6"/>
        <v>6331.9251539365796</v>
      </c>
      <c r="S75" s="30">
        <f t="shared" si="6"/>
        <v>6428.0000000000036</v>
      </c>
      <c r="T75" s="30">
        <f t="shared" ref="T75:Y75" si="7">SUM(T56:T74)</f>
        <v>6473.1667914417458</v>
      </c>
      <c r="U75" s="30">
        <f t="shared" si="7"/>
        <v>6791.1669774441734</v>
      </c>
      <c r="V75" s="30">
        <f t="shared" si="7"/>
        <v>6893.0238506298374</v>
      </c>
      <c r="W75" s="30">
        <f t="shared" si="7"/>
        <v>6996.3532864893696</v>
      </c>
      <c r="X75" s="30">
        <f t="shared" si="7"/>
        <v>6786.9830769500049</v>
      </c>
      <c r="Y75" s="30">
        <f t="shared" si="7"/>
        <v>7406.020606339911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3512074</v>
      </c>
      <c r="E3" s="42">
        <v>3486998</v>
      </c>
      <c r="F3" s="42">
        <v>3454637</v>
      </c>
      <c r="G3" s="42">
        <v>3431497</v>
      </c>
      <c r="H3" s="42">
        <v>3398929</v>
      </c>
      <c r="I3" s="42">
        <v>3355220</v>
      </c>
      <c r="J3" s="42">
        <v>3289835</v>
      </c>
      <c r="K3" s="42">
        <v>3249983</v>
      </c>
      <c r="L3" s="42">
        <v>3212605</v>
      </c>
      <c r="M3" s="42">
        <v>3183856</v>
      </c>
      <c r="N3" s="42">
        <v>3141976</v>
      </c>
      <c r="O3" s="42">
        <v>3052588</v>
      </c>
      <c r="P3" s="42">
        <v>3003641</v>
      </c>
      <c r="Q3" s="42">
        <v>2971905</v>
      </c>
      <c r="R3" s="42">
        <v>2943472</v>
      </c>
      <c r="S3" s="42">
        <v>2921262</v>
      </c>
      <c r="T3" s="42">
        <v>2888558</v>
      </c>
      <c r="U3" s="42">
        <v>2847904</v>
      </c>
      <c r="V3" s="42">
        <v>2808901</v>
      </c>
      <c r="W3" s="42">
        <v>2794184</v>
      </c>
      <c r="X3" s="42">
        <v>2794090</v>
      </c>
      <c r="Y3" s="42">
        <v>2795680</v>
      </c>
    </row>
    <row r="4" spans="1:25" x14ac:dyDescent="0.25">
      <c r="A4" s="43" t="s">
        <v>239</v>
      </c>
      <c r="B4" s="44"/>
      <c r="C4" s="44"/>
      <c r="D4" s="45">
        <v>1369971</v>
      </c>
      <c r="E4" s="45">
        <v>1365154</v>
      </c>
      <c r="F4" s="45">
        <v>1357439</v>
      </c>
      <c r="G4" s="45">
        <v>1353304</v>
      </c>
      <c r="H4" s="45">
        <v>1345406</v>
      </c>
      <c r="I4" s="45">
        <v>1333023</v>
      </c>
      <c r="J4" s="45">
        <v>1293683</v>
      </c>
      <c r="K4" s="45">
        <v>1274503</v>
      </c>
      <c r="L4" s="45">
        <v>1310198</v>
      </c>
      <c r="M4" s="45">
        <v>1297415</v>
      </c>
      <c r="N4" s="45">
        <v>1315735</v>
      </c>
      <c r="O4" s="45">
        <v>1302299</v>
      </c>
      <c r="P4" s="45">
        <v>1295231</v>
      </c>
      <c r="Q4" s="45">
        <v>1307481</v>
      </c>
      <c r="R4" s="45">
        <v>1300120</v>
      </c>
      <c r="S4" s="45">
        <v>1307637</v>
      </c>
      <c r="T4" s="45">
        <v>1315972</v>
      </c>
      <c r="U4" s="45">
        <v>1312398</v>
      </c>
      <c r="V4" s="45">
        <v>1293233</v>
      </c>
      <c r="W4" s="45">
        <v>1293604</v>
      </c>
      <c r="X4" s="45">
        <v>1286413</v>
      </c>
      <c r="Y4" s="45">
        <v>1333181</v>
      </c>
    </row>
    <row r="5" spans="1:25" x14ac:dyDescent="0.25">
      <c r="A5" s="46" t="s">
        <v>240</v>
      </c>
      <c r="B5" s="47"/>
      <c r="C5" s="47"/>
      <c r="D5" s="48">
        <f>D3/D4</f>
        <v>2.563611930471521</v>
      </c>
      <c r="E5" s="48">
        <f t="shared" ref="E5:S5" si="0">E3/E4</f>
        <v>2.5542891131696499</v>
      </c>
      <c r="F5" s="48">
        <f t="shared" si="0"/>
        <v>2.5449666614853412</v>
      </c>
      <c r="G5" s="48">
        <f t="shared" si="0"/>
        <v>2.5356438760248992</v>
      </c>
      <c r="H5" s="48">
        <f t="shared" si="0"/>
        <v>2.5263221659484199</v>
      </c>
      <c r="I5" s="48">
        <f t="shared" si="0"/>
        <v>2.5170008319436348</v>
      </c>
      <c r="J5" s="48">
        <f t="shared" si="0"/>
        <v>2.5429993282743917</v>
      </c>
      <c r="K5" s="48">
        <f t="shared" si="0"/>
        <v>2.5500002746168509</v>
      </c>
      <c r="L5" s="48">
        <f t="shared" si="0"/>
        <v>2.4519996214312645</v>
      </c>
      <c r="M5" s="48">
        <f t="shared" si="0"/>
        <v>2.4539996839870049</v>
      </c>
      <c r="N5" s="48">
        <f t="shared" si="0"/>
        <v>2.3880006232258015</v>
      </c>
      <c r="O5" s="48">
        <f t="shared" si="0"/>
        <v>2.3439993427008696</v>
      </c>
      <c r="P5" s="48">
        <f t="shared" si="0"/>
        <v>2.3190002401116097</v>
      </c>
      <c r="Q5" s="48">
        <f t="shared" si="0"/>
        <v>2.2730005254378458</v>
      </c>
      <c r="R5" s="48">
        <f t="shared" si="0"/>
        <v>2.2640002461311264</v>
      </c>
      <c r="S5" s="48">
        <f t="shared" si="0"/>
        <v>2.2340007203834094</v>
      </c>
      <c r="T5" s="48">
        <f t="shared" ref="T5:Y5" si="1">T3/T4</f>
        <v>2.194999589656923</v>
      </c>
      <c r="U5" s="48">
        <f t="shared" si="1"/>
        <v>2.1700002590677525</v>
      </c>
      <c r="V5" s="48">
        <f t="shared" si="1"/>
        <v>2.1719991679766908</v>
      </c>
      <c r="W5" s="48">
        <f t="shared" si="1"/>
        <v>2.159999505258178</v>
      </c>
      <c r="X5" s="48">
        <f t="shared" si="1"/>
        <v>2.1720007493705364</v>
      </c>
      <c r="Y5" s="48">
        <f t="shared" si="1"/>
        <v>2.0969995822022667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3566.72</v>
      </c>
      <c r="E8" s="42">
        <v>4011.72</v>
      </c>
      <c r="F8" s="42">
        <v>3834.5</v>
      </c>
      <c r="G8" s="42">
        <v>4085.35</v>
      </c>
      <c r="H8" s="42">
        <v>4071.09</v>
      </c>
      <c r="I8" s="42">
        <v>4020.15</v>
      </c>
      <c r="J8" s="42">
        <v>3892.89</v>
      </c>
      <c r="K8" s="42">
        <v>3739.7</v>
      </c>
      <c r="L8" s="42">
        <v>3555.94</v>
      </c>
      <c r="M8" s="42">
        <v>3949.81</v>
      </c>
      <c r="N8" s="42">
        <v>4415</v>
      </c>
      <c r="O8" s="42">
        <v>3767.86</v>
      </c>
      <c r="P8" s="42">
        <v>4081.27</v>
      </c>
      <c r="Q8" s="42">
        <v>3873.17</v>
      </c>
      <c r="R8" s="42">
        <v>3729.28</v>
      </c>
      <c r="S8" s="42">
        <v>3523.32</v>
      </c>
      <c r="T8" s="42">
        <v>3829.94</v>
      </c>
      <c r="U8" s="42">
        <v>3761.5</v>
      </c>
      <c r="V8" s="42">
        <v>3687.57</v>
      </c>
      <c r="W8" s="42">
        <v>3391.36</v>
      </c>
      <c r="X8" s="42">
        <v>3305.64</v>
      </c>
      <c r="Y8" s="42">
        <v>4016.22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3813.9895238095237</v>
      </c>
      <c r="E9" s="45">
        <f t="shared" si="2"/>
        <v>3813.9895238095237</v>
      </c>
      <c r="F9" s="45">
        <f t="shared" si="2"/>
        <v>3813.9895238095237</v>
      </c>
      <c r="G9" s="45">
        <f t="shared" si="2"/>
        <v>3813.9895238095237</v>
      </c>
      <c r="H9" s="45">
        <f t="shared" si="2"/>
        <v>3813.9895238095237</v>
      </c>
      <c r="I9" s="45">
        <f t="shared" si="2"/>
        <v>3813.9895238095237</v>
      </c>
      <c r="J9" s="45">
        <f t="shared" si="2"/>
        <v>3813.9895238095237</v>
      </c>
      <c r="K9" s="45">
        <f t="shared" si="2"/>
        <v>3813.9895238095237</v>
      </c>
      <c r="L9" s="45">
        <f t="shared" si="2"/>
        <v>3813.9895238095237</v>
      </c>
      <c r="M9" s="45">
        <f t="shared" si="2"/>
        <v>3813.9895238095237</v>
      </c>
      <c r="N9" s="45">
        <f t="shared" si="2"/>
        <v>3813.9895238095237</v>
      </c>
      <c r="O9" s="45">
        <f t="shared" si="2"/>
        <v>3813.9895238095237</v>
      </c>
      <c r="P9" s="45">
        <f t="shared" si="2"/>
        <v>3813.9895238095237</v>
      </c>
      <c r="Q9" s="45">
        <f t="shared" si="2"/>
        <v>3813.9895238095237</v>
      </c>
      <c r="R9" s="45">
        <f t="shared" si="2"/>
        <v>3813.9895238095237</v>
      </c>
      <c r="S9" s="45">
        <f t="shared" si="2"/>
        <v>3813.9895238095237</v>
      </c>
      <c r="T9" s="45">
        <f t="shared" si="2"/>
        <v>3813.9895238095237</v>
      </c>
      <c r="U9" s="45">
        <f t="shared" si="2"/>
        <v>3813.9895238095237</v>
      </c>
      <c r="V9" s="45">
        <f t="shared" si="2"/>
        <v>3813.9895238095237</v>
      </c>
      <c r="W9" s="45">
        <f t="shared" si="2"/>
        <v>3813.9895238095237</v>
      </c>
      <c r="X9" s="45">
        <f>AVERAGE($D8:$X8)</f>
        <v>3813.9895238095237</v>
      </c>
      <c r="Y9" s="45">
        <f t="shared" ref="Y9" si="3">AVERAGE($D8:$X8)</f>
        <v>3813.9895238095237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0.93516774960552485</v>
      </c>
      <c r="E10" s="53">
        <f t="shared" si="4"/>
        <v>1.0518434764846909</v>
      </c>
      <c r="F10" s="53">
        <f t="shared" si="4"/>
        <v>1.0053776959958689</v>
      </c>
      <c r="G10" s="53">
        <f t="shared" si="4"/>
        <v>1.071148720911911</v>
      </c>
      <c r="H10" s="53">
        <f t="shared" si="4"/>
        <v>1.0674098537988843</v>
      </c>
      <c r="I10" s="53">
        <f t="shared" si="4"/>
        <v>1.0540537604792781</v>
      </c>
      <c r="J10" s="53">
        <f t="shared" si="4"/>
        <v>1.0206871245182834</v>
      </c>
      <c r="K10" s="53">
        <f t="shared" si="4"/>
        <v>0.98052183328093645</v>
      </c>
      <c r="L10" s="53">
        <f t="shared" si="4"/>
        <v>0.93234131289595779</v>
      </c>
      <c r="M10" s="53">
        <f t="shared" si="4"/>
        <v>1.0356111298530297</v>
      </c>
      <c r="N10" s="53">
        <f t="shared" si="4"/>
        <v>1.1575805262281291</v>
      </c>
      <c r="O10" s="53">
        <f t="shared" si="4"/>
        <v>0.98790517815490797</v>
      </c>
      <c r="P10" s="53">
        <f t="shared" si="4"/>
        <v>1.0700789749216482</v>
      </c>
      <c r="Q10" s="53">
        <f t="shared" si="4"/>
        <v>1.0155166855653461</v>
      </c>
      <c r="R10" s="53">
        <f t="shared" si="4"/>
        <v>0.97778978592345134</v>
      </c>
      <c r="S10" s="53">
        <f t="shared" si="4"/>
        <v>0.92378858882674797</v>
      </c>
      <c r="T10" s="53">
        <f t="shared" ref="T10:Y10" si="5">IF(T8=0,0,T8/T9)</f>
        <v>1.0041820975361633</v>
      </c>
      <c r="U10" s="53">
        <f t="shared" si="5"/>
        <v>0.98623763293479227</v>
      </c>
      <c r="V10" s="53">
        <f t="shared" si="5"/>
        <v>0.96685373071417036</v>
      </c>
      <c r="W10" s="53">
        <f t="shared" si="5"/>
        <v>0.88918964743579343</v>
      </c>
      <c r="X10" s="53">
        <f t="shared" si="5"/>
        <v>0.8667144939344853</v>
      </c>
      <c r="Y10" s="53">
        <f t="shared" si="5"/>
        <v>1.0530233433857161</v>
      </c>
    </row>
    <row r="11" spans="1:25" x14ac:dyDescent="0.25">
      <c r="A11" s="43" t="s">
        <v>251</v>
      </c>
      <c r="B11" s="44"/>
      <c r="C11" s="44"/>
      <c r="D11" s="45">
        <v>0</v>
      </c>
      <c r="E11" s="45">
        <v>12.94</v>
      </c>
      <c r="F11" s="45">
        <v>23</v>
      </c>
      <c r="G11" s="45">
        <v>4.91</v>
      </c>
      <c r="H11" s="45">
        <v>0.15</v>
      </c>
      <c r="I11" s="45">
        <v>1.62</v>
      </c>
      <c r="J11" s="45">
        <v>19.02</v>
      </c>
      <c r="K11" s="45">
        <v>7.65</v>
      </c>
      <c r="L11" s="45">
        <v>1.31</v>
      </c>
      <c r="M11" s="45">
        <v>2.21</v>
      </c>
      <c r="N11" s="45">
        <v>57.32</v>
      </c>
      <c r="O11" s="45">
        <v>5.19</v>
      </c>
      <c r="P11" s="45">
        <v>18.920000000000002</v>
      </c>
      <c r="Q11" s="45">
        <v>9.1</v>
      </c>
      <c r="R11" s="45">
        <v>25.24</v>
      </c>
      <c r="S11" s="45">
        <v>15.51</v>
      </c>
      <c r="T11" s="45">
        <v>7.57</v>
      </c>
      <c r="U11" s="45">
        <v>4.6500000000000004</v>
      </c>
      <c r="V11" s="45">
        <v>25.07</v>
      </c>
      <c r="W11" s="45">
        <v>11.54</v>
      </c>
      <c r="X11" s="45">
        <v>1.06</v>
      </c>
      <c r="Y11" s="45">
        <v>48.97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12.094285714285714</v>
      </c>
      <c r="E12" s="45">
        <f t="shared" ref="E12" si="7">AVERAGE($D11:$X11)</f>
        <v>12.094285714285714</v>
      </c>
      <c r="F12" s="45">
        <f t="shared" ref="F12" si="8">AVERAGE($D11:$X11)</f>
        <v>12.094285714285714</v>
      </c>
      <c r="G12" s="45">
        <f t="shared" ref="G12" si="9">AVERAGE($D11:$X11)</f>
        <v>12.094285714285714</v>
      </c>
      <c r="H12" s="45">
        <f t="shared" ref="H12" si="10">AVERAGE($D11:$X11)</f>
        <v>12.094285714285714</v>
      </c>
      <c r="I12" s="45">
        <f t="shared" ref="I12" si="11">AVERAGE($D11:$X11)</f>
        <v>12.094285714285714</v>
      </c>
      <c r="J12" s="45">
        <f t="shared" ref="J12" si="12">AVERAGE($D11:$X11)</f>
        <v>12.094285714285714</v>
      </c>
      <c r="K12" s="45">
        <f t="shared" ref="K12" si="13">AVERAGE($D11:$X11)</f>
        <v>12.094285714285714</v>
      </c>
      <c r="L12" s="45">
        <f t="shared" ref="L12" si="14">AVERAGE($D11:$X11)</f>
        <v>12.094285714285714</v>
      </c>
      <c r="M12" s="45">
        <f t="shared" ref="M12" si="15">AVERAGE($D11:$X11)</f>
        <v>12.094285714285714</v>
      </c>
      <c r="N12" s="45">
        <f t="shared" ref="N12" si="16">AVERAGE($D11:$X11)</f>
        <v>12.094285714285714</v>
      </c>
      <c r="O12" s="45">
        <f t="shared" ref="O12" si="17">AVERAGE($D11:$X11)</f>
        <v>12.094285714285714</v>
      </c>
      <c r="P12" s="45">
        <f t="shared" ref="P12" si="18">AVERAGE($D11:$X11)</f>
        <v>12.094285714285714</v>
      </c>
      <c r="Q12" s="45">
        <f t="shared" ref="Q12" si="19">AVERAGE($D11:$X11)</f>
        <v>12.094285714285714</v>
      </c>
      <c r="R12" s="45">
        <f t="shared" ref="R12" si="20">AVERAGE($D11:$X11)</f>
        <v>12.094285714285714</v>
      </c>
      <c r="S12" s="45">
        <f t="shared" ref="S12" si="21">AVERAGE($D11:$X11)</f>
        <v>12.094285714285714</v>
      </c>
      <c r="T12" s="45">
        <f t="shared" ref="T12" si="22">AVERAGE($D11:$X11)</f>
        <v>12.094285714285714</v>
      </c>
      <c r="U12" s="45">
        <f t="shared" ref="U12" si="23">AVERAGE($D11:$X11)</f>
        <v>12.094285714285714</v>
      </c>
      <c r="V12" s="45">
        <f t="shared" ref="V12" si="24">AVERAGE($D11:$X11)</f>
        <v>12.094285714285714</v>
      </c>
      <c r="W12" s="45">
        <f t="shared" ref="W12" si="25">AVERAGE($D11:$X11)</f>
        <v>12.094285714285714</v>
      </c>
      <c r="X12" s="45">
        <f>AVERAGE($D11:$X11)</f>
        <v>12.094285714285714</v>
      </c>
      <c r="Y12" s="45">
        <f t="shared" ref="Y12" si="26">AVERAGE($D11:$X11)</f>
        <v>12.094285714285714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</v>
      </c>
      <c r="E13" s="55">
        <f t="shared" si="27"/>
        <v>1.0699267658870777</v>
      </c>
      <c r="F13" s="55">
        <f t="shared" ref="F13" si="28">IF(F11=0,0,F11/F12)</f>
        <v>1.9017245452397826</v>
      </c>
      <c r="G13" s="55">
        <f t="shared" ref="G13" si="29">IF(G11=0,0,G11/G12)</f>
        <v>0.40597684857075361</v>
      </c>
      <c r="H13" s="55">
        <f t="shared" ref="H13" si="30">IF(H11=0,0,H11/H12)</f>
        <v>1.2402551381998582E-2</v>
      </c>
      <c r="I13" s="55">
        <f t="shared" ref="I13" si="31">IF(I11=0,0,I11/I12)</f>
        <v>0.13394755492558469</v>
      </c>
      <c r="J13" s="55">
        <f t="shared" ref="J13" si="32">IF(J11=0,0,J11/J12)</f>
        <v>1.5726435152374203</v>
      </c>
      <c r="K13" s="55">
        <f t="shared" ref="K13" si="33">IF(K11=0,0,K11/K12)</f>
        <v>0.63253012048192769</v>
      </c>
      <c r="L13" s="55">
        <f t="shared" ref="L13" si="34">IF(L11=0,0,L11/L12)</f>
        <v>0.10831561540278763</v>
      </c>
      <c r="M13" s="55">
        <f t="shared" ref="M13" si="35">IF(M11=0,0,M11/M12)</f>
        <v>0.18273092369477911</v>
      </c>
      <c r="N13" s="55">
        <f t="shared" ref="N13" si="36">IF(N11=0,0,N11/N12)</f>
        <v>4.7394283014410581</v>
      </c>
      <c r="O13" s="55">
        <f t="shared" ref="O13" si="37">IF(O11=0,0,O11/O12)</f>
        <v>0.42912827781715102</v>
      </c>
      <c r="P13" s="55">
        <f t="shared" ref="P13" si="38">IF(P11=0,0,P11/P12)</f>
        <v>1.5643751476494214</v>
      </c>
      <c r="Q13" s="55">
        <f t="shared" ref="Q13" si="39">IF(Q11=0,0,Q11/Q12)</f>
        <v>0.75242145050791398</v>
      </c>
      <c r="R13" s="55">
        <f t="shared" ref="R13" si="40">IF(R11=0,0,R11/R12)</f>
        <v>2.0869359792109612</v>
      </c>
      <c r="S13" s="55">
        <f t="shared" ref="S13:Y13" si="41">IF(S11=0,0,S11/S12)</f>
        <v>1.2824238128986534</v>
      </c>
      <c r="T13" s="55">
        <f t="shared" si="41"/>
        <v>0.62591542641152853</v>
      </c>
      <c r="U13" s="55">
        <f t="shared" si="41"/>
        <v>0.38447909284195608</v>
      </c>
      <c r="V13" s="55">
        <f t="shared" si="41"/>
        <v>2.0728797543113631</v>
      </c>
      <c r="W13" s="55">
        <f t="shared" si="41"/>
        <v>0.95416961965509084</v>
      </c>
      <c r="X13" s="55">
        <f t="shared" si="41"/>
        <v>8.7644696432789992E-2</v>
      </c>
      <c r="Y13" s="55">
        <f t="shared" si="41"/>
        <v>4.0490196078431371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20260.324471799537</v>
      </c>
      <c r="E16" s="42">
        <v>21582.613365343608</v>
      </c>
      <c r="F16" s="42">
        <v>23039.485487524897</v>
      </c>
      <c r="G16" s="42">
        <v>25473.822710443379</v>
      </c>
      <c r="H16" s="42">
        <v>27147.348501780583</v>
      </c>
      <c r="I16" s="42">
        <v>29246.392974140934</v>
      </c>
      <c r="J16" s="42">
        <v>31415.118982315911</v>
      </c>
      <c r="K16" s="42">
        <v>34904.47086000289</v>
      </c>
      <c r="L16" s="42">
        <v>35817.011383326382</v>
      </c>
      <c r="M16" s="42">
        <v>30502.035585897189</v>
      </c>
      <c r="N16" s="42">
        <v>31005.695957529169</v>
      </c>
      <c r="O16" s="42">
        <v>32878.259774072983</v>
      </c>
      <c r="P16" s="42">
        <v>34142.208960104639</v>
      </c>
      <c r="Q16" s="42">
        <v>35354.151952376145</v>
      </c>
      <c r="R16" s="42">
        <v>36604.72702529619</v>
      </c>
      <c r="S16" s="42">
        <v>37345.699999999997</v>
      </c>
      <c r="T16" s="42">
        <v>38286.504686146334</v>
      </c>
      <c r="U16" s="42">
        <v>39925.864364841764</v>
      </c>
      <c r="V16" s="42">
        <v>41520.511580810249</v>
      </c>
      <c r="W16" s="42">
        <v>43457.482691283512</v>
      </c>
      <c r="X16" s="42">
        <v>43446.960127536135</v>
      </c>
      <c r="Y16" s="42">
        <v>46177.324274162558</v>
      </c>
    </row>
    <row r="17" spans="1:25" x14ac:dyDescent="0.25">
      <c r="A17" s="46" t="s">
        <v>141</v>
      </c>
      <c r="B17" s="47"/>
      <c r="C17" s="47"/>
      <c r="D17" s="57">
        <v>12424.493427208443</v>
      </c>
      <c r="E17" s="57">
        <v>12941.022699217217</v>
      </c>
      <c r="F17" s="57">
        <v>13719.561145303718</v>
      </c>
      <c r="G17" s="57">
        <v>15278.499814333458</v>
      </c>
      <c r="H17" s="57">
        <v>16938.813464757299</v>
      </c>
      <c r="I17" s="57">
        <v>18896.919033773203</v>
      </c>
      <c r="J17" s="57">
        <v>20621.417596365824</v>
      </c>
      <c r="K17" s="57">
        <v>23193.87986972</v>
      </c>
      <c r="L17" s="57">
        <v>24092.844295699291</v>
      </c>
      <c r="M17" s="57">
        <v>19902.810955855883</v>
      </c>
      <c r="N17" s="57">
        <v>19289.483016151044</v>
      </c>
      <c r="O17" s="57">
        <v>20122.425864909394</v>
      </c>
      <c r="P17" s="57">
        <v>20743.344450879751</v>
      </c>
      <c r="Q17" s="57">
        <v>21637.260143765223</v>
      </c>
      <c r="R17" s="57">
        <v>22436.853309569779</v>
      </c>
      <c r="S17" s="57">
        <v>23346.5</v>
      </c>
      <c r="T17" s="57">
        <v>24300.178323756689</v>
      </c>
      <c r="U17" s="57">
        <v>25166.470481276257</v>
      </c>
      <c r="V17" s="57">
        <v>26080.446052288069</v>
      </c>
      <c r="W17" s="57">
        <v>26795.378063127559</v>
      </c>
      <c r="X17" s="57">
        <v>25900.391082595921</v>
      </c>
      <c r="Y17" s="57">
        <v>28007.355601109368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5768.7635487747521</v>
      </c>
      <c r="E20" s="42">
        <f t="shared" ref="E20:S20" si="42">1000000*E16/E$3</f>
        <v>6189.4538985521667</v>
      </c>
      <c r="F20" s="42">
        <f t="shared" si="42"/>
        <v>6669.1480139664154</v>
      </c>
      <c r="G20" s="42">
        <f t="shared" si="42"/>
        <v>7423.5305204822789</v>
      </c>
      <c r="H20" s="42">
        <f t="shared" si="42"/>
        <v>7987.0301797361999</v>
      </c>
      <c r="I20" s="42">
        <f t="shared" si="42"/>
        <v>8716.684144151779</v>
      </c>
      <c r="J20" s="42">
        <f t="shared" si="42"/>
        <v>9549.1472922854518</v>
      </c>
      <c r="K20" s="42">
        <f t="shared" si="42"/>
        <v>10739.893365596956</v>
      </c>
      <c r="L20" s="42">
        <f t="shared" si="42"/>
        <v>11148.899843997748</v>
      </c>
      <c r="M20" s="42">
        <f t="shared" si="42"/>
        <v>9580.2183220275001</v>
      </c>
      <c r="N20" s="42">
        <f t="shared" si="42"/>
        <v>9868.2154025139498</v>
      </c>
      <c r="O20" s="42">
        <f t="shared" si="42"/>
        <v>10770.618168607418</v>
      </c>
      <c r="P20" s="42">
        <f t="shared" si="42"/>
        <v>11366.940643074402</v>
      </c>
      <c r="Q20" s="42">
        <f t="shared" si="42"/>
        <v>11896.124523622439</v>
      </c>
      <c r="R20" s="42">
        <f t="shared" si="42"/>
        <v>12435.901216419314</v>
      </c>
      <c r="S20" s="42">
        <f t="shared" si="42"/>
        <v>12784.098105544796</v>
      </c>
      <c r="T20" s="42">
        <f t="shared" ref="T20:Y20" si="43">1000000*T16/T$3</f>
        <v>13254.539007403117</v>
      </c>
      <c r="U20" s="42">
        <f t="shared" si="43"/>
        <v>14019.385613012857</v>
      </c>
      <c r="V20" s="42">
        <f t="shared" si="43"/>
        <v>14781.763964201746</v>
      </c>
      <c r="W20" s="42">
        <f t="shared" si="43"/>
        <v>15552.834992714694</v>
      </c>
      <c r="X20" s="42">
        <f t="shared" si="43"/>
        <v>15549.59222055701</v>
      </c>
      <c r="Y20" s="42">
        <f t="shared" si="43"/>
        <v>16517.385492675327</v>
      </c>
    </row>
    <row r="21" spans="1:25" x14ac:dyDescent="0.25">
      <c r="A21" s="46" t="s">
        <v>141</v>
      </c>
      <c r="B21" s="47"/>
      <c r="C21" s="47"/>
      <c r="D21" s="57">
        <f>1000000*D17/D$3</f>
        <v>3537.65137841869</v>
      </c>
      <c r="E21" s="57">
        <f t="shared" ref="E21:S21" si="44">1000000*E17/E$3</f>
        <v>3711.2217154174505</v>
      </c>
      <c r="F21" s="57">
        <f t="shared" si="44"/>
        <v>3971.3466697959057</v>
      </c>
      <c r="G21" s="57">
        <f t="shared" si="44"/>
        <v>4452.4298911913538</v>
      </c>
      <c r="H21" s="57">
        <f t="shared" si="44"/>
        <v>4983.5737859653145</v>
      </c>
      <c r="I21" s="57">
        <f t="shared" si="44"/>
        <v>5632.0953719199351</v>
      </c>
      <c r="J21" s="57">
        <f t="shared" si="44"/>
        <v>6268.2224477415502</v>
      </c>
      <c r="K21" s="57">
        <f t="shared" si="44"/>
        <v>7136.6157514423921</v>
      </c>
      <c r="L21" s="57">
        <f t="shared" si="44"/>
        <v>7499.4729497399439</v>
      </c>
      <c r="M21" s="57">
        <f t="shared" si="44"/>
        <v>6251.1655539245121</v>
      </c>
      <c r="N21" s="57">
        <f t="shared" si="44"/>
        <v>6139.2840098559136</v>
      </c>
      <c r="O21" s="57">
        <f t="shared" si="44"/>
        <v>6591.9232680300756</v>
      </c>
      <c r="P21" s="57">
        <f t="shared" si="44"/>
        <v>6906.0664875994662</v>
      </c>
      <c r="Q21" s="57">
        <f t="shared" si="44"/>
        <v>7280.6028940242786</v>
      </c>
      <c r="R21" s="57">
        <f t="shared" si="44"/>
        <v>7622.5808533493027</v>
      </c>
      <c r="S21" s="57">
        <f t="shared" si="44"/>
        <v>7991.9226690382447</v>
      </c>
      <c r="T21" s="57">
        <f t="shared" ref="T21:Y21" si="45">1000000*T17/T$3</f>
        <v>8412.5637511023451</v>
      </c>
      <c r="U21" s="57">
        <f t="shared" si="45"/>
        <v>8836.839472565176</v>
      </c>
      <c r="V21" s="57">
        <f t="shared" si="45"/>
        <v>9284.9288929328832</v>
      </c>
      <c r="W21" s="57">
        <f t="shared" si="45"/>
        <v>9589.6970504188557</v>
      </c>
      <c r="X21" s="57">
        <f t="shared" si="45"/>
        <v>9269.7053719085361</v>
      </c>
      <c r="Y21" s="57">
        <f t="shared" si="45"/>
        <v>10018.083472038777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18243.154291732491</v>
      </c>
      <c r="E23" s="60">
        <v>19433.497930549562</v>
      </c>
      <c r="F23" s="60">
        <v>20745.740276131695</v>
      </c>
      <c r="G23" s="60">
        <v>22937.531710767056</v>
      </c>
      <c r="H23" s="60">
        <v>24444.625721193064</v>
      </c>
      <c r="I23" s="60">
        <v>26334.674063800281</v>
      </c>
      <c r="J23" s="60">
        <v>28287.095555179108</v>
      </c>
      <c r="K23" s="60">
        <v>31429.381598793363</v>
      </c>
      <c r="L23" s="60">
        <v>32250.717892860677</v>
      </c>
      <c r="M23" s="60">
        <v>27465.332412637679</v>
      </c>
      <c r="N23" s="60">
        <v>27918.710348874545</v>
      </c>
      <c r="O23" s="60">
        <v>29604.875027555874</v>
      </c>
      <c r="P23" s="60">
        <v>30742.763572750759</v>
      </c>
      <c r="Q23" s="60">
        <v>31834.305296699331</v>
      </c>
      <c r="R23" s="60">
        <v>32960.066157862217</v>
      </c>
      <c r="S23" s="60">
        <v>33627.5</v>
      </c>
      <c r="T23" s="60">
        <v>34474.368572441781</v>
      </c>
      <c r="U23" s="60">
        <v>35951.026512319091</v>
      </c>
      <c r="V23" s="60">
        <v>37386.478857800554</v>
      </c>
      <c r="W23" s="60">
        <v>39130.836965222799</v>
      </c>
      <c r="X23" s="60">
        <v>39121.296442134371</v>
      </c>
      <c r="Y23" s="60">
        <v>41579.791961552386</v>
      </c>
    </row>
    <row r="24" spans="1:25" x14ac:dyDescent="0.25">
      <c r="A24" s="61" t="s">
        <v>33</v>
      </c>
      <c r="B24" s="62"/>
      <c r="C24" s="62"/>
      <c r="D24" s="63">
        <v>1146.8206951026857</v>
      </c>
      <c r="E24" s="63">
        <v>1064.4485993256308</v>
      </c>
      <c r="F24" s="63">
        <v>1113.7619480059723</v>
      </c>
      <c r="G24" s="63">
        <v>1132.2089143770852</v>
      </c>
      <c r="H24" s="63">
        <v>1127.6567343488127</v>
      </c>
      <c r="I24" s="63">
        <v>1259.5006934812761</v>
      </c>
      <c r="J24" s="63">
        <v>1211.2169505218853</v>
      </c>
      <c r="K24" s="63">
        <v>1216.6515837104073</v>
      </c>
      <c r="L24" s="63">
        <v>1179.9848169785787</v>
      </c>
      <c r="M24" s="63">
        <v>772.2523460759121</v>
      </c>
      <c r="N24" s="63">
        <v>938.56220728750316</v>
      </c>
      <c r="O24" s="63">
        <v>1147.3740565394023</v>
      </c>
      <c r="P24" s="63">
        <v>1352.189743902687</v>
      </c>
      <c r="Q24" s="63">
        <v>1244.6141205234571</v>
      </c>
      <c r="R24" s="63">
        <v>1247.6336608014667</v>
      </c>
      <c r="S24" s="63">
        <v>1277.5</v>
      </c>
      <c r="T24" s="63">
        <v>1190.9452697111785</v>
      </c>
      <c r="U24" s="63">
        <v>1403.5154142490701</v>
      </c>
      <c r="V24" s="63">
        <v>1197.2815214710477</v>
      </c>
      <c r="W24" s="63">
        <v>1349.9955527884015</v>
      </c>
      <c r="X24" s="63">
        <v>1533.2248298069687</v>
      </c>
      <c r="Y24" s="63">
        <v>1578.5575562065901</v>
      </c>
    </row>
    <row r="25" spans="1:25" x14ac:dyDescent="0.25">
      <c r="A25" s="64" t="s">
        <v>56</v>
      </c>
      <c r="B25" s="65"/>
      <c r="C25" s="65"/>
      <c r="D25" s="66">
        <v>127.86334913112164</v>
      </c>
      <c r="E25" s="66">
        <v>140.78655096920593</v>
      </c>
      <c r="F25" s="66">
        <v>123.75132755621914</v>
      </c>
      <c r="G25" s="66">
        <v>129.6105533432758</v>
      </c>
      <c r="H25" s="66">
        <v>131.11252836569122</v>
      </c>
      <c r="I25" s="66">
        <v>137.58668515950072</v>
      </c>
      <c r="J25" s="66">
        <v>142.16650812473125</v>
      </c>
      <c r="K25" s="66">
        <v>142.74509803921569</v>
      </c>
      <c r="L25" s="66">
        <v>140.71800288257361</v>
      </c>
      <c r="M25" s="66">
        <v>86.937819083304092</v>
      </c>
      <c r="N25" s="66">
        <v>102.74693032473787</v>
      </c>
      <c r="O25" s="66">
        <v>125.86472953254743</v>
      </c>
      <c r="P25" s="66">
        <v>121.13260511380972</v>
      </c>
      <c r="Q25" s="66">
        <v>127.75807130403415</v>
      </c>
      <c r="R25" s="66">
        <v>128.23067572683973</v>
      </c>
      <c r="S25" s="66">
        <v>98.6</v>
      </c>
      <c r="T25" s="66">
        <v>98.408132708144521</v>
      </c>
      <c r="U25" s="66">
        <v>108.18843529044288</v>
      </c>
      <c r="V25" s="66">
        <v>113.81801905492679</v>
      </c>
      <c r="W25" s="66">
        <v>109.75718224673129</v>
      </c>
      <c r="X25" s="66">
        <v>117.0788050611645</v>
      </c>
      <c r="Y25" s="66">
        <v>113.97676026202311</v>
      </c>
    </row>
    <row r="26" spans="1:25" x14ac:dyDescent="0.25">
      <c r="A26" s="67" t="s">
        <v>146</v>
      </c>
      <c r="B26" s="44"/>
      <c r="C26" s="44"/>
      <c r="D26" s="45">
        <v>11911.696945760927</v>
      </c>
      <c r="E26" s="45">
        <v>12705.46686482254</v>
      </c>
      <c r="F26" s="45">
        <v>13763.795040711724</v>
      </c>
      <c r="G26" s="45">
        <v>14940.114696883507</v>
      </c>
      <c r="H26" s="45">
        <v>15645.254586713732</v>
      </c>
      <c r="I26" s="45">
        <v>16798.751733703193</v>
      </c>
      <c r="J26" s="45">
        <v>18029.997002905879</v>
      </c>
      <c r="K26" s="45">
        <v>20229.984917043741</v>
      </c>
      <c r="L26" s="45">
        <v>20971.493327172106</v>
      </c>
      <c r="M26" s="45">
        <v>19445.092201632349</v>
      </c>
      <c r="N26" s="45">
        <v>19263.942249139163</v>
      </c>
      <c r="O26" s="45">
        <v>19707.540336549064</v>
      </c>
      <c r="P26" s="45">
        <v>20396.757592400478</v>
      </c>
      <c r="Q26" s="45">
        <v>21543.718310988192</v>
      </c>
      <c r="R26" s="45">
        <v>22303.270031684027</v>
      </c>
      <c r="S26" s="45">
        <v>22964.1</v>
      </c>
      <c r="T26" s="45">
        <v>23951.59383742464</v>
      </c>
      <c r="U26" s="45">
        <v>24839.705061098535</v>
      </c>
      <c r="V26" s="45">
        <v>26222.995624491887</v>
      </c>
      <c r="W26" s="45">
        <v>27522.369474339586</v>
      </c>
      <c r="X26" s="45">
        <v>27440.366811921391</v>
      </c>
      <c r="Y26" s="45">
        <v>29183.975772737751</v>
      </c>
    </row>
    <row r="27" spans="1:25" x14ac:dyDescent="0.25">
      <c r="A27" s="68" t="s">
        <v>148</v>
      </c>
      <c r="B27" s="69"/>
      <c r="C27" s="69"/>
      <c r="D27" s="70">
        <v>5140.0408109531345</v>
      </c>
      <c r="E27" s="70">
        <v>5367.4672803106578</v>
      </c>
      <c r="F27" s="70">
        <v>5777.6785851713894</v>
      </c>
      <c r="G27" s="70">
        <v>6209.9291216309721</v>
      </c>
      <c r="H27" s="70">
        <v>6542.7228097236839</v>
      </c>
      <c r="I27" s="70">
        <v>6905.4091539528436</v>
      </c>
      <c r="J27" s="70">
        <v>7501.7265868310296</v>
      </c>
      <c r="K27" s="70">
        <v>8075.1734539969839</v>
      </c>
      <c r="L27" s="70">
        <v>8418.7653343015245</v>
      </c>
      <c r="M27" s="70">
        <v>8398.8951652158175</v>
      </c>
      <c r="N27" s="70">
        <v>8385.1681263078644</v>
      </c>
      <c r="O27" s="70">
        <v>8556.5971383882188</v>
      </c>
      <c r="P27" s="70">
        <v>8796.7087732145392</v>
      </c>
      <c r="Q27" s="70">
        <v>9174.332150944907</v>
      </c>
      <c r="R27" s="70">
        <v>9508.3992587131106</v>
      </c>
      <c r="S27" s="70">
        <v>9662.5</v>
      </c>
      <c r="T27" s="70">
        <v>10027.975885574688</v>
      </c>
      <c r="U27" s="70">
        <v>10424.045660630956</v>
      </c>
      <c r="V27" s="70">
        <v>11037.424753135476</v>
      </c>
      <c r="W27" s="70">
        <v>11836.698390109401</v>
      </c>
      <c r="X27" s="70">
        <v>11705.255420801175</v>
      </c>
      <c r="Y27" s="70">
        <v>12294.841831528356</v>
      </c>
    </row>
    <row r="28" spans="1:25" x14ac:dyDescent="0.25">
      <c r="A28" s="68" t="s">
        <v>150</v>
      </c>
      <c r="B28" s="71"/>
      <c r="C28" s="71"/>
      <c r="D28" s="70">
        <v>3510.4002106371777</v>
      </c>
      <c r="E28" s="70">
        <v>3704.5559870239863</v>
      </c>
      <c r="F28" s="70">
        <v>4040.6963320968462</v>
      </c>
      <c r="G28" s="70">
        <v>4433.9724173982559</v>
      </c>
      <c r="H28" s="70">
        <v>4582.4125298488643</v>
      </c>
      <c r="I28" s="70">
        <v>4990.2912621359228</v>
      </c>
      <c r="J28" s="70">
        <v>5539.2814792614117</v>
      </c>
      <c r="K28" s="70">
        <v>6490.9803921568628</v>
      </c>
      <c r="L28" s="70">
        <v>6534.6403934382934</v>
      </c>
      <c r="M28" s="70">
        <v>5851.6623461891131</v>
      </c>
      <c r="N28" s="70">
        <v>5562.2847905756262</v>
      </c>
      <c r="O28" s="70">
        <v>5461.1016050639819</v>
      </c>
      <c r="P28" s="70">
        <v>5480.4621549602334</v>
      </c>
      <c r="Q28" s="70">
        <v>5939.7983927533614</v>
      </c>
      <c r="R28" s="70">
        <v>6146.4041607715753</v>
      </c>
      <c r="S28" s="70">
        <v>6647.2</v>
      </c>
      <c r="T28" s="70">
        <v>7068.8364395760282</v>
      </c>
      <c r="U28" s="70">
        <v>7328.1337258279773</v>
      </c>
      <c r="V28" s="70">
        <v>7901.1263051163305</v>
      </c>
      <c r="W28" s="70">
        <v>8309.4369830116502</v>
      </c>
      <c r="X28" s="70">
        <v>8407.2732363801824</v>
      </c>
      <c r="Y28" s="70">
        <v>9326.919911781164</v>
      </c>
    </row>
    <row r="29" spans="1:25" x14ac:dyDescent="0.25">
      <c r="A29" s="68" t="s">
        <v>152</v>
      </c>
      <c r="B29" s="71"/>
      <c r="C29" s="71"/>
      <c r="D29" s="70">
        <v>3261.2559241706163</v>
      </c>
      <c r="E29" s="70">
        <v>3633.4435974878952</v>
      </c>
      <c r="F29" s="70">
        <v>3945.4201234434881</v>
      </c>
      <c r="G29" s="70">
        <v>4296.2131578542776</v>
      </c>
      <c r="H29" s="70">
        <v>4520.1192471411823</v>
      </c>
      <c r="I29" s="70">
        <v>4903.0513176144304</v>
      </c>
      <c r="J29" s="70">
        <v>4988.9889368134409</v>
      </c>
      <c r="K29" s="70">
        <v>5663.8310708898944</v>
      </c>
      <c r="L29" s="70">
        <v>6018.0875994322878</v>
      </c>
      <c r="M29" s="70">
        <v>5194.5346902274205</v>
      </c>
      <c r="N29" s="70">
        <v>5316.4893322556754</v>
      </c>
      <c r="O29" s="70">
        <v>5689.841593096864</v>
      </c>
      <c r="P29" s="70">
        <v>6119.5866642257088</v>
      </c>
      <c r="Q29" s="70">
        <v>6429.5877672899223</v>
      </c>
      <c r="R29" s="70">
        <v>6648.4666121993396</v>
      </c>
      <c r="S29" s="70">
        <v>6654.4000000000033</v>
      </c>
      <c r="T29" s="70">
        <v>6854.7815122739303</v>
      </c>
      <c r="U29" s="70">
        <v>7087.5256746396026</v>
      </c>
      <c r="V29" s="70">
        <v>7284.4445662400803</v>
      </c>
      <c r="W29" s="70">
        <v>7376.2341012185334</v>
      </c>
      <c r="X29" s="70">
        <v>7327.838154740035</v>
      </c>
      <c r="Y29" s="70">
        <v>7562.2140294282281</v>
      </c>
    </row>
    <row r="30" spans="1:25" x14ac:dyDescent="0.25">
      <c r="A30" s="64" t="s">
        <v>154</v>
      </c>
      <c r="B30" s="65"/>
      <c r="C30" s="65"/>
      <c r="D30" s="66">
        <v>924.66429699842081</v>
      </c>
      <c r="E30" s="66">
        <v>1090.496508301771</v>
      </c>
      <c r="F30" s="66">
        <v>1087.7495420893042</v>
      </c>
      <c r="G30" s="66">
        <v>1369.2901400654969</v>
      </c>
      <c r="H30" s="66">
        <v>1563.4130786230228</v>
      </c>
      <c r="I30" s="66">
        <v>1677.9472954230228</v>
      </c>
      <c r="J30" s="66">
        <v>1532.8181806335592</v>
      </c>
      <c r="K30" s="66">
        <v>1277.5867269984919</v>
      </c>
      <c r="L30" s="66">
        <v>1455.4796404484491</v>
      </c>
      <c r="M30" s="66">
        <v>1337.4613704026528</v>
      </c>
      <c r="N30" s="66">
        <v>1496.2521728539959</v>
      </c>
      <c r="O30" s="66">
        <v>1546.593044372828</v>
      </c>
      <c r="P30" s="66">
        <v>1592.3191147454281</v>
      </c>
      <c r="Q30" s="66">
        <v>1228.1809254694485</v>
      </c>
      <c r="R30" s="66">
        <v>1090.0105613454757</v>
      </c>
      <c r="S30" s="66">
        <v>990.00000000000023</v>
      </c>
      <c r="T30" s="66">
        <v>1095.1968162654168</v>
      </c>
      <c r="U30" s="66">
        <v>1081.9790059536758</v>
      </c>
      <c r="V30" s="66">
        <v>1045.4632649146358</v>
      </c>
      <c r="W30" s="66">
        <v>1037.2676331939879</v>
      </c>
      <c r="X30" s="66">
        <v>869.25325073064801</v>
      </c>
      <c r="Y30" s="66">
        <v>784.34115672010353</v>
      </c>
    </row>
    <row r="31" spans="1:25" x14ac:dyDescent="0.25">
      <c r="A31" s="64" t="s">
        <v>37</v>
      </c>
      <c r="B31" s="65"/>
      <c r="C31" s="65"/>
      <c r="D31" s="66">
        <v>1093.503159557662</v>
      </c>
      <c r="E31" s="66">
        <v>1157.4540166514855</v>
      </c>
      <c r="F31" s="66">
        <v>1311.5485847096309</v>
      </c>
      <c r="G31" s="66">
        <v>1595.3014252548392</v>
      </c>
      <c r="H31" s="66">
        <v>1773.1337970722157</v>
      </c>
      <c r="I31" s="66">
        <v>2053.5367545076283</v>
      </c>
      <c r="J31" s="66">
        <v>2678.6202942364575</v>
      </c>
      <c r="K31" s="66">
        <v>3518.3107088989441</v>
      </c>
      <c r="L31" s="66">
        <v>3614.8793609928375</v>
      </c>
      <c r="M31" s="66">
        <v>1812.3365670881492</v>
      </c>
      <c r="N31" s="66">
        <v>1630.4432068557003</v>
      </c>
      <c r="O31" s="66">
        <v>1930.800642445492</v>
      </c>
      <c r="P31" s="66">
        <v>1878.0130591322388</v>
      </c>
      <c r="Q31" s="66">
        <v>2127.7981522675805</v>
      </c>
      <c r="R31" s="66">
        <v>2444.8518422573384</v>
      </c>
      <c r="S31" s="66">
        <v>2496.6999999999998</v>
      </c>
      <c r="T31" s="66">
        <v>2311.1627723708575</v>
      </c>
      <c r="U31" s="66">
        <v>2404.7553691942185</v>
      </c>
      <c r="V31" s="66">
        <v>2629.1414321339507</v>
      </c>
      <c r="W31" s="66">
        <v>2860.001778884639</v>
      </c>
      <c r="X31" s="66">
        <v>2850.1426296354634</v>
      </c>
      <c r="Y31" s="66">
        <v>2937.8024293097205</v>
      </c>
    </row>
    <row r="32" spans="1:25" x14ac:dyDescent="0.25">
      <c r="A32" s="64" t="s">
        <v>58</v>
      </c>
      <c r="B32" s="65"/>
      <c r="C32" s="65"/>
      <c r="D32" s="66">
        <v>3038.6058451816739</v>
      </c>
      <c r="E32" s="66">
        <v>3274.8453904789303</v>
      </c>
      <c r="F32" s="66">
        <v>3345.1338330588437</v>
      </c>
      <c r="G32" s="66">
        <v>3771.0059808428514</v>
      </c>
      <c r="H32" s="66">
        <v>4204.0549960695898</v>
      </c>
      <c r="I32" s="66">
        <v>4407.3509015256595</v>
      </c>
      <c r="J32" s="66">
        <v>4692.2766187565949</v>
      </c>
      <c r="K32" s="66">
        <v>5044.1025641025644</v>
      </c>
      <c r="L32" s="66">
        <v>4888.1627443861325</v>
      </c>
      <c r="M32" s="66">
        <v>4011.2521083553124</v>
      </c>
      <c r="N32" s="66">
        <v>4486.763582413445</v>
      </c>
      <c r="O32" s="66">
        <v>5146.702218116543</v>
      </c>
      <c r="P32" s="66">
        <v>5402.3514574561132</v>
      </c>
      <c r="Q32" s="66">
        <v>5562.2357161466161</v>
      </c>
      <c r="R32" s="66">
        <v>5746.0693860470674</v>
      </c>
      <c r="S32" s="66">
        <v>5800.6</v>
      </c>
      <c r="T32" s="66">
        <v>5827.0617439615426</v>
      </c>
      <c r="U32" s="66">
        <v>6112.883226533143</v>
      </c>
      <c r="V32" s="66">
        <v>6177.7789957341074</v>
      </c>
      <c r="W32" s="66">
        <v>6251.4453437694556</v>
      </c>
      <c r="X32" s="66">
        <v>6311.2301149787363</v>
      </c>
      <c r="Y32" s="66">
        <v>6981.1382863162044</v>
      </c>
    </row>
    <row r="33" spans="1:25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</row>
    <row r="34" spans="1:25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201.25724065297524</v>
      </c>
      <c r="E43" s="66">
        <v>175.78343480831617</v>
      </c>
      <c r="F43" s="66">
        <v>184.70347396450617</v>
      </c>
      <c r="G43" s="66">
        <v>194.64645377531096</v>
      </c>
      <c r="H43" s="66">
        <v>238.19764768699108</v>
      </c>
      <c r="I43" s="66">
        <v>283.77253814147019</v>
      </c>
      <c r="J43" s="66">
        <v>378.15509310538044</v>
      </c>
      <c r="K43" s="66">
        <v>550.70889894419304</v>
      </c>
      <c r="L43" s="66">
        <v>652.7598992199446</v>
      </c>
      <c r="M43" s="66">
        <v>431.17988657331415</v>
      </c>
      <c r="N43" s="66">
        <v>539.08922818011717</v>
      </c>
      <c r="O43" s="66">
        <v>679.29163036289776</v>
      </c>
      <c r="P43" s="66">
        <v>659.36413010313049</v>
      </c>
      <c r="Q43" s="66">
        <v>496.70334074831158</v>
      </c>
      <c r="R43" s="66">
        <v>503.45734611322558</v>
      </c>
      <c r="S43" s="66">
        <v>532.5</v>
      </c>
      <c r="T43" s="66">
        <v>456.282753457583</v>
      </c>
      <c r="U43" s="66">
        <v>501.09324271881417</v>
      </c>
      <c r="V43" s="66">
        <v>563.70063851360612</v>
      </c>
      <c r="W43" s="66">
        <v>592.81330605710218</v>
      </c>
      <c r="X43" s="66">
        <v>790.50069127246638</v>
      </c>
      <c r="Y43" s="66">
        <v>1034.0202113301953</v>
      </c>
    </row>
    <row r="44" spans="1:25" x14ac:dyDescent="0.25">
      <c r="A44" s="73" t="s">
        <v>272</v>
      </c>
      <c r="B44" s="65"/>
      <c r="C44" s="65"/>
      <c r="D44" s="66">
        <v>201.25724065297524</v>
      </c>
      <c r="E44" s="66">
        <v>175.78343480831617</v>
      </c>
      <c r="F44" s="66">
        <v>184.70347396450617</v>
      </c>
      <c r="G44" s="66">
        <v>194.64645377531096</v>
      </c>
      <c r="H44" s="66">
        <v>238.19764768699108</v>
      </c>
      <c r="I44" s="66">
        <v>283.77253814147019</v>
      </c>
      <c r="J44" s="66">
        <v>378.15509310538044</v>
      </c>
      <c r="K44" s="66">
        <v>550.70889894419304</v>
      </c>
      <c r="L44" s="66">
        <v>652.7598992199446</v>
      </c>
      <c r="M44" s="66">
        <v>431.17988657331415</v>
      </c>
      <c r="N44" s="66">
        <v>539.08922818011717</v>
      </c>
      <c r="O44" s="66">
        <v>679.29163036289776</v>
      </c>
      <c r="P44" s="66">
        <v>659.36413010313049</v>
      </c>
      <c r="Q44" s="66">
        <v>496.70334074831158</v>
      </c>
      <c r="R44" s="66">
        <v>503.45734611322558</v>
      </c>
      <c r="S44" s="66">
        <v>532.5</v>
      </c>
      <c r="T44" s="66">
        <v>456.282753457583</v>
      </c>
      <c r="U44" s="66">
        <v>501.09324271881417</v>
      </c>
      <c r="V44" s="66">
        <v>563.70063851360612</v>
      </c>
      <c r="W44" s="66">
        <v>592.81330605710218</v>
      </c>
      <c r="X44" s="66">
        <v>790.50069127246638</v>
      </c>
      <c r="Y44" s="66">
        <v>1034.0202113301953</v>
      </c>
    </row>
    <row r="45" spans="1:25" x14ac:dyDescent="0.25">
      <c r="A45" s="74" t="s">
        <v>20</v>
      </c>
      <c r="B45" s="44"/>
      <c r="C45" s="44"/>
      <c r="D45" s="45">
        <v>171.26277415791162</v>
      </c>
      <c r="E45" s="45">
        <v>160.05755953294113</v>
      </c>
      <c r="F45" s="45">
        <v>164.06832695203144</v>
      </c>
      <c r="G45" s="45">
        <v>168.42651613875228</v>
      </c>
      <c r="H45" s="45">
        <v>211.7255548072973</v>
      </c>
      <c r="I45" s="45">
        <v>256.77173658528477</v>
      </c>
      <c r="J45" s="45">
        <v>348.72098863589434</v>
      </c>
      <c r="K45" s="45">
        <v>526.03442989633004</v>
      </c>
      <c r="L45" s="45">
        <v>602.8458163545738</v>
      </c>
      <c r="M45" s="45">
        <v>354.26855716086823</v>
      </c>
      <c r="N45" s="45">
        <v>495.50168470458084</v>
      </c>
      <c r="O45" s="45">
        <v>633.28383069688471</v>
      </c>
      <c r="P45" s="45">
        <v>593.39745715109632</v>
      </c>
      <c r="Q45" s="45">
        <v>373.29036052142732</v>
      </c>
      <c r="R45" s="45">
        <v>396.5323787959116</v>
      </c>
      <c r="S45" s="45">
        <v>473.30178619034928</v>
      </c>
      <c r="T45" s="45">
        <v>405.18547223048711</v>
      </c>
      <c r="U45" s="45">
        <v>439.09313875436749</v>
      </c>
      <c r="V45" s="45">
        <v>509.41029387769686</v>
      </c>
      <c r="W45" s="45">
        <v>536.10605869349422</v>
      </c>
      <c r="X45" s="45">
        <v>730.03183717010302</v>
      </c>
      <c r="Y45" s="45">
        <v>944.14563429244527</v>
      </c>
    </row>
    <row r="46" spans="1:25" x14ac:dyDescent="0.25">
      <c r="A46" s="74" t="s">
        <v>12</v>
      </c>
      <c r="B46" s="44"/>
      <c r="C46" s="44"/>
      <c r="D46" s="45">
        <v>29.99446649506362</v>
      </c>
      <c r="E46" s="45">
        <v>15.725875275375046</v>
      </c>
      <c r="F46" s="45">
        <v>20.635147012474732</v>
      </c>
      <c r="G46" s="45">
        <v>26.219937636558683</v>
      </c>
      <c r="H46" s="45">
        <v>26.472092879693776</v>
      </c>
      <c r="I46" s="45">
        <v>27.000801556185422</v>
      </c>
      <c r="J46" s="45">
        <v>29.434104469486101</v>
      </c>
      <c r="K46" s="45">
        <v>24.674469047862999</v>
      </c>
      <c r="L46" s="45">
        <v>49.914082865370801</v>
      </c>
      <c r="M46" s="45">
        <v>76.911329412445923</v>
      </c>
      <c r="N46" s="45">
        <v>43.587543475536336</v>
      </c>
      <c r="O46" s="45">
        <v>46.007799666013057</v>
      </c>
      <c r="P46" s="45">
        <v>65.966672952034173</v>
      </c>
      <c r="Q46" s="45">
        <v>123.41298022688426</v>
      </c>
      <c r="R46" s="45">
        <v>106.92496731731399</v>
      </c>
      <c r="S46" s="45">
        <v>59.198213809650724</v>
      </c>
      <c r="T46" s="45">
        <v>51.097281227095891</v>
      </c>
      <c r="U46" s="45">
        <v>62.00010396444668</v>
      </c>
      <c r="V46" s="45">
        <v>54.290344635909264</v>
      </c>
      <c r="W46" s="45">
        <v>56.707247363607962</v>
      </c>
      <c r="X46" s="45">
        <v>60.468854102363366</v>
      </c>
      <c r="Y46" s="45">
        <v>89.874577037749987</v>
      </c>
    </row>
    <row r="47" spans="1:25" x14ac:dyDescent="0.25">
      <c r="A47" s="73" t="s">
        <v>11</v>
      </c>
      <c r="B47" s="65"/>
      <c r="C47" s="65"/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</row>
    <row r="48" spans="1:25" x14ac:dyDescent="0.25">
      <c r="A48" s="72" t="s">
        <v>4</v>
      </c>
      <c r="B48" s="65"/>
      <c r="C48" s="65"/>
      <c r="D48" s="66">
        <v>131.15455502896262</v>
      </c>
      <c r="E48" s="66">
        <v>137.75029164069866</v>
      </c>
      <c r="F48" s="66">
        <v>139.91288152811345</v>
      </c>
      <c r="G48" s="66">
        <v>170.66158269399304</v>
      </c>
      <c r="H48" s="66">
        <v>191.77432033579049</v>
      </c>
      <c r="I48" s="66">
        <v>242.71844660194176</v>
      </c>
      <c r="J48" s="66">
        <v>318.995061310121</v>
      </c>
      <c r="K48" s="66">
        <v>329.04977375565613</v>
      </c>
      <c r="L48" s="66">
        <v>291.778063834703</v>
      </c>
      <c r="M48" s="66">
        <v>154.17878853054711</v>
      </c>
      <c r="N48" s="66">
        <v>168.5138232265636</v>
      </c>
      <c r="O48" s="66">
        <v>203.23112291493891</v>
      </c>
      <c r="P48" s="66">
        <v>215.82148451007902</v>
      </c>
      <c r="Q48" s="66">
        <v>248.70237880518647</v>
      </c>
      <c r="R48" s="66">
        <v>265.02999023573716</v>
      </c>
      <c r="S48" s="66">
        <v>240.09999999999997</v>
      </c>
      <c r="T48" s="66">
        <v>249.41881082784982</v>
      </c>
      <c r="U48" s="66">
        <v>254.71135552631824</v>
      </c>
      <c r="V48" s="66">
        <v>252.66504069496591</v>
      </c>
      <c r="W48" s="66">
        <v>255.35888997598499</v>
      </c>
      <c r="X48" s="66">
        <v>242.73288881888664</v>
      </c>
      <c r="Y48" s="66">
        <v>257.74383620264001</v>
      </c>
    </row>
    <row r="49" spans="1:25" x14ac:dyDescent="0.25">
      <c r="A49" s="77" t="s">
        <v>10</v>
      </c>
      <c r="B49" s="44"/>
      <c r="C49" s="44"/>
      <c r="D49" s="45">
        <v>58.775300123041532</v>
      </c>
      <c r="E49" s="45">
        <v>54.181101087971442</v>
      </c>
      <c r="F49" s="45">
        <v>67.76022710126945</v>
      </c>
      <c r="G49" s="45">
        <v>81.438973737406471</v>
      </c>
      <c r="H49" s="45">
        <v>101.96180496985289</v>
      </c>
      <c r="I49" s="45">
        <v>127.34251384531372</v>
      </c>
      <c r="J49" s="45">
        <v>170.08599733635791</v>
      </c>
      <c r="K49" s="45">
        <v>182.39455256138999</v>
      </c>
      <c r="L49" s="45">
        <v>177.42150204421688</v>
      </c>
      <c r="M49" s="45">
        <v>85.57236890059815</v>
      </c>
      <c r="N49" s="45">
        <v>114.34867492817619</v>
      </c>
      <c r="O49" s="45">
        <v>135.97195048283504</v>
      </c>
      <c r="P49" s="45">
        <v>142.15002833991491</v>
      </c>
      <c r="Q49" s="45">
        <v>150.61016484827502</v>
      </c>
      <c r="R49" s="45">
        <v>161.98751466655222</v>
      </c>
      <c r="S49" s="45">
        <v>147.61095399914177</v>
      </c>
      <c r="T49" s="45">
        <v>160.63803772289504</v>
      </c>
      <c r="U49" s="45">
        <v>179.54755351696716</v>
      </c>
      <c r="V49" s="45">
        <v>157.02808151943071</v>
      </c>
      <c r="W49" s="45">
        <v>120.31111937392761</v>
      </c>
      <c r="X49" s="45">
        <v>136.15935806154988</v>
      </c>
      <c r="Y49" s="45">
        <v>139.71018487645091</v>
      </c>
    </row>
    <row r="50" spans="1:25" x14ac:dyDescent="0.25">
      <c r="A50" s="77" t="s">
        <v>18</v>
      </c>
      <c r="B50" s="44"/>
      <c r="C50" s="44"/>
      <c r="D50" s="45">
        <v>40.227825880696784</v>
      </c>
      <c r="E50" s="45">
        <v>39.974458875879549</v>
      </c>
      <c r="F50" s="45">
        <v>30.168827624780061</v>
      </c>
      <c r="G50" s="45">
        <v>41.382750498538854</v>
      </c>
      <c r="H50" s="45">
        <v>45.866082199996256</v>
      </c>
      <c r="I50" s="45">
        <v>47.083383152581618</v>
      </c>
      <c r="J50" s="45">
        <v>50.557311313590382</v>
      </c>
      <c r="K50" s="45">
        <v>47.286242868822185</v>
      </c>
      <c r="L50" s="45">
        <v>49.802233003501122</v>
      </c>
      <c r="M50" s="45">
        <v>25.743210944775218</v>
      </c>
      <c r="N50" s="45">
        <v>29.172554066206704</v>
      </c>
      <c r="O50" s="45">
        <v>37.151313546315933</v>
      </c>
      <c r="P50" s="45">
        <v>40.974975680716895</v>
      </c>
      <c r="Q50" s="45">
        <v>41.905800591507948</v>
      </c>
      <c r="R50" s="45">
        <v>42.296089122855761</v>
      </c>
      <c r="S50" s="45">
        <v>53.064576096806903</v>
      </c>
      <c r="T50" s="45">
        <v>58.080649434068164</v>
      </c>
      <c r="U50" s="45">
        <v>42.369003596372096</v>
      </c>
      <c r="V50" s="45">
        <v>46.713414697406833</v>
      </c>
      <c r="W50" s="45">
        <v>62.612774218846482</v>
      </c>
      <c r="X50" s="45">
        <v>71.493983049077571</v>
      </c>
      <c r="Y50" s="45">
        <v>65.854929374814034</v>
      </c>
    </row>
    <row r="51" spans="1:25" x14ac:dyDescent="0.25">
      <c r="A51" s="77" t="s">
        <v>9</v>
      </c>
      <c r="B51" s="44"/>
      <c r="C51" s="44"/>
      <c r="D51" s="45">
        <v>32.151429025224303</v>
      </c>
      <c r="E51" s="45">
        <v>43.594731676847672</v>
      </c>
      <c r="F51" s="45">
        <v>41.98382680206393</v>
      </c>
      <c r="G51" s="45">
        <v>47.839858458047715</v>
      </c>
      <c r="H51" s="45">
        <v>43.946433165941343</v>
      </c>
      <c r="I51" s="45">
        <v>68.292549604046428</v>
      </c>
      <c r="J51" s="45">
        <v>98.351752660172707</v>
      </c>
      <c r="K51" s="45">
        <v>99.368978325443962</v>
      </c>
      <c r="L51" s="45">
        <v>64.554328786984996</v>
      </c>
      <c r="M51" s="45">
        <v>42.863208685173745</v>
      </c>
      <c r="N51" s="45">
        <v>24.992594232180704</v>
      </c>
      <c r="O51" s="45">
        <v>30.107858885787934</v>
      </c>
      <c r="P51" s="45">
        <v>32.696480489447211</v>
      </c>
      <c r="Q51" s="45">
        <v>56.186413365403503</v>
      </c>
      <c r="R51" s="45">
        <v>60.746386446329183</v>
      </c>
      <c r="S51" s="45">
        <v>39.424469904051293</v>
      </c>
      <c r="T51" s="45">
        <v>30.700123670886626</v>
      </c>
      <c r="U51" s="45">
        <v>32.794798412978992</v>
      </c>
      <c r="V51" s="45">
        <v>48.923544478128363</v>
      </c>
      <c r="W51" s="45">
        <v>72.434996383210887</v>
      </c>
      <c r="X51" s="45">
        <v>35.079547708259184</v>
      </c>
      <c r="Y51" s="45">
        <v>52.178721951375067</v>
      </c>
    </row>
    <row r="52" spans="1:25" x14ac:dyDescent="0.25">
      <c r="A52" s="72" t="s">
        <v>3</v>
      </c>
      <c r="B52" s="65"/>
      <c r="C52" s="65"/>
      <c r="D52" s="66">
        <v>127.6987888362296</v>
      </c>
      <c r="E52" s="66">
        <v>140.62674784665296</v>
      </c>
      <c r="F52" s="66">
        <v>130.523788268251</v>
      </c>
      <c r="G52" s="66">
        <v>158.05415045894125</v>
      </c>
      <c r="H52" s="66">
        <v>161.81421770019131</v>
      </c>
      <c r="I52" s="66">
        <v>161.99722607489593</v>
      </c>
      <c r="J52" s="66">
        <v>179.69533886709837</v>
      </c>
      <c r="K52" s="66">
        <v>177.73755656108597</v>
      </c>
      <c r="L52" s="66">
        <v>211.13201527103899</v>
      </c>
      <c r="M52" s="66">
        <v>173.76243788134349</v>
      </c>
      <c r="N52" s="66">
        <v>216.78716549120333</v>
      </c>
      <c r="O52" s="66">
        <v>249.9448882543748</v>
      </c>
      <c r="P52" s="66">
        <v>267.18333638453248</v>
      </c>
      <c r="Q52" s="66">
        <v>300.60722659772733</v>
      </c>
      <c r="R52" s="66">
        <v>309.76625550485221</v>
      </c>
      <c r="S52" s="66">
        <v>309.70000000000005</v>
      </c>
      <c r="T52" s="66">
        <v>314.13767287915203</v>
      </c>
      <c r="U52" s="66">
        <v>327.59420344726408</v>
      </c>
      <c r="V52" s="66">
        <v>330.58379691796148</v>
      </c>
      <c r="W52" s="66">
        <v>336.29814106555187</v>
      </c>
      <c r="X52" s="66">
        <v>319.56038571253561</v>
      </c>
      <c r="Y52" s="66">
        <v>325.3069554626552</v>
      </c>
    </row>
    <row r="53" spans="1:25" x14ac:dyDescent="0.25">
      <c r="A53" s="73" t="s">
        <v>21</v>
      </c>
      <c r="B53" s="65"/>
      <c r="C53" s="65"/>
      <c r="D53" s="66">
        <v>61.380989994734065</v>
      </c>
      <c r="E53" s="66">
        <v>72.870223884174692</v>
      </c>
      <c r="F53" s="66">
        <v>72.957872215979933</v>
      </c>
      <c r="G53" s="66">
        <v>74.568349195123076</v>
      </c>
      <c r="H53" s="66">
        <v>87.062278450973707</v>
      </c>
      <c r="I53" s="66">
        <v>84.188626907073512</v>
      </c>
      <c r="J53" s="66">
        <v>78.445680926753624</v>
      </c>
      <c r="K53" s="66">
        <v>81.206636500754144</v>
      </c>
      <c r="L53" s="66">
        <v>89.007712534794422</v>
      </c>
      <c r="M53" s="66">
        <v>81.957006531656475</v>
      </c>
      <c r="N53" s="66">
        <v>119.02257553781595</v>
      </c>
      <c r="O53" s="66">
        <v>131.42839147185103</v>
      </c>
      <c r="P53" s="66">
        <v>136.28689408270785</v>
      </c>
      <c r="Q53" s="66">
        <v>162.72871199823643</v>
      </c>
      <c r="R53" s="66">
        <v>177.05198971763346</v>
      </c>
      <c r="S53" s="66">
        <v>177.7</v>
      </c>
      <c r="T53" s="66">
        <v>185.88202844871742</v>
      </c>
      <c r="U53" s="66">
        <v>204.92385162188</v>
      </c>
      <c r="V53" s="66">
        <v>211.55901455153327</v>
      </c>
      <c r="W53" s="66">
        <v>210.35310860090721</v>
      </c>
      <c r="X53" s="66">
        <v>204.14413468437724</v>
      </c>
      <c r="Y53" s="66">
        <v>212.56460054643009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61.380989994734065</v>
      </c>
      <c r="E55" s="45">
        <v>72.870223884174692</v>
      </c>
      <c r="F55" s="45">
        <v>72.957872215979933</v>
      </c>
      <c r="G55" s="45">
        <v>74.568349195123076</v>
      </c>
      <c r="H55" s="45">
        <v>87.062278450973707</v>
      </c>
      <c r="I55" s="45">
        <v>84.188626907073512</v>
      </c>
      <c r="J55" s="45">
        <v>78.445680926753624</v>
      </c>
      <c r="K55" s="45">
        <v>81.206636500754144</v>
      </c>
      <c r="L55" s="45">
        <v>89.007712534794422</v>
      </c>
      <c r="M55" s="45">
        <v>81.957006531656475</v>
      </c>
      <c r="N55" s="45">
        <v>119.02257553781595</v>
      </c>
      <c r="O55" s="45">
        <v>131.42839147185103</v>
      </c>
      <c r="P55" s="45">
        <v>136.28689408270785</v>
      </c>
      <c r="Q55" s="45">
        <v>162.72871199823643</v>
      </c>
      <c r="R55" s="45">
        <v>177.05198971763346</v>
      </c>
      <c r="S55" s="45">
        <v>177.7</v>
      </c>
      <c r="T55" s="45">
        <v>185.88202844871742</v>
      </c>
      <c r="U55" s="45">
        <v>204.92385162188</v>
      </c>
      <c r="V55" s="45">
        <v>211.55901455153327</v>
      </c>
      <c r="W55" s="45">
        <v>210.35310860090721</v>
      </c>
      <c r="X55" s="45">
        <v>204.14413468437724</v>
      </c>
      <c r="Y55" s="45">
        <v>212.56460054643009</v>
      </c>
    </row>
    <row r="56" spans="1:25" x14ac:dyDescent="0.25">
      <c r="A56" s="73" t="s">
        <v>16</v>
      </c>
      <c r="B56" s="65"/>
      <c r="C56" s="65"/>
      <c r="D56" s="66">
        <v>66.317798841495531</v>
      </c>
      <c r="E56" s="66">
        <v>67.756523962478269</v>
      </c>
      <c r="F56" s="66">
        <v>57.565916052271064</v>
      </c>
      <c r="G56" s="66">
        <v>83.485801263818175</v>
      </c>
      <c r="H56" s="66">
        <v>74.7519392492176</v>
      </c>
      <c r="I56" s="66">
        <v>77.808599167822422</v>
      </c>
      <c r="J56" s="66">
        <v>101.24965794034475</v>
      </c>
      <c r="K56" s="66">
        <v>96.530920060331823</v>
      </c>
      <c r="L56" s="66">
        <v>122.12430273624457</v>
      </c>
      <c r="M56" s="66">
        <v>91.805431349687012</v>
      </c>
      <c r="N56" s="66">
        <v>97.764589953387372</v>
      </c>
      <c r="O56" s="66">
        <v>118.51649678252377</v>
      </c>
      <c r="P56" s="66">
        <v>130.89644230182464</v>
      </c>
      <c r="Q56" s="66">
        <v>137.8785145994909</v>
      </c>
      <c r="R56" s="66">
        <v>132.71426578721875</v>
      </c>
      <c r="S56" s="66">
        <v>132.00000000000006</v>
      </c>
      <c r="T56" s="66">
        <v>128.25564443043461</v>
      </c>
      <c r="U56" s="66">
        <v>122.67035182538407</v>
      </c>
      <c r="V56" s="66">
        <v>119.02478236642821</v>
      </c>
      <c r="W56" s="66">
        <v>125.94503246464467</v>
      </c>
      <c r="X56" s="66">
        <v>115.41625102815837</v>
      </c>
      <c r="Y56" s="66">
        <v>112.74235491622511</v>
      </c>
    </row>
    <row r="57" spans="1:25" x14ac:dyDescent="0.25">
      <c r="A57" s="72" t="s">
        <v>2</v>
      </c>
      <c r="B57" s="65"/>
      <c r="C57" s="65"/>
      <c r="D57" s="66">
        <v>872.33412322274876</v>
      </c>
      <c r="E57" s="66">
        <v>910.39838918452483</v>
      </c>
      <c r="F57" s="66">
        <v>875.95622527667047</v>
      </c>
      <c r="G57" s="66">
        <v>934.48747712981037</v>
      </c>
      <c r="H57" s="66">
        <v>972.07184491938949</v>
      </c>
      <c r="I57" s="66">
        <v>1022.4687933425798</v>
      </c>
      <c r="J57" s="66">
        <v>1034.1277804563401</v>
      </c>
      <c r="K57" s="66">
        <v>1160.6636500754148</v>
      </c>
      <c r="L57" s="66">
        <v>1100.2189435697703</v>
      </c>
      <c r="M57" s="66">
        <v>1226.6382911284934</v>
      </c>
      <c r="N57" s="66">
        <v>1252.6710880324185</v>
      </c>
      <c r="O57" s="66">
        <v>1350.1852804400542</v>
      </c>
      <c r="P57" s="66">
        <v>1398.059437358882</v>
      </c>
      <c r="Q57" s="66">
        <v>1468.9673139742279</v>
      </c>
      <c r="R57" s="66">
        <v>1470.7171751389913</v>
      </c>
      <c r="S57" s="66">
        <v>1440.4</v>
      </c>
      <c r="T57" s="66">
        <v>1417.2150202923676</v>
      </c>
      <c r="U57" s="66">
        <v>1441.5659400467587</v>
      </c>
      <c r="V57" s="66">
        <v>1413.9559526093192</v>
      </c>
      <c r="W57" s="66">
        <v>1437.427732811527</v>
      </c>
      <c r="X57" s="66">
        <v>1423.7587721600953</v>
      </c>
      <c r="Y57" s="66">
        <v>1367.4742420751177</v>
      </c>
    </row>
    <row r="58" spans="1:25" x14ac:dyDescent="0.25">
      <c r="A58" s="72" t="s">
        <v>275</v>
      </c>
      <c r="B58" s="65"/>
      <c r="C58" s="65"/>
      <c r="D58" s="66">
        <v>115.02764612954188</v>
      </c>
      <c r="E58" s="66">
        <v>120.49155440497309</v>
      </c>
      <c r="F58" s="66">
        <v>127.13755791223508</v>
      </c>
      <c r="G58" s="66">
        <v>176.35030211712612</v>
      </c>
      <c r="H58" s="66">
        <v>209.42408376963348</v>
      </c>
      <c r="I58" s="66">
        <v>214.14701803051318</v>
      </c>
      <c r="J58" s="66">
        <v>228.95192921645534</v>
      </c>
      <c r="K58" s="66">
        <v>204.04223227752641</v>
      </c>
      <c r="L58" s="66">
        <v>227.9653651076564</v>
      </c>
      <c r="M58" s="66">
        <v>144.21716342725185</v>
      </c>
      <c r="N58" s="66">
        <v>160.65279730732183</v>
      </c>
      <c r="O58" s="66">
        <v>135.20748260043462</v>
      </c>
      <c r="P58" s="66">
        <v>165.17157909725188</v>
      </c>
      <c r="Q58" s="66">
        <v>186.37648049059098</v>
      </c>
      <c r="R58" s="66">
        <v>181.43594444333738</v>
      </c>
      <c r="S58" s="66">
        <v>197.3</v>
      </c>
      <c r="T58" s="66">
        <v>214.05492730210014</v>
      </c>
      <c r="U58" s="66">
        <v>241.36527558235289</v>
      </c>
      <c r="V58" s="66">
        <v>256.50160313501959</v>
      </c>
      <c r="W58" s="66">
        <v>274.57084408076133</v>
      </c>
      <c r="X58" s="66">
        <v>271.87133581841408</v>
      </c>
      <c r="Y58" s="66">
        <v>311.39932189999672</v>
      </c>
    </row>
    <row r="59" spans="1:25" x14ac:dyDescent="0.25">
      <c r="A59" s="72" t="s">
        <v>276</v>
      </c>
      <c r="B59" s="65"/>
      <c r="C59" s="65"/>
      <c r="D59" s="66">
        <v>387.53949447077412</v>
      </c>
      <c r="E59" s="66">
        <v>418.36457484379247</v>
      </c>
      <c r="F59" s="66">
        <v>447.44416567901624</v>
      </c>
      <c r="G59" s="66">
        <v>536.89211420488618</v>
      </c>
      <c r="H59" s="66">
        <v>662.08860477878466</v>
      </c>
      <c r="I59" s="66">
        <v>694.59084604715679</v>
      </c>
      <c r="J59" s="66">
        <v>700.27755697736541</v>
      </c>
      <c r="K59" s="66">
        <v>757.88838612368033</v>
      </c>
      <c r="L59" s="66">
        <v>727.90485306576011</v>
      </c>
      <c r="M59" s="66">
        <v>524.57012191670719</v>
      </c>
      <c r="N59" s="66">
        <v>606.40618253080743</v>
      </c>
      <c r="O59" s="66">
        <v>709.41938463799465</v>
      </c>
      <c r="P59" s="66">
        <v>760.05370110453407</v>
      </c>
      <c r="Q59" s="66">
        <v>777.3702879817231</v>
      </c>
      <c r="R59" s="66">
        <v>788.912579957356</v>
      </c>
      <c r="S59" s="66">
        <v>832.6</v>
      </c>
      <c r="T59" s="66">
        <v>859.47042830686769</v>
      </c>
      <c r="U59" s="66">
        <v>989.78693598614268</v>
      </c>
      <c r="V59" s="66">
        <v>985.26577329569864</v>
      </c>
      <c r="W59" s="66">
        <v>1028.4621542292982</v>
      </c>
      <c r="X59" s="66">
        <v>1010.4828406923225</v>
      </c>
      <c r="Y59" s="66">
        <v>1199.595115046578</v>
      </c>
    </row>
    <row r="60" spans="1:25" x14ac:dyDescent="0.25">
      <c r="A60" s="72" t="s">
        <v>1</v>
      </c>
      <c r="B60" s="65"/>
      <c r="C60" s="65"/>
      <c r="D60" s="66">
        <v>689.67219589257502</v>
      </c>
      <c r="E60" s="66">
        <v>747.07959793534371</v>
      </c>
      <c r="F60" s="66">
        <v>700.64184457202668</v>
      </c>
      <c r="G60" s="66">
        <v>688.4887993727034</v>
      </c>
      <c r="H60" s="66">
        <v>694.57010219064705</v>
      </c>
      <c r="I60" s="66">
        <v>627.73925104022192</v>
      </c>
      <c r="J60" s="66">
        <v>572.70559414133254</v>
      </c>
      <c r="K60" s="66">
        <v>535.02262443438917</v>
      </c>
      <c r="L60" s="66">
        <v>436.12678923105693</v>
      </c>
      <c r="M60" s="66">
        <v>350.80768403536371</v>
      </c>
      <c r="N60" s="66">
        <v>409.54837852500577</v>
      </c>
      <c r="O60" s="66">
        <v>468.18740093007636</v>
      </c>
      <c r="P60" s="66">
        <v>477.41095583897805</v>
      </c>
      <c r="Q60" s="66">
        <v>490.79139862522294</v>
      </c>
      <c r="R60" s="66">
        <v>520.29571767331572</v>
      </c>
      <c r="S60" s="66">
        <v>510.6</v>
      </c>
      <c r="T60" s="66">
        <v>528.29110682059957</v>
      </c>
      <c r="U60" s="66">
        <v>513.01952692405985</v>
      </c>
      <c r="V60" s="66">
        <v>479.9356919057667</v>
      </c>
      <c r="W60" s="66">
        <v>457.08440807613624</v>
      </c>
      <c r="X60" s="66">
        <v>407.23823524264537</v>
      </c>
      <c r="Y60" s="66">
        <v>402.58073010961516</v>
      </c>
    </row>
    <row r="61" spans="1:25" x14ac:dyDescent="0.25">
      <c r="A61" s="72" t="s">
        <v>0</v>
      </c>
      <c r="B61" s="65"/>
      <c r="C61" s="65"/>
      <c r="D61" s="66">
        <v>231.37177461822012</v>
      </c>
      <c r="E61" s="66">
        <v>269.42806462438278</v>
      </c>
      <c r="F61" s="66">
        <v>316.15077960257975</v>
      </c>
      <c r="G61" s="66">
        <v>374.37923771159734</v>
      </c>
      <c r="H61" s="66">
        <v>423.0010530531124</v>
      </c>
      <c r="I61" s="66">
        <v>446.04715672676843</v>
      </c>
      <c r="J61" s="66">
        <v>447.34887478661994</v>
      </c>
      <c r="K61" s="66">
        <v>473.72549019607845</v>
      </c>
      <c r="L61" s="66">
        <v>383.42630183406493</v>
      </c>
      <c r="M61" s="66">
        <v>310.96118362218272</v>
      </c>
      <c r="N61" s="66">
        <v>360.16784951117705</v>
      </c>
      <c r="O61" s="66">
        <v>407.0920943513085</v>
      </c>
      <c r="P61" s="66">
        <v>397.67295213685645</v>
      </c>
      <c r="Q61" s="66">
        <v>435.78027615783884</v>
      </c>
      <c r="R61" s="66">
        <v>465.99446027539204</v>
      </c>
      <c r="S61" s="66">
        <v>463.9</v>
      </c>
      <c r="T61" s="66">
        <v>490.16903739312028</v>
      </c>
      <c r="U61" s="66">
        <v>480.93214322899411</v>
      </c>
      <c r="V61" s="66">
        <v>489.16171110684826</v>
      </c>
      <c r="W61" s="66">
        <v>475.3179756292804</v>
      </c>
      <c r="X61" s="66">
        <v>467.87770602544589</v>
      </c>
      <c r="Y61" s="66">
        <v>567.82645906711866</v>
      </c>
    </row>
    <row r="62" spans="1:25" x14ac:dyDescent="0.25">
      <c r="A62" s="78" t="s">
        <v>277</v>
      </c>
      <c r="B62" s="79"/>
      <c r="C62" s="79"/>
      <c r="D62" s="80">
        <v>282.55002632964715</v>
      </c>
      <c r="E62" s="80">
        <v>354.92273519024565</v>
      </c>
      <c r="F62" s="80">
        <v>422.66311625544495</v>
      </c>
      <c r="G62" s="80">
        <v>537.04586337848434</v>
      </c>
      <c r="H62" s="80">
        <v>651.11312163505033</v>
      </c>
      <c r="I62" s="80">
        <v>713.86962552011096</v>
      </c>
      <c r="J62" s="80">
        <v>832.01938989588359</v>
      </c>
      <c r="K62" s="80">
        <v>855.26395173453989</v>
      </c>
      <c r="L62" s="80">
        <v>856.85051325213726</v>
      </c>
      <c r="M62" s="80">
        <v>694.93655124010911</v>
      </c>
      <c r="N62" s="80">
        <v>772.92706960883083</v>
      </c>
      <c r="O62" s="80">
        <v>944.14293362446324</v>
      </c>
      <c r="P62" s="80">
        <v>1061.6138809218689</v>
      </c>
      <c r="Q62" s="80">
        <v>1156.9370127657869</v>
      </c>
      <c r="R62" s="80">
        <v>1240.4599167048602</v>
      </c>
      <c r="S62" s="80">
        <v>1273.5</v>
      </c>
      <c r="T62" s="80">
        <v>1298.0219866819023</v>
      </c>
      <c r="U62" s="80">
        <v>1362.8146030724379</v>
      </c>
      <c r="V62" s="80">
        <v>1406.0087875549223</v>
      </c>
      <c r="W62" s="80">
        <v>1394.1118918438137</v>
      </c>
      <c r="X62" s="80">
        <v>1377.2072592359252</v>
      </c>
      <c r="Y62" s="80">
        <v>1515.1914151222884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6.2863070539419086E-2</v>
      </c>
      <c r="E66" s="83">
        <f t="shared" ref="E66:S66" si="49">E24/E$23</f>
        <v>5.4773906536522789E-2</v>
      </c>
      <c r="F66" s="83">
        <f t="shared" si="49"/>
        <v>5.3686295749463958E-2</v>
      </c>
      <c r="G66" s="83">
        <f t="shared" si="49"/>
        <v>4.9360538381103033E-2</v>
      </c>
      <c r="H66" s="83">
        <f t="shared" si="49"/>
        <v>4.6131069757846775E-2</v>
      </c>
      <c r="I66" s="83">
        <f t="shared" si="49"/>
        <v>4.7826705218751479E-2</v>
      </c>
      <c r="J66" s="83">
        <f t="shared" si="49"/>
        <v>4.2818710325320856E-2</v>
      </c>
      <c r="K66" s="83">
        <f t="shared" si="49"/>
        <v>3.8710643411358658E-2</v>
      </c>
      <c r="L66" s="83">
        <f t="shared" si="49"/>
        <v>3.6587862040732784E-2</v>
      </c>
      <c r="M66" s="83">
        <f t="shared" si="49"/>
        <v>2.8117349336015101E-2</v>
      </c>
      <c r="N66" s="83">
        <f t="shared" si="49"/>
        <v>3.361767773507985E-2</v>
      </c>
      <c r="O66" s="83">
        <f t="shared" si="49"/>
        <v>3.8756254011254564E-2</v>
      </c>
      <c r="P66" s="83">
        <f t="shared" si="49"/>
        <v>4.3984001005726685E-2</v>
      </c>
      <c r="Q66" s="83">
        <f t="shared" si="49"/>
        <v>3.9096632042807673E-2</v>
      </c>
      <c r="R66" s="83">
        <f t="shared" si="49"/>
        <v>3.7852887030806491E-2</v>
      </c>
      <c r="S66" s="83">
        <f t="shared" si="49"/>
        <v>3.7989740539736826E-2</v>
      </c>
      <c r="T66" s="83">
        <f t="shared" ref="T66:Y66" si="50">T24/T$23</f>
        <v>3.4545818212989687E-2</v>
      </c>
      <c r="U66" s="83">
        <f t="shared" si="50"/>
        <v>3.9039647832256948E-2</v>
      </c>
      <c r="V66" s="83">
        <f t="shared" si="50"/>
        <v>3.202445263767436E-2</v>
      </c>
      <c r="W66" s="83">
        <f t="shared" si="50"/>
        <v>3.4499531762844697E-2</v>
      </c>
      <c r="X66" s="83">
        <f t="shared" si="50"/>
        <v>3.9191564933815863E-2</v>
      </c>
      <c r="Y66" s="83">
        <f t="shared" si="50"/>
        <v>3.7964537140210704E-2</v>
      </c>
    </row>
    <row r="67" spans="1:25" x14ac:dyDescent="0.25">
      <c r="A67" s="64" t="s">
        <v>56</v>
      </c>
      <c r="B67" s="65"/>
      <c r="C67" s="65"/>
      <c r="D67" s="83">
        <f t="shared" si="46"/>
        <v>7.0088399783510731E-3</v>
      </c>
      <c r="E67" s="83">
        <f t="shared" ref="E67:S67" si="51">E25/E$23</f>
        <v>7.2445295989606038E-3</v>
      </c>
      <c r="F67" s="83">
        <f t="shared" si="51"/>
        <v>5.965143972162662E-3</v>
      </c>
      <c r="G67" s="83">
        <f t="shared" si="51"/>
        <v>5.6505885191838485E-3</v>
      </c>
      <c r="H67" s="83">
        <f t="shared" si="51"/>
        <v>5.3636545660839859E-3</v>
      </c>
      <c r="I67" s="83">
        <f t="shared" si="51"/>
        <v>5.224544827331954E-3</v>
      </c>
      <c r="J67" s="83">
        <f t="shared" si="51"/>
        <v>5.0258432452851051E-3</v>
      </c>
      <c r="K67" s="83">
        <f t="shared" si="51"/>
        <v>4.5417724046055031E-3</v>
      </c>
      <c r="L67" s="83">
        <f t="shared" si="51"/>
        <v>4.3632517995428645E-3</v>
      </c>
      <c r="M67" s="83">
        <f t="shared" si="51"/>
        <v>3.1653656244590442E-3</v>
      </c>
      <c r="N67" s="83">
        <f t="shared" si="51"/>
        <v>3.6802176404570133E-3</v>
      </c>
      <c r="O67" s="83">
        <f t="shared" si="51"/>
        <v>4.2514866019665344E-3</v>
      </c>
      <c r="P67" s="83">
        <f t="shared" si="51"/>
        <v>3.9401989618518601E-3</v>
      </c>
      <c r="Q67" s="83">
        <f t="shared" si="51"/>
        <v>4.0132200188857416E-3</v>
      </c>
      <c r="R67" s="83">
        <f t="shared" si="51"/>
        <v>3.8904859933435506E-3</v>
      </c>
      <c r="S67" s="83">
        <f t="shared" si="51"/>
        <v>2.9321240056501374E-3</v>
      </c>
      <c r="T67" s="83">
        <f t="shared" ref="T67:Y67" si="52">T25/T$23</f>
        <v>2.8545303883189986E-3</v>
      </c>
      <c r="U67" s="83">
        <f t="shared" si="52"/>
        <v>3.0093281273448672E-3</v>
      </c>
      <c r="V67" s="83">
        <f t="shared" si="52"/>
        <v>3.0443631636943814E-3</v>
      </c>
      <c r="W67" s="83">
        <f t="shared" si="52"/>
        <v>2.8048769400020003E-3</v>
      </c>
      <c r="X67" s="83">
        <f t="shared" si="52"/>
        <v>2.9927128114054123E-3</v>
      </c>
      <c r="Y67" s="83">
        <f t="shared" si="52"/>
        <v>2.7411575403603287E-3</v>
      </c>
    </row>
    <row r="68" spans="1:25" x14ac:dyDescent="0.25">
      <c r="A68" s="64" t="s">
        <v>146</v>
      </c>
      <c r="B68" s="65"/>
      <c r="C68" s="65"/>
      <c r="D68" s="83">
        <f t="shared" si="46"/>
        <v>0.65294064585964273</v>
      </c>
      <c r="E68" s="83">
        <f t="shared" ref="E68:S68" si="53">E26/E$23</f>
        <v>0.65379207131051165</v>
      </c>
      <c r="F68" s="83">
        <f t="shared" si="53"/>
        <v>0.66345162223722576</v>
      </c>
      <c r="G68" s="83">
        <f t="shared" si="53"/>
        <v>0.65133924980561453</v>
      </c>
      <c r="H68" s="83">
        <f t="shared" si="53"/>
        <v>0.64002839581829107</v>
      </c>
      <c r="I68" s="83">
        <f t="shared" si="53"/>
        <v>0.63789480336856741</v>
      </c>
      <c r="J68" s="83">
        <f t="shared" si="53"/>
        <v>0.63739301080717536</v>
      </c>
      <c r="K68" s="83">
        <f t="shared" si="53"/>
        <v>0.64366474578743893</v>
      </c>
      <c r="L68" s="83">
        <f t="shared" si="53"/>
        <v>0.65026438781428031</v>
      </c>
      <c r="M68" s="83">
        <f t="shared" si="53"/>
        <v>0.70798677800400622</v>
      </c>
      <c r="N68" s="83">
        <f t="shared" si="53"/>
        <v>0.69000115006801266</v>
      </c>
      <c r="O68" s="83">
        <f t="shared" si="53"/>
        <v>0.66568564529340235</v>
      </c>
      <c r="P68" s="83">
        <f t="shared" si="53"/>
        <v>0.66346532393331759</v>
      </c>
      <c r="Q68" s="83">
        <f t="shared" si="53"/>
        <v>0.67674535725527218</v>
      </c>
      <c r="R68" s="83">
        <f t="shared" si="53"/>
        <v>0.67667552379484097</v>
      </c>
      <c r="S68" s="83">
        <f t="shared" si="53"/>
        <v>0.68289643892647378</v>
      </c>
      <c r="T68" s="83">
        <f t="shared" ref="T68:Y68" si="54">T26/T$23</f>
        <v>0.69476526559419371</v>
      </c>
      <c r="U68" s="83">
        <f t="shared" si="54"/>
        <v>0.69093173327295354</v>
      </c>
      <c r="V68" s="83">
        <f t="shared" si="54"/>
        <v>0.70140319242769644</v>
      </c>
      <c r="W68" s="83">
        <f t="shared" si="54"/>
        <v>0.70334221317064749</v>
      </c>
      <c r="X68" s="83">
        <f t="shared" si="54"/>
        <v>0.70141762434967769</v>
      </c>
      <c r="Y68" s="83">
        <f t="shared" si="54"/>
        <v>0.70187883094084058</v>
      </c>
    </row>
    <row r="69" spans="1:25" x14ac:dyDescent="0.25">
      <c r="A69" s="68" t="s">
        <v>148</v>
      </c>
      <c r="B69" s="69"/>
      <c r="C69" s="69"/>
      <c r="D69" s="84">
        <f t="shared" si="46"/>
        <v>0.28175175897528421</v>
      </c>
      <c r="E69" s="84">
        <f t="shared" ref="E69:S69" si="55">E27/E$23</f>
        <v>0.27619666307592372</v>
      </c>
      <c r="F69" s="84">
        <f t="shared" si="55"/>
        <v>0.2784995140336689</v>
      </c>
      <c r="G69" s="84">
        <f t="shared" si="55"/>
        <v>0.27073223047430089</v>
      </c>
      <c r="H69" s="84">
        <f t="shared" si="55"/>
        <v>0.26765485732314803</v>
      </c>
      <c r="I69" s="84">
        <f t="shared" si="55"/>
        <v>0.2622173768782291</v>
      </c>
      <c r="J69" s="84">
        <f t="shared" si="55"/>
        <v>0.26519960567169409</v>
      </c>
      <c r="K69" s="84">
        <f t="shared" si="55"/>
        <v>0.25693071397583611</v>
      </c>
      <c r="L69" s="84">
        <f t="shared" si="55"/>
        <v>0.26104117626991435</v>
      </c>
      <c r="M69" s="84">
        <f t="shared" si="55"/>
        <v>0.30579987305564948</v>
      </c>
      <c r="N69" s="84">
        <f t="shared" si="55"/>
        <v>0.30034224437755541</v>
      </c>
      <c r="O69" s="84">
        <f t="shared" si="55"/>
        <v>0.28902662586563321</v>
      </c>
      <c r="P69" s="84">
        <f t="shared" si="55"/>
        <v>0.28613916743033518</v>
      </c>
      <c r="Q69" s="84">
        <f t="shared" si="55"/>
        <v>0.2881901164620711</v>
      </c>
      <c r="R69" s="84">
        <f t="shared" si="55"/>
        <v>0.28848240817153215</v>
      </c>
      <c r="S69" s="84">
        <f t="shared" si="55"/>
        <v>0.28733923128391942</v>
      </c>
      <c r="T69" s="84">
        <f t="shared" ref="T69:Y69" si="56">T27/T$23</f>
        <v>0.29088207560648055</v>
      </c>
      <c r="U69" s="84">
        <f t="shared" si="56"/>
        <v>0.28995126626103485</v>
      </c>
      <c r="V69" s="84">
        <f t="shared" si="56"/>
        <v>0.29522504098651048</v>
      </c>
      <c r="W69" s="84">
        <f t="shared" si="56"/>
        <v>0.30249029430750912</v>
      </c>
      <c r="X69" s="84">
        <f t="shared" si="56"/>
        <v>0.29920417995642895</v>
      </c>
      <c r="Y69" s="84">
        <f t="shared" si="56"/>
        <v>0.29569272118766338</v>
      </c>
    </row>
    <row r="70" spans="1:25" x14ac:dyDescent="0.25">
      <c r="A70" s="68" t="s">
        <v>150</v>
      </c>
      <c r="B70" s="71"/>
      <c r="C70" s="71"/>
      <c r="D70" s="84">
        <f t="shared" si="46"/>
        <v>0.19242287569907993</v>
      </c>
      <c r="E70" s="84">
        <f t="shared" ref="E70:S70" si="57">E28/E$23</f>
        <v>0.19062733843712226</v>
      </c>
      <c r="F70" s="84">
        <f t="shared" si="57"/>
        <v>0.19477233775772906</v>
      </c>
      <c r="G70" s="84">
        <f t="shared" si="57"/>
        <v>0.19330643215272</v>
      </c>
      <c r="H70" s="84">
        <f t="shared" si="57"/>
        <v>0.18746094058114346</v>
      </c>
      <c r="I70" s="84">
        <f t="shared" si="57"/>
        <v>0.18949508355585049</v>
      </c>
      <c r="J70" s="84">
        <f t="shared" si="57"/>
        <v>0.19582362100258893</v>
      </c>
      <c r="K70" s="84">
        <f t="shared" si="57"/>
        <v>0.2065258704423909</v>
      </c>
      <c r="L70" s="84">
        <f t="shared" si="57"/>
        <v>0.20261999795312657</v>
      </c>
      <c r="M70" s="84">
        <f t="shared" si="57"/>
        <v>0.21305630888692889</v>
      </c>
      <c r="N70" s="84">
        <f t="shared" si="57"/>
        <v>0.19923143730741316</v>
      </c>
      <c r="O70" s="84">
        <f t="shared" si="57"/>
        <v>0.18446629482410759</v>
      </c>
      <c r="P70" s="84">
        <f t="shared" si="57"/>
        <v>0.17826836360989717</v>
      </c>
      <c r="Q70" s="84">
        <f t="shared" si="57"/>
        <v>0.18658482845451685</v>
      </c>
      <c r="R70" s="84">
        <f t="shared" si="57"/>
        <v>0.1864803344548332</v>
      </c>
      <c r="S70" s="84">
        <f t="shared" si="57"/>
        <v>0.19767154858374841</v>
      </c>
      <c r="T70" s="84">
        <f t="shared" ref="T70:Y70" si="58">T28/T$23</f>
        <v>0.20504614681258396</v>
      </c>
      <c r="U70" s="84">
        <f t="shared" si="58"/>
        <v>0.20383656425823882</v>
      </c>
      <c r="V70" s="84">
        <f t="shared" si="58"/>
        <v>0.21133646565562536</v>
      </c>
      <c r="W70" s="84">
        <f t="shared" si="58"/>
        <v>0.21235009592042695</v>
      </c>
      <c r="X70" s="84">
        <f t="shared" si="58"/>
        <v>0.21490272565009863</v>
      </c>
      <c r="Y70" s="84">
        <f t="shared" si="58"/>
        <v>0.22431377050672821</v>
      </c>
    </row>
    <row r="71" spans="1:25" x14ac:dyDescent="0.25">
      <c r="A71" s="68" t="s">
        <v>152</v>
      </c>
      <c r="B71" s="71"/>
      <c r="C71" s="71"/>
      <c r="D71" s="84">
        <f t="shared" si="46"/>
        <v>0.17876601118527874</v>
      </c>
      <c r="E71" s="84">
        <f t="shared" ref="E71:S71" si="59">E29/E$23</f>
        <v>0.18696806979746566</v>
      </c>
      <c r="F71" s="84">
        <f t="shared" si="59"/>
        <v>0.19017977044582771</v>
      </c>
      <c r="G71" s="84">
        <f t="shared" si="59"/>
        <v>0.18730058717859349</v>
      </c>
      <c r="H71" s="84">
        <f t="shared" si="59"/>
        <v>0.18491259791399947</v>
      </c>
      <c r="I71" s="84">
        <f t="shared" si="59"/>
        <v>0.18618234293448799</v>
      </c>
      <c r="J71" s="84">
        <f t="shared" si="59"/>
        <v>0.17636978413289245</v>
      </c>
      <c r="K71" s="84">
        <f t="shared" si="59"/>
        <v>0.18020816136921192</v>
      </c>
      <c r="L71" s="84">
        <f t="shared" si="59"/>
        <v>0.18660321359123941</v>
      </c>
      <c r="M71" s="84">
        <f t="shared" si="59"/>
        <v>0.18913059606142793</v>
      </c>
      <c r="N71" s="84">
        <f t="shared" si="59"/>
        <v>0.19042746838304417</v>
      </c>
      <c r="O71" s="84">
        <f t="shared" si="59"/>
        <v>0.19219272460366157</v>
      </c>
      <c r="P71" s="84">
        <f t="shared" si="59"/>
        <v>0.19905779289308534</v>
      </c>
      <c r="Q71" s="84">
        <f t="shared" si="59"/>
        <v>0.20197041233868421</v>
      </c>
      <c r="R71" s="84">
        <f t="shared" si="59"/>
        <v>0.2017127811684756</v>
      </c>
      <c r="S71" s="84">
        <f t="shared" si="59"/>
        <v>0.19788565905880615</v>
      </c>
      <c r="T71" s="84">
        <f t="shared" ref="T71:Y71" si="60">T29/T$23</f>
        <v>0.1988370431751294</v>
      </c>
      <c r="U71" s="84">
        <f t="shared" si="60"/>
        <v>0.19714390275367991</v>
      </c>
      <c r="V71" s="84">
        <f t="shared" si="60"/>
        <v>0.1948416857855606</v>
      </c>
      <c r="W71" s="84">
        <f t="shared" si="60"/>
        <v>0.18850182294271137</v>
      </c>
      <c r="X71" s="84">
        <f t="shared" si="60"/>
        <v>0.18731071874315022</v>
      </c>
      <c r="Y71" s="84">
        <f t="shared" si="60"/>
        <v>0.18187233924644899</v>
      </c>
    </row>
    <row r="72" spans="1:25" x14ac:dyDescent="0.25">
      <c r="A72" s="64" t="s">
        <v>154</v>
      </c>
      <c r="B72" s="65"/>
      <c r="C72" s="65"/>
      <c r="D72" s="83">
        <f t="shared" si="46"/>
        <v>5.068554934151185E-2</v>
      </c>
      <c r="E72" s="83">
        <f t="shared" ref="E72:S72" si="61">E30/E$23</f>
        <v>5.6114267858464364E-2</v>
      </c>
      <c r="F72" s="83">
        <f t="shared" si="61"/>
        <v>5.2432428421982001E-2</v>
      </c>
      <c r="G72" s="83">
        <f t="shared" si="61"/>
        <v>5.9696490334343232E-2</v>
      </c>
      <c r="H72" s="83">
        <f t="shared" si="61"/>
        <v>6.3957333462773006E-2</v>
      </c>
      <c r="I72" s="83">
        <f t="shared" si="61"/>
        <v>6.3716273509135016E-2</v>
      </c>
      <c r="J72" s="83">
        <f t="shared" si="61"/>
        <v>5.4187895595131687E-2</v>
      </c>
      <c r="K72" s="83">
        <f t="shared" si="61"/>
        <v>4.0649438901067689E-2</v>
      </c>
      <c r="L72" s="83">
        <f t="shared" si="61"/>
        <v>4.5130147033739298E-2</v>
      </c>
      <c r="M72" s="83">
        <f t="shared" si="61"/>
        <v>4.8696347464822383E-2</v>
      </c>
      <c r="N72" s="83">
        <f t="shared" si="61"/>
        <v>5.359316938915528E-2</v>
      </c>
      <c r="O72" s="83">
        <f t="shared" si="61"/>
        <v>5.2241161056524543E-2</v>
      </c>
      <c r="P72" s="83">
        <f t="shared" si="61"/>
        <v>5.1794924388541323E-2</v>
      </c>
      <c r="Q72" s="83">
        <f t="shared" si="61"/>
        <v>3.8580421781554936E-2</v>
      </c>
      <c r="R72" s="83">
        <f t="shared" si="61"/>
        <v>3.3070642398740066E-2</v>
      </c>
      <c r="S72" s="83">
        <f t="shared" si="61"/>
        <v>2.944019032042228E-2</v>
      </c>
      <c r="T72" s="83">
        <f t="shared" ref="T72:Y72" si="62">T30/T$23</f>
        <v>3.1768437294625272E-2</v>
      </c>
      <c r="U72" s="83">
        <f t="shared" si="62"/>
        <v>3.0095914106455946E-2</v>
      </c>
      <c r="V72" s="83">
        <f t="shared" si="62"/>
        <v>2.796367288000174E-2</v>
      </c>
      <c r="W72" s="83">
        <f t="shared" si="62"/>
        <v>2.650767818014858E-2</v>
      </c>
      <c r="X72" s="83">
        <f t="shared" si="62"/>
        <v>2.2219438765696067E-2</v>
      </c>
      <c r="Y72" s="83">
        <f t="shared" si="62"/>
        <v>1.8863518062941748E-2</v>
      </c>
    </row>
    <row r="73" spans="1:25" x14ac:dyDescent="0.25">
      <c r="A73" s="64" t="s">
        <v>37</v>
      </c>
      <c r="B73" s="65"/>
      <c r="C73" s="65"/>
      <c r="D73" s="83">
        <f t="shared" si="46"/>
        <v>5.9940465451921346E-2</v>
      </c>
      <c r="E73" s="83">
        <f t="shared" ref="E73:S73" si="63">E31/E$23</f>
        <v>5.9559736532657954E-2</v>
      </c>
      <c r="F73" s="83">
        <f t="shared" si="63"/>
        <v>6.322013903830602E-2</v>
      </c>
      <c r="G73" s="83">
        <f t="shared" si="63"/>
        <v>6.9549829745019692E-2</v>
      </c>
      <c r="H73" s="83">
        <f t="shared" si="63"/>
        <v>7.2536753775491014E-2</v>
      </c>
      <c r="I73" s="83">
        <f t="shared" si="63"/>
        <v>7.7978438219230742E-2</v>
      </c>
      <c r="J73" s="83">
        <f t="shared" si="63"/>
        <v>9.4694073098149048E-2</v>
      </c>
      <c r="K73" s="83">
        <f t="shared" si="63"/>
        <v>0.11194336413650656</v>
      </c>
      <c r="L73" s="83">
        <f t="shared" si="63"/>
        <v>0.11208678743219733</v>
      </c>
      <c r="M73" s="83">
        <f t="shared" si="63"/>
        <v>6.5986332874465231E-2</v>
      </c>
      <c r="N73" s="83">
        <f t="shared" si="63"/>
        <v>5.8399660531648676E-2</v>
      </c>
      <c r="O73" s="83">
        <f t="shared" si="63"/>
        <v>6.5219010066697641E-2</v>
      </c>
      <c r="P73" s="83">
        <f t="shared" si="63"/>
        <v>6.1087971310322918E-2</v>
      </c>
      <c r="Q73" s="83">
        <f t="shared" si="63"/>
        <v>6.6839785961598994E-2</v>
      </c>
      <c r="R73" s="83">
        <f t="shared" si="63"/>
        <v>7.4176181277905262E-2</v>
      </c>
      <c r="S73" s="83">
        <f t="shared" si="63"/>
        <v>7.4245780982826554E-2</v>
      </c>
      <c r="T73" s="83">
        <f t="shared" ref="T73:Y73" si="64">T31/T$23</f>
        <v>6.7040032002743083E-2</v>
      </c>
      <c r="U73" s="83">
        <f t="shared" si="64"/>
        <v>6.6889755383485294E-2</v>
      </c>
      <c r="V73" s="83">
        <f t="shared" si="64"/>
        <v>7.0323323095868112E-2</v>
      </c>
      <c r="W73" s="83">
        <f t="shared" si="64"/>
        <v>7.3088183148917601E-2</v>
      </c>
      <c r="X73" s="83">
        <f t="shared" si="64"/>
        <v>7.2853992296784062E-2</v>
      </c>
      <c r="Y73" s="83">
        <f t="shared" si="64"/>
        <v>7.0654572587237091E-2</v>
      </c>
    </row>
    <row r="74" spans="1:25" x14ac:dyDescent="0.25">
      <c r="A74" s="64" t="s">
        <v>58</v>
      </c>
      <c r="B74" s="65"/>
      <c r="C74" s="65"/>
      <c r="D74" s="83">
        <f t="shared" si="46"/>
        <v>0.16656142882915384</v>
      </c>
      <c r="E74" s="83">
        <f t="shared" ref="E74:S74" si="65">E32/E$23</f>
        <v>0.1685154881628827</v>
      </c>
      <c r="F74" s="83">
        <f t="shared" si="65"/>
        <v>0.16124437058085961</v>
      </c>
      <c r="G74" s="83">
        <f t="shared" si="65"/>
        <v>0.1644033032147357</v>
      </c>
      <c r="H74" s="83">
        <f t="shared" si="65"/>
        <v>0.17198279261951421</v>
      </c>
      <c r="I74" s="83">
        <f t="shared" si="65"/>
        <v>0.16735923485698337</v>
      </c>
      <c r="J74" s="83">
        <f t="shared" si="65"/>
        <v>0.16588046692893793</v>
      </c>
      <c r="K74" s="83">
        <f t="shared" si="65"/>
        <v>0.1604900353590227</v>
      </c>
      <c r="L74" s="83">
        <f t="shared" si="65"/>
        <v>0.1515675638795074</v>
      </c>
      <c r="M74" s="83">
        <f t="shared" si="65"/>
        <v>0.14604782669623204</v>
      </c>
      <c r="N74" s="83">
        <f t="shared" si="65"/>
        <v>0.16070812463564652</v>
      </c>
      <c r="O74" s="83">
        <f t="shared" si="65"/>
        <v>0.17384644297015447</v>
      </c>
      <c r="P74" s="83">
        <f t="shared" si="65"/>
        <v>0.1757275804002395</v>
      </c>
      <c r="Q74" s="83">
        <f t="shared" si="65"/>
        <v>0.17472458293988039</v>
      </c>
      <c r="R74" s="83">
        <f t="shared" si="65"/>
        <v>0.17433427950436359</v>
      </c>
      <c r="S74" s="83">
        <f t="shared" si="65"/>
        <v>0.17249572522489034</v>
      </c>
      <c r="T74" s="83">
        <f t="shared" ref="T74:Y74" si="66">T32/T$23</f>
        <v>0.16902591650712917</v>
      </c>
      <c r="U74" s="83">
        <f t="shared" si="66"/>
        <v>0.17003362127750327</v>
      </c>
      <c r="V74" s="83">
        <f t="shared" si="66"/>
        <v>0.16524099579506499</v>
      </c>
      <c r="W74" s="83">
        <f t="shared" si="66"/>
        <v>0.15975751679743969</v>
      </c>
      <c r="X74" s="83">
        <f t="shared" si="66"/>
        <v>0.16132466684262087</v>
      </c>
      <c r="Y74" s="83">
        <f t="shared" si="66"/>
        <v>0.16789738372840965</v>
      </c>
    </row>
    <row r="75" spans="1:25" x14ac:dyDescent="0.25">
      <c r="A75" s="85" t="s">
        <v>158</v>
      </c>
      <c r="B75" s="86"/>
      <c r="C75" s="86"/>
      <c r="D75" s="87">
        <f t="shared" si="46"/>
        <v>0</v>
      </c>
      <c r="E75" s="87">
        <f t="shared" ref="E75:S75" si="67">E33/E$23</f>
        <v>0</v>
      </c>
      <c r="F75" s="87">
        <f t="shared" si="67"/>
        <v>0</v>
      </c>
      <c r="G75" s="87">
        <f t="shared" si="67"/>
        <v>0</v>
      </c>
      <c r="H75" s="87">
        <f t="shared" si="67"/>
        <v>0</v>
      </c>
      <c r="I75" s="87">
        <f t="shared" si="67"/>
        <v>0</v>
      </c>
      <c r="J75" s="87">
        <f t="shared" si="67"/>
        <v>0</v>
      </c>
      <c r="K75" s="87">
        <f t="shared" si="67"/>
        <v>0</v>
      </c>
      <c r="L75" s="87">
        <f t="shared" si="67"/>
        <v>0</v>
      </c>
      <c r="M75" s="87">
        <f t="shared" si="67"/>
        <v>0</v>
      </c>
      <c r="N75" s="87">
        <f t="shared" si="67"/>
        <v>0</v>
      </c>
      <c r="O75" s="87">
        <f t="shared" si="67"/>
        <v>0</v>
      </c>
      <c r="P75" s="87">
        <f t="shared" si="67"/>
        <v>0</v>
      </c>
      <c r="Q75" s="87">
        <f t="shared" si="67"/>
        <v>0</v>
      </c>
      <c r="R75" s="87">
        <f t="shared" si="67"/>
        <v>0</v>
      </c>
      <c r="S75" s="87">
        <f t="shared" si="67"/>
        <v>0</v>
      </c>
      <c r="T75" s="87">
        <f t="shared" ref="T75:Y75" si="68">T33/T$23</f>
        <v>0</v>
      </c>
      <c r="U75" s="87">
        <f t="shared" si="68"/>
        <v>0</v>
      </c>
      <c r="V75" s="87">
        <f t="shared" si="68"/>
        <v>0</v>
      </c>
      <c r="W75" s="87">
        <f t="shared" si="68"/>
        <v>0</v>
      </c>
      <c r="X75" s="87">
        <f t="shared" si="68"/>
        <v>0</v>
      </c>
      <c r="Y75" s="87">
        <f t="shared" si="68"/>
        <v>0</v>
      </c>
    </row>
    <row r="76" spans="1:25" x14ac:dyDescent="0.25">
      <c r="A76" s="88" t="s">
        <v>5</v>
      </c>
      <c r="B76" s="44"/>
      <c r="C76" s="44"/>
      <c r="D76" s="89">
        <f t="shared" si="46"/>
        <v>0</v>
      </c>
      <c r="E76" s="89">
        <f t="shared" ref="E76:S76" si="69">E34/E$23</f>
        <v>0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1.1031932166696734E-2</v>
      </c>
      <c r="E78" s="89">
        <f t="shared" ref="E78:S78" si="73">E43/E$23</f>
        <v>9.0453831542073385E-3</v>
      </c>
      <c r="F78" s="89">
        <f t="shared" si="73"/>
        <v>8.9031999584517334E-3</v>
      </c>
      <c r="G78" s="89">
        <f t="shared" si="73"/>
        <v>8.4859372067458503E-3</v>
      </c>
      <c r="H78" s="89">
        <f t="shared" si="73"/>
        <v>9.7443769605552958E-3</v>
      </c>
      <c r="I78" s="89">
        <f t="shared" si="73"/>
        <v>1.0775623706372153E-2</v>
      </c>
      <c r="J78" s="89">
        <f t="shared" si="73"/>
        <v>1.3368466634113084E-2</v>
      </c>
      <c r="K78" s="89">
        <f t="shared" si="73"/>
        <v>1.7522104188182178E-2</v>
      </c>
      <c r="L78" s="89">
        <f t="shared" si="73"/>
        <v>2.0240166479036602E-2</v>
      </c>
      <c r="M78" s="89">
        <f t="shared" si="73"/>
        <v>1.5699059457766274E-2</v>
      </c>
      <c r="N78" s="89">
        <f t="shared" si="73"/>
        <v>1.9309245357096119E-2</v>
      </c>
      <c r="O78" s="89">
        <f t="shared" si="73"/>
        <v>2.2945262553232228E-2</v>
      </c>
      <c r="P78" s="89">
        <f t="shared" si="73"/>
        <v>2.1447783265898916E-2</v>
      </c>
      <c r="Q78" s="89">
        <f t="shared" si="73"/>
        <v>1.5602769908718917E-2</v>
      </c>
      <c r="R78" s="89">
        <f t="shared" si="73"/>
        <v>1.5274767462599041E-2</v>
      </c>
      <c r="S78" s="89">
        <f t="shared" si="73"/>
        <v>1.5835253884469557E-2</v>
      </c>
      <c r="T78" s="89">
        <f t="shared" ref="T78:Y78" si="74">T43/T$23</f>
        <v>1.3235420178872474E-2</v>
      </c>
      <c r="U78" s="89">
        <f t="shared" si="74"/>
        <v>1.393821794065068E-2</v>
      </c>
      <c r="V78" s="89">
        <f t="shared" si="74"/>
        <v>1.5077660580383649E-2</v>
      </c>
      <c r="W78" s="89">
        <f t="shared" si="74"/>
        <v>1.5149517670270125E-2</v>
      </c>
      <c r="X78" s="89">
        <f t="shared" si="74"/>
        <v>2.0206403242329217E-2</v>
      </c>
      <c r="Y78" s="89">
        <f t="shared" si="74"/>
        <v>2.4868335375182335E-2</v>
      </c>
    </row>
    <row r="79" spans="1:25" x14ac:dyDescent="0.25">
      <c r="A79" s="88" t="s">
        <v>272</v>
      </c>
      <c r="B79" s="44"/>
      <c r="C79" s="44"/>
      <c r="D79" s="89">
        <f>D44/D$23</f>
        <v>1.1031932166696734E-2</v>
      </c>
      <c r="E79" s="89">
        <f t="shared" ref="E79:S79" si="75">E44/E$23</f>
        <v>9.0453831542073385E-3</v>
      </c>
      <c r="F79" s="89">
        <f t="shared" si="75"/>
        <v>8.9031999584517334E-3</v>
      </c>
      <c r="G79" s="89">
        <f t="shared" si="75"/>
        <v>8.4859372067458503E-3</v>
      </c>
      <c r="H79" s="89">
        <f t="shared" si="75"/>
        <v>9.7443769605552958E-3</v>
      </c>
      <c r="I79" s="89">
        <f t="shared" si="75"/>
        <v>1.0775623706372153E-2</v>
      </c>
      <c r="J79" s="89">
        <f t="shared" si="75"/>
        <v>1.3368466634113084E-2</v>
      </c>
      <c r="K79" s="89">
        <f t="shared" si="75"/>
        <v>1.7522104188182178E-2</v>
      </c>
      <c r="L79" s="89">
        <f t="shared" si="75"/>
        <v>2.0240166479036602E-2</v>
      </c>
      <c r="M79" s="89">
        <f t="shared" si="75"/>
        <v>1.5699059457766274E-2</v>
      </c>
      <c r="N79" s="89">
        <f t="shared" si="75"/>
        <v>1.9309245357096119E-2</v>
      </c>
      <c r="O79" s="89">
        <f t="shared" si="75"/>
        <v>2.2945262553232228E-2</v>
      </c>
      <c r="P79" s="89">
        <f t="shared" si="75"/>
        <v>2.1447783265898916E-2</v>
      </c>
      <c r="Q79" s="89">
        <f t="shared" si="75"/>
        <v>1.5602769908718917E-2</v>
      </c>
      <c r="R79" s="89">
        <f t="shared" si="75"/>
        <v>1.5274767462599041E-2</v>
      </c>
      <c r="S79" s="89">
        <f t="shared" si="75"/>
        <v>1.5835253884469557E-2</v>
      </c>
      <c r="T79" s="89">
        <f t="shared" ref="T79:Y79" si="76">T44/T$23</f>
        <v>1.3235420178872474E-2</v>
      </c>
      <c r="U79" s="89">
        <f t="shared" si="76"/>
        <v>1.393821794065068E-2</v>
      </c>
      <c r="V79" s="89">
        <f t="shared" si="76"/>
        <v>1.5077660580383649E-2</v>
      </c>
      <c r="W79" s="89">
        <f t="shared" si="76"/>
        <v>1.5149517670270125E-2</v>
      </c>
      <c r="X79" s="89">
        <f t="shared" si="76"/>
        <v>2.0206403242329217E-2</v>
      </c>
      <c r="Y79" s="89">
        <f t="shared" si="76"/>
        <v>2.4868335375182335E-2</v>
      </c>
    </row>
    <row r="80" spans="1:25" x14ac:dyDescent="0.25">
      <c r="A80" s="88" t="s">
        <v>11</v>
      </c>
      <c r="B80" s="44"/>
      <c r="C80" s="44"/>
      <c r="D80" s="89">
        <f>D47/D$23</f>
        <v>0</v>
      </c>
      <c r="E80" s="89">
        <f t="shared" ref="E80:S80" si="77">E47/E$23</f>
        <v>0</v>
      </c>
      <c r="F80" s="89">
        <f t="shared" si="77"/>
        <v>0</v>
      </c>
      <c r="G80" s="89">
        <f t="shared" si="77"/>
        <v>0</v>
      </c>
      <c r="H80" s="89">
        <f t="shared" si="77"/>
        <v>0</v>
      </c>
      <c r="I80" s="89">
        <f t="shared" si="77"/>
        <v>0</v>
      </c>
      <c r="J80" s="89">
        <f t="shared" si="77"/>
        <v>0</v>
      </c>
      <c r="K80" s="89">
        <f t="shared" si="77"/>
        <v>0</v>
      </c>
      <c r="L80" s="89">
        <f t="shared" si="77"/>
        <v>0</v>
      </c>
      <c r="M80" s="89">
        <f t="shared" si="77"/>
        <v>0</v>
      </c>
      <c r="N80" s="89">
        <f t="shared" si="77"/>
        <v>0</v>
      </c>
      <c r="O80" s="89">
        <f t="shared" si="77"/>
        <v>0</v>
      </c>
      <c r="P80" s="89">
        <f t="shared" si="77"/>
        <v>0</v>
      </c>
      <c r="Q80" s="89">
        <f t="shared" si="77"/>
        <v>0</v>
      </c>
      <c r="R80" s="89">
        <f t="shared" si="77"/>
        <v>0</v>
      </c>
      <c r="S80" s="89">
        <f t="shared" si="77"/>
        <v>0</v>
      </c>
      <c r="T80" s="89">
        <f t="shared" ref="T80:Y80" si="78">T47/T$23</f>
        <v>0</v>
      </c>
      <c r="U80" s="89">
        <f t="shared" si="78"/>
        <v>0</v>
      </c>
      <c r="V80" s="89">
        <f t="shared" si="78"/>
        <v>0</v>
      </c>
      <c r="W80" s="89">
        <f t="shared" si="78"/>
        <v>0</v>
      </c>
      <c r="X80" s="89">
        <f t="shared" si="78"/>
        <v>0</v>
      </c>
      <c r="Y80" s="89">
        <f t="shared" si="78"/>
        <v>0</v>
      </c>
    </row>
    <row r="81" spans="1:25" x14ac:dyDescent="0.25">
      <c r="A81" s="68" t="s">
        <v>4</v>
      </c>
      <c r="B81" s="44"/>
      <c r="C81" s="44"/>
      <c r="D81" s="89">
        <f>D48/D$23</f>
        <v>7.1892476998015519E-3</v>
      </c>
      <c r="E81" s="89">
        <f t="shared" ref="E81:S81" si="79">E48/E$23</f>
        <v>7.0882911626606593E-3</v>
      </c>
      <c r="F81" s="89">
        <f t="shared" si="79"/>
        <v>6.744173968527189E-3</v>
      </c>
      <c r="G81" s="89">
        <f t="shared" si="79"/>
        <v>7.4402766978577369E-3</v>
      </c>
      <c r="H81" s="89">
        <f t="shared" si="79"/>
        <v>7.8452549252789536E-3</v>
      </c>
      <c r="I81" s="89">
        <f t="shared" si="79"/>
        <v>9.2166869433779417E-3</v>
      </c>
      <c r="J81" s="89">
        <f t="shared" si="79"/>
        <v>1.127705248804577E-2</v>
      </c>
      <c r="K81" s="89">
        <f t="shared" si="79"/>
        <v>1.0469495644428747E-2</v>
      </c>
      <c r="L81" s="89">
        <f t="shared" si="79"/>
        <v>9.0471804318902858E-3</v>
      </c>
      <c r="M81" s="89">
        <f t="shared" si="79"/>
        <v>5.6135780996265866E-3</v>
      </c>
      <c r="N81" s="89">
        <f t="shared" si="79"/>
        <v>6.0358741904909191E-3</v>
      </c>
      <c r="O81" s="89">
        <f t="shared" si="79"/>
        <v>6.8647857059276132E-3</v>
      </c>
      <c r="P81" s="89">
        <f t="shared" si="79"/>
        <v>7.0202369412675431E-3</v>
      </c>
      <c r="Q81" s="89">
        <f t="shared" si="79"/>
        <v>7.812401636764243E-3</v>
      </c>
      <c r="R81" s="89">
        <f t="shared" si="79"/>
        <v>8.0409423017046202E-3</v>
      </c>
      <c r="S81" s="89">
        <f t="shared" si="79"/>
        <v>7.1399895918519063E-3</v>
      </c>
      <c r="T81" s="89">
        <f t="shared" ref="T81:Y81" si="80">T48/T$23</f>
        <v>7.2349058490727789E-3</v>
      </c>
      <c r="U81" s="89">
        <f t="shared" si="80"/>
        <v>7.0849536226465764E-3</v>
      </c>
      <c r="V81" s="89">
        <f t="shared" si="80"/>
        <v>6.7581930263071101E-3</v>
      </c>
      <c r="W81" s="89">
        <f t="shared" si="80"/>
        <v>6.5257712275087051E-3</v>
      </c>
      <c r="X81" s="89">
        <f t="shared" si="80"/>
        <v>6.2046228242441052E-3</v>
      </c>
      <c r="Y81" s="89">
        <f t="shared" si="80"/>
        <v>6.1987764739411914E-3</v>
      </c>
    </row>
    <row r="82" spans="1:25" x14ac:dyDescent="0.25">
      <c r="A82" s="68" t="s">
        <v>3</v>
      </c>
      <c r="B82" s="44"/>
      <c r="C82" s="44"/>
      <c r="D82" s="89">
        <f>D52/D$23</f>
        <v>6.9998195922785491E-3</v>
      </c>
      <c r="E82" s="89">
        <f t="shared" ref="E82:S82" si="81">E52/E$23</f>
        <v>7.236306523365872E-3</v>
      </c>
      <c r="F82" s="89">
        <f t="shared" si="81"/>
        <v>6.2915946373058905E-3</v>
      </c>
      <c r="G82" s="89">
        <f t="shared" si="81"/>
        <v>6.8906346354934691E-3</v>
      </c>
      <c r="H82" s="89">
        <f t="shared" si="81"/>
        <v>6.6196234520335163E-3</v>
      </c>
      <c r="I82" s="89">
        <f t="shared" si="81"/>
        <v>6.1514801999231041E-3</v>
      </c>
      <c r="J82" s="89">
        <f t="shared" si="81"/>
        <v>6.3525553027022532E-3</v>
      </c>
      <c r="K82" s="89">
        <f t="shared" si="81"/>
        <v>5.6551401115671222E-3</v>
      </c>
      <c r="L82" s="89">
        <f t="shared" si="81"/>
        <v>6.5465834271483661E-3</v>
      </c>
      <c r="M82" s="89">
        <f t="shared" si="81"/>
        <v>6.3266096790945744E-3</v>
      </c>
      <c r="N82" s="89">
        <f t="shared" si="81"/>
        <v>7.7649419612228765E-3</v>
      </c>
      <c r="O82" s="89">
        <f t="shared" si="81"/>
        <v>8.4426935773830834E-3</v>
      </c>
      <c r="P82" s="89">
        <f t="shared" si="81"/>
        <v>8.6909342340762696E-3</v>
      </c>
      <c r="Q82" s="89">
        <f t="shared" si="81"/>
        <v>9.4428706326723302E-3</v>
      </c>
      <c r="R82" s="89">
        <f t="shared" si="81"/>
        <v>9.3982291789472417E-3</v>
      </c>
      <c r="S82" s="89">
        <f t="shared" si="81"/>
        <v>9.2097241840755351E-3</v>
      </c>
      <c r="T82" s="89">
        <f t="shared" ref="T82:Y82" si="82">T52/T$23</f>
        <v>9.1122096179672533E-3</v>
      </c>
      <c r="U82" s="89">
        <f t="shared" si="82"/>
        <v>9.1122350382682286E-3</v>
      </c>
      <c r="V82" s="89">
        <f t="shared" si="82"/>
        <v>8.8423357057864881E-3</v>
      </c>
      <c r="W82" s="89">
        <f t="shared" si="82"/>
        <v>8.5941974960677178E-3</v>
      </c>
      <c r="X82" s="89">
        <f t="shared" si="82"/>
        <v>8.1684508125953372E-3</v>
      </c>
      <c r="Y82" s="89">
        <f t="shared" si="82"/>
        <v>7.8236792469634532E-3</v>
      </c>
    </row>
    <row r="83" spans="1:25" x14ac:dyDescent="0.25">
      <c r="A83" s="88" t="s">
        <v>21</v>
      </c>
      <c r="B83" s="44"/>
      <c r="C83" s="44"/>
      <c r="D83" s="89">
        <f>D53/D$23</f>
        <v>3.3646040050514157E-3</v>
      </c>
      <c r="E83" s="89">
        <f t="shared" ref="E83:S83" si="83">E53/E$23</f>
        <v>3.7497224711986778E-3</v>
      </c>
      <c r="F83" s="89">
        <f t="shared" si="83"/>
        <v>3.5167639835884347E-3</v>
      </c>
      <c r="G83" s="89">
        <f t="shared" si="83"/>
        <v>3.2509317103252269E-3</v>
      </c>
      <c r="H83" s="89">
        <f t="shared" si="83"/>
        <v>3.5616122514607468E-3</v>
      </c>
      <c r="I83" s="89">
        <f t="shared" si="83"/>
        <v>3.1968736997888057E-3</v>
      </c>
      <c r="J83" s="89">
        <f t="shared" si="83"/>
        <v>2.773196731128903E-3</v>
      </c>
      <c r="K83" s="89">
        <f t="shared" si="83"/>
        <v>2.5837809199488618E-3</v>
      </c>
      <c r="L83" s="89">
        <f t="shared" si="83"/>
        <v>2.7598676355200767E-3</v>
      </c>
      <c r="M83" s="89">
        <f t="shared" si="83"/>
        <v>2.984016552224412E-3</v>
      </c>
      <c r="N83" s="89">
        <f t="shared" si="83"/>
        <v>4.2631831503138892E-3</v>
      </c>
      <c r="O83" s="89">
        <f t="shared" si="83"/>
        <v>4.4394172023870734E-3</v>
      </c>
      <c r="P83" s="89">
        <f t="shared" si="83"/>
        <v>4.4331373710172067E-3</v>
      </c>
      <c r="Q83" s="89">
        <f t="shared" si="83"/>
        <v>5.1117406358199557E-3</v>
      </c>
      <c r="R83" s="89">
        <f t="shared" si="83"/>
        <v>5.3717122068154552E-3</v>
      </c>
      <c r="S83" s="89">
        <f t="shared" si="83"/>
        <v>5.2843654746858966E-3</v>
      </c>
      <c r="T83" s="89">
        <f t="shared" ref="T83:Y83" si="84">T53/T$23</f>
        <v>5.3918907334914419E-3</v>
      </c>
      <c r="U83" s="89">
        <f t="shared" si="84"/>
        <v>5.7000834608063322E-3</v>
      </c>
      <c r="V83" s="89">
        <f t="shared" si="84"/>
        <v>5.6587039222441311E-3</v>
      </c>
      <c r="W83" s="89">
        <f t="shared" si="84"/>
        <v>5.3756353023539146E-3</v>
      </c>
      <c r="X83" s="89">
        <f t="shared" si="84"/>
        <v>5.2182354177943389E-3</v>
      </c>
      <c r="Y83" s="89">
        <f t="shared" si="84"/>
        <v>5.112209333394028E-3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3.6352155872271335E-3</v>
      </c>
      <c r="E84" s="89">
        <f t="shared" ref="E84:S84" si="86">E56/E$23</f>
        <v>3.4865840521671938E-3</v>
      </c>
      <c r="F84" s="89">
        <f t="shared" si="86"/>
        <v>2.7748306537174559E-3</v>
      </c>
      <c r="G84" s="89">
        <f t="shared" si="86"/>
        <v>3.6397029251682422E-3</v>
      </c>
      <c r="H84" s="89">
        <f t="shared" si="86"/>
        <v>3.0580112005727691E-3</v>
      </c>
      <c r="I84" s="89">
        <f t="shared" si="86"/>
        <v>2.9546065001342979E-3</v>
      </c>
      <c r="J84" s="89">
        <f t="shared" si="86"/>
        <v>3.5793585715733498E-3</v>
      </c>
      <c r="K84" s="89">
        <f t="shared" si="86"/>
        <v>3.0713591916182608E-3</v>
      </c>
      <c r="L84" s="89">
        <f t="shared" si="86"/>
        <v>3.7867157916282898E-3</v>
      </c>
      <c r="M84" s="89">
        <f t="shared" si="86"/>
        <v>3.3425931268701629E-3</v>
      </c>
      <c r="N84" s="89">
        <f t="shared" si="86"/>
        <v>3.5017588109089877E-3</v>
      </c>
      <c r="O84" s="89">
        <f t="shared" si="86"/>
        <v>4.00327637499601E-3</v>
      </c>
      <c r="P84" s="89">
        <f t="shared" si="86"/>
        <v>4.2577968630590638E-3</v>
      </c>
      <c r="Q84" s="89">
        <f t="shared" si="86"/>
        <v>4.3311299968523745E-3</v>
      </c>
      <c r="R84" s="89">
        <f t="shared" si="86"/>
        <v>4.0265169721317865E-3</v>
      </c>
      <c r="S84" s="89">
        <f t="shared" si="86"/>
        <v>3.9253587093896385E-3</v>
      </c>
      <c r="T84" s="89">
        <f t="shared" ref="T84:Y84" si="87">T56/T$23</f>
        <v>3.7203188844758123E-3</v>
      </c>
      <c r="U84" s="89">
        <f t="shared" si="87"/>
        <v>3.4121515774618973E-3</v>
      </c>
      <c r="V84" s="89">
        <f t="shared" si="87"/>
        <v>3.1836317835423574E-3</v>
      </c>
      <c r="W84" s="89">
        <f t="shared" si="87"/>
        <v>3.2185621937138031E-3</v>
      </c>
      <c r="X84" s="89">
        <f t="shared" si="87"/>
        <v>2.9502153948009991E-3</v>
      </c>
      <c r="Y84" s="89">
        <f t="shared" si="87"/>
        <v>2.7114699135694247E-3</v>
      </c>
    </row>
    <row r="85" spans="1:25" x14ac:dyDescent="0.25">
      <c r="A85" s="68" t="s">
        <v>2</v>
      </c>
      <c r="B85" s="44"/>
      <c r="C85" s="44"/>
      <c r="D85" s="89">
        <f t="shared" si="85"/>
        <v>4.7817066570449207E-2</v>
      </c>
      <c r="E85" s="89">
        <f t="shared" ref="E85:S85" si="88">E57/E$23</f>
        <v>4.6846861663199284E-2</v>
      </c>
      <c r="F85" s="89">
        <f t="shared" si="88"/>
        <v>4.2223425802957348E-2</v>
      </c>
      <c r="G85" s="89">
        <f t="shared" si="88"/>
        <v>4.0740542134756141E-2</v>
      </c>
      <c r="H85" s="89">
        <f t="shared" si="88"/>
        <v>3.9766280572527651E-2</v>
      </c>
      <c r="I85" s="89">
        <f t="shared" si="88"/>
        <v>3.8825952083761252E-2</v>
      </c>
      <c r="J85" s="89">
        <f t="shared" si="88"/>
        <v>3.655828780438368E-2</v>
      </c>
      <c r="K85" s="89">
        <f t="shared" si="88"/>
        <v>3.6929255080220061E-2</v>
      </c>
      <c r="L85" s="89">
        <f t="shared" si="88"/>
        <v>3.4114556681335929E-2</v>
      </c>
      <c r="M85" s="89">
        <f t="shared" si="88"/>
        <v>4.4661330607601815E-2</v>
      </c>
      <c r="N85" s="89">
        <f t="shared" si="88"/>
        <v>4.4868515500140788E-2</v>
      </c>
      <c r="O85" s="89">
        <f t="shared" si="88"/>
        <v>4.5606856275640997E-2</v>
      </c>
      <c r="P85" s="89">
        <f t="shared" si="88"/>
        <v>4.5476049479106356E-2</v>
      </c>
      <c r="Q85" s="89">
        <f t="shared" si="88"/>
        <v>4.6144161158325467E-2</v>
      </c>
      <c r="R85" s="89">
        <f t="shared" si="88"/>
        <v>4.4621183953181168E-2</v>
      </c>
      <c r="S85" s="89">
        <f t="shared" si="88"/>
        <v>4.2833990037915402E-2</v>
      </c>
      <c r="T85" s="89">
        <f t="shared" ref="T85:Y85" si="89">T57/T$23</f>
        <v>4.1109237934680118E-2</v>
      </c>
      <c r="U85" s="89">
        <f t="shared" si="89"/>
        <v>4.0098046701191888E-2</v>
      </c>
      <c r="V85" s="89">
        <f t="shared" si="89"/>
        <v>3.7819981870646328E-2</v>
      </c>
      <c r="W85" s="89">
        <f t="shared" si="89"/>
        <v>3.6733886732068337E-2</v>
      </c>
      <c r="X85" s="89">
        <f t="shared" si="89"/>
        <v>3.6393445556335918E-2</v>
      </c>
      <c r="Y85" s="89">
        <f t="shared" si="89"/>
        <v>3.2887952958965766E-2</v>
      </c>
    </row>
    <row r="86" spans="1:25" x14ac:dyDescent="0.25">
      <c r="A86" s="68" t="s">
        <v>275</v>
      </c>
      <c r="B86" s="44"/>
      <c r="C86" s="44"/>
      <c r="D86" s="89">
        <f t="shared" si="85"/>
        <v>6.3052498646942092E-3</v>
      </c>
      <c r="E86" s="89">
        <f t="shared" ref="E86:S86" si="90">E58/E$23</f>
        <v>6.2001989984293935E-3</v>
      </c>
      <c r="F86" s="89">
        <f t="shared" si="90"/>
        <v>6.1283693047342767E-3</v>
      </c>
      <c r="G86" s="89">
        <f t="shared" si="90"/>
        <v>7.6882859211196601E-3</v>
      </c>
      <c r="H86" s="89">
        <f t="shared" si="90"/>
        <v>8.5672853476364118E-3</v>
      </c>
      <c r="I86" s="89">
        <f t="shared" si="90"/>
        <v>8.131751223186023E-3</v>
      </c>
      <c r="J86" s="89">
        <f t="shared" si="90"/>
        <v>8.0938648780622627E-3</v>
      </c>
      <c r="K86" s="89">
        <f t="shared" si="90"/>
        <v>6.4920854912830991E-3</v>
      </c>
      <c r="L86" s="89">
        <f t="shared" si="90"/>
        <v>7.068536144372803E-3</v>
      </c>
      <c r="M86" s="89">
        <f t="shared" si="90"/>
        <v>5.2508799551573213E-3</v>
      </c>
      <c r="N86" s="89">
        <f t="shared" si="90"/>
        <v>5.7543058149818168E-3</v>
      </c>
      <c r="O86" s="89">
        <f t="shared" si="90"/>
        <v>4.5670681762576288E-3</v>
      </c>
      <c r="P86" s="89">
        <f t="shared" si="90"/>
        <v>5.3726978287551809E-3</v>
      </c>
      <c r="Q86" s="89">
        <f t="shared" si="90"/>
        <v>5.8545797922568456E-3</v>
      </c>
      <c r="R86" s="89">
        <f t="shared" si="90"/>
        <v>5.5047202749639529E-3</v>
      </c>
      <c r="S86" s="89">
        <f t="shared" si="90"/>
        <v>5.8672217678982976E-3</v>
      </c>
      <c r="T86" s="89">
        <f t="shared" ref="T86:Y86" si="91">T58/T$23</f>
        <v>6.2091036374546382E-3</v>
      </c>
      <c r="U86" s="89">
        <f t="shared" si="91"/>
        <v>6.7137241686171583E-3</v>
      </c>
      <c r="V86" s="89">
        <f t="shared" si="91"/>
        <v>6.8608120093529871E-3</v>
      </c>
      <c r="W86" s="89">
        <f t="shared" si="91"/>
        <v>7.0167383418040319E-3</v>
      </c>
      <c r="X86" s="89">
        <f t="shared" si="91"/>
        <v>6.9494459678898458E-3</v>
      </c>
      <c r="Y86" s="89">
        <f t="shared" si="91"/>
        <v>7.489198651785909E-3</v>
      </c>
    </row>
    <row r="87" spans="1:25" x14ac:dyDescent="0.25">
      <c r="A87" s="68" t="s">
        <v>276</v>
      </c>
      <c r="B87" s="44"/>
      <c r="C87" s="44"/>
      <c r="D87" s="89">
        <f t="shared" si="85"/>
        <v>2.1243009200793795E-2</v>
      </c>
      <c r="E87" s="89">
        <f t="shared" ref="E87:S87" si="92">E59/E$23</f>
        <v>2.1528011907013464E-2</v>
      </c>
      <c r="F87" s="89">
        <f t="shared" si="92"/>
        <v>2.1568001899349327E-2</v>
      </c>
      <c r="G87" s="89">
        <f t="shared" si="92"/>
        <v>2.3406708314341634E-2</v>
      </c>
      <c r="H87" s="89">
        <f t="shared" si="92"/>
        <v>2.7085242062215964E-2</v>
      </c>
      <c r="I87" s="89">
        <f t="shared" si="92"/>
        <v>2.6375524692820989E-2</v>
      </c>
      <c r="J87" s="89">
        <f t="shared" si="92"/>
        <v>2.4756078460276949E-2</v>
      </c>
      <c r="K87" s="89">
        <f t="shared" si="92"/>
        <v>2.4114008853192873E-2</v>
      </c>
      <c r="L87" s="89">
        <f t="shared" si="92"/>
        <v>2.2570190700371851E-2</v>
      </c>
      <c r="M87" s="89">
        <f t="shared" si="92"/>
        <v>1.9099354562165636E-2</v>
      </c>
      <c r="N87" s="89">
        <f t="shared" si="92"/>
        <v>2.1720422431878297E-2</v>
      </c>
      <c r="O87" s="89">
        <f t="shared" si="92"/>
        <v>2.3962924483811376E-2</v>
      </c>
      <c r="P87" s="89">
        <f t="shared" si="92"/>
        <v>2.4723011622098195E-2</v>
      </c>
      <c r="Q87" s="89">
        <f t="shared" si="92"/>
        <v>2.4419263456090655E-2</v>
      </c>
      <c r="R87" s="89">
        <f t="shared" si="92"/>
        <v>2.3935406445450069E-2</v>
      </c>
      <c r="S87" s="89">
        <f t="shared" si="92"/>
        <v>2.4759497435134933E-2</v>
      </c>
      <c r="T87" s="89">
        <f t="shared" ref="T87:Y87" si="93">T59/T$23</f>
        <v>2.493070834642969E-2</v>
      </c>
      <c r="U87" s="89">
        <f t="shared" si="93"/>
        <v>2.7531534757344944E-2</v>
      </c>
      <c r="V87" s="89">
        <f t="shared" si="93"/>
        <v>2.6353532169829535E-2</v>
      </c>
      <c r="W87" s="89">
        <f t="shared" si="93"/>
        <v>2.6282651586096543E-2</v>
      </c>
      <c r="X87" s="89">
        <f t="shared" si="93"/>
        <v>2.5829482470934001E-2</v>
      </c>
      <c r="Y87" s="89">
        <f t="shared" si="93"/>
        <v>2.885043571540253E-2</v>
      </c>
    </row>
    <row r="88" spans="1:25" x14ac:dyDescent="0.25">
      <c r="A88" s="68" t="s">
        <v>1</v>
      </c>
      <c r="B88" s="44"/>
      <c r="C88" s="44"/>
      <c r="D88" s="89">
        <f t="shared" si="85"/>
        <v>3.7804438029947679E-2</v>
      </c>
      <c r="E88" s="89">
        <f t="shared" ref="E88:S88" si="94">E60/E$23</f>
        <v>3.8442878405381187E-2</v>
      </c>
      <c r="F88" s="89">
        <f t="shared" si="94"/>
        <v>3.3772805175726908E-2</v>
      </c>
      <c r="G88" s="89">
        <f t="shared" si="94"/>
        <v>3.0015818966672922E-2</v>
      </c>
      <c r="H88" s="89">
        <f t="shared" si="94"/>
        <v>2.8414020738655323E-2</v>
      </c>
      <c r="I88" s="89">
        <f t="shared" si="94"/>
        <v>2.3836985774702033E-2</v>
      </c>
      <c r="J88" s="89">
        <f t="shared" si="94"/>
        <v>2.0246178792876292E-2</v>
      </c>
      <c r="K88" s="89">
        <f t="shared" si="94"/>
        <v>1.7023008319544213E-2</v>
      </c>
      <c r="L88" s="89">
        <f t="shared" si="94"/>
        <v>1.352301026848156E-2</v>
      </c>
      <c r="M88" s="89">
        <f t="shared" si="94"/>
        <v>1.2772744883071062E-2</v>
      </c>
      <c r="N88" s="89">
        <f t="shared" si="94"/>
        <v>1.466931578884751E-2</v>
      </c>
      <c r="O88" s="89">
        <f t="shared" si="94"/>
        <v>1.5814537318407627E-2</v>
      </c>
      <c r="P88" s="89">
        <f t="shared" si="94"/>
        <v>1.5529214044443856E-2</v>
      </c>
      <c r="Q88" s="89">
        <f t="shared" si="94"/>
        <v>1.5417060119609695E-2</v>
      </c>
      <c r="R88" s="89">
        <f t="shared" si="94"/>
        <v>1.5785639360714865E-2</v>
      </c>
      <c r="S88" s="89">
        <f t="shared" si="94"/>
        <v>1.518400118950264E-2</v>
      </c>
      <c r="T88" s="89">
        <f t="shared" ref="T88:Y88" si="95">T60/T$23</f>
        <v>1.5324170643197984E-2</v>
      </c>
      <c r="U88" s="89">
        <f t="shared" si="95"/>
        <v>1.4269954899570586E-2</v>
      </c>
      <c r="V88" s="89">
        <f t="shared" si="95"/>
        <v>1.2837146117215311E-2</v>
      </c>
      <c r="W88" s="89">
        <f t="shared" si="95"/>
        <v>1.1680925927609628E-2</v>
      </c>
      <c r="X88" s="89">
        <f t="shared" si="95"/>
        <v>1.0409630361943787E-2</v>
      </c>
      <c r="Y88" s="89">
        <f t="shared" si="95"/>
        <v>9.6821246840741709E-3</v>
      </c>
    </row>
    <row r="89" spans="1:25" x14ac:dyDescent="0.25">
      <c r="A89" s="68" t="s">
        <v>0</v>
      </c>
      <c r="B89" s="44"/>
      <c r="C89" s="44"/>
      <c r="D89" s="89">
        <f t="shared" si="85"/>
        <v>1.2682662817968609E-2</v>
      </c>
      <c r="E89" s="89">
        <f t="shared" ref="E89:S89" si="96">E61/E$23</f>
        <v>1.386410545272143E-2</v>
      </c>
      <c r="F89" s="89">
        <f t="shared" si="96"/>
        <v>1.5239310595549884E-2</v>
      </c>
      <c r="G89" s="89">
        <f t="shared" si="96"/>
        <v>1.6321688071426657E-2</v>
      </c>
      <c r="H89" s="89">
        <f t="shared" si="96"/>
        <v>1.7304460206415753E-2</v>
      </c>
      <c r="I89" s="89">
        <f t="shared" si="96"/>
        <v>1.6937637262801977E-2</v>
      </c>
      <c r="J89" s="89">
        <f t="shared" si="96"/>
        <v>1.5814591989975955E-2</v>
      </c>
      <c r="K89" s="89">
        <f t="shared" si="96"/>
        <v>1.5072695232866615E-2</v>
      </c>
      <c r="L89" s="89">
        <f t="shared" si="96"/>
        <v>1.1888923003445569E-2</v>
      </c>
      <c r="M89" s="89">
        <f t="shared" si="96"/>
        <v>1.1321952305194002E-2</v>
      </c>
      <c r="N89" s="89">
        <f t="shared" si="96"/>
        <v>1.2900590500438215E-2</v>
      </c>
      <c r="O89" s="89">
        <f t="shared" si="96"/>
        <v>1.3750846574166987E-2</v>
      </c>
      <c r="P89" s="89">
        <f t="shared" si="96"/>
        <v>1.29354978512517E-2</v>
      </c>
      <c r="Q89" s="89">
        <f t="shared" si="96"/>
        <v>1.3689014793830659E-2</v>
      </c>
      <c r="R89" s="89">
        <f t="shared" si="96"/>
        <v>1.4138153062057335E-2</v>
      </c>
      <c r="S89" s="89">
        <f t="shared" si="96"/>
        <v>1.3795256858226154E-2</v>
      </c>
      <c r="T89" s="89">
        <f t="shared" ref="T89:Y89" si="97">T61/T$23</f>
        <v>1.4218361573849187E-2</v>
      </c>
      <c r="U89" s="89">
        <f t="shared" si="97"/>
        <v>1.3377424510095598E-2</v>
      </c>
      <c r="V89" s="89">
        <f t="shared" si="97"/>
        <v>1.3083920338349446E-2</v>
      </c>
      <c r="W89" s="89">
        <f t="shared" si="97"/>
        <v>1.2146890087010283E-2</v>
      </c>
      <c r="X89" s="89">
        <f t="shared" si="97"/>
        <v>1.1959667714936277E-2</v>
      </c>
      <c r="Y89" s="89">
        <f t="shared" si="97"/>
        <v>1.3656308323816799E-2</v>
      </c>
    </row>
    <row r="90" spans="1:25" x14ac:dyDescent="0.25">
      <c r="A90" s="90" t="s">
        <v>278</v>
      </c>
      <c r="B90" s="47"/>
      <c r="C90" s="47"/>
      <c r="D90" s="91">
        <f t="shared" si="85"/>
        <v>1.5488002886523541E-2</v>
      </c>
      <c r="E90" s="91">
        <f t="shared" ref="E90:S90" si="98">E62/E$23</f>
        <v>1.8263450895904088E-2</v>
      </c>
      <c r="F90" s="91">
        <f t="shared" si="98"/>
        <v>2.0373489238257051E-2</v>
      </c>
      <c r="G90" s="91">
        <f t="shared" si="98"/>
        <v>2.3413411266321685E-2</v>
      </c>
      <c r="H90" s="91">
        <f t="shared" si="98"/>
        <v>2.6636248354195362E-2</v>
      </c>
      <c r="I90" s="91">
        <f t="shared" si="98"/>
        <v>2.7107592970037862E-2</v>
      </c>
      <c r="J90" s="91">
        <f t="shared" si="98"/>
        <v>2.9413390578501737E-2</v>
      </c>
      <c r="K90" s="91">
        <f t="shared" si="98"/>
        <v>2.7212242437737788E-2</v>
      </c>
      <c r="L90" s="91">
        <f t="shared" si="98"/>
        <v>2.6568416743424424E-2</v>
      </c>
      <c r="M90" s="91">
        <f t="shared" si="98"/>
        <v>2.530231714655478E-2</v>
      </c>
      <c r="N90" s="91">
        <f t="shared" si="98"/>
        <v>2.7684913090550007E-2</v>
      </c>
      <c r="O90" s="91">
        <f t="shared" si="98"/>
        <v>3.1891468305326943E-2</v>
      </c>
      <c r="P90" s="91">
        <f t="shared" si="98"/>
        <v>3.4532155133341493E-2</v>
      </c>
      <c r="Q90" s="91">
        <f t="shared" si="98"/>
        <v>3.6342461441611587E-2</v>
      </c>
      <c r="R90" s="91">
        <f t="shared" si="98"/>
        <v>3.7635237464745314E-2</v>
      </c>
      <c r="S90" s="91">
        <f t="shared" si="98"/>
        <v>3.7870790275815927E-2</v>
      </c>
      <c r="T90" s="91">
        <f t="shared" ref="T90:Y90" si="99">T62/T$23</f>
        <v>3.7651798725605048E-2</v>
      </c>
      <c r="U90" s="91">
        <f t="shared" si="99"/>
        <v>3.7907529639117581E-2</v>
      </c>
      <c r="V90" s="91">
        <f t="shared" si="99"/>
        <v>3.7607413977194151E-2</v>
      </c>
      <c r="W90" s="91">
        <f t="shared" si="99"/>
        <v>3.562693772900434E-2</v>
      </c>
      <c r="X90" s="91">
        <f t="shared" si="99"/>
        <v>3.5203517891412392E-2</v>
      </c>
      <c r="Y90" s="91">
        <f t="shared" si="99"/>
        <v>3.6440572298277525E-2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6.5264941604690208E-2</v>
      </c>
      <c r="F93" s="92">
        <f t="shared" ref="F93:F94" si="101">IF(E16=0,"",F16/E16-1)</f>
        <v>6.7502118372776421E-2</v>
      </c>
      <c r="G93" s="92">
        <f t="shared" ref="G93:G94" si="102">IF(F16=0,"",G16/F16-1)</f>
        <v>0.10565935703019913</v>
      </c>
      <c r="H93" s="92">
        <f t="shared" ref="H93:H94" si="103">IF(G16=0,"",H16/G16-1)</f>
        <v>6.5695903216407281E-2</v>
      </c>
      <c r="I93" s="92">
        <f t="shared" ref="I93:I94" si="104">IF(H16=0,"",I16/H16-1)</f>
        <v>7.7320423105876168E-2</v>
      </c>
      <c r="J93" s="92">
        <f t="shared" ref="J93:J94" si="105">IF(I16=0,"",J16/I16-1)</f>
        <v>7.4153623323482076E-2</v>
      </c>
      <c r="K93" s="92">
        <f t="shared" ref="K93:K94" si="106">IF(J16=0,"",K16/J16-1)</f>
        <v>0.11107237504499645</v>
      </c>
      <c r="L93" s="92">
        <f t="shared" ref="L93:L94" si="107">IF(K16=0,"",L16/K16-1)</f>
        <v>2.6143943765357891E-2</v>
      </c>
      <c r="M93" s="92">
        <f t="shared" ref="M93:M94" si="108">IF(L16=0,"",M16/L16-1)</f>
        <v>-0.14839249820557143</v>
      </c>
      <c r="N93" s="92">
        <f t="shared" ref="N93:N94" si="109">IF(M16=0,"",N16/M16-1)</f>
        <v>1.6512352764575855E-2</v>
      </c>
      <c r="O93" s="92">
        <f t="shared" ref="O93:O94" si="110">IF(N16=0,"",O16/N16-1)</f>
        <v>6.0394187542469835E-2</v>
      </c>
      <c r="P93" s="92">
        <f t="shared" ref="P93:P94" si="111">IF(O16=0,"",P16/O16-1)</f>
        <v>3.8443311620415477E-2</v>
      </c>
      <c r="Q93" s="92">
        <f t="shared" ref="Q93:Q94" si="112">IF(P16=0,"",Q16/P16-1)</f>
        <v>3.5496912156084193E-2</v>
      </c>
      <c r="R93" s="92">
        <f t="shared" ref="R93:R94" si="113">IF(Q16=0,"",R16/Q16-1)</f>
        <v>3.5372792270753184E-2</v>
      </c>
      <c r="S93" s="92">
        <f t="shared" ref="S93:S94" si="114">IF(R16=0,"",S16/R16-1)</f>
        <v>2.0242548843261376E-2</v>
      </c>
      <c r="T93" s="92">
        <f t="shared" ref="T93:T94" si="115">IF(S16=0,"",T16/S16-1)</f>
        <v>2.5191780744405312E-2</v>
      </c>
      <c r="U93" s="92">
        <f t="shared" ref="U93:U94" si="116">IF(T16=0,"",U16/T16-1)</f>
        <v>4.28182121124423E-2</v>
      </c>
      <c r="V93" s="92">
        <f t="shared" ref="V93:V94" si="117">IF(U16=0,"",V16/U16-1)</f>
        <v>3.9940205211254298E-2</v>
      </c>
      <c r="W93" s="92">
        <f t="shared" ref="W93:W94" si="118">IF(V16=0,"",W16/V16-1)</f>
        <v>4.6650945200985561E-2</v>
      </c>
      <c r="X93" s="92">
        <f t="shared" ref="X93:X94" si="119">IF(W16=0,"",X16/W16-1)</f>
        <v>-2.4213468189426823E-4</v>
      </c>
      <c r="Y93" s="92">
        <f t="shared" ref="Y93:Y94" si="120">IF(X16=0,"",Y16/X16-1)</f>
        <v>6.2843617565224053E-2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4.1573467363878569E-2</v>
      </c>
      <c r="F94" s="93">
        <f t="shared" si="101"/>
        <v>6.0160503862928261E-2</v>
      </c>
      <c r="G94" s="93">
        <f t="shared" si="102"/>
        <v>0.11362890201217346</v>
      </c>
      <c r="H94" s="93">
        <f t="shared" si="103"/>
        <v>0.10866993949669235</v>
      </c>
      <c r="I94" s="93">
        <f t="shared" si="104"/>
        <v>0.11559874445101581</v>
      </c>
      <c r="J94" s="93">
        <f t="shared" si="105"/>
        <v>9.1258186559964649E-2</v>
      </c>
      <c r="K94" s="93">
        <f t="shared" si="106"/>
        <v>0.12474711116890091</v>
      </c>
      <c r="L94" s="93">
        <f t="shared" si="107"/>
        <v>3.8758691130107215E-2</v>
      </c>
      <c r="M94" s="93">
        <f t="shared" si="108"/>
        <v>-0.17391194200310145</v>
      </c>
      <c r="N94" s="93">
        <f t="shared" si="109"/>
        <v>-3.0816146576741921E-2</v>
      </c>
      <c r="O94" s="93">
        <f t="shared" si="110"/>
        <v>4.3181190914288736E-2</v>
      </c>
      <c r="P94" s="93">
        <f t="shared" si="111"/>
        <v>3.0857044281780599E-2</v>
      </c>
      <c r="Q94" s="93">
        <f t="shared" si="112"/>
        <v>4.3094096759674683E-2</v>
      </c>
      <c r="R94" s="93">
        <f t="shared" si="113"/>
        <v>3.6954455438987566E-2</v>
      </c>
      <c r="S94" s="93">
        <f t="shared" si="114"/>
        <v>4.0542525187444056E-2</v>
      </c>
      <c r="T94" s="93">
        <f t="shared" si="115"/>
        <v>4.084887772285728E-2</v>
      </c>
      <c r="U94" s="93">
        <f t="shared" si="116"/>
        <v>3.5649621413380794E-2</v>
      </c>
      <c r="V94" s="93">
        <f t="shared" si="117"/>
        <v>3.631719321514737E-2</v>
      </c>
      <c r="W94" s="93">
        <f t="shared" si="118"/>
        <v>2.7412568381926405E-2</v>
      </c>
      <c r="X94" s="93">
        <f t="shared" si="119"/>
        <v>-3.340079689949238E-2</v>
      </c>
      <c r="Y94" s="93">
        <f t="shared" si="120"/>
        <v>8.1348753066869506E-2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7.2925566496267136E-2</v>
      </c>
      <c r="F95" s="92">
        <f t="shared" ref="F95:F96" si="122">IF(E20=0,"",F20/E20-1)</f>
        <v>7.750184802676352E-2</v>
      </c>
      <c r="G95" s="92">
        <f t="shared" ref="G95:G96" si="123">IF(F20=0,"",G20/F20-1)</f>
        <v>0.11311527423533696</v>
      </c>
      <c r="H95" s="92">
        <f t="shared" ref="H95:H96" si="124">IF(G20=0,"",H20/G20-1)</f>
        <v>7.5907232778146261E-2</v>
      </c>
      <c r="I95" s="92">
        <f t="shared" ref="I95:I96" si="125">IF(H20=0,"",I20/H20-1)</f>
        <v>9.1354852554179189E-2</v>
      </c>
      <c r="J95" s="92">
        <f t="shared" ref="J95:J96" si="126">IF(I20=0,"",J20/I20-1)</f>
        <v>9.550227292475566E-2</v>
      </c>
      <c r="K95" s="92">
        <f t="shared" ref="K95:K96" si="127">IF(J20=0,"",K20/J20-1)</f>
        <v>0.12469658670711703</v>
      </c>
      <c r="L95" s="92">
        <f t="shared" ref="L95:L96" si="128">IF(K20=0,"",L20/K20-1)</f>
        <v>3.8082918002795063E-2</v>
      </c>
      <c r="M95" s="92">
        <f t="shared" ref="M95:M96" si="129">IF(L20=0,"",M20/L20-1)</f>
        <v>-0.14070280870042806</v>
      </c>
      <c r="N95" s="92">
        <f t="shared" ref="N95:N96" si="130">IF(M20=0,"",N20/M20-1)</f>
        <v>3.0061640643853194E-2</v>
      </c>
      <c r="O95" s="92">
        <f t="shared" ref="O95:O96" si="131">IF(N20=0,"",O20/N20-1)</f>
        <v>9.1445385947248159E-2</v>
      </c>
      <c r="P95" s="92">
        <f t="shared" ref="P95:P96" si="132">IF(O20=0,"",P20/O20-1)</f>
        <v>5.5365668444644633E-2</v>
      </c>
      <c r="Q95" s="92">
        <f t="shared" ref="Q95:Q96" si="133">IF(P20=0,"",Q20/P20-1)</f>
        <v>4.6554644487428964E-2</v>
      </c>
      <c r="R95" s="92">
        <f t="shared" ref="R95:R96" si="134">IF(Q20=0,"",R20/Q20-1)</f>
        <v>4.5374162965848841E-2</v>
      </c>
      <c r="S95" s="92">
        <f t="shared" ref="S95:S96" si="135">IF(R20=0,"",S20/R20-1)</f>
        <v>2.7999328964253278E-2</v>
      </c>
      <c r="T95" s="92">
        <f t="shared" ref="T95:T96" si="136">IF(S20=0,"",T20/S20-1)</f>
        <v>3.6798912052644406E-2</v>
      </c>
      <c r="U95" s="92">
        <f t="shared" ref="U95:U96" si="137">IF(T20=0,"",U20/T20-1)</f>
        <v>5.7704504485787567E-2</v>
      </c>
      <c r="V95" s="92">
        <f t="shared" ref="V95:V96" si="138">IF(U20=0,"",V20/U20-1)</f>
        <v>5.4380296842769349E-2</v>
      </c>
      <c r="W95" s="92">
        <f t="shared" ref="W95:W96" si="139">IF(V20=0,"",W20/V20-1)</f>
        <v>5.2163668042617628E-2</v>
      </c>
      <c r="X95" s="92">
        <f t="shared" ref="X95:X96" si="140">IF(W20=0,"",X20/W20-1)</f>
        <v>-2.0850038974906671E-4</v>
      </c>
      <c r="Y95" s="92">
        <f t="shared" ref="Y95:Y96" si="141">IF(X20=0,"",Y20/X20-1)</f>
        <v>6.2239141605197057E-2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4.9063720087745066E-2</v>
      </c>
      <c r="F96" s="93">
        <f t="shared" si="122"/>
        <v>7.0091461606247796E-2</v>
      </c>
      <c r="G96" s="93">
        <f t="shared" si="123"/>
        <v>0.12113856114711141</v>
      </c>
      <c r="H96" s="93">
        <f t="shared" si="124"/>
        <v>0.11929303947598835</v>
      </c>
      <c r="I96" s="93">
        <f t="shared" si="125"/>
        <v>0.13013183185548094</v>
      </c>
      <c r="J96" s="93">
        <f t="shared" si="126"/>
        <v>0.11294678690868198</v>
      </c>
      <c r="K96" s="93">
        <f t="shared" si="127"/>
        <v>0.13853900542628717</v>
      </c>
      <c r="L96" s="93">
        <f t="shared" si="128"/>
        <v>5.0844435364789664E-2</v>
      </c>
      <c r="M96" s="93">
        <f t="shared" si="129"/>
        <v>-0.16645268329939356</v>
      </c>
      <c r="N96" s="93">
        <f t="shared" si="130"/>
        <v>-1.7897709331719525E-2</v>
      </c>
      <c r="O96" s="93">
        <f t="shared" si="131"/>
        <v>7.3728346407740952E-2</v>
      </c>
      <c r="P96" s="93">
        <f t="shared" si="132"/>
        <v>4.7655776136373174E-2</v>
      </c>
      <c r="Q96" s="93">
        <f t="shared" si="133"/>
        <v>5.4232956936822063E-2</v>
      </c>
      <c r="R96" s="93">
        <f t="shared" si="134"/>
        <v>4.6971104495440841E-2</v>
      </c>
      <c r="S96" s="93">
        <f t="shared" si="135"/>
        <v>4.8453643561767734E-2</v>
      </c>
      <c r="T96" s="93">
        <f t="shared" si="136"/>
        <v>5.2633277308064885E-2</v>
      </c>
      <c r="U96" s="93">
        <f t="shared" si="137"/>
        <v>5.0433581725575216E-2</v>
      </c>
      <c r="V96" s="93">
        <f t="shared" si="138"/>
        <v>5.0706977506929318E-2</v>
      </c>
      <c r="W96" s="93">
        <f t="shared" si="139"/>
        <v>3.2823962466523859E-2</v>
      </c>
      <c r="X96" s="93">
        <f t="shared" si="140"/>
        <v>-3.3368278145589958E-2</v>
      </c>
      <c r="Y96" s="93">
        <f t="shared" si="141"/>
        <v>8.0733752595651076E-2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6.5248784271726201E-2</v>
      </c>
      <c r="F97" s="89">
        <f t="shared" ref="F97:F106" si="143">IF(E23=0,"",F23/E23-1)</f>
        <v>6.7524763183229197E-2</v>
      </c>
      <c r="G97" s="89">
        <f t="shared" ref="G97:G106" si="144">IF(F23=0,"",G23/F23-1)</f>
        <v>0.1056501915796686</v>
      </c>
      <c r="H97" s="89">
        <f t="shared" ref="H97:H106" si="145">IF(G23=0,"",H23/G23-1)</f>
        <v>6.5704280191515307E-2</v>
      </c>
      <c r="I97" s="89">
        <f t="shared" ref="I97:I106" si="146">IF(H23=0,"",I23/H23-1)</f>
        <v>7.7319586078529179E-2</v>
      </c>
      <c r="J97" s="89">
        <f t="shared" ref="J97:J106" si="147">IF(I23=0,"",J23/I23-1)</f>
        <v>7.4138813590354236E-2</v>
      </c>
      <c r="K97" s="89">
        <f t="shared" ref="K97:K106" si="148">IF(J23=0,"",K23/J23-1)</f>
        <v>0.11108549612259266</v>
      </c>
      <c r="L97" s="89">
        <f t="shared" ref="L97:L106" si="149">IF(K23=0,"",L23/K23-1)</f>
        <v>2.6132753884627657E-2</v>
      </c>
      <c r="M97" s="89">
        <f t="shared" ref="M97:M106" si="150">IF(L23=0,"",M23/L23-1)</f>
        <v>-0.14838074290688386</v>
      </c>
      <c r="N97" s="89">
        <f t="shared" ref="N97:N106" si="151">IF(M23=0,"",N23/M23-1)</f>
        <v>1.6507280138661429E-2</v>
      </c>
      <c r="O97" s="89">
        <f t="shared" ref="O97:O106" si="152">IF(N23=0,"",O23/N23-1)</f>
        <v>6.039550744324762E-2</v>
      </c>
      <c r="P97" s="89">
        <f t="shared" ref="P97:P106" si="153">IF(O23=0,"",P23/O23-1)</f>
        <v>3.8435850316400622E-2</v>
      </c>
      <c r="Q97" s="89">
        <f t="shared" ref="Q97:Q106" si="154">IF(P23=0,"",Q23/P23-1)</f>
        <v>3.550564741408202E-2</v>
      </c>
      <c r="R97" s="89">
        <f t="shared" ref="R97:R106" si="155">IF(Q23=0,"",R23/Q23-1)</f>
        <v>3.5363135795509537E-2</v>
      </c>
      <c r="S97" s="89">
        <f t="shared" ref="S97:S106" si="156">IF(R23=0,"",S23/R23-1)</f>
        <v>2.0249772525974485E-2</v>
      </c>
      <c r="T97" s="89">
        <f t="shared" ref="T97:T106" si="157">IF(S23=0,"",T23/S23-1)</f>
        <v>2.5183810049566047E-2</v>
      </c>
      <c r="U97" s="89">
        <f t="shared" ref="U97:U106" si="158">IF(T23=0,"",U23/T23-1)</f>
        <v>4.2833502135778856E-2</v>
      </c>
      <c r="V97" s="89">
        <f t="shared" ref="V97:V106" si="159">IF(U23=0,"",V23/U23-1)</f>
        <v>3.9927993293587427E-2</v>
      </c>
      <c r="W97" s="89">
        <f t="shared" ref="W97:W106" si="160">IF(V23=0,"",W23/V23-1)</f>
        <v>4.6657459079174401E-2</v>
      </c>
      <c r="X97" s="89">
        <f t="shared" ref="X97:X106" si="161">IF(W23=0,"",X23/W23-1)</f>
        <v>-2.4381086192726276E-4</v>
      </c>
      <c r="Y97" s="89">
        <f t="shared" ref="Y97:Y106" si="162">IF(X23=0,"",Y23/X23-1)</f>
        <v>6.2842894868130328E-2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-7.1826481793371699E-2</v>
      </c>
      <c r="F98" s="83">
        <f t="shared" si="143"/>
        <v>4.6327599765346505E-2</v>
      </c>
      <c r="G98" s="83">
        <f t="shared" si="144"/>
        <v>1.656275508796079E-2</v>
      </c>
      <c r="H98" s="83">
        <f t="shared" si="145"/>
        <v>-4.0206184304572012E-3</v>
      </c>
      <c r="I98" s="83">
        <f t="shared" si="146"/>
        <v>0.1169185223804825</v>
      </c>
      <c r="J98" s="83">
        <f t="shared" si="147"/>
        <v>-3.8335622369475519E-2</v>
      </c>
      <c r="K98" s="83">
        <f t="shared" si="148"/>
        <v>4.4869196936025979E-3</v>
      </c>
      <c r="L98" s="83">
        <f t="shared" si="149"/>
        <v>-3.0137442159082539E-2</v>
      </c>
      <c r="M98" s="83">
        <f t="shared" si="150"/>
        <v>-0.34554043834791859</v>
      </c>
      <c r="N98" s="83">
        <f t="shared" si="151"/>
        <v>0.21535688697699706</v>
      </c>
      <c r="O98" s="83">
        <f t="shared" si="152"/>
        <v>0.22248056402715921</v>
      </c>
      <c r="P98" s="83">
        <f t="shared" si="153"/>
        <v>0.17850820854450022</v>
      </c>
      <c r="Q98" s="83">
        <f t="shared" si="154"/>
        <v>-7.9556603549399307E-2</v>
      </c>
      <c r="R98" s="83">
        <f t="shared" si="155"/>
        <v>2.4260855057145481E-3</v>
      </c>
      <c r="S98" s="83">
        <f t="shared" si="156"/>
        <v>2.3938388436351987E-2</v>
      </c>
      <c r="T98" s="83">
        <f t="shared" si="157"/>
        <v>-6.7753213533324086E-2</v>
      </c>
      <c r="U98" s="83">
        <f t="shared" si="158"/>
        <v>0.17848859216632418</v>
      </c>
      <c r="V98" s="83">
        <f t="shared" si="159"/>
        <v>-0.14694095318387712</v>
      </c>
      <c r="W98" s="83">
        <f t="shared" si="160"/>
        <v>0.12755064584118925</v>
      </c>
      <c r="X98" s="83">
        <f t="shared" si="161"/>
        <v>0.13572583749635991</v>
      </c>
      <c r="Y98" s="83">
        <f t="shared" si="162"/>
        <v>2.9566913813500406E-2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0.10107041561090169</v>
      </c>
      <c r="F99" s="83">
        <f t="shared" si="143"/>
        <v>-0.12100036044432172</v>
      </c>
      <c r="G99" s="83">
        <f t="shared" si="144"/>
        <v>4.7346771164090029E-2</v>
      </c>
      <c r="H99" s="83">
        <f t="shared" si="145"/>
        <v>1.1588369802244536E-2</v>
      </c>
      <c r="I99" s="83">
        <f t="shared" si="146"/>
        <v>4.9378628225001941E-2</v>
      </c>
      <c r="J99" s="83">
        <f t="shared" si="147"/>
        <v>3.3286818124306672E-2</v>
      </c>
      <c r="K99" s="83">
        <f t="shared" si="148"/>
        <v>4.0698046404628041E-3</v>
      </c>
      <c r="L99" s="83">
        <f t="shared" si="149"/>
        <v>-1.4200803981970544E-2</v>
      </c>
      <c r="M99" s="83">
        <f t="shared" si="150"/>
        <v>-0.38218410365124367</v>
      </c>
      <c r="N99" s="83">
        <f t="shared" si="151"/>
        <v>0.18184389035898674</v>
      </c>
      <c r="O99" s="83">
        <f t="shared" si="152"/>
        <v>0.22499746838902501</v>
      </c>
      <c r="P99" s="83">
        <f t="shared" si="153"/>
        <v>-3.759690610953903E-2</v>
      </c>
      <c r="Q99" s="83">
        <f t="shared" si="154"/>
        <v>5.4695977057535483E-2</v>
      </c>
      <c r="R99" s="83">
        <f t="shared" si="155"/>
        <v>3.6992138186000556E-3</v>
      </c>
      <c r="S99" s="83">
        <f t="shared" si="156"/>
        <v>-0.23107322455322443</v>
      </c>
      <c r="T99" s="83">
        <f t="shared" si="157"/>
        <v>-1.9459157388993509E-3</v>
      </c>
      <c r="U99" s="83">
        <f t="shared" si="158"/>
        <v>9.9385104799259327E-2</v>
      </c>
      <c r="V99" s="83">
        <f t="shared" si="159"/>
        <v>5.2034986450915088E-2</v>
      </c>
      <c r="W99" s="83">
        <f t="shared" si="160"/>
        <v>-3.5678329687286237E-2</v>
      </c>
      <c r="X99" s="83">
        <f t="shared" si="161"/>
        <v>6.6707459726639051E-2</v>
      </c>
      <c r="Y99" s="83">
        <f t="shared" si="162"/>
        <v>-2.6495357528809937E-2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6.6637853756353005E-2</v>
      </c>
      <c r="F100" s="83">
        <f t="shared" si="143"/>
        <v>8.3297071028484826E-2</v>
      </c>
      <c r="G100" s="83">
        <f t="shared" si="144"/>
        <v>8.5464775717188912E-2</v>
      </c>
      <c r="H100" s="83">
        <f t="shared" si="145"/>
        <v>4.719775611744903E-2</v>
      </c>
      <c r="I100" s="83">
        <f t="shared" si="146"/>
        <v>7.3728243960250683E-2</v>
      </c>
      <c r="J100" s="83">
        <f t="shared" si="147"/>
        <v>7.3293854729244545E-2</v>
      </c>
      <c r="K100" s="83">
        <f t="shared" si="148"/>
        <v>0.12201820742306801</v>
      </c>
      <c r="L100" s="83">
        <f t="shared" si="149"/>
        <v>3.6653927977160494E-2</v>
      </c>
      <c r="M100" s="83">
        <f t="shared" si="150"/>
        <v>-7.2784570069793109E-2</v>
      </c>
      <c r="N100" s="83">
        <f t="shared" si="151"/>
        <v>-9.3159729259590929E-3</v>
      </c>
      <c r="O100" s="83">
        <f t="shared" si="152"/>
        <v>2.3027378387708852E-2</v>
      </c>
      <c r="P100" s="83">
        <f t="shared" si="153"/>
        <v>3.4972261585237474E-2</v>
      </c>
      <c r="Q100" s="83">
        <f t="shared" si="154"/>
        <v>5.6232502317674848E-2</v>
      </c>
      <c r="R100" s="83">
        <f t="shared" si="155"/>
        <v>3.5256296509801333E-2</v>
      </c>
      <c r="S100" s="83">
        <f t="shared" si="156"/>
        <v>2.9629286081242601E-2</v>
      </c>
      <c r="T100" s="83">
        <f t="shared" si="157"/>
        <v>4.3001634613359263E-2</v>
      </c>
      <c r="U100" s="83">
        <f t="shared" si="158"/>
        <v>3.7079420672465391E-2</v>
      </c>
      <c r="V100" s="83">
        <f t="shared" si="159"/>
        <v>5.5688687123734093E-2</v>
      </c>
      <c r="W100" s="83">
        <f t="shared" si="160"/>
        <v>4.9550931116127073E-2</v>
      </c>
      <c r="X100" s="83">
        <f t="shared" si="161"/>
        <v>-2.9794913731774342E-3</v>
      </c>
      <c r="Y100" s="83">
        <f t="shared" si="162"/>
        <v>6.3541751200601793E-2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4.4246043508621602E-2</v>
      </c>
      <c r="F101" s="84">
        <f t="shared" si="143"/>
        <v>7.6425487746427212E-2</v>
      </c>
      <c r="G101" s="84">
        <f t="shared" si="144"/>
        <v>7.481387724976063E-2</v>
      </c>
      <c r="H101" s="84">
        <f t="shared" si="145"/>
        <v>5.3590577537108386E-2</v>
      </c>
      <c r="I101" s="84">
        <f t="shared" si="146"/>
        <v>5.5433548810923439E-2</v>
      </c>
      <c r="J101" s="84">
        <f t="shared" si="147"/>
        <v>8.635511952783248E-2</v>
      </c>
      <c r="K101" s="84">
        <f t="shared" si="148"/>
        <v>7.644198445896655E-2</v>
      </c>
      <c r="L101" s="84">
        <f t="shared" si="149"/>
        <v>4.2549164084453528E-2</v>
      </c>
      <c r="M101" s="84">
        <f t="shared" si="150"/>
        <v>-2.3602236547379807E-3</v>
      </c>
      <c r="N101" s="84">
        <f t="shared" si="151"/>
        <v>-1.6343862660417319E-3</v>
      </c>
      <c r="O101" s="84">
        <f t="shared" si="152"/>
        <v>2.0444314234142613E-2</v>
      </c>
      <c r="P101" s="84">
        <f t="shared" si="153"/>
        <v>2.8061579964900663E-2</v>
      </c>
      <c r="Q101" s="84">
        <f t="shared" si="154"/>
        <v>4.2927802598195397E-2</v>
      </c>
      <c r="R101" s="84">
        <f t="shared" si="155"/>
        <v>3.6413234475470402E-2</v>
      </c>
      <c r="S101" s="84">
        <f t="shared" si="156"/>
        <v>1.6206801701735163E-2</v>
      </c>
      <c r="T101" s="84">
        <f t="shared" si="157"/>
        <v>3.7824153746410127E-2</v>
      </c>
      <c r="U101" s="84">
        <f t="shared" si="158"/>
        <v>3.9496482597850768E-2</v>
      </c>
      <c r="V101" s="84">
        <f t="shared" si="159"/>
        <v>5.884270968047467E-2</v>
      </c>
      <c r="W101" s="84">
        <f t="shared" si="160"/>
        <v>7.2414866225644747E-2</v>
      </c>
      <c r="X101" s="84">
        <f t="shared" si="161"/>
        <v>-1.1104698707036231E-2</v>
      </c>
      <c r="Y101" s="84">
        <f t="shared" si="162"/>
        <v>5.0369375936849536E-2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5.5308729699388604E-2</v>
      </c>
      <c r="F102" s="84">
        <f t="shared" si="143"/>
        <v>9.0737013086120033E-2</v>
      </c>
      <c r="G102" s="84">
        <f t="shared" si="144"/>
        <v>9.732879013388418E-2</v>
      </c>
      <c r="H102" s="84">
        <f t="shared" si="145"/>
        <v>3.3477906147578063E-2</v>
      </c>
      <c r="I102" s="84">
        <f t="shared" si="146"/>
        <v>8.9009605667369041E-2</v>
      </c>
      <c r="J102" s="84">
        <f t="shared" si="147"/>
        <v>0.11001165829557458</v>
      </c>
      <c r="K102" s="84">
        <f t="shared" si="148"/>
        <v>0.17180909048556736</v>
      </c>
      <c r="L102" s="84">
        <f t="shared" si="149"/>
        <v>6.7262568431396552E-3</v>
      </c>
      <c r="M102" s="84">
        <f t="shared" si="150"/>
        <v>-0.1045165466082858</v>
      </c>
      <c r="N102" s="84">
        <f t="shared" si="151"/>
        <v>-4.9452196400556758E-2</v>
      </c>
      <c r="O102" s="84">
        <f t="shared" si="152"/>
        <v>-1.8190939392942029E-2</v>
      </c>
      <c r="P102" s="84">
        <f t="shared" si="153"/>
        <v>3.5451729882298721E-3</v>
      </c>
      <c r="Q102" s="84">
        <f t="shared" si="154"/>
        <v>8.3813412957773004E-2</v>
      </c>
      <c r="R102" s="84">
        <f t="shared" si="155"/>
        <v>3.4783296394415686E-2</v>
      </c>
      <c r="S102" s="84">
        <f t="shared" si="156"/>
        <v>8.1477856992332676E-2</v>
      </c>
      <c r="T102" s="84">
        <f t="shared" si="157"/>
        <v>6.3430683532318621E-2</v>
      </c>
      <c r="U102" s="84">
        <f t="shared" si="158"/>
        <v>3.6681749318774992E-2</v>
      </c>
      <c r="V102" s="84">
        <f t="shared" si="159"/>
        <v>7.8190791915933922E-2</v>
      </c>
      <c r="W102" s="84">
        <f t="shared" si="160"/>
        <v>5.167752825706895E-2</v>
      </c>
      <c r="X102" s="84">
        <f t="shared" si="161"/>
        <v>1.1774113404861897E-2</v>
      </c>
      <c r="Y102" s="84">
        <f t="shared" si="162"/>
        <v>0.10938703305388731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0.11412403134597038</v>
      </c>
      <c r="F103" s="84">
        <f t="shared" si="143"/>
        <v>8.5862493137718765E-2</v>
      </c>
      <c r="G103" s="84">
        <f t="shared" si="144"/>
        <v>8.8911452629948151E-2</v>
      </c>
      <c r="H103" s="84">
        <f t="shared" si="145"/>
        <v>5.211708103392465E-2</v>
      </c>
      <c r="I103" s="84">
        <f t="shared" si="146"/>
        <v>8.4717249598102784E-2</v>
      </c>
      <c r="J103" s="84">
        <f t="shared" si="147"/>
        <v>1.7527375022626357E-2</v>
      </c>
      <c r="K103" s="84">
        <f t="shared" si="148"/>
        <v>0.13526631199697303</v>
      </c>
      <c r="L103" s="84">
        <f t="shared" si="149"/>
        <v>6.254715652858156E-2</v>
      </c>
      <c r="M103" s="84">
        <f t="shared" si="150"/>
        <v>-0.13684628141380939</v>
      </c>
      <c r="N103" s="84">
        <f t="shared" si="151"/>
        <v>2.3477491113436999E-2</v>
      </c>
      <c r="O103" s="84">
        <f t="shared" si="152"/>
        <v>7.0225338095954104E-2</v>
      </c>
      <c r="P103" s="84">
        <f t="shared" si="153"/>
        <v>7.5528477216347811E-2</v>
      </c>
      <c r="Q103" s="84">
        <f t="shared" si="154"/>
        <v>5.0657196322823284E-2</v>
      </c>
      <c r="R103" s="84">
        <f t="shared" si="155"/>
        <v>3.404243830731235E-2</v>
      </c>
      <c r="S103" s="84">
        <f t="shared" si="156"/>
        <v>8.9244455101522568E-4</v>
      </c>
      <c r="T103" s="84">
        <f t="shared" si="157"/>
        <v>3.0112634087810619E-2</v>
      </c>
      <c r="U103" s="84">
        <f t="shared" si="158"/>
        <v>3.3953549350760337E-2</v>
      </c>
      <c r="V103" s="84">
        <f t="shared" si="159"/>
        <v>2.7783869948448725E-2</v>
      </c>
      <c r="W103" s="84">
        <f t="shared" si="160"/>
        <v>1.2600759624673774E-2</v>
      </c>
      <c r="X103" s="84">
        <f t="shared" si="161"/>
        <v>-6.5610643336961871E-3</v>
      </c>
      <c r="Y103" s="84">
        <f t="shared" si="162"/>
        <v>3.198431375515387E-2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0.17934315387937305</v>
      </c>
      <c r="F104" s="83">
        <f t="shared" si="143"/>
        <v>-2.5190050509603656E-3</v>
      </c>
      <c r="G104" s="83">
        <f t="shared" si="144"/>
        <v>0.25882851436133092</v>
      </c>
      <c r="H104" s="83">
        <f t="shared" si="145"/>
        <v>0.14176903263777274</v>
      </c>
      <c r="I104" s="83">
        <f t="shared" si="146"/>
        <v>7.3259088315211107E-2</v>
      </c>
      <c r="J104" s="83">
        <f t="shared" si="147"/>
        <v>-8.6492057995704474E-2</v>
      </c>
      <c r="K104" s="83">
        <f t="shared" si="148"/>
        <v>-0.16651123848855487</v>
      </c>
      <c r="L104" s="83">
        <f t="shared" si="149"/>
        <v>0.13924136005067234</v>
      </c>
      <c r="M104" s="83">
        <f t="shared" si="150"/>
        <v>-8.108548327713716E-2</v>
      </c>
      <c r="N104" s="83">
        <f t="shared" si="151"/>
        <v>0.11872552431442407</v>
      </c>
      <c r="O104" s="83">
        <f t="shared" si="152"/>
        <v>3.3644643885669678E-2</v>
      </c>
      <c r="P104" s="83">
        <f t="shared" si="153"/>
        <v>2.9565676982042044E-2</v>
      </c>
      <c r="Q104" s="83">
        <f t="shared" si="154"/>
        <v>-0.22868417888344961</v>
      </c>
      <c r="R104" s="83">
        <f t="shared" si="155"/>
        <v>-0.11250000814917382</v>
      </c>
      <c r="S104" s="83">
        <f t="shared" si="156"/>
        <v>-9.1751919561243067E-2</v>
      </c>
      <c r="T104" s="83">
        <f t="shared" si="157"/>
        <v>0.10625941036910769</v>
      </c>
      <c r="U104" s="83">
        <f t="shared" si="158"/>
        <v>-1.2068890372429419E-2</v>
      </c>
      <c r="V104" s="83">
        <f t="shared" si="159"/>
        <v>-3.3749029175343725E-2</v>
      </c>
      <c r="W104" s="83">
        <f t="shared" si="160"/>
        <v>-7.8392345247225714E-3</v>
      </c>
      <c r="X104" s="83">
        <f t="shared" si="161"/>
        <v>-0.16197785131498277</v>
      </c>
      <c r="Y104" s="83">
        <f t="shared" si="162"/>
        <v>-9.7683953369368304E-2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5.8482553557222872E-2</v>
      </c>
      <c r="F105" s="83">
        <f t="shared" si="143"/>
        <v>0.13313234551117703</v>
      </c>
      <c r="G105" s="83">
        <f t="shared" si="144"/>
        <v>0.21634946951509959</v>
      </c>
      <c r="H105" s="83">
        <f t="shared" si="145"/>
        <v>0.11147258380275615</v>
      </c>
      <c r="I105" s="83">
        <f t="shared" si="146"/>
        <v>0.15813976243553185</v>
      </c>
      <c r="J105" s="83">
        <f t="shared" si="147"/>
        <v>0.30439364591684859</v>
      </c>
      <c r="K105" s="83">
        <f t="shared" si="148"/>
        <v>0.31347870262509181</v>
      </c>
      <c r="L105" s="83">
        <f t="shared" si="149"/>
        <v>2.7447448529670737E-2</v>
      </c>
      <c r="M105" s="83">
        <f t="shared" si="150"/>
        <v>-0.49864535269293597</v>
      </c>
      <c r="N105" s="83">
        <f t="shared" si="151"/>
        <v>-0.10036400718035166</v>
      </c>
      <c r="O105" s="83">
        <f t="shared" si="152"/>
        <v>0.18421827532958313</v>
      </c>
      <c r="P105" s="83">
        <f t="shared" si="153"/>
        <v>-2.7339737802445585E-2</v>
      </c>
      <c r="Q105" s="83">
        <f t="shared" si="154"/>
        <v>0.13300498200516153</v>
      </c>
      <c r="R105" s="83">
        <f t="shared" si="155"/>
        <v>0.14900552933175359</v>
      </c>
      <c r="S105" s="83">
        <f t="shared" si="156"/>
        <v>2.1207075556279875E-2</v>
      </c>
      <c r="T105" s="83">
        <f t="shared" si="157"/>
        <v>-7.43129841907888E-2</v>
      </c>
      <c r="U105" s="83">
        <f t="shared" si="158"/>
        <v>4.0495891480352597E-2</v>
      </c>
      <c r="V105" s="83">
        <f t="shared" si="159"/>
        <v>9.3309309468313728E-2</v>
      </c>
      <c r="W105" s="83">
        <f t="shared" si="160"/>
        <v>8.7808264678751025E-2</v>
      </c>
      <c r="X105" s="83">
        <f t="shared" si="161"/>
        <v>-3.4472528380805612E-3</v>
      </c>
      <c r="Y105" s="83">
        <f t="shared" si="162"/>
        <v>3.0756285233861647E-2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7.7746031349166911E-2</v>
      </c>
      <c r="F106" s="83">
        <f t="shared" si="143"/>
        <v>2.1463133125082967E-2</v>
      </c>
      <c r="G106" s="83">
        <f t="shared" si="144"/>
        <v>0.12731094450549474</v>
      </c>
      <c r="H106" s="83">
        <f t="shared" si="145"/>
        <v>0.11483647001003927</v>
      </c>
      <c r="I106" s="83">
        <f t="shared" si="146"/>
        <v>4.8357099430462513E-2</v>
      </c>
      <c r="J106" s="83">
        <f t="shared" si="147"/>
        <v>6.4647840300690484E-2</v>
      </c>
      <c r="K106" s="83">
        <f t="shared" si="148"/>
        <v>7.4979796361451578E-2</v>
      </c>
      <c r="L106" s="83">
        <f t="shared" si="149"/>
        <v>-3.0915275360618333E-2</v>
      </c>
      <c r="M106" s="83">
        <f t="shared" si="150"/>
        <v>-0.1793947300625206</v>
      </c>
      <c r="N106" s="83">
        <f t="shared" si="151"/>
        <v>0.11854439990636756</v>
      </c>
      <c r="O106" s="83">
        <f t="shared" si="152"/>
        <v>0.14708567179466026</v>
      </c>
      <c r="P106" s="83">
        <f t="shared" si="153"/>
        <v>4.9672436543866327E-2</v>
      </c>
      <c r="Q106" s="83">
        <f t="shared" si="154"/>
        <v>2.9595308626179317E-2</v>
      </c>
      <c r="R106" s="83">
        <f t="shared" si="155"/>
        <v>3.3050319922041549E-2</v>
      </c>
      <c r="S106" s="83">
        <f t="shared" si="156"/>
        <v>9.4900723067055104E-3</v>
      </c>
      <c r="T106" s="83">
        <f t="shared" si="157"/>
        <v>4.5618977280872386E-3</v>
      </c>
      <c r="U106" s="83">
        <f t="shared" si="158"/>
        <v>4.9050704305268589E-2</v>
      </c>
      <c r="V106" s="83">
        <f t="shared" si="159"/>
        <v>1.0616229166505731E-2</v>
      </c>
      <c r="W106" s="83">
        <f t="shared" si="160"/>
        <v>1.192440650373161E-2</v>
      </c>
      <c r="X106" s="83">
        <f t="shared" si="161"/>
        <v>9.5633518205298085E-3</v>
      </c>
      <c r="Y106" s="83">
        <f t="shared" si="162"/>
        <v>0.10614542001052119</v>
      </c>
    </row>
    <row r="107" spans="1:25" x14ac:dyDescent="0.25">
      <c r="A107" s="85" t="s">
        <v>158</v>
      </c>
      <c r="B107" s="86"/>
      <c r="C107" s="86"/>
      <c r="D107" s="87"/>
      <c r="E107" s="87" t="str">
        <f t="shared" ref="E107:E108" si="163">IF(D33=0,"",E33/D33-1)</f>
        <v/>
      </c>
      <c r="F107" s="87" t="str">
        <f t="shared" ref="F107:F108" si="164">IF(E33=0,"",F33/E33-1)</f>
        <v/>
      </c>
      <c r="G107" s="87" t="str">
        <f t="shared" ref="G107:G108" si="165">IF(F33=0,"",G33/F33-1)</f>
        <v/>
      </c>
      <c r="H107" s="87" t="str">
        <f t="shared" ref="H107:H108" si="166">IF(G33=0,"",H33/G33-1)</f>
        <v/>
      </c>
      <c r="I107" s="87" t="str">
        <f t="shared" ref="I107:I108" si="167">IF(H33=0,"",I33/H33-1)</f>
        <v/>
      </c>
      <c r="J107" s="87" t="str">
        <f t="shared" ref="J107:J108" si="168">IF(I33=0,"",J33/I33-1)</f>
        <v/>
      </c>
      <c r="K107" s="87" t="str">
        <f t="shared" ref="K107:K108" si="169">IF(J33=0,"",K33/J33-1)</f>
        <v/>
      </c>
      <c r="L107" s="87" t="str">
        <f t="shared" ref="L107:L108" si="170">IF(K33=0,"",L33/K33-1)</f>
        <v/>
      </c>
      <c r="M107" s="87" t="str">
        <f t="shared" ref="M107:M108" si="171">IF(L33=0,"",M33/L33-1)</f>
        <v/>
      </c>
      <c r="N107" s="87" t="str">
        <f t="shared" ref="N107:N108" si="172">IF(M33=0,"",N33/M33-1)</f>
        <v/>
      </c>
      <c r="O107" s="87" t="str">
        <f t="shared" ref="O107:O108" si="173">IF(N33=0,"",O33/N33-1)</f>
        <v/>
      </c>
      <c r="P107" s="87" t="str">
        <f t="shared" ref="P107:P108" si="174">IF(O33=0,"",P33/O33-1)</f>
        <v/>
      </c>
      <c r="Q107" s="87" t="str">
        <f t="shared" ref="Q107:Q108" si="175">IF(P33=0,"",Q33/P33-1)</f>
        <v/>
      </c>
      <c r="R107" s="87" t="str">
        <f t="shared" ref="R107:R108" si="176">IF(Q33=0,"",R33/Q33-1)</f>
        <v/>
      </c>
      <c r="S107" s="87" t="str">
        <f t="shared" ref="S107:S108" si="177">IF(R33=0,"",S33/R33-1)</f>
        <v/>
      </c>
      <c r="T107" s="87" t="str">
        <f t="shared" ref="T107:T108" si="178">IF(S33=0,"",T33/S33-1)</f>
        <v/>
      </c>
      <c r="U107" s="87" t="str">
        <f t="shared" ref="U107:U108" si="179">IF(T33=0,"",U33/T33-1)</f>
        <v/>
      </c>
      <c r="V107" s="87" t="str">
        <f t="shared" ref="V107:V108" si="180">IF(U33=0,"",V33/U33-1)</f>
        <v/>
      </c>
      <c r="W107" s="87" t="str">
        <f t="shared" ref="W107:W108" si="181">IF(V33=0,"",W33/V33-1)</f>
        <v/>
      </c>
      <c r="X107" s="87" t="str">
        <f t="shared" ref="X107:X108" si="182">IF(W33=0,"",X33/W33-1)</f>
        <v/>
      </c>
      <c r="Y107" s="87" t="str">
        <f t="shared" ref="Y107:Y108" si="183">IF(X33=0,"",Y33/X33-1)</f>
        <v/>
      </c>
    </row>
    <row r="108" spans="1:25" x14ac:dyDescent="0.25">
      <c r="A108" s="88" t="s">
        <v>5</v>
      </c>
      <c r="B108" s="44"/>
      <c r="C108" s="44"/>
      <c r="D108" s="89"/>
      <c r="E108" s="89" t="str">
        <f t="shared" si="163"/>
        <v/>
      </c>
      <c r="F108" s="89" t="str">
        <f t="shared" si="164"/>
        <v/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-0.12657336333346214</v>
      </c>
      <c r="F110" s="89">
        <f t="shared" ref="F110:F111" si="206">IF(E43=0,"",F43/E43-1)</f>
        <v>5.0744480934263869E-2</v>
      </c>
      <c r="G110" s="89">
        <f t="shared" ref="G110:G111" si="207">IF(F43=0,"",G43/F43-1)</f>
        <v>5.3832121277348044E-2</v>
      </c>
      <c r="H110" s="89">
        <f t="shared" ref="H110:H111" si="208">IF(G43=0,"",H43/G43-1)</f>
        <v>0.22374511873693415</v>
      </c>
      <c r="I110" s="89">
        <f t="shared" ref="I110:I111" si="209">IF(H43=0,"",I43/H43-1)</f>
        <v>0.1913322440294114</v>
      </c>
      <c r="J110" s="89">
        <f t="shared" ref="J110:J111" si="210">IF(I43=0,"",J43/I43-1)</f>
        <v>0.33259932614359378</v>
      </c>
      <c r="K110" s="89">
        <f t="shared" ref="K110:K111" si="211">IF(J43=0,"",K43/J43-1)</f>
        <v>0.4563043285277848</v>
      </c>
      <c r="L110" s="89">
        <f t="shared" ref="L110:L111" si="212">IF(K43=0,"",L43/K43-1)</f>
        <v>0.18530842786706647</v>
      </c>
      <c r="M110" s="89">
        <f t="shared" ref="M110:M111" si="213">IF(L43=0,"",M43/L43-1)</f>
        <v>-0.33945101853134829</v>
      </c>
      <c r="N110" s="89">
        <f t="shared" ref="N110:N111" si="214">IF(M43=0,"",N43/M43-1)</f>
        <v>0.25026524883705359</v>
      </c>
      <c r="O110" s="89">
        <f t="shared" ref="O110:O111" si="215">IF(N43=0,"",O43/N43-1)</f>
        <v>0.26007272053289299</v>
      </c>
      <c r="P110" s="89">
        <f t="shared" ref="P110:P111" si="216">IF(O43=0,"",P43/O43-1)</f>
        <v>-2.9335707035167524E-2</v>
      </c>
      <c r="Q110" s="89">
        <f t="shared" ref="Q110:Q111" si="217">IF(P43=0,"",Q43/P43-1)</f>
        <v>-0.24669341556292623</v>
      </c>
      <c r="R110" s="89">
        <f t="shared" ref="R110:R111" si="218">IF(Q43=0,"",R43/Q43-1)</f>
        <v>1.3597664462531522E-2</v>
      </c>
      <c r="S110" s="89">
        <f t="shared" ref="S110:S111" si="219">IF(R43=0,"",S43/R43-1)</f>
        <v>5.7686423906590178E-2</v>
      </c>
      <c r="T110" s="89">
        <f t="shared" ref="T110:T111" si="220">IF(S43=0,"",T43/S43-1)</f>
        <v>-0.1431309794223794</v>
      </c>
      <c r="U110" s="89">
        <f t="shared" ref="U110:U111" si="221">IF(T43=0,"",U43/T43-1)</f>
        <v>9.8207720808358046E-2</v>
      </c>
      <c r="V110" s="89">
        <f t="shared" ref="V110:V111" si="222">IF(U43=0,"",V43/U43-1)</f>
        <v>0.12494160858186576</v>
      </c>
      <c r="W110" s="89">
        <f t="shared" ref="W110:W111" si="223">IF(V43=0,"",W43/V43-1)</f>
        <v>5.1645617468629723E-2</v>
      </c>
      <c r="X110" s="89">
        <f t="shared" ref="X110:X111" si="224">IF(W43=0,"",X43/W43-1)</f>
        <v>0.33347325911122883</v>
      </c>
      <c r="Y110" s="89">
        <f t="shared" ref="Y110:Y111" si="225">IF(X43=0,"",Y43/X43-1)</f>
        <v>0.30805731449233309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-0.12657336333346214</v>
      </c>
      <c r="F111" s="89">
        <f t="shared" si="206"/>
        <v>5.0744480934263869E-2</v>
      </c>
      <c r="G111" s="89">
        <f t="shared" si="207"/>
        <v>5.3832121277348044E-2</v>
      </c>
      <c r="H111" s="89">
        <f t="shared" si="208"/>
        <v>0.22374511873693415</v>
      </c>
      <c r="I111" s="89">
        <f t="shared" si="209"/>
        <v>0.1913322440294114</v>
      </c>
      <c r="J111" s="89">
        <f t="shared" si="210"/>
        <v>0.33259932614359378</v>
      </c>
      <c r="K111" s="89">
        <f t="shared" si="211"/>
        <v>0.4563043285277848</v>
      </c>
      <c r="L111" s="89">
        <f t="shared" si="212"/>
        <v>0.18530842786706647</v>
      </c>
      <c r="M111" s="89">
        <f t="shared" si="213"/>
        <v>-0.33945101853134829</v>
      </c>
      <c r="N111" s="89">
        <f t="shared" si="214"/>
        <v>0.25026524883705359</v>
      </c>
      <c r="O111" s="89">
        <f t="shared" si="215"/>
        <v>0.26007272053289299</v>
      </c>
      <c r="P111" s="89">
        <f t="shared" si="216"/>
        <v>-2.9335707035167524E-2</v>
      </c>
      <c r="Q111" s="89">
        <f t="shared" si="217"/>
        <v>-0.24669341556292623</v>
      </c>
      <c r="R111" s="89">
        <f t="shared" si="218"/>
        <v>1.3597664462531522E-2</v>
      </c>
      <c r="S111" s="89">
        <f t="shared" si="219"/>
        <v>5.7686423906590178E-2</v>
      </c>
      <c r="T111" s="89">
        <f t="shared" si="220"/>
        <v>-0.1431309794223794</v>
      </c>
      <c r="U111" s="89">
        <f t="shared" si="221"/>
        <v>9.8207720808358046E-2</v>
      </c>
      <c r="V111" s="89">
        <f t="shared" si="222"/>
        <v>0.12494160858186576</v>
      </c>
      <c r="W111" s="89">
        <f t="shared" si="223"/>
        <v>5.1645617468629723E-2</v>
      </c>
      <c r="X111" s="89">
        <f t="shared" si="224"/>
        <v>0.33347325911122883</v>
      </c>
      <c r="Y111" s="89">
        <f t="shared" si="225"/>
        <v>0.30805731449233309</v>
      </c>
    </row>
    <row r="112" spans="1:25" x14ac:dyDescent="0.25">
      <c r="A112" s="88" t="s">
        <v>11</v>
      </c>
      <c r="B112" s="44"/>
      <c r="C112" s="44"/>
      <c r="D112" s="89"/>
      <c r="E112" s="89" t="str">
        <f t="shared" ref="E112:E113" si="226">IF(D47=0,"",E47/D47-1)</f>
        <v/>
      </c>
      <c r="F112" s="89" t="str">
        <f t="shared" ref="F112:F113" si="227">IF(E47=0,"",F47/E47-1)</f>
        <v/>
      </c>
      <c r="G112" s="89" t="str">
        <f t="shared" ref="G112:G113" si="228">IF(F47=0,"",G47/F47-1)</f>
        <v/>
      </c>
      <c r="H112" s="89" t="str">
        <f t="shared" ref="H112:H113" si="229">IF(G47=0,"",H47/G47-1)</f>
        <v/>
      </c>
      <c r="I112" s="89" t="str">
        <f t="shared" ref="I112:I113" si="230">IF(H47=0,"",I47/H47-1)</f>
        <v/>
      </c>
      <c r="J112" s="89" t="str">
        <f t="shared" ref="J112:J113" si="231">IF(I47=0,"",J47/I47-1)</f>
        <v/>
      </c>
      <c r="K112" s="89" t="str">
        <f t="shared" ref="K112:K113" si="232">IF(J47=0,"",K47/J47-1)</f>
        <v/>
      </c>
      <c r="L112" s="89" t="str">
        <f t="shared" ref="L112:L113" si="233">IF(K47=0,"",L47/K47-1)</f>
        <v/>
      </c>
      <c r="M112" s="89" t="str">
        <f t="shared" ref="M112:M113" si="234">IF(L47=0,"",M47/L47-1)</f>
        <v/>
      </c>
      <c r="N112" s="89" t="str">
        <f t="shared" ref="N112:N113" si="235">IF(M47=0,"",N47/M47-1)</f>
        <v/>
      </c>
      <c r="O112" s="89" t="str">
        <f t="shared" ref="O112:O113" si="236">IF(N47=0,"",O47/N47-1)</f>
        <v/>
      </c>
      <c r="P112" s="89" t="str">
        <f t="shared" ref="P112:P113" si="237">IF(O47=0,"",P47/O47-1)</f>
        <v/>
      </c>
      <c r="Q112" s="89" t="str">
        <f t="shared" ref="Q112:Q113" si="238">IF(P47=0,"",Q47/P47-1)</f>
        <v/>
      </c>
      <c r="R112" s="89" t="str">
        <f t="shared" ref="R112:R113" si="239">IF(Q47=0,"",R47/Q47-1)</f>
        <v/>
      </c>
      <c r="S112" s="89" t="str">
        <f t="shared" ref="S112:S113" si="240">IF(R47=0,"",S47/R47-1)</f>
        <v/>
      </c>
      <c r="T112" s="89" t="str">
        <f t="shared" ref="T112:T113" si="241">IF(S47=0,"",T47/S47-1)</f>
        <v/>
      </c>
      <c r="U112" s="89" t="str">
        <f t="shared" ref="U112:U113" si="242">IF(T47=0,"",U47/T47-1)</f>
        <v/>
      </c>
      <c r="V112" s="89" t="str">
        <f t="shared" ref="V112:V113" si="243">IF(U47=0,"",V47/U47-1)</f>
        <v/>
      </c>
      <c r="W112" s="89" t="str">
        <f t="shared" ref="W112:W113" si="244">IF(V47=0,"",W47/V47-1)</f>
        <v/>
      </c>
      <c r="X112" s="89" t="str">
        <f t="shared" ref="X112:X113" si="245">IF(W47=0,"",X47/W47-1)</f>
        <v/>
      </c>
      <c r="Y112" s="89" t="str">
        <f t="shared" ref="Y112:Y113" si="246">IF(X47=0,"",Y47/X47-1)</f>
        <v/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5.0289802060473843E-2</v>
      </c>
      <c r="F113" s="89">
        <f t="shared" si="227"/>
        <v>1.5699348884542275E-2</v>
      </c>
      <c r="G113" s="89">
        <f t="shared" si="228"/>
        <v>0.21977033729879336</v>
      </c>
      <c r="H113" s="89">
        <f t="shared" si="229"/>
        <v>0.12371113233875208</v>
      </c>
      <c r="I113" s="89">
        <f t="shared" si="230"/>
        <v>0.26564623551761146</v>
      </c>
      <c r="J113" s="89">
        <f t="shared" si="231"/>
        <v>0.31425965259769839</v>
      </c>
      <c r="K113" s="89">
        <f t="shared" si="232"/>
        <v>3.1519962736225926E-2</v>
      </c>
      <c r="L113" s="89">
        <f t="shared" si="233"/>
        <v>-0.11327073559585588</v>
      </c>
      <c r="M113" s="89">
        <f t="shared" si="234"/>
        <v>-0.47158882849434536</v>
      </c>
      <c r="N113" s="89">
        <f t="shared" si="235"/>
        <v>9.2976698238722566E-2</v>
      </c>
      <c r="O113" s="89">
        <f t="shared" si="236"/>
        <v>0.20602048558175889</v>
      </c>
      <c r="P113" s="89">
        <f t="shared" si="237"/>
        <v>6.1950952268318371E-2</v>
      </c>
      <c r="Q113" s="89">
        <f t="shared" si="238"/>
        <v>0.15235227563070475</v>
      </c>
      <c r="R113" s="89">
        <f t="shared" si="239"/>
        <v>6.5651207314508353E-2</v>
      </c>
      <c r="S113" s="89">
        <f t="shared" si="240"/>
        <v>-9.406478947368424E-2</v>
      </c>
      <c r="T113" s="89">
        <f t="shared" si="241"/>
        <v>3.8812206696584139E-2</v>
      </c>
      <c r="U113" s="89">
        <f t="shared" si="242"/>
        <v>2.1219508989325453E-2</v>
      </c>
      <c r="V113" s="89">
        <f t="shared" si="243"/>
        <v>-8.0338578824802331E-3</v>
      </c>
      <c r="W113" s="89">
        <f t="shared" si="244"/>
        <v>1.0661741227078858E-2</v>
      </c>
      <c r="X113" s="89">
        <f t="shared" si="245"/>
        <v>-4.9444141765676353E-2</v>
      </c>
      <c r="Y113" s="89">
        <f t="shared" si="246"/>
        <v>6.1841423536773688E-2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0.10123791406512983</v>
      </c>
      <c r="F114" s="89">
        <f t="shared" ref="F114:F115" si="248">IF(E52=0,"",F52/E52-1)</f>
        <v>-7.1842375174734019E-2</v>
      </c>
      <c r="G114" s="89">
        <f t="shared" ref="G114:G115" si="249">IF(F52=0,"",G52/F52-1)</f>
        <v>0.21092218174138622</v>
      </c>
      <c r="H114" s="89">
        <f t="shared" ref="H114:H115" si="250">IF(G52=0,"",H52/G52-1)</f>
        <v>2.3789740606823484E-2</v>
      </c>
      <c r="I114" s="89">
        <f t="shared" ref="I114:I115" si="251">IF(H52=0,"",I52/H52-1)</f>
        <v>1.1309783361788117E-3</v>
      </c>
      <c r="J114" s="89">
        <f t="shared" ref="J114:J115" si="252">IF(I52=0,"",J52/I52-1)</f>
        <v>0.10924948050666061</v>
      </c>
      <c r="K114" s="89">
        <f t="shared" ref="K114:K115" si="253">IF(J52=0,"",K52/J52-1)</f>
        <v>-1.0895008843052834E-2</v>
      </c>
      <c r="L114" s="89">
        <f t="shared" ref="L114:L115" si="254">IF(K52=0,"",L52/K52-1)</f>
        <v>0.18788633846485792</v>
      </c>
      <c r="M114" s="89">
        <f t="shared" ref="M114:M115" si="255">IF(L52=0,"",M52/L52-1)</f>
        <v>-0.17699626151781211</v>
      </c>
      <c r="N114" s="89">
        <f t="shared" ref="N114:N115" si="256">IF(M52=0,"",N52/M52-1)</f>
        <v>0.24760660666628054</v>
      </c>
      <c r="O114" s="89">
        <f t="shared" ref="O114:O115" si="257">IF(N52=0,"",O52/N52-1)</f>
        <v>0.1529505802986153</v>
      </c>
      <c r="P114" s="89">
        <f t="shared" ref="P114:P115" si="258">IF(O52=0,"",P52/O52-1)</f>
        <v>6.8968996527801307E-2</v>
      </c>
      <c r="Q114" s="89">
        <f t="shared" ref="Q114:Q115" si="259">IF(P52=0,"",Q52/P52-1)</f>
        <v>0.12509721102176408</v>
      </c>
      <c r="R114" s="89">
        <f t="shared" ref="R114:R115" si="260">IF(Q52=0,"",R52/Q52-1)</f>
        <v>3.046842556244167E-2</v>
      </c>
      <c r="S114" s="89">
        <f t="shared" ref="S114:S115" si="261">IF(R52=0,"",S52/R52-1)</f>
        <v>-2.1388871019600852E-4</v>
      </c>
      <c r="T114" s="89">
        <f t="shared" ref="T114:T115" si="262">IF(S52=0,"",T52/S52-1)</f>
        <v>1.432894052034861E-2</v>
      </c>
      <c r="U114" s="89">
        <f t="shared" ref="U114:U115" si="263">IF(T52=0,"",U52/T52-1)</f>
        <v>4.2836411324943979E-2</v>
      </c>
      <c r="V114" s="89">
        <f t="shared" ref="V114:V115" si="264">IF(U52=0,"",V52/U52-1)</f>
        <v>9.1259046687579559E-3</v>
      </c>
      <c r="W114" s="89">
        <f t="shared" ref="W114:W115" si="265">IF(V52=0,"",W52/V52-1)</f>
        <v>1.7285614724210197E-2</v>
      </c>
      <c r="X114" s="89">
        <f t="shared" ref="X114:X115" si="266">IF(W52=0,"",X52/W52-1)</f>
        <v>-4.9770585409669943E-2</v>
      </c>
      <c r="Y114" s="89">
        <f t="shared" ref="Y114:Y115" si="267">IF(X52=0,"",Y52/X52-1)</f>
        <v>1.7982735054303589E-2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0.1871790254674337</v>
      </c>
      <c r="F115" s="89">
        <f t="shared" si="248"/>
        <v>1.2028003638984153E-3</v>
      </c>
      <c r="G115" s="89">
        <f t="shared" si="249"/>
        <v>2.2074067269609809E-2</v>
      </c>
      <c r="H115" s="89">
        <f t="shared" si="250"/>
        <v>0.16755003149067638</v>
      </c>
      <c r="I115" s="89">
        <f t="shared" si="251"/>
        <v>-3.3006849752024281E-2</v>
      </c>
      <c r="J115" s="89">
        <f t="shared" si="252"/>
        <v>-6.8215223258824342E-2</v>
      </c>
      <c r="K115" s="89">
        <f t="shared" si="253"/>
        <v>3.519576274159042E-2</v>
      </c>
      <c r="L115" s="89">
        <f t="shared" si="254"/>
        <v>9.6064513569255272E-2</v>
      </c>
      <c r="M115" s="89">
        <f t="shared" si="255"/>
        <v>-7.9214551215230022E-2</v>
      </c>
      <c r="N115" s="89">
        <f t="shared" si="256"/>
        <v>0.45225625696617699</v>
      </c>
      <c r="O115" s="89">
        <f t="shared" si="257"/>
        <v>0.10423078040428968</v>
      </c>
      <c r="P115" s="89">
        <f t="shared" si="258"/>
        <v>3.6966918307734131E-2</v>
      </c>
      <c r="Q115" s="89">
        <f t="shared" si="259"/>
        <v>0.19401585232019425</v>
      </c>
      <c r="R115" s="89">
        <f t="shared" si="260"/>
        <v>8.8019363906427506E-2</v>
      </c>
      <c r="S115" s="89">
        <f t="shared" si="261"/>
        <v>3.6599999999999966E-3</v>
      </c>
      <c r="T115" s="89">
        <f t="shared" si="262"/>
        <v>4.6044054297790904E-2</v>
      </c>
      <c r="U115" s="89">
        <f t="shared" si="263"/>
        <v>0.10244036678573254</v>
      </c>
      <c r="V115" s="89">
        <f t="shared" si="264"/>
        <v>3.237867567459296E-2</v>
      </c>
      <c r="W115" s="89">
        <f t="shared" si="265"/>
        <v>-5.7000924927843588E-3</v>
      </c>
      <c r="X115" s="89">
        <f t="shared" si="266"/>
        <v>-2.951691067380402E-2</v>
      </c>
      <c r="Y115" s="89">
        <f t="shared" si="267"/>
        <v>4.1247650220622489E-2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2.169440400791034E-2</v>
      </c>
      <c r="F116" s="89">
        <f t="shared" ref="F116:F122" si="269">IF(E56=0,"",F56/E56-1)</f>
        <v>-0.15040039415024431</v>
      </c>
      <c r="G116" s="89">
        <f t="shared" ref="G116:G122" si="270">IF(F56=0,"",G56/F56-1)</f>
        <v>0.45026444446764846</v>
      </c>
      <c r="H116" s="89">
        <f t="shared" ref="H116:H122" si="271">IF(G56=0,"",H56/G56-1)</f>
        <v>-0.10461493909606556</v>
      </c>
      <c r="I116" s="89">
        <f t="shared" ref="I116:I122" si="272">IF(H56=0,"",I56/H56-1)</f>
        <v>4.0890710653193052E-2</v>
      </c>
      <c r="J116" s="89">
        <f t="shared" ref="J116:J122" si="273">IF(I56=0,"",J56/I56-1)</f>
        <v>0.30126565730817489</v>
      </c>
      <c r="K116" s="89">
        <f t="shared" ref="K116:K122" si="274">IF(J56=0,"",K56/J56-1)</f>
        <v>-4.6604976016740296E-2</v>
      </c>
      <c r="L116" s="89">
        <f t="shared" ref="L116:L122" si="275">IF(K56=0,"",L56/K56-1)</f>
        <v>0.26513144865828364</v>
      </c>
      <c r="M116" s="89">
        <f t="shared" ref="M116:M122" si="276">IF(L56=0,"",M56/L56-1)</f>
        <v>-0.24826239091852265</v>
      </c>
      <c r="N116" s="89">
        <f t="shared" ref="N116:N122" si="277">IF(M56=0,"",N56/M56-1)</f>
        <v>6.4910741293746632E-2</v>
      </c>
      <c r="O116" s="89">
        <f t="shared" ref="O116:O122" si="278">IF(N56=0,"",O56/N56-1)</f>
        <v>0.21226403996611243</v>
      </c>
      <c r="P116" s="89">
        <f t="shared" ref="P116:P122" si="279">IF(O56=0,"",P56/O56-1)</f>
        <v>0.10445757219788487</v>
      </c>
      <c r="Q116" s="89">
        <f t="shared" ref="Q116:Q122" si="280">IF(P56=0,"",Q56/P56-1)</f>
        <v>5.3340428317881994E-2</v>
      </c>
      <c r="R116" s="89">
        <f t="shared" ref="R116:R122" si="281">IF(Q56=0,"",R56/Q56-1)</f>
        <v>-3.7455065622611694E-2</v>
      </c>
      <c r="S116" s="89">
        <f t="shared" ref="S116:S122" si="282">IF(R56=0,"",S56/R56-1)</f>
        <v>-5.3819819819813652E-3</v>
      </c>
      <c r="T116" s="89">
        <f t="shared" ref="T116:T122" si="283">IF(S56=0,"",T56/S56-1)</f>
        <v>-2.8366330072465473E-2</v>
      </c>
      <c r="U116" s="89">
        <f t="shared" ref="U116:U122" si="284">IF(T56=0,"",U56/T56-1)</f>
        <v>-4.3548123202328037E-2</v>
      </c>
      <c r="V116" s="89">
        <f t="shared" ref="V116:V122" si="285">IF(U56=0,"",V56/U56-1)</f>
        <v>-2.9718423438983677E-2</v>
      </c>
      <c r="W116" s="89">
        <f t="shared" ref="W116:W122" si="286">IF(V56=0,"",W56/V56-1)</f>
        <v>5.8141253952574967E-2</v>
      </c>
      <c r="X116" s="89">
        <f t="shared" ref="X116:X122" si="287">IF(W56=0,"",X56/W56-1)</f>
        <v>-8.3598227182496765E-2</v>
      </c>
      <c r="Y116" s="89">
        <f t="shared" ref="Y116:Y122" si="288">IF(X56=0,"",Y56/X56-1)</f>
        <v>-2.3167414364212102E-2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4.3634961591496157E-2</v>
      </c>
      <c r="F117" s="89">
        <f t="shared" si="269"/>
        <v>-3.7831969297205559E-2</v>
      </c>
      <c r="G117" s="89">
        <f t="shared" si="270"/>
        <v>6.6819836613014383E-2</v>
      </c>
      <c r="H117" s="89">
        <f t="shared" si="271"/>
        <v>4.0219231085916629E-2</v>
      </c>
      <c r="I117" s="89">
        <f t="shared" si="272"/>
        <v>5.1844880279779737E-2</v>
      </c>
      <c r="J117" s="89">
        <f t="shared" si="273"/>
        <v>1.1402780397478551E-2</v>
      </c>
      <c r="K117" s="89">
        <f t="shared" si="274"/>
        <v>0.12235999458716496</v>
      </c>
      <c r="L117" s="89">
        <f t="shared" si="275"/>
        <v>-5.2077711317759512E-2</v>
      </c>
      <c r="M117" s="89">
        <f t="shared" si="276"/>
        <v>0.11490380918959908</v>
      </c>
      <c r="N117" s="89">
        <f t="shared" si="277"/>
        <v>2.1222879712955445E-2</v>
      </c>
      <c r="O117" s="89">
        <f t="shared" si="278"/>
        <v>7.7845009228082462E-2</v>
      </c>
      <c r="P117" s="89">
        <f t="shared" si="279"/>
        <v>3.5457472105772547E-2</v>
      </c>
      <c r="Q117" s="89">
        <f t="shared" si="280"/>
        <v>5.0718785425389434E-2</v>
      </c>
      <c r="R117" s="89">
        <f t="shared" si="281"/>
        <v>1.1912185847275936E-3</v>
      </c>
      <c r="S117" s="89">
        <f t="shared" si="282"/>
        <v>-2.0613871688909824E-2</v>
      </c>
      <c r="T117" s="89">
        <f t="shared" si="283"/>
        <v>-1.609620918330501E-2</v>
      </c>
      <c r="U117" s="89">
        <f t="shared" si="284"/>
        <v>1.7182233751211307E-2</v>
      </c>
      <c r="V117" s="89">
        <f t="shared" si="285"/>
        <v>-1.915277454220643E-2</v>
      </c>
      <c r="W117" s="89">
        <f t="shared" si="286"/>
        <v>1.6600078778191696E-2</v>
      </c>
      <c r="X117" s="89">
        <f t="shared" si="287"/>
        <v>-9.5093202527100074E-3</v>
      </c>
      <c r="Y117" s="89">
        <f t="shared" si="288"/>
        <v>-3.9532349991834637E-2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4.7500826621087677E-2</v>
      </c>
      <c r="F118" s="89">
        <f t="shared" si="269"/>
        <v>5.5157421946145035E-2</v>
      </c>
      <c r="G118" s="89">
        <f t="shared" si="270"/>
        <v>0.38708266080478992</v>
      </c>
      <c r="H118" s="89">
        <f t="shared" si="271"/>
        <v>0.18754593133920938</v>
      </c>
      <c r="I118" s="89">
        <f t="shared" si="272"/>
        <v>2.2552011095700486E-2</v>
      </c>
      <c r="J118" s="89">
        <f t="shared" si="273"/>
        <v>6.9134332675286903E-2</v>
      </c>
      <c r="K118" s="89">
        <f t="shared" si="274"/>
        <v>-0.10879880778544937</v>
      </c>
      <c r="L118" s="89">
        <f t="shared" si="275"/>
        <v>0.11724598659355534</v>
      </c>
      <c r="M118" s="89">
        <f t="shared" si="276"/>
        <v>-0.36737248064351591</v>
      </c>
      <c r="N118" s="89">
        <f t="shared" si="277"/>
        <v>0.11396447891142092</v>
      </c>
      <c r="O118" s="89">
        <f t="shared" si="278"/>
        <v>-0.15838700062104383</v>
      </c>
      <c r="P118" s="89">
        <f t="shared" si="279"/>
        <v>0.22161566742106431</v>
      </c>
      <c r="Q118" s="89">
        <f t="shared" si="280"/>
        <v>0.12838105386674181</v>
      </c>
      <c r="R118" s="89">
        <f t="shared" si="281"/>
        <v>-2.6508366475473943E-2</v>
      </c>
      <c r="S118" s="89">
        <f t="shared" si="282"/>
        <v>8.7436123009335676E-2</v>
      </c>
      <c r="T118" s="89">
        <f t="shared" si="283"/>
        <v>8.4921070968576373E-2</v>
      </c>
      <c r="U118" s="89">
        <f t="shared" si="284"/>
        <v>0.12758570253189783</v>
      </c>
      <c r="V118" s="89">
        <f t="shared" si="285"/>
        <v>6.2711289004379722E-2</v>
      </c>
      <c r="W118" s="89">
        <f t="shared" si="286"/>
        <v>7.044494352041264E-2</v>
      </c>
      <c r="X118" s="89">
        <f t="shared" si="287"/>
        <v>-9.8317367650049281E-3</v>
      </c>
      <c r="Y118" s="89">
        <f t="shared" si="288"/>
        <v>0.14539225315015858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7.9540487647880243E-2</v>
      </c>
      <c r="F119" s="89">
        <f t="shared" si="269"/>
        <v>6.9507775236661518E-2</v>
      </c>
      <c r="G119" s="89">
        <f t="shared" si="270"/>
        <v>0.19990862634252649</v>
      </c>
      <c r="H119" s="89">
        <f t="shared" si="271"/>
        <v>0.23318742678742632</v>
      </c>
      <c r="I119" s="89">
        <f t="shared" si="272"/>
        <v>4.9090470722165103E-2</v>
      </c>
      <c r="J119" s="89">
        <f t="shared" si="273"/>
        <v>8.1871377409752366E-3</v>
      </c>
      <c r="K119" s="89">
        <f t="shared" si="274"/>
        <v>8.2268564189009297E-2</v>
      </c>
      <c r="L119" s="89">
        <f t="shared" si="275"/>
        <v>-3.956193762418625E-2</v>
      </c>
      <c r="M119" s="89">
        <f t="shared" si="276"/>
        <v>-0.27934245841699767</v>
      </c>
      <c r="N119" s="89">
        <f t="shared" si="277"/>
        <v>0.15600595076799739</v>
      </c>
      <c r="O119" s="89">
        <f t="shared" si="278"/>
        <v>0.16987492059738996</v>
      </c>
      <c r="P119" s="89">
        <f t="shared" si="279"/>
        <v>7.1374306317238956E-2</v>
      </c>
      <c r="Q119" s="89">
        <f t="shared" si="280"/>
        <v>2.2783372874869201E-2</v>
      </c>
      <c r="R119" s="89">
        <f t="shared" si="281"/>
        <v>1.4847868710804457E-2</v>
      </c>
      <c r="S119" s="89">
        <f t="shared" si="282"/>
        <v>5.5376756756756906E-2</v>
      </c>
      <c r="T119" s="89">
        <f t="shared" si="283"/>
        <v>3.2272914132677855E-2</v>
      </c>
      <c r="U119" s="89">
        <f t="shared" si="284"/>
        <v>0.15162419018417506</v>
      </c>
      <c r="V119" s="89">
        <f t="shared" si="285"/>
        <v>-4.5678140679231705E-3</v>
      </c>
      <c r="W119" s="89">
        <f t="shared" si="286"/>
        <v>4.3842364267976608E-2</v>
      </c>
      <c r="X119" s="89">
        <f t="shared" si="287"/>
        <v>-1.7481745403114979E-2</v>
      </c>
      <c r="Y119" s="89">
        <f t="shared" si="288"/>
        <v>0.18715040645785441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8.3238678294797586E-2</v>
      </c>
      <c r="F120" s="89">
        <f t="shared" si="269"/>
        <v>-6.2159043683770898E-2</v>
      </c>
      <c r="G120" s="89">
        <f t="shared" si="270"/>
        <v>-1.7345588610607088E-2</v>
      </c>
      <c r="H120" s="89">
        <f t="shared" si="271"/>
        <v>8.8328275252762545E-3</v>
      </c>
      <c r="I120" s="89">
        <f t="shared" si="272"/>
        <v>-9.6219015099618055E-2</v>
      </c>
      <c r="J120" s="89">
        <f t="shared" si="273"/>
        <v>-8.7669612514580719E-2</v>
      </c>
      <c r="K120" s="89">
        <f t="shared" si="274"/>
        <v>-6.579815195177563E-2</v>
      </c>
      <c r="L120" s="89">
        <f t="shared" si="275"/>
        <v>-0.18484421160298059</v>
      </c>
      <c r="M120" s="89">
        <f t="shared" si="276"/>
        <v>-0.19562913194605835</v>
      </c>
      <c r="N120" s="89">
        <f t="shared" si="277"/>
        <v>0.16744415006519819</v>
      </c>
      <c r="O120" s="89">
        <f t="shared" si="278"/>
        <v>0.14317972058944495</v>
      </c>
      <c r="P120" s="89">
        <f t="shared" si="279"/>
        <v>1.9700561977060271E-2</v>
      </c>
      <c r="Q120" s="89">
        <f t="shared" si="280"/>
        <v>2.8027096200024859E-2</v>
      </c>
      <c r="R120" s="89">
        <f t="shared" si="281"/>
        <v>6.0115803029023418E-2</v>
      </c>
      <c r="S120" s="89">
        <f t="shared" si="282"/>
        <v>-1.8635013404825762E-2</v>
      </c>
      <c r="T120" s="89">
        <f t="shared" si="283"/>
        <v>3.4647682766548282E-2</v>
      </c>
      <c r="U120" s="89">
        <f t="shared" si="284"/>
        <v>-2.8907508946058647E-2</v>
      </c>
      <c r="V120" s="89">
        <f t="shared" si="285"/>
        <v>-6.4488451768406896E-2</v>
      </c>
      <c r="W120" s="89">
        <f t="shared" si="286"/>
        <v>-4.7613220302267556E-2</v>
      </c>
      <c r="X120" s="89">
        <f t="shared" si="287"/>
        <v>-0.10905244622824239</v>
      </c>
      <c r="Y120" s="89">
        <f t="shared" si="288"/>
        <v>-1.1436807082358391E-2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0.16448112596689146</v>
      </c>
      <c r="F121" s="89">
        <f t="shared" si="269"/>
        <v>0.17341443269220824</v>
      </c>
      <c r="G121" s="89">
        <f t="shared" si="270"/>
        <v>0.18417939118231574</v>
      </c>
      <c r="H121" s="89">
        <f t="shared" si="271"/>
        <v>0.12987316187381848</v>
      </c>
      <c r="I121" s="89">
        <f t="shared" si="272"/>
        <v>5.4482378961743017E-2</v>
      </c>
      <c r="J121" s="89">
        <f t="shared" si="273"/>
        <v>2.9183417946296863E-3</v>
      </c>
      <c r="K121" s="89">
        <f t="shared" si="274"/>
        <v>5.8962069418504459E-2</v>
      </c>
      <c r="L121" s="89">
        <f t="shared" si="275"/>
        <v>-0.19061500854564117</v>
      </c>
      <c r="M121" s="89">
        <f t="shared" si="276"/>
        <v>-0.18899360285211442</v>
      </c>
      <c r="N121" s="89">
        <f t="shared" si="277"/>
        <v>0.15824054087979134</v>
      </c>
      <c r="O121" s="89">
        <f t="shared" si="278"/>
        <v>0.13028437964081863</v>
      </c>
      <c r="P121" s="89">
        <f t="shared" si="279"/>
        <v>-2.3137620074546561E-2</v>
      </c>
      <c r="Q121" s="89">
        <f t="shared" si="280"/>
        <v>9.5825788040691418E-2</v>
      </c>
      <c r="R121" s="89">
        <f t="shared" si="281"/>
        <v>6.9333528318316295E-2</v>
      </c>
      <c r="S121" s="89">
        <f t="shared" si="282"/>
        <v>-4.4946033782339301E-3</v>
      </c>
      <c r="T121" s="89">
        <f t="shared" si="283"/>
        <v>5.6626508715499568E-2</v>
      </c>
      <c r="U121" s="89">
        <f t="shared" si="284"/>
        <v>-1.8844303616668667E-2</v>
      </c>
      <c r="V121" s="89">
        <f t="shared" si="285"/>
        <v>1.7111702749998292E-2</v>
      </c>
      <c r="W121" s="89">
        <f t="shared" si="286"/>
        <v>-2.8300938448847512E-2</v>
      </c>
      <c r="X121" s="89">
        <f t="shared" si="287"/>
        <v>-1.5653246848037261E-2</v>
      </c>
      <c r="Y121" s="89">
        <f t="shared" si="288"/>
        <v>0.21362153347874413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0.25614122143511064</v>
      </c>
      <c r="F122" s="91">
        <f t="shared" si="269"/>
        <v>0.19085951489945874</v>
      </c>
      <c r="G122" s="91">
        <f t="shared" si="270"/>
        <v>0.2706239147063636</v>
      </c>
      <c r="H122" s="91">
        <f t="shared" si="271"/>
        <v>0.21239761077198138</v>
      </c>
      <c r="I122" s="91">
        <f t="shared" si="272"/>
        <v>9.6383411422379162E-2</v>
      </c>
      <c r="J122" s="91">
        <f t="shared" si="273"/>
        <v>0.16550608143565593</v>
      </c>
      <c r="K122" s="91">
        <f t="shared" si="274"/>
        <v>2.7937524198282215E-2</v>
      </c>
      <c r="L122" s="91">
        <f t="shared" si="275"/>
        <v>1.8550548218239094E-3</v>
      </c>
      <c r="M122" s="91">
        <f t="shared" si="276"/>
        <v>-0.18896407192135656</v>
      </c>
      <c r="N122" s="91">
        <f t="shared" si="277"/>
        <v>0.11222681873553531</v>
      </c>
      <c r="O122" s="91">
        <f t="shared" si="278"/>
        <v>0.22151619570302117</v>
      </c>
      <c r="P122" s="91">
        <f t="shared" si="279"/>
        <v>0.1244207239326014</v>
      </c>
      <c r="Q122" s="91">
        <f t="shared" si="280"/>
        <v>8.9790773799173218E-2</v>
      </c>
      <c r="R122" s="91">
        <f t="shared" si="281"/>
        <v>7.2193129805228073E-2</v>
      </c>
      <c r="S122" s="91">
        <f t="shared" si="282"/>
        <v>2.663534939759038E-2</v>
      </c>
      <c r="T122" s="91">
        <f t="shared" si="283"/>
        <v>1.9255584359562095E-2</v>
      </c>
      <c r="U122" s="91">
        <f t="shared" si="284"/>
        <v>4.9916424417558058E-2</v>
      </c>
      <c r="V122" s="91">
        <f t="shared" si="285"/>
        <v>3.1694835368731633E-2</v>
      </c>
      <c r="W122" s="91">
        <f t="shared" si="286"/>
        <v>-8.4614661134497782E-3</v>
      </c>
      <c r="X122" s="91">
        <f t="shared" si="287"/>
        <v>-1.2125735894506273E-2</v>
      </c>
      <c r="Y122" s="91">
        <f t="shared" si="288"/>
        <v>0.10019127837223052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2024-05-20T16:52:29Z</dcterms:created>
  <dcterms:modified xsi:type="dcterms:W3CDTF">2024-05-20T16:52:29Z</dcterms:modified>
</cp:coreProperties>
</file>